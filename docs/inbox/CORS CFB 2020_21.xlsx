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Rank" sheetId="1" r:id="rId5"/>
    <sheet state="visible" name="HistoricalRank" sheetId="2" r:id="rId6"/>
    <sheet state="visible" name="WLSpread" sheetId="3" r:id="rId7"/>
    <sheet state="visible" name="Standings" sheetId="4" r:id="rId8"/>
    <sheet state="visible" name="ConfStandings" sheetId="5" r:id="rId9"/>
    <sheet state="visible" name="HFA" sheetId="6" r:id="rId10"/>
    <sheet state="visible" name="Realignment" sheetId="7" r:id="rId11"/>
    <sheet state="visible" name="Calculations" sheetId="8" r:id="rId12"/>
  </sheets>
  <definedNames>
    <definedName name="Week0">HistoricalRank!$E$400:$G$531</definedName>
    <definedName name="Week3">HistoricalRank!$I$1:$K$132</definedName>
    <definedName name="Week1">HistoricalRank!$A$1:$C$132</definedName>
    <definedName name="Week12">HistoricalRank!$E$267:$G$398</definedName>
    <definedName name="Week7">HistoricalRank!$E$134:$G$265</definedName>
    <definedName name="Week13">HistoricalRank!$I$267:$K$398</definedName>
    <definedName name="standings">Standings!$A$1:$R$131</definedName>
    <definedName name="Week11">HistoricalRank!$A$267:$C$398</definedName>
    <definedName name="Week10">HistoricalRank!$Q$134:$S$265</definedName>
    <definedName name="confcors">Calculations!$E$2:$G$12</definedName>
    <definedName name="Week15">HistoricalRank!$Q$267:$S$398</definedName>
    <definedName name="Week8">HistoricalRank!$I$134:$K$265</definedName>
    <definedName name="Week6">HistoricalRank!$A$134:$C$265</definedName>
    <definedName name="Week9">HistoricalRank!$M$134:$O$265</definedName>
    <definedName name="Week5">HistoricalRank!$Q$1:$S$132</definedName>
    <definedName name="Week14">HistoricalRank!$M$267:$O$398</definedName>
    <definedName name="Week16">HistoricalRank!$A$400:$C$531</definedName>
    <definedName name="Week2">HistoricalRank!$E$1:$G$132</definedName>
    <definedName name="Week4">HistoricalRank!$M$1:$O$132</definedName>
    <definedName hidden="1" localSheetId="2" name="_xlnm._FilterDatabase">WLSpread!$A$1:$AH$1005</definedName>
    <definedName hidden="1" localSheetId="3" name="_xlnm._FilterDatabase">Standings!$A$1:$R$131</definedName>
  </definedNames>
  <calcPr/>
</workbook>
</file>

<file path=xl/sharedStrings.xml><?xml version="1.0" encoding="utf-8"?>
<sst xmlns="http://schemas.openxmlformats.org/spreadsheetml/2006/main" count="6272" uniqueCount="284">
  <si>
    <t>Week</t>
  </si>
  <si>
    <t>Team</t>
  </si>
  <si>
    <t>FINAL</t>
  </si>
  <si>
    <t>Wins</t>
  </si>
  <si>
    <t>Losses</t>
  </si>
  <si>
    <t>Current CCG Matchups</t>
  </si>
  <si>
    <t>Record</t>
  </si>
  <si>
    <t>Ovr Win %</t>
  </si>
  <si>
    <t>Name</t>
  </si>
  <si>
    <t>Points</t>
  </si>
  <si>
    <t>Rk</t>
  </si>
  <si>
    <t>Conf</t>
  </si>
  <si>
    <t>Conf-Div</t>
  </si>
  <si>
    <t>Away</t>
  </si>
  <si>
    <t>Conf Wins</t>
  </si>
  <si>
    <t>Conf Losses</t>
  </si>
  <si>
    <t>Home</t>
  </si>
  <si>
    <t>Conf Record</t>
  </si>
  <si>
    <t>Clemson</t>
  </si>
  <si>
    <t>Away CORS</t>
  </si>
  <si>
    <t>Conf W %</t>
  </si>
  <si>
    <t>ACORS Now</t>
  </si>
  <si>
    <t>Home Record</t>
  </si>
  <si>
    <t>Alabama</t>
  </si>
  <si>
    <t>Away Rank</t>
  </si>
  <si>
    <t>Away Record</t>
  </si>
  <si>
    <t>Ohio State</t>
  </si>
  <si>
    <t>Home Wins</t>
  </si>
  <si>
    <t>Notre Dame</t>
  </si>
  <si>
    <t>AR Now</t>
  </si>
  <si>
    <t>Home Losses</t>
  </si>
  <si>
    <t>Home CORS</t>
  </si>
  <si>
    <t>Away Wins</t>
  </si>
  <si>
    <t>Georgia</t>
  </si>
  <si>
    <t>HCORS Now</t>
  </si>
  <si>
    <t>Away Losses</t>
  </si>
  <si>
    <t>Home Rank</t>
  </si>
  <si>
    <t># Games</t>
  </si>
  <si>
    <t>North Carolina</t>
  </si>
  <si>
    <t>HR Now</t>
  </si>
  <si>
    <t>Miami</t>
  </si>
  <si>
    <t>CORS</t>
  </si>
  <si>
    <t>HFA Then</t>
  </si>
  <si>
    <t>UTEP</t>
  </si>
  <si>
    <t>AAC</t>
  </si>
  <si>
    <t>CS</t>
  </si>
  <si>
    <t>Texas</t>
  </si>
  <si>
    <t>Central Florida</t>
  </si>
  <si>
    <t>Florida</t>
  </si>
  <si>
    <t>MAC</t>
  </si>
  <si>
    <t>HFA Now</t>
  </si>
  <si>
    <t>Oklahoma</t>
  </si>
  <si>
    <t>Rank Value</t>
  </si>
  <si>
    <t>LSU</t>
  </si>
  <si>
    <t>GS</t>
  </si>
  <si>
    <t>Oklahoma State</t>
  </si>
  <si>
    <t>RS</t>
  </si>
  <si>
    <t>Penn State</t>
  </si>
  <si>
    <t>UL-Lafayette</t>
  </si>
  <si>
    <t>BEV</t>
  </si>
  <si>
    <t>Memphis</t>
  </si>
  <si>
    <t>AEV</t>
  </si>
  <si>
    <t>Oregon</t>
  </si>
  <si>
    <t>Neutral</t>
  </si>
  <si>
    <t>Auburn</t>
  </si>
  <si>
    <t>Tennessee</t>
  </si>
  <si>
    <t>Matchup</t>
  </si>
  <si>
    <t>Underdog</t>
  </si>
  <si>
    <t>Favorite</t>
  </si>
  <si>
    <t>Cincinnati</t>
  </si>
  <si>
    <t>Winner</t>
  </si>
  <si>
    <t>Score</t>
  </si>
  <si>
    <t>Loser</t>
  </si>
  <si>
    <t>BYU</t>
  </si>
  <si>
    <t>Wisconsin</t>
  </si>
  <si>
    <t>OT</t>
  </si>
  <si>
    <t>SD</t>
  </si>
  <si>
    <t>Notes</t>
  </si>
  <si>
    <t>W/L SU</t>
  </si>
  <si>
    <t>Texas A&amp;M</t>
  </si>
  <si>
    <t>W/L ATS</t>
  </si>
  <si>
    <t>Mississippi State</t>
  </si>
  <si>
    <t>Virginia Tech</t>
  </si>
  <si>
    <t>Abilene Christian</t>
  </si>
  <si>
    <t>CUSA</t>
  </si>
  <si>
    <t>CUSA-West</t>
  </si>
  <si>
    <t>Southern Methodist</t>
  </si>
  <si>
    <t>Michigan</t>
  </si>
  <si>
    <t>Army</t>
  </si>
  <si>
    <t>Pittsburgh</t>
  </si>
  <si>
    <t>Southern Cal</t>
  </si>
  <si>
    <t>Minnesota</t>
  </si>
  <si>
    <t>Iowa State</t>
  </si>
  <si>
    <t>Wake Forest</t>
  </si>
  <si>
    <t>Louisville</t>
  </si>
  <si>
    <t>Marshall</t>
  </si>
  <si>
    <t>Utah</t>
  </si>
  <si>
    <t>Iowa</t>
  </si>
  <si>
    <t>Appalachian State</t>
  </si>
  <si>
    <t>Kentucky</t>
  </si>
  <si>
    <t>Coastal Carolina</t>
  </si>
  <si>
    <t>Boston College</t>
  </si>
  <si>
    <t>South Alabama</t>
  </si>
  <si>
    <t>Tulane</t>
  </si>
  <si>
    <t>Baylor</t>
  </si>
  <si>
    <t>Texas-San Antonio</t>
  </si>
  <si>
    <t>Liberty</t>
  </si>
  <si>
    <t>Air Force</t>
  </si>
  <si>
    <t>Georgia Tech</t>
  </si>
  <si>
    <t>North Carolina State</t>
  </si>
  <si>
    <t>Louisiana Tech</t>
  </si>
  <si>
    <t>Troy</t>
  </si>
  <si>
    <t>Virginia</t>
  </si>
  <si>
    <t>TCU</t>
  </si>
  <si>
    <t>North Texas</t>
  </si>
  <si>
    <t>Arkansas State</t>
  </si>
  <si>
    <t>Kansas State</t>
  </si>
  <si>
    <t>West Virginia</t>
  </si>
  <si>
    <t>Arkansas</t>
  </si>
  <si>
    <t>UAB</t>
  </si>
  <si>
    <t>ACC</t>
  </si>
  <si>
    <t>MWC</t>
  </si>
  <si>
    <t>UL-Monroe</t>
  </si>
  <si>
    <t>South Florida</t>
  </si>
  <si>
    <t>Florida Atlantic</t>
  </si>
  <si>
    <t>UCLA</t>
  </si>
  <si>
    <t>Toledo</t>
  </si>
  <si>
    <t>Texas Tech</t>
  </si>
  <si>
    <t>Syracuse</t>
  </si>
  <si>
    <t>Mississippi</t>
  </si>
  <si>
    <t>Navy</t>
  </si>
  <si>
    <t>Georgia Southern</t>
  </si>
  <si>
    <t>Tulsa</t>
  </si>
  <si>
    <t>Colorado State</t>
  </si>
  <si>
    <t>Ball State</t>
  </si>
  <si>
    <t>AAC-East</t>
  </si>
  <si>
    <t>Georgia State</t>
  </si>
  <si>
    <t>Illinois</t>
  </si>
  <si>
    <t>Washington</t>
  </si>
  <si>
    <t>Texas State</t>
  </si>
  <si>
    <t>Charlotte</t>
  </si>
  <si>
    <t>Florida International</t>
  </si>
  <si>
    <t>Ohio</t>
  </si>
  <si>
    <t>Northern Illinois</t>
  </si>
  <si>
    <t>Fresno State</t>
  </si>
  <si>
    <t>Michigan State</t>
  </si>
  <si>
    <t>Massachusetts</t>
  </si>
  <si>
    <t>Florida State</t>
  </si>
  <si>
    <t>East Carolina</t>
  </si>
  <si>
    <t>Missouri</t>
  </si>
  <si>
    <t>Maryland</t>
  </si>
  <si>
    <t>Western Michigan</t>
  </si>
  <si>
    <t>Purdue</t>
  </si>
  <si>
    <t>Nebraska</t>
  </si>
  <si>
    <t>Old Dominion</t>
  </si>
  <si>
    <t>Connecticut</t>
  </si>
  <si>
    <t>Utah State</t>
  </si>
  <si>
    <t>Central Michigan</t>
  </si>
  <si>
    <t>Washington State</t>
  </si>
  <si>
    <t>CUSA-East</t>
  </si>
  <si>
    <t>Oregon State</t>
  </si>
  <si>
    <t>South Carolina</t>
  </si>
  <si>
    <t>Buffalo</t>
  </si>
  <si>
    <t>B1G</t>
  </si>
  <si>
    <t>Nevada</t>
  </si>
  <si>
    <t>PAC12</t>
  </si>
  <si>
    <t>Rutgers</t>
  </si>
  <si>
    <t>UNLV</t>
  </si>
  <si>
    <t>Arizona</t>
  </si>
  <si>
    <t>Eastern Michigan</t>
  </si>
  <si>
    <t>Southern Mississippi</t>
  </si>
  <si>
    <t>California</t>
  </si>
  <si>
    <t>Rice</t>
  </si>
  <si>
    <t>San Diego State</t>
  </si>
  <si>
    <t>Indiana</t>
  </si>
  <si>
    <t>Wyoming</t>
  </si>
  <si>
    <t>Boise State</t>
  </si>
  <si>
    <t>Bowling Green</t>
  </si>
  <si>
    <t>Temple</t>
  </si>
  <si>
    <t>Miami (OH)</t>
  </si>
  <si>
    <t>Colorado</t>
  </si>
  <si>
    <t>Vanderbilt</t>
  </si>
  <si>
    <t>San Jose State</t>
  </si>
  <si>
    <t>MAC-East</t>
  </si>
  <si>
    <t>Akron</t>
  </si>
  <si>
    <t>New Mexico</t>
  </si>
  <si>
    <t>Hawaii</t>
  </si>
  <si>
    <t>Duke</t>
  </si>
  <si>
    <t>New Mexico State</t>
  </si>
  <si>
    <t>Northwestern</t>
  </si>
  <si>
    <t>Stanford</t>
  </si>
  <si>
    <t>Kent State</t>
  </si>
  <si>
    <t>Kansas</t>
  </si>
  <si>
    <t>Western Kentucky</t>
  </si>
  <si>
    <t>Arizona State</t>
  </si>
  <si>
    <t>MAC-West</t>
  </si>
  <si>
    <t>Houston</t>
  </si>
  <si>
    <t>BIG12</t>
  </si>
  <si>
    <t>SEC</t>
  </si>
  <si>
    <t>PAC12-South</t>
  </si>
  <si>
    <t>Middle Tennessee</t>
  </si>
  <si>
    <t>SUN</t>
  </si>
  <si>
    <t>SUN-West</t>
  </si>
  <si>
    <t>No</t>
  </si>
  <si>
    <t>MWC-West</t>
  </si>
  <si>
    <t>MWC-Mountain</t>
  </si>
  <si>
    <t>Current CORS W/L</t>
  </si>
  <si>
    <t>Straight Up</t>
  </si>
  <si>
    <t>W</t>
  </si>
  <si>
    <t>SEC-East</t>
  </si>
  <si>
    <t>L</t>
  </si>
  <si>
    <t>CORS Conference Ratings - CORS AVG</t>
  </si>
  <si>
    <t>Conference</t>
  </si>
  <si>
    <t>CORS AVG</t>
  </si>
  <si>
    <t>RankAVG</t>
  </si>
  <si>
    <t>IND</t>
  </si>
  <si>
    <t>ACC-Atlantic</t>
  </si>
  <si>
    <t>CORS Conference Ratings - RANK AVG</t>
  </si>
  <si>
    <t>ACC-Coastal</t>
  </si>
  <si>
    <t>SEC-West</t>
  </si>
  <si>
    <t>PAC12-North</t>
  </si>
  <si>
    <t>B1G-East</t>
  </si>
  <si>
    <t>B1G-West</t>
  </si>
  <si>
    <t>Yes</t>
  </si>
  <si>
    <t>BOWL</t>
  </si>
  <si>
    <t>AAC-West</t>
  </si>
  <si>
    <t>CAN</t>
  </si>
  <si>
    <t>SUN-East</t>
  </si>
  <si>
    <t>PPD</t>
  </si>
  <si>
    <t>GOING BOWLING:</t>
  </si>
  <si>
    <t>North Alabama</t>
  </si>
  <si>
    <t>FCS</t>
  </si>
  <si>
    <t>FBS</t>
  </si>
  <si>
    <t>CCG</t>
  </si>
  <si>
    <t>Postponed</t>
  </si>
  <si>
    <t>Normal</t>
  </si>
  <si>
    <t>COVID</t>
  </si>
  <si>
    <t>Delaware</t>
  </si>
  <si>
    <t>W Kentucky</t>
  </si>
  <si>
    <t>Big 12</t>
  </si>
  <si>
    <t>Big 10</t>
  </si>
  <si>
    <t>Pac 12</t>
  </si>
  <si>
    <t>Sun Belt</t>
  </si>
  <si>
    <t>Independents</t>
  </si>
  <si>
    <t>South Dakota State</t>
  </si>
  <si>
    <t>Youngstown State</t>
  </si>
  <si>
    <t>CONF</t>
  </si>
  <si>
    <t>RANK AVG</t>
  </si>
  <si>
    <t>TOTAL</t>
  </si>
  <si>
    <t>Yale</t>
  </si>
  <si>
    <t>Eastern Kentucky</t>
  </si>
  <si>
    <t>Chattanooga</t>
  </si>
  <si>
    <t>Jacksonville State</t>
  </si>
  <si>
    <t>Cancelled</t>
  </si>
  <si>
    <t>UC Davis</t>
  </si>
  <si>
    <t>Florida A&amp;M</t>
  </si>
  <si>
    <t>Gametime Spread</t>
  </si>
  <si>
    <t>Houston Baptist</t>
  </si>
  <si>
    <t>Before Excitement Value (-1 to 1)</t>
  </si>
  <si>
    <t>Northern Iowa</t>
  </si>
  <si>
    <t>Stephen F. Austin</t>
  </si>
  <si>
    <t>Central Arkansas</t>
  </si>
  <si>
    <t>Montana</t>
  </si>
  <si>
    <t>Austin Peay</t>
  </si>
  <si>
    <t>Missouri State</t>
  </si>
  <si>
    <t>The Citadel</t>
  </si>
  <si>
    <t>Portland State</t>
  </si>
  <si>
    <t>Illinois State</t>
  </si>
  <si>
    <t>James Madison</t>
  </si>
  <si>
    <t>North Dakota State</t>
  </si>
  <si>
    <t>North Dakota</t>
  </si>
  <si>
    <t>After Excitement Value (-1 to 1)</t>
  </si>
  <si>
    <t>New Hampshire</t>
  </si>
  <si>
    <t>Eastern Washington</t>
  </si>
  <si>
    <t>Harvard</t>
  </si>
  <si>
    <t>Mercer</t>
  </si>
  <si>
    <t>Western Carolina</t>
  </si>
  <si>
    <t>ES</t>
  </si>
  <si>
    <t>ESPN Spread</t>
  </si>
  <si>
    <t>Campbell</t>
  </si>
  <si>
    <t>Retroactive Spread</t>
  </si>
  <si>
    <t>NCG</t>
  </si>
  <si>
    <t>Gardner-Webb</t>
  </si>
  <si>
    <t>Incarnate Word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</si>
</sst>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sz val="10.0"/>
      <color theme="1"/>
      <name val="Calibri"/>
      <scheme val="minor"/>
    </font>
    <font>
      <b/>
      <sz val="10.0"/>
      <color theme="1"/>
      <name val="Calibri"/>
      <scheme val="minor"/>
    </font>
    <font>
      <sz val="10.0"/>
      <color theme="1"/>
      <name val="Calibri"/>
    </font>
    <font>
      <sz val="10.0"/>
      <color rgb="FF000000"/>
      <name val="Calibri"/>
      <scheme val="minor"/>
    </font>
    <font>
      <sz val="10.0"/>
      <color rgb="FF000000"/>
      <name val="Calibri"/>
    </font>
    <font>
      <sz val="10.0"/>
      <color rgb="FF525066"/>
      <name val="Calibri"/>
      <scheme val="minor"/>
    </font>
    <font>
      <sz val="10.0"/>
      <color rgb="FFFFFFFF"/>
      <name val="Calibri"/>
      <scheme val="minor"/>
    </font>
    <font>
      <sz val="10.0"/>
      <color rgb="FFCEB888"/>
      <name val="Calibri"/>
      <scheme val="minor"/>
    </font>
    <font>
      <b/>
      <sz val="10.0"/>
      <color rgb="FFFFFFFF"/>
      <name val="Calibri"/>
    </font>
    <font>
      <b/>
      <sz val="10.0"/>
      <color rgb="FFCFC493"/>
      <name val="Calibri"/>
    </font>
  </fonts>
  <fills count="7">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000000"/>
        <bgColor rgb="FF000000"/>
      </patternFill>
    </fill>
    <fill>
      <patternFill patternType="solid">
        <fgColor rgb="FFC92A39"/>
        <bgColor rgb="FFC92A39"/>
      </patternFill>
    </fill>
    <fill>
      <patternFill patternType="solid">
        <fgColor rgb="FF006747"/>
        <bgColor rgb="FF006747"/>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16" xfId="0" applyAlignment="1" applyFont="1" applyNumberFormat="1">
      <alignment horizontal="center"/>
    </xf>
    <xf borderId="0" fillId="0" fontId="1" numFmtId="16" xfId="0" applyAlignment="1" applyFont="1" applyNumberFormat="1">
      <alignment horizontal="right"/>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left" readingOrder="0"/>
    </xf>
    <xf borderId="0" fillId="0" fontId="2" numFmtId="0" xfId="0" applyAlignment="1" applyFont="1">
      <alignment horizontal="center"/>
    </xf>
    <xf borderId="0" fillId="0" fontId="1" numFmtId="0" xfId="0" applyFont="1"/>
    <xf borderId="0" fillId="0" fontId="2" numFmtId="0" xfId="0" applyAlignment="1" applyFont="1">
      <alignment horizontal="center" readingOrder="0"/>
    </xf>
    <xf borderId="0" fillId="0" fontId="2" numFmtId="16" xfId="0" applyAlignment="1" applyFont="1" applyNumberFormat="1">
      <alignment horizontal="center"/>
    </xf>
    <xf borderId="0" fillId="0" fontId="1" numFmtId="164" xfId="0" applyFont="1" applyNumberFormat="1"/>
    <xf borderId="0" fillId="0" fontId="2" numFmtId="2" xfId="0" applyAlignment="1" applyFont="1" applyNumberFormat="1">
      <alignment horizontal="center"/>
    </xf>
    <xf borderId="0" fillId="0" fontId="2" numFmtId="4" xfId="0" applyAlignment="1" applyFont="1" applyNumberFormat="1">
      <alignment horizontal="center"/>
    </xf>
    <xf borderId="0" fillId="0" fontId="1" numFmtId="164" xfId="0" applyAlignment="1" applyFont="1" applyNumberFormat="1">
      <alignment horizontal="center" readingOrder="0"/>
    </xf>
    <xf borderId="0" fillId="0" fontId="2" numFmtId="2" xfId="0" applyAlignment="1" applyFont="1" applyNumberFormat="1">
      <alignment horizontal="center" readingOrder="0"/>
    </xf>
    <xf borderId="0" fillId="0" fontId="2" numFmtId="1" xfId="0" applyAlignment="1" applyFont="1" applyNumberFormat="1">
      <alignment horizontal="center" readingOrder="0"/>
    </xf>
    <xf borderId="0" fillId="0" fontId="2" numFmtId="164" xfId="0" applyAlignment="1" applyFont="1" applyNumberFormat="1">
      <alignment horizontal="center" readingOrder="0"/>
    </xf>
    <xf borderId="0" fillId="0" fontId="2" numFmtId="4" xfId="0" applyAlignment="1" applyFont="1" applyNumberFormat="1">
      <alignment horizontal="center" readingOrder="0"/>
    </xf>
    <xf borderId="0" fillId="0" fontId="3" numFmtId="0" xfId="0" applyAlignment="1" applyFont="1">
      <alignment horizontal="center" readingOrder="0"/>
    </xf>
    <xf borderId="0" fillId="0" fontId="1" numFmtId="2" xfId="0" applyAlignment="1" applyFont="1" applyNumberFormat="1">
      <alignment horizontal="center"/>
    </xf>
    <xf borderId="0" fillId="0" fontId="1" numFmtId="0" xfId="0" applyAlignment="1" applyFont="1">
      <alignment horizontal="center"/>
    </xf>
    <xf borderId="0" fillId="0" fontId="1" numFmtId="164" xfId="0" applyAlignment="1" applyFont="1" applyNumberFormat="1">
      <alignment horizontal="center"/>
    </xf>
    <xf borderId="0" fillId="0" fontId="1" numFmtId="4" xfId="0" applyAlignment="1" applyFont="1" applyNumberFormat="1">
      <alignment horizontal="center"/>
    </xf>
    <xf borderId="0" fillId="0" fontId="2" numFmtId="1" xfId="0" applyAlignment="1" applyFont="1" applyNumberFormat="1">
      <alignment horizontal="center"/>
    </xf>
    <xf borderId="0" fillId="0" fontId="1" numFmtId="1" xfId="0" applyAlignment="1" applyFont="1" applyNumberFormat="1">
      <alignment horizontal="center"/>
    </xf>
    <xf borderId="0" fillId="0" fontId="3" numFmtId="2" xfId="0" applyAlignment="1" applyFont="1" applyNumberFormat="1">
      <alignment horizontal="center" vertical="bottom"/>
    </xf>
    <xf borderId="0" fillId="0" fontId="1" numFmtId="16" xfId="0" applyAlignment="1" applyFont="1" applyNumberFormat="1">
      <alignment horizontal="center"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horizontal="center" vertical="bottom"/>
    </xf>
    <xf borderId="0" fillId="0" fontId="1" numFmtId="2" xfId="0" applyAlignment="1" applyFont="1" applyNumberFormat="1">
      <alignment horizontal="center" readingOrder="0"/>
    </xf>
    <xf borderId="0" fillId="2" fontId="4" numFmtId="10" xfId="0" applyAlignment="1" applyFill="1" applyFont="1" applyNumberFormat="1">
      <alignment horizontal="center"/>
    </xf>
    <xf borderId="0" fillId="2" fontId="5" numFmtId="2" xfId="0" applyAlignment="1" applyFill="1" applyFont="1" applyNumberFormat="1">
      <alignment horizontal="center"/>
    </xf>
    <xf borderId="0" fillId="3" fontId="1" numFmtId="0" xfId="0" applyAlignment="1" applyFill="1" applyFont="1">
      <alignment horizontal="center" readingOrder="0"/>
    </xf>
    <xf borderId="0" fillId="0" fontId="1" numFmtId="0" xfId="0" applyFont="1"/>
    <xf borderId="0" fillId="2" fontId="4" numFmtId="0" xfId="0" applyAlignment="1" applyFill="1" applyFont="1">
      <alignment horizontal="center"/>
    </xf>
    <xf borderId="0" fillId="0" fontId="4" numFmtId="0" xfId="0" applyAlignment="1" applyFont="1">
      <alignment horizontal="center" readingOrder="0"/>
    </xf>
    <xf borderId="0" fillId="0" fontId="6" numFmtId="2" xfId="0" applyFont="1" applyNumberFormat="1"/>
    <xf borderId="0" fillId="0" fontId="1" numFmtId="4" xfId="0" applyFont="1" applyNumberFormat="1"/>
    <xf borderId="0" fillId="0" fontId="1" numFmtId="2" xfId="0" applyFont="1" applyNumberFormat="1"/>
    <xf borderId="0" fillId="2" fontId="4" numFmtId="0" xfId="0" applyFill="1" applyFont="1"/>
    <xf borderId="0" fillId="2" fontId="4" numFmtId="0" xfId="0" applyAlignment="1" applyFill="1" applyFont="1">
      <alignment horizontal="left"/>
    </xf>
    <xf borderId="0" fillId="3" fontId="4" numFmtId="0" xfId="0" applyAlignment="1" applyFill="1" applyFont="1">
      <alignment horizontal="center" readingOrder="0"/>
    </xf>
    <xf borderId="0" fillId="4" fontId="7" numFmtId="0" xfId="0" applyAlignment="1" applyFill="1" applyFont="1">
      <alignment horizontal="center" readingOrder="0"/>
    </xf>
    <xf borderId="0" fillId="0" fontId="1" numFmtId="0" xfId="0" applyAlignment="1" applyFont="1">
      <alignment readingOrder="0"/>
    </xf>
    <xf borderId="0" fillId="2" fontId="4" numFmtId="0" xfId="0" applyAlignment="1" applyFill="1" applyFont="1">
      <alignment horizontal="left" readingOrder="0"/>
    </xf>
    <xf borderId="0" fillId="0" fontId="1" numFmtId="4" xfId="0" applyAlignment="1" applyFont="1" applyNumberFormat="1">
      <alignment horizontal="center" readingOrder="0"/>
    </xf>
    <xf borderId="0" fillId="0" fontId="1" numFmtId="10" xfId="0" applyAlignment="1" applyFont="1" applyNumberFormat="1">
      <alignment readingOrder="0"/>
    </xf>
    <xf borderId="0" fillId="0" fontId="2" numFmtId="10" xfId="0" applyAlignment="1" applyFont="1" applyNumberFormat="1">
      <alignment horizontal="center" readingOrder="0"/>
    </xf>
    <xf borderId="0" fillId="0" fontId="1" numFmtId="10" xfId="0" applyAlignment="1" applyFont="1" applyNumberFormat="1">
      <alignment horizontal="center" readingOrder="0"/>
    </xf>
    <xf borderId="0" fillId="0" fontId="8" numFmtId="0" xfId="0" applyAlignment="1" applyFont="1">
      <alignment horizontal="center" readingOrder="0"/>
    </xf>
    <xf borderId="0" fillId="5" fontId="9" numFmtId="0" xfId="0" applyAlignment="1" applyFill="1" applyFont="1">
      <alignment horizontal="center" vertical="bottom"/>
    </xf>
    <xf borderId="0" fillId="0" fontId="3" numFmtId="0" xfId="0" applyAlignment="1" applyFont="1">
      <alignment horizontal="center" vertical="bottom"/>
    </xf>
    <xf borderId="0" fillId="6" fontId="10" numFmtId="0" xfId="0" applyAlignment="1" applyFill="1" applyFont="1">
      <alignment horizontal="center" vertical="bottom"/>
    </xf>
    <xf borderId="0" fillId="2" fontId="4" numFmtId="0" xfId="0" applyAlignment="1" applyFill="1" applyFont="1">
      <alignment horizontal="center"/>
    </xf>
    <xf borderId="0" fillId="2" fontId="5" numFmtId="0" xfId="0" applyAlignment="1" applyFill="1" applyFont="1">
      <alignment horizontal="center"/>
    </xf>
    <xf borderId="0" fillId="0" fontId="4" numFmtId="0" xfId="0" applyAlignment="1" applyFont="1">
      <alignment horizontal="center" readingOrder="0"/>
    </xf>
  </cellXfs>
  <cellStyles count="1">
    <cellStyle xfId="0" name="Normal" builtinId="0"/>
  </cellStyles>
  <dxfs count="172">
    <dxf>
      <font>
        <b/>
        <color rgb="FF492F24"/>
      </font>
      <fill>
        <patternFill patternType="solid">
          <fgColor rgb="FFFFC425"/>
          <bgColor rgb="FFFFC425"/>
        </patternFill>
      </fill>
      <border/>
    </dxf>
    <dxf>
      <font>
        <b/>
        <color rgb="FFFFFFFF"/>
      </font>
      <fill>
        <patternFill patternType="solid">
          <fgColor rgb="FFC4012F"/>
          <bgColor rgb="FFC4012F"/>
        </patternFill>
      </fill>
      <border/>
    </dxf>
    <dxf>
      <font>
        <b/>
        <color rgb="FFFFAE00"/>
      </font>
      <fill>
        <patternFill patternType="solid">
          <fgColor rgb="FF442416"/>
          <bgColor rgb="FF442416"/>
        </patternFill>
      </fill>
      <border/>
    </dxf>
    <dxf>
      <font>
        <b/>
      </font>
      <fill>
        <patternFill patternType="solid">
          <fgColor rgb="FFB01E24"/>
          <bgColor rgb="FFB01E24"/>
        </patternFill>
      </fill>
      <border/>
    </dxf>
    <dxf>
      <font>
        <b/>
        <color rgb="FFEAAA00"/>
      </font>
      <fill>
        <patternFill patternType="solid">
          <fgColor rgb="FF002855"/>
          <bgColor rgb="FF002855"/>
        </patternFill>
      </fill>
      <border/>
    </dxf>
    <dxf>
      <font>
        <b/>
        <color rgb="FFD6D6D1"/>
      </font>
      <fill>
        <patternFill patternType="solid">
          <fgColor rgb="FF981E32"/>
          <bgColor rgb="FF981E32"/>
        </patternFill>
      </fill>
      <border/>
    </dxf>
    <dxf>
      <font>
        <b/>
        <color rgb="FFE8D3A2"/>
      </font>
      <fill>
        <patternFill patternType="solid">
          <fgColor rgb="FF33006F"/>
          <bgColor rgb="FF33006F"/>
        </patternFill>
      </fill>
      <border/>
    </dxf>
    <dxf>
      <font>
        <b/>
      </font>
      <fill>
        <patternFill patternType="solid">
          <fgColor rgb="FF9E7E38"/>
          <bgColor rgb="FF9E7E38"/>
        </patternFill>
      </fill>
      <border/>
    </dxf>
    <dxf>
      <font>
        <b/>
        <color rgb="FFFF6600"/>
      </font>
      <fill>
        <patternFill patternType="solid">
          <fgColor rgb="FF660000"/>
          <bgColor rgb="FF660000"/>
        </patternFill>
      </fill>
      <border/>
    </dxf>
    <dxf>
      <font>
        <b/>
        <color rgb="FF041E42"/>
      </font>
      <fill>
        <patternFill patternType="solid">
          <fgColor rgb="FFFA4616"/>
          <bgColor rgb="FFFA4616"/>
        </patternFill>
      </fill>
      <border/>
    </dxf>
    <dxf>
      <font>
        <b/>
      </font>
      <fill>
        <patternFill patternType="solid">
          <fgColor rgb="FFCFAB6D"/>
          <bgColor rgb="FFCFAB6D"/>
        </patternFill>
      </fill>
      <border/>
    </dxf>
    <dxf>
      <font>
        <b/>
        <color rgb="FF002147"/>
      </font>
      <fill>
        <patternFill patternType="solid">
          <fgColor rgb="FFFF5600"/>
          <bgColor rgb="FFFF5600"/>
        </patternFill>
      </fill>
      <border/>
    </dxf>
    <dxf>
      <font>
        <b/>
        <color rgb="FF9D968D"/>
      </font>
      <fill>
        <patternFill patternType="solid">
          <fgColor rgb="FF002A42"/>
          <bgColor rgb="FF002A42"/>
        </patternFill>
      </fill>
      <border/>
    </dxf>
    <dxf>
      <font>
        <b/>
        <color rgb="FFAEABAB"/>
      </font>
      <fill>
        <patternFill patternType="solid">
          <fgColor rgb="FFCC0000"/>
          <bgColor rgb="FFCC0000"/>
        </patternFill>
      </fill>
      <border/>
    </dxf>
    <dxf>
      <font>
        <color rgb="FF000000"/>
      </font>
      <fill>
        <patternFill patternType="solid">
          <fgColor rgb="FFB10202"/>
          <bgColor rgb="FFB10202"/>
        </patternFill>
      </fill>
      <border/>
    </dxf>
    <dxf>
      <font>
        <b/>
        <color rgb="FFBE955B"/>
      </font>
      <fill>
        <patternFill patternType="solid">
          <fgColor rgb="FF800029"/>
          <bgColor rgb="FF800029"/>
        </patternFill>
      </fill>
      <border/>
    </dxf>
    <dxf>
      <font>
        <b/>
        <color rgb="FFF18C21"/>
      </font>
      <fill>
        <patternFill patternType="solid">
          <fgColor rgb="FFCE181E"/>
          <bgColor rgb="FFCE181E"/>
        </patternFill>
      </fill>
      <border/>
    </dxf>
    <dxf>
      <font>
        <b/>
        <color rgb="FFFFE800"/>
      </font>
      <fill>
        <patternFill patternType="solid">
          <fgColor rgb="FF3284BF"/>
          <bgColor rgb="FF3284BF"/>
        </patternFill>
      </fill>
      <border/>
    </dxf>
    <dxf>
      <font>
        <b/>
        <color rgb="FFF4C300"/>
      </font>
      <fill>
        <patternFill patternType="solid">
          <fgColor rgb="FF1E6B52"/>
          <bgColor rgb="FF1E6B52"/>
        </patternFill>
      </fill>
      <border/>
    </dxf>
    <dxf>
      <font>
        <b/>
        <color rgb="FFD4C581"/>
      </font>
      <fill>
        <patternFill patternType="solid">
          <fgColor rgb="FF003DCC"/>
          <bgColor rgb="FF003DCC"/>
        </patternFill>
      </fill>
      <border/>
    </dxf>
    <dxf>
      <font>
        <b/>
        <color rgb="FF71C5E8"/>
      </font>
      <fill>
        <patternFill patternType="solid">
          <fgColor rgb="FF285C4D"/>
          <bgColor rgb="FF285C4D"/>
        </patternFill>
      </fill>
      <border/>
    </dxf>
    <dxf>
      <font>
        <b/>
        <color rgb="FFB5B6B9"/>
      </font>
      <fill>
        <patternFill patternType="solid">
          <fgColor rgb="FFAC2C41"/>
          <bgColor rgb="FFAC2C41"/>
        </patternFill>
      </fill>
      <border/>
    </dxf>
    <dxf>
      <font>
        <b/>
        <color rgb="FFFFCE00"/>
      </font>
      <fill>
        <patternFill patternType="solid">
          <fgColor rgb="FF002569"/>
          <bgColor rgb="FF002569"/>
        </patternFill>
      </fill>
      <border/>
    </dxf>
    <dxf>
      <font>
        <b/>
        <color rgb="FF0C2340"/>
      </font>
      <fill>
        <patternFill patternType="solid">
          <fgColor rgb="FFF15A22"/>
          <bgColor rgb="FFF15A22"/>
        </patternFill>
      </fill>
      <border/>
    </dxf>
    <dxf>
      <font>
        <b/>
        <color rgb="FFCCCCCC"/>
      </font>
      <fill>
        <patternFill patternType="solid">
          <fgColor rgb="FFCC0000"/>
          <bgColor rgb="FFCC0000"/>
        </patternFill>
      </fill>
      <border/>
    </dxf>
    <dxf>
      <font>
        <b/>
        <color rgb="FFB4985A"/>
      </font>
      <fill>
        <patternFill patternType="solid">
          <fgColor rgb="FF501214"/>
          <bgColor rgb="FF501214"/>
        </patternFill>
      </fill>
      <border/>
    </dxf>
    <dxf>
      <font>
        <b/>
        <color rgb="FF8F8F8C"/>
      </font>
      <fill>
        <patternFill patternType="solid">
          <fgColor rgb="FF500000"/>
          <bgColor rgb="FF500000"/>
        </patternFill>
      </fill>
      <border/>
    </dxf>
    <dxf>
      <font>
        <b/>
      </font>
      <fill>
        <patternFill patternType="solid">
          <fgColor rgb="FFBF5700"/>
          <bgColor rgb="FFBF5700"/>
        </patternFill>
      </fill>
      <border/>
    </dxf>
    <dxf>
      <font>
        <b/>
        <color rgb="FFFFFFFF"/>
      </font>
      <fill>
        <patternFill patternType="solid">
          <fgColor rgb="FFFF8200"/>
          <bgColor rgb="FFFF8200"/>
        </patternFill>
      </fill>
      <border/>
    </dxf>
    <dxf>
      <font>
        <b/>
        <color rgb="FF8A8D8F"/>
      </font>
      <fill>
        <patternFill patternType="solid">
          <fgColor rgb="FF981E32"/>
          <bgColor rgb="FF981E32"/>
        </patternFill>
      </fill>
      <border/>
    </dxf>
    <dxf>
      <font>
        <b/>
        <color rgb="FFFFFFFF"/>
      </font>
      <fill>
        <patternFill patternType="solid">
          <fgColor rgb="FF4D1979"/>
          <bgColor rgb="FF4D1979"/>
        </patternFill>
      </fill>
      <border/>
    </dxf>
    <dxf>
      <font>
        <b/>
        <color rgb="FF0D1D37"/>
      </font>
      <fill>
        <patternFill patternType="solid">
          <fgColor rgb="FFD44500"/>
          <bgColor rgb="FFD44500"/>
        </patternFill>
      </fill>
      <border/>
    </dxf>
    <dxf>
      <font>
        <b/>
        <color rgb="FFFFFFFF"/>
      </font>
      <fill>
        <patternFill patternType="solid">
          <fgColor rgb="FF990000"/>
          <bgColor rgb="FF990000"/>
        </patternFill>
      </fill>
      <border/>
    </dxf>
    <dxf>
      <font>
        <b/>
      </font>
      <fill>
        <patternFill patternType="solid">
          <fgColor rgb="FFFDC737"/>
          <bgColor rgb="FFFDC737"/>
        </patternFill>
      </fill>
      <border/>
    </dxf>
    <dxf>
      <font>
        <b/>
        <color rgb="FFFFFFFF"/>
      </font>
      <fill>
        <patternFill patternType="solid">
          <fgColor rgb="FFCC0000"/>
          <bgColor rgb="FFCC0000"/>
        </patternFill>
      </fill>
      <border/>
    </dxf>
    <dxf>
      <font>
        <b/>
        <color rgb="FFFFCC00"/>
      </font>
      <fill>
        <patternFill patternType="solid">
          <fgColor rgb="FF991B1E"/>
          <bgColor rgb="FF991B1E"/>
        </patternFill>
      </fill>
      <border/>
    </dxf>
    <dxf>
      <font>
        <b/>
        <color rgb="FFCFC493"/>
      </font>
      <fill>
        <patternFill patternType="solid">
          <fgColor rgb="FF006747"/>
          <bgColor rgb="FF006747"/>
        </patternFill>
      </fill>
      <border/>
    </dxf>
    <dxf>
      <font>
        <b/>
        <color rgb="FFFFFFFF"/>
      </font>
      <fill>
        <patternFill patternType="solid">
          <fgColor rgb="FF73000A"/>
          <bgColor rgb="FF73000A"/>
        </patternFill>
      </fill>
      <border/>
    </dxf>
    <dxf>
      <font>
        <b/>
        <color rgb="FFBF0D3E"/>
      </font>
      <fill>
        <patternFill patternType="solid">
          <fgColor rgb="FF00205B"/>
          <bgColor rgb="FF00205B"/>
        </patternFill>
      </fill>
      <border/>
    </dxf>
    <dxf>
      <font>
        <b/>
        <color rgb="FFE5A823"/>
      </font>
      <fill>
        <patternFill patternType="solid">
          <fgColor rgb="FF0055A2"/>
          <bgColor rgb="FF0055A2"/>
        </patternFill>
      </fill>
      <border/>
    </dxf>
    <dxf>
      <font>
        <b/>
        <color rgb="FF231F20"/>
      </font>
      <fill>
        <patternFill patternType="solid">
          <fgColor rgb="FFC23138"/>
          <bgColor rgb="FFC23138"/>
        </patternFill>
      </fill>
      <border/>
    </dxf>
    <dxf>
      <font>
        <b/>
        <color rgb="FFFFFFFF"/>
      </font>
      <fill>
        <patternFill patternType="solid">
          <fgColor rgb="FFCC0033"/>
          <bgColor rgb="FFCC0033"/>
        </patternFill>
      </fill>
      <border/>
    </dxf>
    <dxf>
      <font>
        <b/>
        <color rgb="FFFFFFFF"/>
      </font>
      <fill>
        <patternFill patternType="solid">
          <fgColor rgb="FF00246A"/>
          <bgColor rgb="FF00246A"/>
        </patternFill>
      </fill>
      <border/>
    </dxf>
    <dxf>
      <font>
        <b/>
        <color rgb="FF4D4038"/>
      </font>
      <fill>
        <patternFill patternType="solid">
          <fgColor rgb="FFC28E0E"/>
          <bgColor rgb="FFC28E0E"/>
        </patternFill>
      </fill>
      <border/>
    </dxf>
    <dxf>
      <font>
        <b/>
        <color rgb="FFB3A36D"/>
      </font>
      <fill>
        <patternFill patternType="solid">
          <fgColor rgb="FF00205B"/>
          <bgColor rgb="FF00205B"/>
        </patternFill>
      </fill>
      <border/>
    </dxf>
    <dxf>
      <font>
        <b/>
        <color rgb="FFFFFFFF"/>
      </font>
      <fill>
        <patternFill patternType="solid">
          <fgColor rgb="FF041E42"/>
          <bgColor rgb="FF041E42"/>
        </patternFill>
      </fill>
      <border/>
    </dxf>
    <dxf>
      <font>
        <b/>
        <color rgb="FF685040"/>
      </font>
      <fill>
        <patternFill patternType="solid">
          <fgColor rgb="FFD85A1A"/>
          <bgColor rgb="FFD85A1A"/>
        </patternFill>
      </fill>
      <border/>
    </dxf>
    <dxf>
      <font>
        <b/>
        <color rgb="FFFEE123"/>
      </font>
      <fill>
        <patternFill patternType="solid">
          <fgColor rgb="FF124734"/>
          <bgColor rgb="FF124734"/>
        </patternFill>
      </fill>
      <border/>
    </dxf>
    <dxf>
      <font>
        <b/>
        <color rgb="FF8A8D8F"/>
      </font>
      <fill>
        <patternFill patternType="solid">
          <fgColor rgb="FF003057"/>
          <bgColor rgb="FF003057"/>
        </patternFill>
      </fill>
      <border/>
    </dxf>
    <dxf>
      <font>
        <b/>
        <color rgb="FF000000"/>
      </font>
      <fill>
        <patternFill patternType="solid">
          <fgColor rgb="FFD95900"/>
          <bgColor rgb="FFD95900"/>
        </patternFill>
      </fill>
      <border/>
    </dxf>
    <dxf>
      <font>
        <b/>
        <color rgb="FFFDF9D8"/>
      </font>
      <fill>
        <patternFill patternType="solid">
          <fgColor rgb="FF841617"/>
          <bgColor rgb="FF841617"/>
        </patternFill>
      </fill>
      <border/>
    </dxf>
    <dxf>
      <font>
        <b/>
        <color rgb="FFB3B3B3"/>
      </font>
      <fill>
        <patternFill patternType="solid">
          <fgColor rgb="FFBB0000"/>
          <bgColor rgb="FFBB0000"/>
        </patternFill>
      </fill>
      <border/>
    </dxf>
    <dxf>
      <font>
        <b/>
        <color rgb="FFD3A985"/>
      </font>
      <fill>
        <patternFill patternType="solid">
          <fgColor rgb="FF00694E"/>
          <bgColor rgb="FF00694E"/>
        </patternFill>
      </fill>
      <border/>
    </dxf>
    <dxf>
      <font>
        <b/>
        <color rgb="FFC99700"/>
      </font>
      <fill>
        <patternFill patternType="solid">
          <fgColor rgb="FF0C2340"/>
          <bgColor rgb="FF0C2340"/>
        </patternFill>
      </fill>
      <border/>
    </dxf>
    <dxf>
      <font>
        <b/>
        <color rgb="FFFFFFFF"/>
      </font>
      <fill>
        <patternFill patternType="solid">
          <fgColor rgb="FF4E2A84"/>
          <bgColor rgb="FF4E2A84"/>
        </patternFill>
      </fill>
      <border/>
    </dxf>
    <dxf>
      <font>
        <b/>
        <color rgb="FFA5A7A8"/>
      </font>
      <fill>
        <patternFill patternType="solid">
          <fgColor rgb="FFCC0000"/>
          <bgColor rgb="FFCC0000"/>
        </patternFill>
      </fill>
      <border/>
    </dxf>
    <dxf>
      <font>
        <b/>
        <color rgb="FFFFFFFF"/>
      </font>
      <fill>
        <patternFill patternType="solid">
          <fgColor rgb="FF059033"/>
          <bgColor rgb="FF059033"/>
        </patternFill>
      </fill>
      <border/>
    </dxf>
    <dxf>
      <font>
        <b/>
        <color rgb="FF13294B"/>
      </font>
      <fill>
        <patternFill patternType="solid">
          <fgColor rgb="FF7BAFD4"/>
          <bgColor rgb="FF7BAFD4"/>
        </patternFill>
      </fill>
      <border/>
    </dxf>
    <dxf>
      <font>
        <b/>
        <color rgb="FF97999B"/>
      </font>
      <fill>
        <patternFill patternType="solid">
          <fgColor rgb="FF8C0B42"/>
          <bgColor rgb="FF8C0B42"/>
        </patternFill>
      </fill>
      <border/>
    </dxf>
    <dxf>
      <font>
        <b/>
        <color rgb="FFC3C8C8"/>
      </font>
      <fill>
        <patternFill patternType="solid">
          <fgColor rgb="FFB71234"/>
          <bgColor rgb="FFB71234"/>
        </patternFill>
      </fill>
      <border/>
    </dxf>
    <dxf>
      <font>
        <b/>
        <color rgb="FF807F84"/>
      </font>
      <fill>
        <patternFill patternType="solid">
          <fgColor rgb="FF002E62"/>
          <bgColor rgb="FF002E62"/>
        </patternFill>
      </fill>
      <border/>
    </dxf>
    <dxf>
      <font>
        <b/>
        <color rgb="FFFDF2D9"/>
      </font>
      <fill>
        <patternFill patternType="solid">
          <fgColor rgb="FFE31937"/>
          <bgColor rgb="FFE31937"/>
        </patternFill>
      </fill>
      <border/>
    </dxf>
    <dxf>
      <font>
        <b/>
      </font>
      <fill>
        <patternFill patternType="solid">
          <fgColor rgb="FFCC0000"/>
          <bgColor rgb="FFCC0000"/>
        </patternFill>
      </fill>
      <border/>
    </dxf>
    <dxf>
      <font>
        <b/>
        <color rgb="FFC5B783"/>
      </font>
      <fill>
        <patternFill patternType="solid">
          <fgColor rgb="FF00205B"/>
          <bgColor rgb="FF00205B"/>
        </patternFill>
      </fill>
      <border/>
    </dxf>
    <dxf>
      <font>
        <b/>
      </font>
      <fill>
        <patternFill patternType="solid">
          <fgColor rgb="FFF1B82D"/>
          <bgColor rgb="FFF1B82D"/>
        </patternFill>
      </fill>
      <border/>
    </dxf>
    <dxf>
      <font>
        <b/>
        <color rgb="FFFFFFFF"/>
      </font>
      <fill>
        <patternFill patternType="solid">
          <fgColor rgb="FF660000"/>
          <bgColor rgb="FF660000"/>
        </patternFill>
      </fill>
      <border/>
    </dxf>
    <dxf>
      <font>
        <b/>
        <color rgb="FF00205B"/>
      </font>
      <fill>
        <patternFill patternType="solid">
          <fgColor rgb="FFC8102E"/>
          <bgColor rgb="FFC8102E"/>
        </patternFill>
      </fill>
      <border/>
    </dxf>
    <dxf>
      <font>
        <b/>
        <color rgb="FFFFCC33"/>
      </font>
      <fill>
        <patternFill patternType="solid">
          <fgColor rgb="FF7A0019"/>
          <bgColor rgb="FF7A0019"/>
        </patternFill>
      </fill>
      <border/>
    </dxf>
    <dxf>
      <font>
        <b/>
        <color rgb="FFB0B1B5"/>
      </font>
      <fill>
        <patternFill patternType="solid">
          <fgColor rgb="FF0066CC"/>
          <bgColor rgb="FF0066CC"/>
        </patternFill>
      </fill>
      <border/>
    </dxf>
    <dxf>
      <font>
        <b/>
        <color rgb="FF99A2A2"/>
      </font>
      <fill>
        <patternFill patternType="solid">
          <fgColor rgb="FF18453B"/>
          <bgColor rgb="FF18453B"/>
        </patternFill>
      </fill>
      <border/>
    </dxf>
    <dxf>
      <font>
        <b/>
        <color rgb="FF00274C"/>
      </font>
      <fill>
        <patternFill patternType="solid">
          <fgColor rgb="FFFFCB05"/>
          <bgColor rgb="FFFFCB05"/>
        </patternFill>
      </fill>
      <border/>
    </dxf>
    <dxf>
      <font>
        <b/>
      </font>
      <fill>
        <patternFill patternType="solid">
          <fgColor rgb="FFF5002F"/>
          <bgColor rgb="FFF5002F"/>
        </patternFill>
      </fill>
      <border/>
    </dxf>
    <dxf>
      <font>
        <b/>
        <color rgb="FFF47321"/>
      </font>
      <fill>
        <patternFill patternType="solid">
          <fgColor rgb="FF005030"/>
          <bgColor rgb="FF005030"/>
        </patternFill>
      </fill>
      <border/>
    </dxf>
    <dxf>
      <font>
        <b/>
        <color rgb="FF898D8D"/>
      </font>
      <fill>
        <patternFill patternType="solid">
          <fgColor rgb="FF003087"/>
          <bgColor rgb="FF003087"/>
        </patternFill>
      </fill>
      <border/>
    </dxf>
    <dxf>
      <font>
        <b/>
        <color rgb="FFDDDEE0"/>
      </font>
      <fill>
        <patternFill patternType="solid">
          <fgColor rgb="FF881C1C"/>
          <bgColor rgb="FF881C1C"/>
        </patternFill>
      </fill>
      <border/>
    </dxf>
    <dxf>
      <font>
        <b/>
        <color rgb="FFFFD520"/>
      </font>
      <fill>
        <patternFill patternType="solid">
          <fgColor rgb="FFE03A3E"/>
          <bgColor rgb="FFE03A3E"/>
        </patternFill>
      </fill>
      <border/>
    </dxf>
    <dxf>
      <font>
        <b/>
        <color rgb="FFFFFFFF"/>
      </font>
      <fill>
        <patternFill patternType="solid">
          <fgColor rgb="FF007A33"/>
          <bgColor rgb="FF007A33"/>
        </patternFill>
      </fill>
      <border/>
    </dxf>
    <dxf>
      <font>
        <b/>
        <color rgb="FFFDD023"/>
      </font>
      <fill>
        <patternFill patternType="solid">
          <fgColor rgb="FF461D7C"/>
          <bgColor rgb="FF461D7C"/>
        </patternFill>
      </fill>
      <border/>
    </dxf>
    <dxf>
      <font>
        <b/>
        <color rgb="FF000000"/>
      </font>
      <fill>
        <patternFill patternType="solid">
          <fgColor rgb="FFC00000"/>
          <bgColor rgb="FFC00000"/>
        </patternFill>
      </fill>
      <border/>
    </dxf>
    <dxf>
      <font>
        <b/>
        <color rgb="FF002F8B"/>
      </font>
      <fill>
        <patternFill patternType="solid">
          <fgColor rgb="FFFF0000"/>
          <bgColor rgb="FFFF0000"/>
        </patternFill>
      </fill>
      <border/>
    </dxf>
    <dxf>
      <font>
        <b/>
        <color rgb="FFB01E24"/>
      </font>
      <fill>
        <patternFill patternType="solid">
          <fgColor rgb="FF0A254E"/>
          <bgColor rgb="FF0A254E"/>
        </patternFill>
      </fill>
      <border/>
    </dxf>
    <dxf>
      <font>
        <b/>
        <color rgb="FFC8C9C7"/>
      </font>
      <fill>
        <patternFill patternType="solid">
          <fgColor rgb="FF0033A0"/>
          <bgColor rgb="FF0033A0"/>
        </patternFill>
      </fill>
      <border/>
    </dxf>
    <dxf>
      <font>
        <b/>
        <color rgb="FFEFAB00"/>
      </font>
      <fill>
        <patternFill patternType="solid">
          <fgColor rgb="FF003976"/>
          <bgColor rgb="FF003976"/>
        </patternFill>
      </fill>
      <border/>
    </dxf>
    <dxf>
      <font>
        <b/>
        <color rgb="FFD1D1D1"/>
      </font>
      <fill>
        <patternFill patternType="solid">
          <fgColor rgb="FF512888"/>
          <bgColor rgb="FF512888"/>
        </patternFill>
      </fill>
      <border/>
    </dxf>
    <dxf>
      <font>
        <b/>
        <color rgb="FFE8000D"/>
      </font>
      <fill>
        <patternFill patternType="solid">
          <fgColor rgb="FF0051BA"/>
          <bgColor rgb="FF0051BA"/>
        </patternFill>
      </fill>
      <border/>
    </dxf>
    <dxf>
      <font>
        <b/>
        <color rgb="FFFDC828"/>
      </font>
      <fill>
        <patternFill patternType="solid">
          <fgColor rgb="FFA71930"/>
          <bgColor rgb="FFA71930"/>
        </patternFill>
      </fill>
      <border/>
    </dxf>
    <dxf>
      <font>
        <b/>
      </font>
      <fill>
        <patternFill patternType="solid">
          <fgColor rgb="FFFFC20D"/>
          <bgColor rgb="FFFFC20D"/>
        </patternFill>
      </fill>
      <border/>
    </dxf>
    <dxf>
      <font>
        <b/>
        <color rgb="FFFFFFFF"/>
      </font>
      <fill>
        <patternFill patternType="solid">
          <fgColor rgb="FF7D110C"/>
          <bgColor rgb="FF7D110C"/>
        </patternFill>
      </fill>
      <border/>
    </dxf>
    <dxf>
      <font>
        <b/>
        <color rgb="FFE04E39"/>
      </font>
      <fill>
        <patternFill patternType="solid">
          <fgColor rgb="FF13294B"/>
          <bgColor rgb="FF13294B"/>
        </patternFill>
      </fill>
      <border/>
    </dxf>
    <dxf>
      <font>
        <b/>
        <color rgb="FFFFFFFF"/>
      </font>
      <fill>
        <patternFill patternType="solid">
          <fgColor rgb="FFB18E5F"/>
          <bgColor rgb="FFB18E5F"/>
        </patternFill>
      </fill>
      <border/>
    </dxf>
    <dxf>
      <font>
        <b/>
        <color rgb="FFFFFFFF"/>
      </font>
      <fill>
        <patternFill patternType="solid">
          <fgColor rgb="FFC92A39"/>
          <bgColor rgb="FFC92A39"/>
        </patternFill>
      </fill>
      <border/>
    </dxf>
    <dxf>
      <font>
        <b/>
        <color rgb="FFFFFFFF"/>
      </font>
      <fill>
        <patternFill patternType="solid">
          <fgColor rgb="FF024731"/>
          <bgColor rgb="FF024731"/>
        </patternFill>
      </fill>
      <border/>
    </dxf>
    <dxf>
      <font>
        <b/>
        <color rgb="FF00263A"/>
      </font>
      <fill>
        <patternFill patternType="solid">
          <fgColor rgb="FFB39142"/>
          <bgColor rgb="FFB39142"/>
        </patternFill>
      </fill>
      <border/>
    </dxf>
    <dxf>
      <font>
        <b/>
        <color rgb="FFFFFFFF"/>
      </font>
      <fill>
        <patternFill patternType="solid">
          <fgColor rgb="FF0039A6"/>
          <bgColor rgb="FF0039A6"/>
        </patternFill>
      </fill>
      <border/>
    </dxf>
    <dxf>
      <font>
        <b/>
        <color rgb="FFA99260"/>
      </font>
      <fill>
        <patternFill patternType="solid">
          <fgColor rgb="FF041C42"/>
          <bgColor rgb="FF041C42"/>
        </patternFill>
      </fill>
      <border/>
    </dxf>
    <dxf>
      <font>
        <b/>
      </font>
      <fill>
        <patternFill patternType="solid">
          <fgColor rgb="FFDA291C"/>
          <bgColor rgb="FFDA291C"/>
        </patternFill>
      </fill>
      <border/>
    </dxf>
    <dxf>
      <font>
        <b/>
        <color rgb="FF004AA8"/>
      </font>
      <fill>
        <patternFill patternType="solid">
          <fgColor rgb="FFFF0059"/>
          <bgColor rgb="FFFF0059"/>
        </patternFill>
      </fill>
      <border/>
    </dxf>
    <dxf>
      <font>
        <b/>
        <color rgb="FFCEB888"/>
      </font>
      <fill>
        <patternFill patternType="solid">
          <fgColor rgb="FF782F40"/>
          <bgColor rgb="FF782F40"/>
        </patternFill>
      </fill>
      <border/>
    </dxf>
    <dxf>
      <font>
        <b/>
        <color rgb="FFB6862C"/>
      </font>
      <fill>
        <patternFill patternType="solid">
          <fgColor rgb="FF081E3F"/>
          <bgColor rgb="FF081E3F"/>
        </patternFill>
      </fill>
      <border/>
    </dxf>
    <dxf>
      <font>
        <b/>
        <color rgb="FF002D60"/>
      </font>
      <fill>
        <patternFill patternType="solid">
          <fgColor rgb="FFC00000"/>
          <bgColor rgb="FFC00000"/>
        </patternFill>
      </fill>
      <border/>
    </dxf>
    <dxf>
      <font>
        <b/>
        <color rgb="FF0021A5"/>
      </font>
      <fill>
        <patternFill patternType="solid">
          <fgColor rgb="FFFA4616"/>
          <bgColor rgb="FFFA4616"/>
        </patternFill>
      </fill>
      <border/>
    </dxf>
    <dxf>
      <font>
        <b/>
        <color rgb="FFFFFFFF"/>
      </font>
      <fill>
        <patternFill patternType="solid">
          <fgColor rgb="FF00693F"/>
          <bgColor rgb="FF00693F"/>
        </patternFill>
      </fill>
      <border/>
    </dxf>
    <dxf>
      <font>
        <b/>
        <color rgb="FFFDC82F"/>
      </font>
      <fill>
        <patternFill patternType="solid">
          <fgColor rgb="FF592A8A"/>
          <bgColor rgb="FF592A8A"/>
        </patternFill>
      </fill>
      <border/>
    </dxf>
    <dxf>
      <font>
        <b/>
        <color rgb="FFFFFFFF"/>
      </font>
      <fill>
        <patternFill patternType="solid">
          <fgColor rgb="FF0736A4"/>
          <bgColor rgb="FF0736A4"/>
        </patternFill>
      </fill>
      <border/>
    </dxf>
    <dxf>
      <font>
        <b/>
        <color rgb="FFA2AAAD"/>
      </font>
      <fill>
        <patternFill patternType="solid">
          <fgColor rgb="FF000E2F"/>
          <bgColor rgb="FF000E2F"/>
        </patternFill>
      </fill>
      <border/>
    </dxf>
    <dxf>
      <font>
        <b/>
        <color rgb="FFFFFFFF"/>
      </font>
      <fill>
        <patternFill patternType="solid">
          <fgColor rgb="FF1D7328"/>
          <bgColor rgb="FF1D7328"/>
        </patternFill>
      </fill>
      <border/>
    </dxf>
    <dxf>
      <font>
        <b/>
      </font>
      <fill>
        <patternFill patternType="solid">
          <fgColor rgb="FFCFB87C"/>
          <bgColor rgb="FFCFB87C"/>
        </patternFill>
      </fill>
      <border/>
    </dxf>
    <dxf>
      <font>
        <b/>
        <color rgb="FFFFFFFF"/>
      </font>
      <fill>
        <patternFill patternType="solid">
          <fgColor rgb="FF006F71"/>
          <bgColor rgb="FF006F71"/>
        </patternFill>
      </fill>
      <border/>
    </dxf>
    <dxf>
      <font>
        <b/>
        <color rgb="FF522D80"/>
      </font>
      <fill>
        <patternFill patternType="solid">
          <fgColor rgb="FFF56600"/>
          <bgColor rgb="FFF56600"/>
        </patternFill>
      </fill>
      <border/>
    </dxf>
    <dxf>
      <font>
        <b/>
      </font>
      <fill>
        <patternFill patternType="solid">
          <fgColor rgb="FFE00122"/>
          <bgColor rgb="FFE00122"/>
        </patternFill>
      </fill>
      <border/>
    </dxf>
    <dxf>
      <font>
        <b/>
        <color rgb="FFF0CB00"/>
      </font>
      <fill>
        <patternFill patternType="solid">
          <fgColor rgb="FF00703C"/>
          <bgColor rgb="FF00703C"/>
        </patternFill>
      </fill>
      <border/>
    </dxf>
    <dxf>
      <font>
        <b/>
        <color rgb="FFFFC72C"/>
      </font>
      <fill>
        <patternFill patternType="solid">
          <fgColor rgb="FF6F263D"/>
          <bgColor rgb="FF6F263D"/>
        </patternFill>
      </fill>
      <border/>
    </dxf>
    <dxf>
      <font>
        <b/>
        <color rgb="FF000000"/>
      </font>
      <fill>
        <patternFill patternType="solid">
          <fgColor rgb="FFCC9900"/>
          <bgColor rgb="FFCC9900"/>
        </patternFill>
      </fill>
      <border/>
    </dxf>
    <dxf>
      <font>
        <b/>
        <color rgb="FFFFC72C"/>
      </font>
      <fill>
        <patternFill patternType="solid">
          <fgColor rgb="FF041E42"/>
          <bgColor rgb="FF041E42"/>
        </patternFill>
      </fill>
      <border/>
    </dxf>
    <dxf>
      <font>
        <b/>
        <color rgb="FFFFFFFF"/>
      </font>
      <fill>
        <patternFill patternType="solid">
          <fgColor rgb="FF002255"/>
          <bgColor rgb="FF002255"/>
        </patternFill>
      </fill>
      <border/>
    </dxf>
    <dxf>
      <font>
        <b/>
        <color rgb="FFFFFFFF"/>
      </font>
      <fill>
        <patternFill patternType="solid">
          <fgColor rgb="FF005BBB"/>
          <bgColor rgb="FF005BBB"/>
        </patternFill>
      </fill>
      <border/>
    </dxf>
    <dxf>
      <font>
        <b/>
        <color rgb="FF4F2C1D"/>
      </font>
      <fill>
        <patternFill patternType="solid">
          <fgColor rgb="FFFF7C19"/>
          <bgColor rgb="FFFF7C19"/>
        </patternFill>
      </fill>
      <border/>
    </dxf>
    <dxf>
      <font>
        <b/>
        <color rgb="FFB38F59"/>
      </font>
      <fill>
        <patternFill patternType="solid">
          <fgColor rgb="FF910039"/>
          <bgColor rgb="FF910039"/>
        </patternFill>
      </fill>
      <border/>
    </dxf>
    <dxf>
      <font>
        <b/>
        <color rgb="FFF9461C"/>
      </font>
      <fill>
        <patternFill patternType="solid">
          <fgColor rgb="FF0039A6"/>
          <bgColor rgb="FF0039A6"/>
        </patternFill>
      </fill>
      <border/>
    </dxf>
    <dxf>
      <font>
        <b/>
        <color rgb="FFFFBC19"/>
      </font>
      <fill>
        <patternFill patternType="solid">
          <fgColor rgb="FF003015"/>
          <bgColor rgb="FF003015"/>
        </patternFill>
      </fill>
      <border/>
    </dxf>
    <dxf>
      <font>
        <b/>
      </font>
      <fill>
        <patternFill patternType="solid">
          <fgColor rgb="FFBA0C2F"/>
          <bgColor rgb="FFBA0C2F"/>
        </patternFill>
      </fill>
      <border/>
    </dxf>
    <dxf>
      <font>
        <b/>
        <color rgb="FF0C2340"/>
      </font>
      <fill>
        <patternFill patternType="solid">
          <fgColor rgb="FFF26522"/>
          <bgColor rgb="FFF26522"/>
        </patternFill>
      </fill>
      <border/>
    </dxf>
    <dxf>
      <font>
        <b/>
        <color rgb="FFD4BF91"/>
      </font>
      <fill>
        <patternFill patternType="solid">
          <fgColor rgb="FF000000"/>
          <bgColor rgb="FF000000"/>
        </patternFill>
      </fill>
      <border/>
    </dxf>
    <dxf>
      <font>
        <b/>
        <color rgb="FF000000"/>
      </font>
      <fill>
        <patternFill patternType="solid">
          <fgColor rgb="FFCC092F"/>
          <bgColor rgb="FFCC092F"/>
        </patternFill>
      </fill>
      <border/>
    </dxf>
    <dxf>
      <font>
        <b/>
        <color rgb="FFFFFFFF"/>
      </font>
      <fill>
        <patternFill patternType="solid">
          <fgColor rgb="FF9D2235"/>
          <bgColor rgb="FF9D2235"/>
        </patternFill>
      </fill>
      <border/>
    </dxf>
    <dxf>
      <font>
        <b/>
        <color rgb="FF8C1D40"/>
      </font>
      <fill>
        <patternFill patternType="solid">
          <fgColor rgb="FFFFC627"/>
          <bgColor rgb="FFFFC627"/>
        </patternFill>
      </fill>
      <border/>
    </dxf>
    <dxf>
      <font>
        <b/>
        <color rgb="FF003366"/>
      </font>
      <fill>
        <patternFill patternType="solid">
          <fgColor rgb="FFCC0033"/>
          <bgColor rgb="FFCC0033"/>
        </patternFill>
      </fill>
      <border/>
    </dxf>
    <dxf>
      <font>
        <b/>
        <color rgb="FF000000"/>
      </font>
      <fill>
        <patternFill patternType="solid">
          <fgColor rgb="FFFFCC00"/>
          <bgColor rgb="FFFFCC00"/>
        </patternFill>
      </fill>
      <border/>
    </dxf>
    <dxf>
      <font>
        <b/>
        <color rgb="FFEEEEEE"/>
      </font>
      <fill>
        <patternFill patternType="solid">
          <fgColor rgb="FF990000"/>
          <bgColor rgb="FF990000"/>
        </patternFill>
      </fill>
      <border/>
    </dxf>
    <dxf>
      <font>
        <b/>
        <color rgb="FFA89968"/>
      </font>
      <fill>
        <patternFill patternType="solid">
          <fgColor rgb="FF001E42"/>
          <bgColor rgb="FF001E42"/>
        </patternFill>
      </fill>
      <border/>
    </dxf>
    <dxf>
      <font>
        <b/>
        <color rgb="FFA6A6A8"/>
      </font>
      <fill>
        <patternFill patternType="solid">
          <fgColor rgb="FF00308F"/>
          <bgColor rgb="FF00308F"/>
        </patternFill>
      </fill>
      <border/>
    </dxf>
    <dxf>
      <font>
        <b/>
        <color rgb="FF000000"/>
      </font>
      <fill>
        <patternFill patternType="solid">
          <fgColor rgb="FFB10202"/>
          <bgColor rgb="FFB10202"/>
        </patternFill>
      </fill>
      <border/>
    </dxf>
    <dxf>
      <font/>
      <fill>
        <patternFill patternType="solid">
          <fgColor rgb="FFB7E1CD"/>
          <bgColor rgb="FFB7E1CD"/>
        </patternFill>
      </fill>
      <border/>
    </dxf>
    <dxf>
      <font/>
      <fill>
        <patternFill patternType="solid">
          <fgColor rgb="FFF4C7C3"/>
          <bgColor rgb="FFF4C7C3"/>
        </patternFill>
      </fill>
      <border/>
    </dxf>
    <dxf>
      <font>
        <b/>
        <color theme="0"/>
      </font>
      <fill>
        <patternFill patternType="solid">
          <fgColor rgb="FFC4012F"/>
          <bgColor rgb="FFC4012F"/>
        </patternFill>
      </fill>
      <border/>
    </dxf>
    <dxf>
      <font>
        <b/>
        <color theme="0"/>
      </font>
      <fill>
        <patternFill patternType="solid">
          <fgColor rgb="FF059033"/>
          <bgColor rgb="FF059033"/>
        </patternFill>
      </fill>
      <border/>
    </dxf>
    <dxf>
      <font>
        <b/>
        <color theme="0"/>
      </font>
      <fill>
        <patternFill patternType="solid">
          <fgColor rgb="FF4D1979"/>
          <bgColor rgb="FF4D1979"/>
        </patternFill>
      </fill>
      <border/>
    </dxf>
    <dxf>
      <font>
        <b/>
        <color theme="0"/>
      </font>
      <fill>
        <patternFill patternType="solid">
          <fgColor rgb="FFFF8200"/>
          <bgColor rgb="FFFF8200"/>
        </patternFill>
      </fill>
      <border/>
    </dxf>
    <dxf>
      <font>
        <b/>
        <color theme="0"/>
      </font>
      <fill>
        <patternFill patternType="solid">
          <fgColor rgb="FF990000"/>
          <bgColor rgb="FF990000"/>
        </patternFill>
      </fill>
      <border/>
    </dxf>
    <dxf>
      <font>
        <b/>
        <color theme="0"/>
      </font>
      <fill>
        <patternFill patternType="solid">
          <fgColor rgb="FFCC0000"/>
          <bgColor rgb="FFCC0000"/>
        </patternFill>
      </fill>
      <border/>
    </dxf>
    <dxf>
      <font>
        <b/>
        <color theme="0"/>
      </font>
      <fill>
        <patternFill patternType="solid">
          <fgColor rgb="FF73000A"/>
          <bgColor rgb="FF73000A"/>
        </patternFill>
      </fill>
      <border/>
    </dxf>
    <dxf>
      <font>
        <b/>
        <color theme="0"/>
      </font>
      <fill>
        <patternFill patternType="solid">
          <fgColor rgb="FFCC0033"/>
          <bgColor rgb="FFCC0033"/>
        </patternFill>
      </fill>
      <border/>
    </dxf>
    <dxf>
      <font>
        <b/>
        <color theme="0"/>
      </font>
      <fill>
        <patternFill patternType="solid">
          <fgColor rgb="FF00246A"/>
          <bgColor rgb="FF00246A"/>
        </patternFill>
      </fill>
      <border/>
    </dxf>
    <dxf>
      <font>
        <b/>
        <color theme="0"/>
      </font>
      <fill>
        <patternFill patternType="solid">
          <fgColor rgb="FF041E42"/>
          <bgColor rgb="FF041E42"/>
        </patternFill>
      </fill>
      <border/>
    </dxf>
    <dxf>
      <font>
        <b/>
        <color theme="1"/>
      </font>
      <fill>
        <patternFill patternType="solid">
          <fgColor rgb="FFD95900"/>
          <bgColor rgb="FFD95900"/>
        </patternFill>
      </fill>
      <border/>
    </dxf>
    <dxf>
      <font>
        <b/>
        <color theme="0"/>
      </font>
      <fill>
        <patternFill patternType="solid">
          <fgColor rgb="FF4E2A84"/>
          <bgColor rgb="FF4E2A84"/>
        </patternFill>
      </fill>
      <border/>
    </dxf>
    <dxf>
      <font>
        <color theme="1"/>
      </font>
      <fill>
        <patternFill patternType="solid">
          <fgColor rgb="FFB10202"/>
          <bgColor rgb="FFB10202"/>
        </patternFill>
      </fill>
      <border/>
    </dxf>
    <dxf>
      <font>
        <b/>
        <color theme="0"/>
      </font>
      <fill>
        <patternFill patternType="solid">
          <fgColor rgb="FF660000"/>
          <bgColor rgb="FF660000"/>
        </patternFill>
      </fill>
      <border/>
    </dxf>
    <dxf>
      <font>
        <b/>
        <color theme="0"/>
      </font>
      <fill>
        <patternFill patternType="solid">
          <fgColor rgb="FF007A33"/>
          <bgColor rgb="FF007A33"/>
        </patternFill>
      </fill>
      <border/>
    </dxf>
    <dxf>
      <font>
        <b/>
        <color theme="1"/>
      </font>
      <fill>
        <patternFill patternType="solid">
          <fgColor rgb="FFC00000"/>
          <bgColor rgb="FFC00000"/>
        </patternFill>
      </fill>
      <border/>
    </dxf>
    <dxf>
      <font>
        <b/>
        <color theme="0"/>
      </font>
      <fill>
        <patternFill patternType="solid">
          <fgColor rgb="FF7D110C"/>
          <bgColor rgb="FF7D110C"/>
        </patternFill>
      </fill>
      <border/>
    </dxf>
    <dxf>
      <font>
        <b/>
        <color theme="0"/>
      </font>
      <fill>
        <patternFill patternType="solid">
          <fgColor rgb="FFB18E5F"/>
          <bgColor rgb="FFB18E5F"/>
        </patternFill>
      </fill>
      <border/>
    </dxf>
    <dxf>
      <font>
        <b/>
        <color theme="0"/>
      </font>
      <fill>
        <patternFill patternType="solid">
          <fgColor rgb="FFC92A39"/>
          <bgColor rgb="FFC92A39"/>
        </patternFill>
      </fill>
      <border/>
    </dxf>
    <dxf>
      <font>
        <b/>
        <color theme="0"/>
      </font>
      <fill>
        <patternFill patternType="solid">
          <fgColor rgb="FF00693F"/>
          <bgColor rgb="FF00693F"/>
        </patternFill>
      </fill>
      <border/>
    </dxf>
    <dxf>
      <font>
        <b/>
        <color theme="0"/>
      </font>
      <fill>
        <patternFill patternType="solid">
          <fgColor rgb="FF024731"/>
          <bgColor rgb="FF024731"/>
        </patternFill>
      </fill>
      <border/>
    </dxf>
    <dxf>
      <font>
        <b/>
        <color theme="0"/>
      </font>
      <fill>
        <patternFill patternType="solid">
          <fgColor rgb="FF0039A6"/>
          <bgColor rgb="FF0039A6"/>
        </patternFill>
      </fill>
      <border/>
    </dxf>
    <dxf>
      <font>
        <b/>
        <color theme="1"/>
      </font>
      <fill>
        <patternFill patternType="solid">
          <fgColor rgb="FFCC9900"/>
          <bgColor rgb="FFCC9900"/>
        </patternFill>
      </fill>
      <border/>
    </dxf>
    <dxf>
      <font>
        <color theme="1"/>
      </font>
      <fill>
        <patternFill patternType="solid">
          <fgColor rgb="FFCC092F"/>
          <bgColor rgb="FFCC092F"/>
        </patternFill>
      </fill>
      <border/>
    </dxf>
    <dxf>
      <font>
        <b/>
        <color theme="0"/>
      </font>
      <fill>
        <patternFill patternType="solid">
          <fgColor rgb="FF0736A4"/>
          <bgColor rgb="FF0736A4"/>
        </patternFill>
      </fill>
      <border/>
    </dxf>
    <dxf>
      <font>
        <b/>
        <color theme="0"/>
      </font>
      <fill>
        <patternFill patternType="solid">
          <fgColor rgb="FF1D7328"/>
          <bgColor rgb="FF1D7328"/>
        </patternFill>
      </fill>
      <border/>
    </dxf>
    <dxf>
      <font>
        <b/>
        <color theme="0"/>
      </font>
      <fill>
        <patternFill patternType="solid">
          <fgColor rgb="FF006F71"/>
          <bgColor rgb="FF006F71"/>
        </patternFill>
      </fill>
      <border/>
    </dxf>
    <dxf>
      <font>
        <b/>
        <color theme="0"/>
      </font>
      <fill>
        <patternFill patternType="solid">
          <fgColor rgb="FF002255"/>
          <bgColor rgb="FF002255"/>
        </patternFill>
      </fill>
      <border/>
    </dxf>
    <dxf>
      <font>
        <b/>
        <color theme="0"/>
      </font>
      <fill>
        <patternFill patternType="solid">
          <fgColor rgb="FF005BBB"/>
          <bgColor rgb="FF005BBB"/>
        </patternFill>
      </fill>
      <border/>
    </dxf>
    <dxf>
      <font>
        <b/>
        <color rgb="FFD4BF91"/>
      </font>
      <fill>
        <patternFill patternType="solid">
          <fgColor theme="1"/>
          <bgColor theme="1"/>
        </patternFill>
      </fill>
      <border/>
    </dxf>
    <dxf>
      <font>
        <b/>
        <color theme="0"/>
      </font>
      <fill>
        <patternFill patternType="solid">
          <fgColor rgb="FF9D2235"/>
          <bgColor rgb="FF9D2235"/>
        </patternFill>
      </fill>
      <border/>
    </dxf>
    <dxf>
      <font>
        <b/>
        <color theme="1"/>
      </font>
      <fill>
        <patternFill patternType="solid">
          <fgColor rgb="FFFFCC00"/>
          <bgColor rgb="FFFFCC00"/>
        </patternFill>
      </fill>
      <border/>
    </dxf>
    <dxf>
      <font>
        <color theme="0"/>
      </font>
      <fill>
        <patternFill patternType="solid">
          <fgColor rgb="FF548135"/>
          <bgColor rgb="FF548135"/>
        </patternFill>
      </fill>
      <border/>
    </dxf>
    <dxf>
      <font>
        <color rgb="FFFFFFFF"/>
      </font>
      <fill>
        <patternFill patternType="solid">
          <fgColor rgb="FF548135"/>
          <bgColor rgb="FF548135"/>
        </patternFill>
      </fill>
      <border/>
    </dxf>
    <dxf>
      <font>
        <color rgb="FFFFFFFF"/>
      </font>
      <fill>
        <patternFill patternType="solid">
          <fgColor rgb="FF6AA84F"/>
          <bgColor rgb="FF6AA84F"/>
        </patternFill>
      </fill>
      <border/>
    </dxf>
    <dxf>
      <font/>
      <fill>
        <patternFill patternType="solid">
          <fgColor rgb="FFF4CCCC"/>
          <bgColor rgb="FFF4CCCC"/>
        </patternFill>
      </fill>
      <border/>
    </dxf>
    <dxf>
      <font>
        <b/>
      </font>
      <fill>
        <patternFill patternType="solid">
          <fgColor rgb="FFFFD966"/>
          <bgColor rgb="FFFFD966"/>
        </patternFill>
      </fill>
      <border/>
    </dxf>
    <dxf>
      <font>
        <b/>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hidden="1" min="1" max="1" width="5.86"/>
    <col customWidth="1" min="2" max="2" width="20.86"/>
    <col customWidth="1" min="3" max="3" width="9.43"/>
    <col customWidth="1" min="4" max="4" width="8.71"/>
    <col customWidth="1" min="5" max="5" width="9.14"/>
    <col customWidth="1" min="6" max="6" width="7.29"/>
    <col customWidth="1" min="7" max="7" width="20.86"/>
    <col customWidth="1" min="8" max="8" width="9.14"/>
    <col customWidth="1" min="9" max="9" width="7.29"/>
    <col customWidth="1" min="10" max="10" width="20.86"/>
    <col customWidth="1" min="11" max="24" width="9.14"/>
    <col customWidth="1" min="25" max="40" width="8.71"/>
  </cols>
  <sheetData>
    <row r="1" ht="12.75" customHeight="1">
      <c r="A1" s="2"/>
      <c r="B1" s="2" t="s">
        <v>0</v>
      </c>
      <c r="C1" s="5" t="s">
        <v>2</v>
      </c>
      <c r="D1" s="4">
        <v>2020.0</v>
      </c>
      <c r="E1" s="7"/>
      <c r="F1" s="8"/>
      <c r="G1" s="8" t="s">
        <v>5</v>
      </c>
      <c r="H1" s="10"/>
      <c r="I1" s="7"/>
      <c r="J1" s="8"/>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row>
    <row r="2" ht="12.75" customHeight="1">
      <c r="A2" s="8"/>
      <c r="B2" s="8" t="s">
        <v>8</v>
      </c>
      <c r="C2" s="8" t="s">
        <v>9</v>
      </c>
      <c r="D2" s="8" t="s">
        <v>10</v>
      </c>
      <c r="E2" s="7"/>
      <c r="F2" s="3" t="s">
        <v>41</v>
      </c>
      <c r="G2" s="3" t="s">
        <v>44</v>
      </c>
      <c r="H2" s="13" t="s">
        <v>45</v>
      </c>
      <c r="I2" s="3" t="s">
        <v>41</v>
      </c>
      <c r="J2" s="3" t="s">
        <v>49</v>
      </c>
      <c r="K2" s="13" t="s">
        <v>45</v>
      </c>
      <c r="L2" s="7"/>
      <c r="M2" s="7"/>
      <c r="N2" s="7"/>
      <c r="O2" s="7"/>
      <c r="P2" s="7"/>
      <c r="Q2" s="7"/>
      <c r="R2" s="7"/>
      <c r="S2" s="7"/>
      <c r="T2" s="7"/>
      <c r="U2" s="7"/>
      <c r="V2" s="7"/>
      <c r="W2" s="7"/>
      <c r="X2" s="7"/>
      <c r="Y2" s="7"/>
      <c r="Z2" s="7"/>
      <c r="AA2" s="7"/>
      <c r="AB2" s="7"/>
      <c r="AC2" s="7"/>
      <c r="AD2" s="7"/>
      <c r="AE2" s="7"/>
      <c r="AF2" s="7"/>
      <c r="AG2" s="7"/>
      <c r="AH2" s="7"/>
      <c r="AI2" s="7"/>
      <c r="AJ2" s="7"/>
      <c r="AK2" s="7"/>
      <c r="AL2" s="7"/>
      <c r="AM2" s="7"/>
      <c r="AN2" s="7"/>
    </row>
    <row r="3" ht="12.75" customHeight="1">
      <c r="A3" s="18" t="str">
        <f>IFERROR(VLOOKUP(B3,Standings!$A$2:$R$132,6,FALSE),0)</f>
        <v>SEC</v>
      </c>
      <c r="B3" s="18" t="s">
        <v>23</v>
      </c>
      <c r="C3" s="3">
        <v>96.59</v>
      </c>
      <c r="D3" s="3">
        <v>1.0</v>
      </c>
      <c r="E3" s="7"/>
      <c r="F3" s="20">
        <f>IFERROR(VLOOKUP(G3,CurrentRank!$B$2:$C$132,2,FALSE),0)</f>
        <v>72.9</v>
      </c>
      <c r="G3" s="3" t="str">
        <f>ConfStandings!A3</f>
        <v>Cincinnati</v>
      </c>
      <c r="H3" s="21">
        <f>(F4-F3)/2</f>
        <v>-17.76</v>
      </c>
      <c r="I3" s="20">
        <f>IFERROR(VLOOKUP(J3,CurrentRank!$B$2:$C$132,2,FALSE),0)</f>
        <v>51.75</v>
      </c>
      <c r="J3" s="4" t="str">
        <f>ConfStandings!A93</f>
        <v>Buffalo</v>
      </c>
      <c r="K3" s="21">
        <f>(I4-I3)/2</f>
        <v>4.47</v>
      </c>
      <c r="L3" s="7"/>
      <c r="M3" s="7"/>
      <c r="N3" s="7"/>
      <c r="O3" s="7"/>
      <c r="P3" s="7"/>
      <c r="Q3" s="7"/>
      <c r="R3" s="7"/>
      <c r="S3" s="7"/>
      <c r="T3" s="7"/>
      <c r="U3" s="7"/>
      <c r="V3" s="7"/>
      <c r="W3" s="7"/>
      <c r="X3" s="7"/>
      <c r="Y3" s="7"/>
      <c r="Z3" s="7"/>
      <c r="AA3" s="7"/>
      <c r="AB3" s="7"/>
      <c r="AC3" s="7"/>
      <c r="AD3" s="7"/>
      <c r="AE3" s="7"/>
      <c r="AF3" s="7"/>
      <c r="AG3" s="7"/>
      <c r="AH3" s="7"/>
      <c r="AI3" s="7"/>
      <c r="AJ3" s="7"/>
      <c r="AK3" s="7"/>
      <c r="AL3" s="7"/>
      <c r="AM3" s="7"/>
      <c r="AN3" s="7"/>
    </row>
    <row r="4" ht="12.75" customHeight="1">
      <c r="A4" s="18" t="str">
        <f>IFERROR(VLOOKUP(B4,Standings!$A$2:$R$132,6,FALSE),0)</f>
        <v>B1G</v>
      </c>
      <c r="B4" s="3" t="s">
        <v>26</v>
      </c>
      <c r="C4" s="3">
        <v>87.05</v>
      </c>
      <c r="D4" s="3">
        <v>2.0</v>
      </c>
      <c r="E4" s="7"/>
      <c r="F4" s="20">
        <f>IFERROR(VLOOKUP(G4,CurrentRank!$B$2:$C$132,2,FALSE),0)</f>
        <v>37.38</v>
      </c>
      <c r="G4" s="3" t="str">
        <f>ConfStandings!A11</f>
        <v>Tulsa</v>
      </c>
      <c r="H4" s="21">
        <f>(F3-F4)/2</f>
        <v>17.76</v>
      </c>
      <c r="I4" s="20">
        <f>IFERROR(VLOOKUP(J4,CurrentRank!$B$2:$C$132,2,FALSE),0)</f>
        <v>60.69</v>
      </c>
      <c r="J4" s="4" t="str">
        <f>ConfStandings!A101</f>
        <v>Ball State</v>
      </c>
      <c r="K4" s="21">
        <f>(I3-I4)/2</f>
        <v>-4.47</v>
      </c>
      <c r="L4" s="7"/>
      <c r="M4" s="7"/>
      <c r="N4" s="7"/>
      <c r="O4" s="7"/>
      <c r="P4" s="7"/>
      <c r="Q4" s="7"/>
      <c r="R4" s="7"/>
      <c r="S4" s="7"/>
      <c r="T4" s="7"/>
      <c r="U4" s="7"/>
      <c r="V4" s="7"/>
      <c r="W4" s="7"/>
      <c r="X4" s="7"/>
      <c r="Y4" s="7"/>
      <c r="Z4" s="7"/>
      <c r="AA4" s="7"/>
      <c r="AB4" s="7"/>
      <c r="AC4" s="7"/>
      <c r="AD4" s="7"/>
      <c r="AE4" s="7"/>
      <c r="AF4" s="7"/>
      <c r="AG4" s="7"/>
      <c r="AH4" s="7"/>
      <c r="AI4" s="7"/>
      <c r="AJ4" s="7"/>
      <c r="AK4" s="7"/>
      <c r="AL4" s="7"/>
      <c r="AM4" s="7"/>
      <c r="AN4" s="7"/>
    </row>
    <row r="5" ht="12.75" customHeight="1">
      <c r="A5" s="18" t="str">
        <f>IFERROR(VLOOKUP(B5,Standings!$A$2:$R$132,6,FALSE),0)</f>
        <v>SEC</v>
      </c>
      <c r="B5" s="3" t="s">
        <v>79</v>
      </c>
      <c r="C5" s="3">
        <v>85.31</v>
      </c>
      <c r="D5" s="3">
        <v>3.0</v>
      </c>
      <c r="E5" s="7"/>
      <c r="F5" s="4"/>
      <c r="G5" s="4"/>
      <c r="H5" s="10"/>
      <c r="I5" s="4"/>
      <c r="J5" s="4"/>
      <c r="K5" s="10"/>
      <c r="L5" s="7"/>
      <c r="M5" s="7"/>
      <c r="N5" s="7"/>
      <c r="O5" s="7"/>
      <c r="P5" s="7"/>
      <c r="Q5" s="7"/>
      <c r="R5" s="7"/>
      <c r="S5" s="7"/>
      <c r="T5" s="7"/>
      <c r="U5" s="7"/>
      <c r="V5" s="7"/>
      <c r="W5" s="7"/>
      <c r="X5" s="7"/>
      <c r="Y5" s="7"/>
      <c r="Z5" s="7"/>
      <c r="AA5" s="7"/>
      <c r="AB5" s="7"/>
      <c r="AC5" s="7"/>
      <c r="AD5" s="7"/>
      <c r="AE5" s="7"/>
      <c r="AF5" s="7"/>
      <c r="AG5" s="7"/>
      <c r="AH5" s="7"/>
      <c r="AI5" s="7"/>
      <c r="AJ5" s="7"/>
      <c r="AK5" s="7"/>
      <c r="AL5" s="7"/>
      <c r="AM5" s="7"/>
      <c r="AN5" s="7"/>
    </row>
    <row r="6" ht="12.75" customHeight="1">
      <c r="A6" s="18" t="str">
        <f>IFERROR(VLOOKUP(B6,Standings!$A$2:$R$132,6,FALSE),0)</f>
        <v>ACC</v>
      </c>
      <c r="B6" s="3" t="s">
        <v>18</v>
      </c>
      <c r="C6" s="3">
        <v>84.24</v>
      </c>
      <c r="D6" s="3">
        <v>4.0</v>
      </c>
      <c r="E6" s="7"/>
      <c r="F6" s="4"/>
      <c r="G6" s="3" t="s">
        <v>120</v>
      </c>
      <c r="H6" s="10"/>
      <c r="I6" s="4"/>
      <c r="J6" s="3" t="s">
        <v>121</v>
      </c>
      <c r="K6" s="10"/>
      <c r="L6" s="7"/>
      <c r="M6" s="7"/>
      <c r="N6" s="7"/>
      <c r="O6" s="7"/>
      <c r="P6" s="7"/>
      <c r="Q6" s="7"/>
      <c r="R6" s="7"/>
      <c r="S6" s="7"/>
      <c r="T6" s="7"/>
      <c r="U6" s="7"/>
      <c r="V6" s="7"/>
      <c r="W6" s="7"/>
      <c r="X6" s="7"/>
      <c r="Y6" s="7"/>
      <c r="Z6" s="7"/>
      <c r="AA6" s="7"/>
      <c r="AB6" s="7"/>
      <c r="AC6" s="7"/>
      <c r="AD6" s="7"/>
      <c r="AE6" s="7"/>
      <c r="AF6" s="7"/>
      <c r="AG6" s="7"/>
      <c r="AH6" s="7"/>
      <c r="AI6" s="7"/>
      <c r="AJ6" s="7"/>
      <c r="AK6" s="7"/>
      <c r="AL6" s="7"/>
      <c r="AM6" s="7"/>
      <c r="AN6" s="7"/>
    </row>
    <row r="7" ht="12.75" customHeight="1">
      <c r="A7" s="18" t="str">
        <f>IFERROR(VLOOKUP(B7,Standings!$A$2:$R$132,6,FALSE),0)</f>
        <v>BIG12</v>
      </c>
      <c r="B7" s="3" t="s">
        <v>51</v>
      </c>
      <c r="C7" s="3">
        <v>81.57</v>
      </c>
      <c r="D7" s="3">
        <v>5.0</v>
      </c>
      <c r="E7" s="7"/>
      <c r="F7" s="20">
        <f>IFERROR(VLOOKUP(G7,CurrentRank!$B$2:$C$132,2,FALSE),0)</f>
        <v>84.24</v>
      </c>
      <c r="G7" s="4" t="str">
        <f>ConfStandings!J19</f>
        <v>Clemson</v>
      </c>
      <c r="H7" s="21">
        <f>(F8-F7)/2</f>
        <v>-2.725</v>
      </c>
      <c r="I7" s="20">
        <f>IFERROR(VLOOKUP(J7,CurrentRank!$B$2:$C$132,2,FALSE),0)</f>
        <v>38.02</v>
      </c>
      <c r="J7" s="4" t="str">
        <f>ConfStandings!A109</f>
        <v>Boise State</v>
      </c>
      <c r="K7" s="21">
        <f>(I8-I7)/2</f>
        <v>6.5</v>
      </c>
      <c r="L7" s="7"/>
      <c r="M7" s="7"/>
      <c r="N7" s="7"/>
      <c r="O7" s="7"/>
      <c r="P7" s="7"/>
      <c r="Q7" s="7"/>
      <c r="R7" s="7"/>
      <c r="S7" s="7"/>
      <c r="T7" s="7"/>
      <c r="U7" s="7"/>
      <c r="V7" s="7"/>
      <c r="W7" s="7"/>
      <c r="X7" s="7"/>
      <c r="Y7" s="7"/>
      <c r="Z7" s="7"/>
      <c r="AA7" s="7"/>
      <c r="AB7" s="7"/>
      <c r="AC7" s="7"/>
      <c r="AD7" s="7"/>
      <c r="AE7" s="7"/>
      <c r="AF7" s="7"/>
      <c r="AG7" s="7"/>
      <c r="AH7" s="7"/>
      <c r="AI7" s="7"/>
      <c r="AJ7" s="7"/>
      <c r="AK7" s="7"/>
      <c r="AL7" s="7"/>
      <c r="AM7" s="7"/>
      <c r="AN7" s="7"/>
    </row>
    <row r="8" ht="12.75" customHeight="1">
      <c r="A8" s="18" t="str">
        <f>IFERROR(VLOOKUP(B8,Standings!$A$2:$R$132,6,FALSE),0)</f>
        <v>SEC</v>
      </c>
      <c r="B8" s="3" t="s">
        <v>33</v>
      </c>
      <c r="C8" s="3">
        <v>79.21</v>
      </c>
      <c r="D8" s="3">
        <v>6.0</v>
      </c>
      <c r="E8" s="7"/>
      <c r="F8" s="20">
        <f>IFERROR(VLOOKUP(G8,CurrentRank!$B$2:$C$132,2,FALSE),0)</f>
        <v>78.79</v>
      </c>
      <c r="G8" s="4" t="str">
        <f>ConfStandings!J20</f>
        <v>Notre Dame</v>
      </c>
      <c r="H8" s="21">
        <f>(F7-F8)/2</f>
        <v>2.725</v>
      </c>
      <c r="I8" s="20">
        <f>IFERROR(VLOOKUP(J8,CurrentRank!$B$2:$C$132,2,FALSE),0)</f>
        <v>51.02</v>
      </c>
      <c r="J8" s="4" t="str">
        <f>ConfStandings!A117</f>
        <v>San Jose State</v>
      </c>
      <c r="K8" s="21">
        <f>(I7-I8)/2</f>
        <v>-6.5</v>
      </c>
      <c r="L8" s="7"/>
      <c r="M8" s="7"/>
      <c r="N8" s="7"/>
      <c r="O8" s="7"/>
      <c r="P8" s="7"/>
      <c r="Q8" s="7"/>
      <c r="R8" s="7"/>
      <c r="S8" s="7"/>
      <c r="T8" s="7"/>
      <c r="U8" s="7"/>
      <c r="V8" s="7"/>
      <c r="W8" s="7"/>
      <c r="X8" s="7"/>
      <c r="Y8" s="7"/>
      <c r="Z8" s="7"/>
      <c r="AA8" s="7"/>
      <c r="AB8" s="7"/>
      <c r="AC8" s="7"/>
      <c r="AD8" s="7"/>
      <c r="AE8" s="7"/>
      <c r="AF8" s="7"/>
      <c r="AG8" s="7"/>
      <c r="AH8" s="7"/>
      <c r="AI8" s="7"/>
      <c r="AJ8" s="7"/>
      <c r="AK8" s="7"/>
      <c r="AL8" s="7"/>
      <c r="AM8" s="7"/>
      <c r="AN8" s="7"/>
    </row>
    <row r="9" ht="12.75" customHeight="1">
      <c r="A9" s="18" t="str">
        <f>IFERROR(VLOOKUP(B9,Standings!$A$2:$R$132,6,FALSE),0)</f>
        <v>ACC</v>
      </c>
      <c r="B9" s="3" t="s">
        <v>28</v>
      </c>
      <c r="C9" s="3">
        <v>78.79</v>
      </c>
      <c r="D9" s="3">
        <v>7.0</v>
      </c>
      <c r="E9" s="7"/>
      <c r="F9" s="4"/>
      <c r="G9" s="4"/>
      <c r="H9" s="10"/>
      <c r="I9" s="4"/>
      <c r="J9" s="4"/>
      <c r="K9" s="10"/>
      <c r="L9" s="7"/>
      <c r="M9" s="7"/>
      <c r="N9" s="7"/>
      <c r="O9" s="7"/>
      <c r="P9" s="7"/>
      <c r="Q9" s="7"/>
      <c r="R9" s="7"/>
      <c r="S9" s="7"/>
      <c r="T9" s="7"/>
      <c r="U9" s="7"/>
      <c r="V9" s="7"/>
      <c r="W9" s="7"/>
      <c r="X9" s="7"/>
      <c r="Y9" s="7"/>
      <c r="Z9" s="7"/>
      <c r="AA9" s="7"/>
      <c r="AB9" s="7"/>
      <c r="AC9" s="7"/>
      <c r="AD9" s="7"/>
      <c r="AE9" s="7"/>
      <c r="AF9" s="7"/>
      <c r="AG9" s="7"/>
      <c r="AH9" s="7"/>
      <c r="AI9" s="7"/>
      <c r="AJ9" s="7"/>
      <c r="AK9" s="7"/>
      <c r="AL9" s="7"/>
      <c r="AM9" s="7"/>
      <c r="AN9" s="7"/>
    </row>
    <row r="10" ht="12.75" customHeight="1">
      <c r="A10" s="18" t="str">
        <f>IFERROR(VLOOKUP(B10,Standings!$A$2:$R$132,6,FALSE),0)</f>
        <v>BIG12</v>
      </c>
      <c r="B10" s="3" t="s">
        <v>92</v>
      </c>
      <c r="C10" s="3">
        <v>73.64</v>
      </c>
      <c r="D10" s="3">
        <v>8.0</v>
      </c>
      <c r="E10" s="7"/>
      <c r="F10" s="4"/>
      <c r="G10" s="3" t="s">
        <v>163</v>
      </c>
      <c r="H10" s="10"/>
      <c r="I10" s="4"/>
      <c r="J10" s="3" t="s">
        <v>165</v>
      </c>
      <c r="K10" s="10"/>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ht="12.75" customHeight="1">
      <c r="A11" s="18" t="str">
        <f>IFERROR(VLOOKUP(B11,Standings!$A$2:$R$132,6,FALSE),0)</f>
        <v>AAC</v>
      </c>
      <c r="B11" s="3" t="s">
        <v>69</v>
      </c>
      <c r="C11" s="3">
        <v>72.9</v>
      </c>
      <c r="D11" s="3">
        <v>9.0</v>
      </c>
      <c r="E11" s="7"/>
      <c r="F11" s="20">
        <f>IFERROR(VLOOKUP(G11,CurrentRank!$B$2:$C$132,2,FALSE),0)</f>
        <v>87.05</v>
      </c>
      <c r="G11" s="4" t="str">
        <f>ConfStandings!A37</f>
        <v>Ohio State</v>
      </c>
      <c r="H11" s="21">
        <f>(F12-F11)/2</f>
        <v>-7.41</v>
      </c>
      <c r="I11" s="20">
        <f>IFERROR(VLOOKUP(J11,CurrentRank!$B$2:$C$132,2,FALSE),0)</f>
        <v>40.47</v>
      </c>
      <c r="J11" s="4" t="str">
        <f>ConfStandings!A125</f>
        <v>Washington</v>
      </c>
      <c r="K11" s="21">
        <f>(I12-I11)/2</f>
        <v>11.005</v>
      </c>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row>
    <row r="12" ht="12.75" customHeight="1">
      <c r="A12" s="18" t="str">
        <f>IFERROR(VLOOKUP(B12,Standings!$A$2:$R$132,6,FALSE),0)</f>
        <v>SUN</v>
      </c>
      <c r="B12" s="3" t="s">
        <v>58</v>
      </c>
      <c r="C12" s="3">
        <v>72.87</v>
      </c>
      <c r="D12" s="3">
        <v>10.0</v>
      </c>
      <c r="E12" s="7"/>
      <c r="F12" s="20">
        <f>IFERROR(VLOOKUP(G12,CurrentRank!$B$2:$C$132,2,FALSE),0)</f>
        <v>72.23</v>
      </c>
      <c r="G12" s="4" t="str">
        <f>ConfStandings!A46</f>
        <v>Northwestern</v>
      </c>
      <c r="H12" s="21">
        <f>(F11-F12)/2</f>
        <v>7.41</v>
      </c>
      <c r="I12" s="20">
        <f>IFERROR(VLOOKUP(J12,CurrentRank!$B$2:$C$132,2,FALSE),0)</f>
        <v>62.48</v>
      </c>
      <c r="J12" s="4" t="str">
        <f>ConfStandings!A133</f>
        <v>Southern Cal</v>
      </c>
      <c r="K12" s="21">
        <f>(I11-I12)/2</f>
        <v>-11.005</v>
      </c>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row>
    <row r="13" ht="12.75" customHeight="1">
      <c r="A13" s="18" t="str">
        <f>IFERROR(VLOOKUP(B13,Standings!$A$2:$R$132,6,FALSE),0)</f>
        <v>B1G</v>
      </c>
      <c r="B13" s="3" t="s">
        <v>189</v>
      </c>
      <c r="C13" s="3">
        <v>72.23</v>
      </c>
      <c r="D13" s="3">
        <v>11.0</v>
      </c>
      <c r="E13" s="7"/>
      <c r="F13" s="4"/>
      <c r="G13" s="4"/>
      <c r="H13" s="10"/>
      <c r="I13" s="4"/>
      <c r="J13" s="4"/>
      <c r="K13" s="10"/>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row>
    <row r="14" ht="12.75" customHeight="1">
      <c r="A14" s="18" t="str">
        <f>IFERROR(VLOOKUP(B14,Standings!$A$2:$R$132,6,FALSE),0)</f>
        <v>B1G</v>
      </c>
      <c r="B14" s="3" t="s">
        <v>97</v>
      </c>
      <c r="C14" s="3">
        <v>71.81</v>
      </c>
      <c r="D14" s="3">
        <v>12.0</v>
      </c>
      <c r="E14" s="7"/>
      <c r="F14" s="4"/>
      <c r="G14" s="3" t="s">
        <v>197</v>
      </c>
      <c r="H14" s="10"/>
      <c r="I14" s="4"/>
      <c r="J14" s="3" t="s">
        <v>198</v>
      </c>
      <c r="K14" s="10"/>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ht="12.75" customHeight="1">
      <c r="A15" s="18" t="str">
        <f>IFERROR(VLOOKUP(B15,Standings!$A$2:$R$132,6,FALSE),0)</f>
        <v>SUN</v>
      </c>
      <c r="B15" s="3" t="s">
        <v>100</v>
      </c>
      <c r="C15" s="3">
        <v>69.98</v>
      </c>
      <c r="D15" s="3">
        <v>13.0</v>
      </c>
      <c r="E15" s="7"/>
      <c r="F15" s="4">
        <f>IFERROR(VLOOKUP(G15,CurrentRank!$B$2:$C$132,2,FALSE),0)</f>
        <v>73.64</v>
      </c>
      <c r="G15" s="4" t="str">
        <f>ConfStandings!A55</f>
        <v>Iowa State</v>
      </c>
      <c r="H15" s="21">
        <f>(F16-F15)/2</f>
        <v>3.965</v>
      </c>
      <c r="I15" s="4">
        <f>IFERROR(VLOOKUP(J15,CurrentRank!$B$2:$C$132,2,FALSE),0)</f>
        <v>79.21</v>
      </c>
      <c r="J15" s="4" t="str">
        <f>ConfStandings!A141</f>
        <v>Georgia</v>
      </c>
      <c r="K15" s="21">
        <f>(I16-I15)/2</f>
        <v>8.69</v>
      </c>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ht="12.75" customHeight="1">
      <c r="A16" s="18" t="str">
        <f>IFERROR(VLOOKUP(B16,Standings!$A$2:$R$132,6,FALSE),0)</f>
        <v>B1G</v>
      </c>
      <c r="B16" s="3" t="s">
        <v>174</v>
      </c>
      <c r="C16" s="3">
        <v>69.98</v>
      </c>
      <c r="D16" s="3">
        <v>13.0</v>
      </c>
      <c r="E16" s="7"/>
      <c r="F16" s="4">
        <f>IFERROR(VLOOKUP(G16,CurrentRank!$B$2:$C$132,2,FALSE),0)</f>
        <v>81.57</v>
      </c>
      <c r="G16" s="4" t="str">
        <f>ConfStandings!A56</f>
        <v>Oklahoma</v>
      </c>
      <c r="H16" s="21">
        <f>(F15-F16)/2</f>
        <v>-3.965</v>
      </c>
      <c r="I16" s="4">
        <f>IFERROR(VLOOKUP(J16,CurrentRank!$B$2:$C$132,2,FALSE),0)</f>
        <v>96.59</v>
      </c>
      <c r="J16" s="4" t="str">
        <f>ConfStandings!A150</f>
        <v>Alabama</v>
      </c>
      <c r="K16" s="21">
        <f>(I15-I16)/2</f>
        <v>-8.69</v>
      </c>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ht="12.75" customHeight="1">
      <c r="A17" s="18" t="str">
        <f>IFERROR(VLOOKUP(B17,Standings!$A$2:$R$132,6,FALSE),0)</f>
        <v>IND</v>
      </c>
      <c r="B17" s="3" t="s">
        <v>73</v>
      </c>
      <c r="C17" s="3">
        <v>69.33</v>
      </c>
      <c r="D17" s="3">
        <v>15.0</v>
      </c>
      <c r="E17" s="7"/>
      <c r="F17" s="4"/>
      <c r="G17" s="4"/>
      <c r="H17" s="10"/>
      <c r="I17" s="4"/>
      <c r="J17" s="4"/>
      <c r="K17" s="10"/>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ht="12.75" customHeight="1">
      <c r="A18" s="18" t="str">
        <f>IFERROR(VLOOKUP(B18,Standings!$A$2:$R$132,6,FALSE),0)</f>
        <v>SEC</v>
      </c>
      <c r="B18" s="3" t="s">
        <v>48</v>
      </c>
      <c r="C18" s="3">
        <v>68.03</v>
      </c>
      <c r="D18" s="3">
        <v>16.0</v>
      </c>
      <c r="E18" s="7"/>
      <c r="F18" s="4"/>
      <c r="G18" s="3" t="s">
        <v>84</v>
      </c>
      <c r="H18" s="10"/>
      <c r="I18" s="4"/>
      <c r="J18" s="3" t="s">
        <v>201</v>
      </c>
      <c r="K18" s="10"/>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ht="12.75" customHeight="1">
      <c r="A19" s="18" t="str">
        <f>IFERROR(VLOOKUP(B19,Standings!$A$2:$R$132,6,FALSE),0)</f>
        <v>IND</v>
      </c>
      <c r="B19" s="3" t="s">
        <v>106</v>
      </c>
      <c r="C19" s="3">
        <v>65.58</v>
      </c>
      <c r="D19" s="3">
        <v>17.0</v>
      </c>
      <c r="E19" s="7"/>
      <c r="F19" s="4">
        <f>IFERROR(VLOOKUP(G19,CurrentRank!$B$2:$C$132,2,FALSE),0)</f>
        <v>33.45</v>
      </c>
      <c r="G19" s="4" t="str">
        <f>ConfStandings!A67</f>
        <v>Marshall</v>
      </c>
      <c r="H19" s="21">
        <f>(F20-F19)/2</f>
        <v>-0.745</v>
      </c>
      <c r="I19" s="4">
        <f>IFERROR(VLOOKUP(J19,CurrentRank!$B$2:$C$132,2,FALSE),0)</f>
        <v>69.98</v>
      </c>
      <c r="J19" s="4" t="str">
        <f>ConfStandings!A159</f>
        <v>Coastal Carolina</v>
      </c>
      <c r="K19" s="21">
        <f>(I20-I19)/2</f>
        <v>1.445</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ht="12.75" customHeight="1">
      <c r="A20" s="18" t="str">
        <f>IFERROR(VLOOKUP(B20,Standings!$A$2:$R$132,6,FALSE),0)</f>
        <v>ACC</v>
      </c>
      <c r="B20" s="3" t="s">
        <v>38</v>
      </c>
      <c r="C20" s="3">
        <v>63.1</v>
      </c>
      <c r="D20" s="3">
        <v>18.0</v>
      </c>
      <c r="E20" s="7"/>
      <c r="F20" s="4">
        <f>IFERROR(VLOOKUP(G20,CurrentRank!$B$2:$C$132,2,FALSE),0)</f>
        <v>31.96</v>
      </c>
      <c r="G20" s="4" t="str">
        <f>ConfStandings!A76</f>
        <v>UAB</v>
      </c>
      <c r="H20" s="21">
        <f>(F19-F20)/2</f>
        <v>0.745</v>
      </c>
      <c r="I20" s="4">
        <f>IFERROR(VLOOKUP(J20,CurrentRank!$B$2:$C$132,2,FALSE),0)</f>
        <v>72.87</v>
      </c>
      <c r="J20" s="4" t="str">
        <f>ConfStandings!A166</f>
        <v>UL-Lafayette</v>
      </c>
      <c r="K20" s="21">
        <f>(I19-I20)/2</f>
        <v>-1.445</v>
      </c>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ht="12.75" customHeight="1">
      <c r="A21" s="18" t="str">
        <f>IFERROR(VLOOKUP(B21,Standings!$A$2:$R$132,6,FALSE),0)</f>
        <v>PAC12</v>
      </c>
      <c r="B21" s="3" t="s">
        <v>90</v>
      </c>
      <c r="C21" s="3">
        <v>62.48</v>
      </c>
      <c r="D21" s="3">
        <v>19.0</v>
      </c>
      <c r="E21" s="7"/>
      <c r="F21" s="4"/>
      <c r="G21" s="4"/>
      <c r="H21" s="10"/>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ht="12.75" customHeight="1">
      <c r="A22" s="18" t="str">
        <f>IFERROR(VLOOKUP(B22,Standings!$A$2:$R$132,6,FALSE),0)</f>
        <v>BIG12</v>
      </c>
      <c r="B22" s="3" t="s">
        <v>46</v>
      </c>
      <c r="C22" s="3">
        <v>62.29</v>
      </c>
      <c r="D22" s="3">
        <v>20.0</v>
      </c>
      <c r="E22" s="7"/>
      <c r="F22" s="4"/>
      <c r="G22" s="8" t="s">
        <v>206</v>
      </c>
      <c r="H22" s="10"/>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ht="12.75" customHeight="1">
      <c r="A23" s="18" t="str">
        <f>IFERROR(VLOOKUP(B23,Standings!$A$2:$R$132,6,FALSE),0)</f>
        <v>MAC</v>
      </c>
      <c r="B23" s="3" t="s">
        <v>134</v>
      </c>
      <c r="C23" s="3">
        <v>60.69</v>
      </c>
      <c r="D23" s="3">
        <v>21.0</v>
      </c>
      <c r="E23" s="7"/>
      <c r="F23" s="4"/>
      <c r="G23" s="20" t="str">
        <f>CONCATENATE(M23, "-", O23)</f>
        <v>394-164</v>
      </c>
      <c r="H23" s="31">
        <f>M23/(M23+O23)</f>
        <v>0.70609319</v>
      </c>
      <c r="I23" s="7"/>
      <c r="J23" s="3" t="s">
        <v>207</v>
      </c>
      <c r="L23" s="3" t="s">
        <v>208</v>
      </c>
      <c r="M23" s="4">
        <f>COUNTIF(WLSpread!AG2:AG1004, 1)</f>
        <v>394</v>
      </c>
      <c r="N23" s="3" t="s">
        <v>210</v>
      </c>
      <c r="O23" s="4">
        <f>COUNTIF(WLSpread!AG2:AG1004, 0)</f>
        <v>164</v>
      </c>
      <c r="P23" s="7"/>
      <c r="Q23" s="7"/>
      <c r="R23" s="7"/>
      <c r="S23" s="7"/>
      <c r="T23" s="7"/>
      <c r="U23" s="7"/>
      <c r="V23" s="7"/>
      <c r="W23" s="7"/>
      <c r="X23" s="7"/>
      <c r="Y23" s="7"/>
      <c r="Z23" s="7"/>
      <c r="AA23" s="7"/>
      <c r="AB23" s="7"/>
      <c r="AC23" s="7"/>
      <c r="AD23" s="7"/>
      <c r="AE23" s="7"/>
      <c r="AF23" s="7"/>
      <c r="AG23" s="7"/>
      <c r="AH23" s="7"/>
      <c r="AI23" s="7"/>
      <c r="AJ23" s="7"/>
      <c r="AK23" s="7"/>
      <c r="AL23" s="7"/>
      <c r="AM23" s="7"/>
      <c r="AN23" s="7"/>
    </row>
    <row r="24" ht="12.75" customHeight="1">
      <c r="A24" s="18" t="str">
        <f>IFERROR(VLOOKUP(B24,Standings!$A$2:$R$132,6,FALSE),0)</f>
        <v>BIG12</v>
      </c>
      <c r="B24" s="3" t="s">
        <v>55</v>
      </c>
      <c r="C24" s="3">
        <v>59.34</v>
      </c>
      <c r="D24" s="3">
        <v>22.0</v>
      </c>
      <c r="E24" s="7"/>
      <c r="F24" s="4"/>
      <c r="H24" s="13"/>
      <c r="I24" s="7"/>
      <c r="J24" s="7"/>
      <c r="K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ht="12.75" customHeight="1">
      <c r="A25" s="18" t="str">
        <f>IFERROR(VLOOKUP(B25,Standings!$A$2:$R$132,6,FALSE),0)</f>
        <v>ACC</v>
      </c>
      <c r="B25" s="3" t="s">
        <v>40</v>
      </c>
      <c r="C25" s="3">
        <v>57.15</v>
      </c>
      <c r="D25" s="3">
        <v>23.0</v>
      </c>
      <c r="E25" s="7"/>
      <c r="F25" s="4"/>
      <c r="G25" s="8" t="s">
        <v>211</v>
      </c>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ht="12.75" customHeight="1">
      <c r="A26" s="18" t="str">
        <f>IFERROR(VLOOKUP(B26,Standings!$A$2:$R$132,6,FALSE),0)</f>
        <v>MAC</v>
      </c>
      <c r="B26" s="3" t="s">
        <v>162</v>
      </c>
      <c r="C26" s="3">
        <v>51.75</v>
      </c>
      <c r="D26" s="3">
        <v>24.0</v>
      </c>
      <c r="E26" s="7"/>
      <c r="F26" s="4"/>
      <c r="G26" s="30" t="s">
        <v>212</v>
      </c>
      <c r="H26" s="30" t="s">
        <v>213</v>
      </c>
      <c r="I26" s="30" t="s">
        <v>214</v>
      </c>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ht="12.75" customHeight="1">
      <c r="A27" s="18" t="str">
        <f>IFERROR(VLOOKUP(B27,Standings!$A$2:$R$132,6,FALSE),0)</f>
        <v>MWC</v>
      </c>
      <c r="B27" s="3" t="s">
        <v>182</v>
      </c>
      <c r="C27" s="3">
        <v>51.02</v>
      </c>
      <c r="D27" s="3">
        <v>25.0</v>
      </c>
      <c r="E27" s="7"/>
      <c r="F27" s="4"/>
      <c r="G27" s="32" t="str">
        <f>IFERROR(__xludf.DUMMYFUNCTION("QUERY(confcors,""SELECT E, F, G ORDER by F DESC"",0)"),"SEC")</f>
        <v>SEC</v>
      </c>
      <c r="H27" s="19">
        <f>IFERROR(__xludf.DUMMYFUNCTION("""COMPUTED_VALUE"""),48.48285714285714)</f>
        <v>48.48285714</v>
      </c>
      <c r="I27" s="19">
        <f>IFERROR(__xludf.DUMMYFUNCTION("""COMPUTED_VALUE"""),48.5)</f>
        <v>48.5</v>
      </c>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ht="12.75" customHeight="1">
      <c r="A28" s="18" t="str">
        <f>IFERROR(VLOOKUP(B28,Standings!$A$2:$R$132,6,FALSE),0)</f>
        <v>PAC12</v>
      </c>
      <c r="B28" s="3" t="s">
        <v>194</v>
      </c>
      <c r="C28" s="3">
        <v>44.06</v>
      </c>
      <c r="D28" s="3">
        <v>26.0</v>
      </c>
      <c r="E28" s="7"/>
      <c r="F28" s="4"/>
      <c r="G28" s="19" t="str">
        <f>IFERROR(__xludf.DUMMYFUNCTION("""COMPUTED_VALUE"""),"BIG12")</f>
        <v>BIG12</v>
      </c>
      <c r="H28" s="19">
        <f>IFERROR(__xludf.DUMMYFUNCTION("""COMPUTED_VALUE"""),47.63199999999999)</f>
        <v>47.632</v>
      </c>
      <c r="I28" s="19">
        <f>IFERROR(__xludf.DUMMYFUNCTION("""COMPUTED_VALUE"""),50.9)</f>
        <v>50.9</v>
      </c>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ht="12.75" customHeight="1">
      <c r="A29" s="18" t="str">
        <f>IFERROR(VLOOKUP(B29,Standings!$A$2:$R$132,6,FALSE),0)</f>
        <v>PAC12</v>
      </c>
      <c r="B29" s="3" t="s">
        <v>96</v>
      </c>
      <c r="C29" s="3">
        <v>43.66</v>
      </c>
      <c r="D29" s="3">
        <v>27.0</v>
      </c>
      <c r="E29" s="7"/>
      <c r="F29" s="4"/>
      <c r="G29" s="19" t="str">
        <f>IFERROR(__xludf.DUMMYFUNCTION("""COMPUTED_VALUE"""),"B1G")</f>
        <v>B1G</v>
      </c>
      <c r="H29" s="19">
        <f>IFERROR(__xludf.DUMMYFUNCTION("""COMPUTED_VALUE"""),45.93142857142857)</f>
        <v>45.93142857</v>
      </c>
      <c r="I29" s="19">
        <f>IFERROR(__xludf.DUMMYFUNCTION("""COMPUTED_VALUE"""),57.0)</f>
        <v>57</v>
      </c>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ht="12.75" customHeight="1">
      <c r="A30" s="18" t="str">
        <f>IFERROR(VLOOKUP(B30,Standings!$A$2:$R$132,6,FALSE),0)</f>
        <v>PAC12</v>
      </c>
      <c r="B30" s="3" t="s">
        <v>190</v>
      </c>
      <c r="C30" s="3">
        <v>42.24</v>
      </c>
      <c r="D30" s="3">
        <v>28.0</v>
      </c>
      <c r="E30" s="7"/>
      <c r="F30" s="4"/>
      <c r="G30" s="19" t="str">
        <f>IFERROR(__xludf.DUMMYFUNCTION("""COMPUTED_VALUE"""),"IND")</f>
        <v>IND</v>
      </c>
      <c r="H30" s="19">
        <f>IFERROR(__xludf.DUMMYFUNCTION("""COMPUTED_VALUE"""),45.653999999999996)</f>
        <v>45.654</v>
      </c>
      <c r="I30" s="19">
        <f>IFERROR(__xludf.DUMMYFUNCTION("""COMPUTED_VALUE"""),67.0)</f>
        <v>67</v>
      </c>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ht="12.75" customHeight="1">
      <c r="A31" s="18" t="str">
        <f>IFERROR(VLOOKUP(B31,Standings!$A$2:$R$132,6,FALSE),0)</f>
        <v>BIG12</v>
      </c>
      <c r="B31" s="3" t="s">
        <v>113</v>
      </c>
      <c r="C31" s="3">
        <v>41.9</v>
      </c>
      <c r="D31" s="3">
        <v>29.0</v>
      </c>
      <c r="E31" s="7"/>
      <c r="F31" s="4"/>
      <c r="G31" s="19" t="str">
        <f>IFERROR(__xludf.DUMMYFUNCTION("""COMPUTED_VALUE"""),"ACC")</f>
        <v>ACC</v>
      </c>
      <c r="H31" s="19">
        <f>IFERROR(__xludf.DUMMYFUNCTION("""COMPUTED_VALUE"""),43.836)</f>
        <v>43.836</v>
      </c>
      <c r="I31" s="19">
        <f>IFERROR(__xludf.DUMMYFUNCTION("""COMPUTED_VALUE"""),56.2)</f>
        <v>56.2</v>
      </c>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ht="12.75" customHeight="1">
      <c r="A32" s="18" t="str">
        <f>IFERROR(VLOOKUP(B32,Standings!$A$2:$R$132,6,FALSE),0)</f>
        <v>AAC</v>
      </c>
      <c r="B32" s="3" t="s">
        <v>47</v>
      </c>
      <c r="C32" s="3">
        <v>41.86</v>
      </c>
      <c r="D32" s="3">
        <v>30.0</v>
      </c>
      <c r="E32" s="7"/>
      <c r="F32" s="4"/>
      <c r="G32" s="19" t="str">
        <f>IFERROR(__xludf.DUMMYFUNCTION("""COMPUTED_VALUE"""),"PAC12")</f>
        <v>PAC12</v>
      </c>
      <c r="H32" s="19">
        <f>IFERROR(__xludf.DUMMYFUNCTION("""COMPUTED_VALUE"""),39.979166666666664)</f>
        <v>39.97916667</v>
      </c>
      <c r="I32" s="19">
        <f>IFERROR(__xludf.DUMMYFUNCTION("""COMPUTED_VALUE"""),48.0)</f>
        <v>48</v>
      </c>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ht="12.75" customHeight="1">
      <c r="A33" s="18" t="str">
        <f>IFERROR(VLOOKUP(B33,Standings!$A$2:$R$132,6,FALSE),0)</f>
        <v>PAC12</v>
      </c>
      <c r="B33" s="3" t="s">
        <v>125</v>
      </c>
      <c r="C33" s="3">
        <v>41.14</v>
      </c>
      <c r="D33" s="3">
        <v>31.0</v>
      </c>
      <c r="E33" s="7"/>
      <c r="F33" s="4"/>
      <c r="G33" s="19" t="str">
        <f>IFERROR(__xludf.DUMMYFUNCTION("""COMPUTED_VALUE"""),"SUN")</f>
        <v>SUN</v>
      </c>
      <c r="H33" s="19">
        <f>IFERROR(__xludf.DUMMYFUNCTION("""COMPUTED_VALUE"""),39.688)</f>
        <v>39.688</v>
      </c>
      <c r="I33" s="19">
        <f>IFERROR(__xludf.DUMMYFUNCTION("""COMPUTED_VALUE"""),75.7)</f>
        <v>75.7</v>
      </c>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ht="12.75" customHeight="1">
      <c r="A34" s="18" t="str">
        <f>IFERROR(VLOOKUP(B34,Standings!$A$2:$R$132,6,FALSE),0)</f>
        <v>B1G</v>
      </c>
      <c r="B34" s="3" t="s">
        <v>74</v>
      </c>
      <c r="C34" s="3">
        <v>41.11</v>
      </c>
      <c r="D34" s="3">
        <v>32.0</v>
      </c>
      <c r="E34" s="7"/>
      <c r="F34" s="4"/>
      <c r="G34" s="19" t="str">
        <f>IFERROR(__xludf.DUMMYFUNCTION("""COMPUTED_VALUE"""),"MAC")</f>
        <v>MAC</v>
      </c>
      <c r="H34" s="19">
        <f>IFERROR(__xludf.DUMMYFUNCTION("""COMPUTED_VALUE"""),37.385)</f>
        <v>37.385</v>
      </c>
      <c r="I34" s="19">
        <f>IFERROR(__xludf.DUMMYFUNCTION("""COMPUTED_VALUE"""),68.5)</f>
        <v>68.5</v>
      </c>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ht="12.75" customHeight="1">
      <c r="A35" s="18" t="str">
        <f>IFERROR(VLOOKUP(B35,Standings!$A$2:$R$132,6,FALSE),0)</f>
        <v>PAC12</v>
      </c>
      <c r="B35" s="3" t="s">
        <v>138</v>
      </c>
      <c r="C35" s="3">
        <v>40.47</v>
      </c>
      <c r="D35" s="3">
        <v>33.0</v>
      </c>
      <c r="E35" s="7"/>
      <c r="F35" s="4"/>
      <c r="G35" s="19" t="str">
        <f>IFERROR(__xludf.DUMMYFUNCTION("""COMPUTED_VALUE"""),"MWC")</f>
        <v>MWC</v>
      </c>
      <c r="H35" s="19">
        <f>IFERROR(__xludf.DUMMYFUNCTION("""COMPUTED_VALUE"""),35.63250000000001)</f>
        <v>35.6325</v>
      </c>
      <c r="I35" s="19">
        <f>IFERROR(__xludf.DUMMYFUNCTION("""COMPUTED_VALUE"""),68.16666666666667)</f>
        <v>68.16666667</v>
      </c>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ht="12.75" customHeight="1">
      <c r="A36" s="18" t="str">
        <f>IFERROR(VLOOKUP(B36,Standings!$A$2:$R$132,6,FALSE),0)</f>
        <v>B1G</v>
      </c>
      <c r="B36" s="3" t="s">
        <v>57</v>
      </c>
      <c r="C36" s="3">
        <v>40.05</v>
      </c>
      <c r="D36" s="3">
        <v>34.0</v>
      </c>
      <c r="E36" s="7"/>
      <c r="F36" s="4"/>
      <c r="G36" s="19" t="str">
        <f>IFERROR(__xludf.DUMMYFUNCTION("""COMPUTED_VALUE"""),"AAC")</f>
        <v>AAC</v>
      </c>
      <c r="H36" s="19">
        <f>IFERROR(__xludf.DUMMYFUNCTION("""COMPUTED_VALUE"""),35.51416666666667)</f>
        <v>35.51416667</v>
      </c>
      <c r="I36" s="19">
        <f>IFERROR(__xludf.DUMMYFUNCTION("""COMPUTED_VALUE"""),76.5)</f>
        <v>76.5</v>
      </c>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ht="12.75" customHeight="1">
      <c r="A37" s="18" t="str">
        <f>IFERROR(VLOOKUP(B37,Standings!$A$2:$R$132,6,FALSE),0)</f>
        <v>SEC</v>
      </c>
      <c r="B37" s="3" t="s">
        <v>129</v>
      </c>
      <c r="C37" s="3">
        <v>39.96</v>
      </c>
      <c r="D37" s="3">
        <v>35.0</v>
      </c>
      <c r="E37" s="7"/>
      <c r="F37" s="4"/>
      <c r="G37" s="19" t="str">
        <f>IFERROR(__xludf.DUMMYFUNCTION("""COMPUTED_VALUE"""),"CUSA")</f>
        <v>CUSA</v>
      </c>
      <c r="H37" s="19">
        <f>IFERROR(__xludf.DUMMYFUNCTION("""COMPUTED_VALUE"""),28.65571428571428)</f>
        <v>28.65571429</v>
      </c>
      <c r="I37" s="19">
        <f>IFERROR(__xludf.DUMMYFUNCTION("""COMPUTED_VALUE"""),103.85714285714286)</f>
        <v>103.8571429</v>
      </c>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ht="12.75" customHeight="1">
      <c r="A38" s="18" t="str">
        <f>IFERROR(VLOOKUP(B38,Standings!$A$2:$R$132,6,FALSE),0)</f>
        <v>SEC</v>
      </c>
      <c r="B38" s="3" t="s">
        <v>64</v>
      </c>
      <c r="C38" s="3">
        <v>39.11</v>
      </c>
      <c r="D38" s="3">
        <v>36.0</v>
      </c>
      <c r="E38" s="7"/>
      <c r="F38" s="4"/>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ht="12.75" customHeight="1">
      <c r="A39" s="18" t="str">
        <f>IFERROR(VLOOKUP(B39,Standings!$A$2:$R$132,6,FALSE),0)</f>
        <v>BIG12</v>
      </c>
      <c r="B39" s="3" t="s">
        <v>117</v>
      </c>
      <c r="C39" s="3">
        <v>38.08</v>
      </c>
      <c r="D39" s="3">
        <v>37.0</v>
      </c>
      <c r="E39" s="7"/>
      <c r="F39" s="4"/>
      <c r="G39" s="8" t="s">
        <v>217</v>
      </c>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ht="12.75" customHeight="1">
      <c r="A40" s="18" t="str">
        <f>IFERROR(VLOOKUP(B40,Standings!$A$2:$R$132,6,FALSE),0)</f>
        <v>MWC</v>
      </c>
      <c r="B40" s="3" t="s">
        <v>176</v>
      </c>
      <c r="C40" s="3">
        <v>38.02</v>
      </c>
      <c r="D40" s="3">
        <v>38.0</v>
      </c>
      <c r="E40" s="7"/>
      <c r="F40" s="4"/>
      <c r="G40" s="30" t="s">
        <v>212</v>
      </c>
      <c r="H40" s="30" t="s">
        <v>213</v>
      </c>
      <c r="I40" s="30" t="s">
        <v>214</v>
      </c>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ht="12.75" customHeight="1">
      <c r="A41" s="18" t="str">
        <f>IFERROR(VLOOKUP(B41,Standings!$A$2:$R$132,6,FALSE),0)</f>
        <v>MAC</v>
      </c>
      <c r="B41" s="3" t="s">
        <v>179</v>
      </c>
      <c r="C41" s="3">
        <v>37.85</v>
      </c>
      <c r="D41" s="3">
        <v>39.0</v>
      </c>
      <c r="E41" s="7"/>
      <c r="F41" s="4"/>
      <c r="G41" s="19" t="str">
        <f>IFERROR(__xludf.DUMMYFUNCTION("QUERY(confcors,""SELECT E, F, G ORDER by G ASC"",0)"),"PAC12")</f>
        <v>PAC12</v>
      </c>
      <c r="H41" s="19">
        <f>IFERROR(__xludf.DUMMYFUNCTION("""COMPUTED_VALUE"""),39.979166666666664)</f>
        <v>39.97916667</v>
      </c>
      <c r="I41" s="19">
        <f>IFERROR(__xludf.DUMMYFUNCTION("""COMPUTED_VALUE"""),48.0)</f>
        <v>48</v>
      </c>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ht="12.75" customHeight="1">
      <c r="A42" s="18" t="str">
        <f>IFERROR(VLOOKUP(B42,Standings!$A$2:$R$132,6,FALSE),0)</f>
        <v>ACC</v>
      </c>
      <c r="B42" s="3" t="s">
        <v>109</v>
      </c>
      <c r="C42" s="3">
        <v>37.82</v>
      </c>
      <c r="D42" s="3">
        <v>40.0</v>
      </c>
      <c r="E42" s="7"/>
      <c r="F42" s="4"/>
      <c r="G42" s="19" t="str">
        <f>IFERROR(__xludf.DUMMYFUNCTION("""COMPUTED_VALUE"""),"SEC")</f>
        <v>SEC</v>
      </c>
      <c r="H42" s="19">
        <f>IFERROR(__xludf.DUMMYFUNCTION("""COMPUTED_VALUE"""),48.48285714285714)</f>
        <v>48.48285714</v>
      </c>
      <c r="I42" s="19">
        <f>IFERROR(__xludf.DUMMYFUNCTION("""COMPUTED_VALUE"""),48.5)</f>
        <v>48.5</v>
      </c>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ht="12.75" customHeight="1">
      <c r="A43" s="18" t="str">
        <f>IFERROR(VLOOKUP(B43,Standings!$A$2:$R$132,6,FALSE),0)</f>
        <v>MWC</v>
      </c>
      <c r="B43" s="3" t="s">
        <v>164</v>
      </c>
      <c r="C43" s="3">
        <v>37.5</v>
      </c>
      <c r="D43" s="3">
        <v>41.0</v>
      </c>
      <c r="E43" s="7"/>
      <c r="F43" s="4"/>
      <c r="G43" s="19" t="str">
        <f>IFERROR(__xludf.DUMMYFUNCTION("""COMPUTED_VALUE"""),"BIG12")</f>
        <v>BIG12</v>
      </c>
      <c r="H43" s="19">
        <f>IFERROR(__xludf.DUMMYFUNCTION("""COMPUTED_VALUE"""),47.63199999999999)</f>
        <v>47.632</v>
      </c>
      <c r="I43" s="19">
        <f>IFERROR(__xludf.DUMMYFUNCTION("""COMPUTED_VALUE"""),50.9)</f>
        <v>50.9</v>
      </c>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ht="12.75" customHeight="1">
      <c r="A44" s="18" t="str">
        <f>IFERROR(VLOOKUP(B44,Standings!$A$2:$R$132,6,FALSE),0)</f>
        <v>SUN</v>
      </c>
      <c r="B44" s="3" t="s">
        <v>98</v>
      </c>
      <c r="C44" s="3">
        <v>37.44</v>
      </c>
      <c r="D44" s="3">
        <v>42.0</v>
      </c>
      <c r="E44" s="7"/>
      <c r="F44" s="9"/>
      <c r="G44" s="19" t="str">
        <f>IFERROR(__xludf.DUMMYFUNCTION("""COMPUTED_VALUE"""),"ACC")</f>
        <v>ACC</v>
      </c>
      <c r="H44" s="19">
        <f>IFERROR(__xludf.DUMMYFUNCTION("""COMPUTED_VALUE"""),43.836)</f>
        <v>43.836</v>
      </c>
      <c r="I44" s="19">
        <f>IFERROR(__xludf.DUMMYFUNCTION("""COMPUTED_VALUE"""),56.2)</f>
        <v>56.2</v>
      </c>
      <c r="J44" s="6"/>
      <c r="K44" s="6"/>
      <c r="L44" s="6"/>
      <c r="M44" s="6"/>
      <c r="N44" s="6"/>
      <c r="O44" s="6"/>
      <c r="P44" s="6"/>
      <c r="Q44" s="6"/>
      <c r="R44" s="6"/>
      <c r="S44" s="6"/>
      <c r="T44" s="6"/>
      <c r="U44" s="6"/>
      <c r="V44" s="6"/>
      <c r="W44" s="6"/>
      <c r="X44" s="6"/>
      <c r="Y44" s="7"/>
      <c r="Z44" s="7"/>
      <c r="AA44" s="7"/>
      <c r="AB44" s="7"/>
      <c r="AC44" s="7"/>
      <c r="AD44" s="7"/>
      <c r="AE44" s="7"/>
      <c r="AF44" s="7"/>
      <c r="AG44" s="7"/>
      <c r="AH44" s="7"/>
      <c r="AI44" s="7"/>
      <c r="AJ44" s="7"/>
      <c r="AK44" s="7"/>
      <c r="AL44" s="7"/>
      <c r="AM44" s="7"/>
      <c r="AN44" s="7"/>
    </row>
    <row r="45" ht="12.75" customHeight="1">
      <c r="A45" s="18" t="str">
        <f>IFERROR(VLOOKUP(B45,Standings!$A$2:$R$132,6,FALSE),0)</f>
        <v>AAC</v>
      </c>
      <c r="B45" s="3" t="s">
        <v>132</v>
      </c>
      <c r="C45" s="3">
        <v>37.38</v>
      </c>
      <c r="D45" s="3">
        <v>43.0</v>
      </c>
      <c r="E45" s="7"/>
      <c r="F45" s="4"/>
      <c r="G45" s="19" t="str">
        <f>IFERROR(__xludf.DUMMYFUNCTION("""COMPUTED_VALUE"""),"B1G")</f>
        <v>B1G</v>
      </c>
      <c r="H45" s="19">
        <f>IFERROR(__xludf.DUMMYFUNCTION("""COMPUTED_VALUE"""),45.93142857142857)</f>
        <v>45.93142857</v>
      </c>
      <c r="I45" s="19">
        <f>IFERROR(__xludf.DUMMYFUNCTION("""COMPUTED_VALUE"""),57.0)</f>
        <v>57</v>
      </c>
      <c r="J45" s="4"/>
      <c r="K45" s="4"/>
      <c r="L45" s="4"/>
      <c r="M45" s="4"/>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ht="12.75" customHeight="1">
      <c r="A46" s="18" t="str">
        <f>IFERROR(VLOOKUP(B46,Standings!$A$2:$R$132,6,FALSE),0)</f>
        <v>PAC12</v>
      </c>
      <c r="B46" s="3" t="s">
        <v>62</v>
      </c>
      <c r="C46" s="3">
        <v>37.34</v>
      </c>
      <c r="D46" s="3">
        <v>44.0</v>
      </c>
      <c r="E46" s="7"/>
      <c r="F46" s="4"/>
      <c r="G46" s="19" t="str">
        <f>IFERROR(__xludf.DUMMYFUNCTION("""COMPUTED_VALUE"""),"IND")</f>
        <v>IND</v>
      </c>
      <c r="H46" s="19">
        <f>IFERROR(__xludf.DUMMYFUNCTION("""COMPUTED_VALUE"""),45.653999999999996)</f>
        <v>45.654</v>
      </c>
      <c r="I46" s="19">
        <f>IFERROR(__xludf.DUMMYFUNCTION("""COMPUTED_VALUE"""),67.0)</f>
        <v>67</v>
      </c>
      <c r="J46" s="4"/>
      <c r="K46" s="4"/>
      <c r="L46" s="4"/>
      <c r="M46" s="4"/>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ht="12.75" customHeight="1">
      <c r="A47" s="18" t="str">
        <f>IFERROR(VLOOKUP(B47,Standings!$A$2:$R$132,6,FALSE),0)</f>
        <v>SEC</v>
      </c>
      <c r="B47" s="3" t="s">
        <v>53</v>
      </c>
      <c r="C47" s="3">
        <v>37.27</v>
      </c>
      <c r="D47" s="3">
        <v>45.0</v>
      </c>
      <c r="E47" s="7"/>
      <c r="F47" s="4"/>
      <c r="G47" s="19" t="str">
        <f>IFERROR(__xludf.DUMMYFUNCTION("""COMPUTED_VALUE"""),"MWC")</f>
        <v>MWC</v>
      </c>
      <c r="H47" s="19">
        <f>IFERROR(__xludf.DUMMYFUNCTION("""COMPUTED_VALUE"""),35.63250000000001)</f>
        <v>35.6325</v>
      </c>
      <c r="I47" s="19">
        <f>IFERROR(__xludf.DUMMYFUNCTION("""COMPUTED_VALUE"""),68.16666666666667)</f>
        <v>68.16666667</v>
      </c>
      <c r="J47" s="4"/>
      <c r="K47" s="4"/>
      <c r="L47" s="4"/>
      <c r="M47" s="4"/>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ht="12.75" customHeight="1">
      <c r="A48" s="18" t="str">
        <f>IFERROR(VLOOKUP(B48,Standings!$A$2:$R$132,6,FALSE),0)</f>
        <v>ACC</v>
      </c>
      <c r="B48" s="3" t="s">
        <v>112</v>
      </c>
      <c r="C48" s="3">
        <v>36.98</v>
      </c>
      <c r="D48" s="3">
        <v>46.0</v>
      </c>
      <c r="E48" s="7"/>
      <c r="F48" s="4"/>
      <c r="G48" s="19" t="str">
        <f>IFERROR(__xludf.DUMMYFUNCTION("""COMPUTED_VALUE"""),"MAC")</f>
        <v>MAC</v>
      </c>
      <c r="H48" s="19">
        <f>IFERROR(__xludf.DUMMYFUNCTION("""COMPUTED_VALUE"""),37.385)</f>
        <v>37.385</v>
      </c>
      <c r="I48" s="19">
        <f>IFERROR(__xludf.DUMMYFUNCTION("""COMPUTED_VALUE"""),68.5)</f>
        <v>68.5</v>
      </c>
      <c r="J48" s="4"/>
      <c r="K48" s="4"/>
      <c r="L48" s="4"/>
      <c r="M48" s="4"/>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ht="12.75" customHeight="1">
      <c r="A49" s="18" t="str">
        <f>IFERROR(VLOOKUP(B49,Standings!$A$2:$R$132,6,FALSE),0)</f>
        <v>SEC</v>
      </c>
      <c r="B49" s="3" t="s">
        <v>99</v>
      </c>
      <c r="C49" s="3">
        <v>36.94</v>
      </c>
      <c r="D49" s="3">
        <v>47.0</v>
      </c>
      <c r="E49" s="7"/>
      <c r="F49" s="4"/>
      <c r="G49" s="19" t="str">
        <f>IFERROR(__xludf.DUMMYFUNCTION("""COMPUTED_VALUE"""),"SUN")</f>
        <v>SUN</v>
      </c>
      <c r="H49" s="19">
        <f>IFERROR(__xludf.DUMMYFUNCTION("""COMPUTED_VALUE"""),39.688)</f>
        <v>39.688</v>
      </c>
      <c r="I49" s="19">
        <f>IFERROR(__xludf.DUMMYFUNCTION("""COMPUTED_VALUE"""),75.7)</f>
        <v>75.7</v>
      </c>
      <c r="J49" s="4"/>
      <c r="K49" s="4"/>
      <c r="L49" s="4"/>
      <c r="M49" s="4"/>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ht="12.75" customHeight="1">
      <c r="A50" s="18" t="str">
        <f>IFERROR(VLOOKUP(B50,Standings!$A$2:$R$132,6,FALSE),0)</f>
        <v>ACC</v>
      </c>
      <c r="B50" s="3" t="s">
        <v>94</v>
      </c>
      <c r="C50" s="3">
        <v>36.87</v>
      </c>
      <c r="D50" s="3">
        <v>48.0</v>
      </c>
      <c r="E50" s="7"/>
      <c r="F50" s="4"/>
      <c r="G50" s="4" t="str">
        <f>IFERROR(__xludf.DUMMYFUNCTION("""COMPUTED_VALUE"""),"AAC")</f>
        <v>AAC</v>
      </c>
      <c r="H50" s="21">
        <f>IFERROR(__xludf.DUMMYFUNCTION("""COMPUTED_VALUE"""),35.51416666666667)</f>
        <v>35.51416667</v>
      </c>
      <c r="I50" s="19">
        <f>IFERROR(__xludf.DUMMYFUNCTION("""COMPUTED_VALUE"""),76.5)</f>
        <v>76.5</v>
      </c>
      <c r="J50" s="4"/>
      <c r="K50" s="4"/>
      <c r="L50" s="4"/>
      <c r="M50" s="4"/>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ht="12.75" customHeight="1">
      <c r="A51" s="18" t="str">
        <f>IFERROR(VLOOKUP(B51,Standings!$A$2:$R$132,6,FALSE),0)</f>
        <v>MAC</v>
      </c>
      <c r="B51" s="3" t="s">
        <v>126</v>
      </c>
      <c r="C51" s="3">
        <v>36.79</v>
      </c>
      <c r="D51" s="3">
        <v>49.0</v>
      </c>
      <c r="E51" s="7"/>
      <c r="F51" s="4"/>
      <c r="G51" s="4" t="str">
        <f>IFERROR(__xludf.DUMMYFUNCTION("""COMPUTED_VALUE"""),"CUSA")</f>
        <v>CUSA</v>
      </c>
      <c r="H51" s="21">
        <f>IFERROR(__xludf.DUMMYFUNCTION("""COMPUTED_VALUE"""),28.65571428571428)</f>
        <v>28.65571429</v>
      </c>
      <c r="I51" s="19">
        <f>IFERROR(__xludf.DUMMYFUNCTION("""COMPUTED_VALUE"""),103.85714285714286)</f>
        <v>103.8571429</v>
      </c>
      <c r="J51" s="4"/>
      <c r="K51" s="4"/>
      <c r="L51" s="4"/>
      <c r="M51" s="4"/>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ht="12.75" customHeight="1">
      <c r="A52" s="18" t="str">
        <f>IFERROR(VLOOKUP(B52,Standings!$A$2:$R$132,6,FALSE),0)</f>
        <v>ACC</v>
      </c>
      <c r="B52" s="3" t="s">
        <v>101</v>
      </c>
      <c r="C52" s="3">
        <v>36.62</v>
      </c>
      <c r="D52" s="3">
        <v>50.0</v>
      </c>
      <c r="E52" s="7"/>
      <c r="F52" s="4"/>
      <c r="G52" s="4"/>
      <c r="H52" s="21"/>
      <c r="I52" s="4"/>
      <c r="J52" s="4"/>
      <c r="K52" s="4"/>
      <c r="L52" s="4"/>
      <c r="M52" s="4"/>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ht="12.75" customHeight="1">
      <c r="A53" s="18" t="str">
        <f>IFERROR(VLOOKUP(B53,Standings!$A$2:$R$132,6,FALSE),0)</f>
        <v>SEC</v>
      </c>
      <c r="B53" s="3" t="s">
        <v>149</v>
      </c>
      <c r="C53" s="3">
        <v>36.59</v>
      </c>
      <c r="D53" s="3">
        <v>51.0</v>
      </c>
      <c r="E53" s="7"/>
      <c r="F53" s="4"/>
      <c r="G53" s="4"/>
      <c r="H53" s="21"/>
      <c r="I53" s="4"/>
      <c r="J53" s="4"/>
      <c r="K53" s="4"/>
      <c r="L53" s="4"/>
      <c r="M53" s="4"/>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ht="12.75" customHeight="1">
      <c r="A54" s="18" t="str">
        <f>IFERROR(VLOOKUP(B54,Standings!$A$2:$R$132,6,FALSE),0)</f>
        <v>ACC</v>
      </c>
      <c r="B54" s="3" t="s">
        <v>93</v>
      </c>
      <c r="C54" s="3">
        <v>36.48</v>
      </c>
      <c r="D54" s="3">
        <v>52.0</v>
      </c>
      <c r="E54" s="7"/>
      <c r="F54" s="4"/>
      <c r="G54" s="4"/>
      <c r="H54" s="21"/>
      <c r="I54" s="4"/>
      <c r="J54" s="4"/>
      <c r="K54" s="4"/>
      <c r="L54" s="4"/>
      <c r="M54" s="4"/>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ht="12.75" customHeight="1">
      <c r="A55" s="18" t="str">
        <f>IFERROR(VLOOKUP(B55,Standings!$A$2:$R$132,6,FALSE),0)</f>
        <v>PAC12</v>
      </c>
      <c r="B55" s="3" t="s">
        <v>171</v>
      </c>
      <c r="C55" s="3">
        <v>36.35</v>
      </c>
      <c r="D55" s="3">
        <v>53.0</v>
      </c>
      <c r="E55" s="7"/>
      <c r="F55" s="4"/>
      <c r="G55" s="4"/>
      <c r="H55" s="21"/>
      <c r="I55" s="4"/>
      <c r="J55" s="4"/>
      <c r="K55" s="4"/>
      <c r="L55" s="4"/>
      <c r="M55" s="4"/>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ht="12.75" customHeight="1">
      <c r="A56" s="18" t="str">
        <f>IFERROR(VLOOKUP(B56,Standings!$A$2:$R$132,6,FALSE),0)</f>
        <v>ACC</v>
      </c>
      <c r="B56" s="3" t="s">
        <v>82</v>
      </c>
      <c r="C56" s="3">
        <v>36.12</v>
      </c>
      <c r="D56" s="3">
        <v>54.0</v>
      </c>
      <c r="E56" s="7"/>
      <c r="F56" s="4"/>
      <c r="G56" s="4"/>
      <c r="H56" s="21"/>
      <c r="I56" s="4"/>
      <c r="J56" s="4"/>
      <c r="K56" s="4"/>
      <c r="L56" s="4"/>
      <c r="M56" s="4"/>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ht="12.75" customHeight="1">
      <c r="A57" s="18" t="str">
        <f>IFERROR(VLOOKUP(B57,Standings!$A$2:$R$132,6,FALSE),0)</f>
        <v>PAC12</v>
      </c>
      <c r="B57" s="3" t="s">
        <v>180</v>
      </c>
      <c r="C57" s="3">
        <v>35.77</v>
      </c>
      <c r="D57" s="3">
        <v>55.0</v>
      </c>
      <c r="E57" s="7"/>
      <c r="F57" s="4"/>
      <c r="G57" s="4"/>
      <c r="H57" s="21"/>
      <c r="I57" s="4"/>
      <c r="J57" s="4"/>
      <c r="K57" s="4"/>
      <c r="L57" s="4"/>
      <c r="M57" s="4"/>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ht="12.75" customHeight="1">
      <c r="A58" s="18" t="str">
        <f>IFERROR(VLOOKUP(B58,Standings!$A$2:$R$132,6,FALSE),0)</f>
        <v>ACC</v>
      </c>
      <c r="B58" s="3" t="s">
        <v>89</v>
      </c>
      <c r="C58" s="3">
        <v>35.74</v>
      </c>
      <c r="D58" s="3">
        <v>56.0</v>
      </c>
      <c r="E58" s="7"/>
      <c r="F58" s="4"/>
      <c r="G58" s="4"/>
      <c r="H58" s="21"/>
      <c r="I58" s="4"/>
      <c r="J58" s="4"/>
      <c r="K58" s="4"/>
      <c r="L58" s="4"/>
      <c r="M58" s="4"/>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ht="12.75" customHeight="1">
      <c r="A59" s="18" t="str">
        <f>IFERROR(VLOOKUP(B59,Standings!$A$2:$R$132,6,FALSE),0)</f>
        <v>MWC</v>
      </c>
      <c r="B59" s="3" t="s">
        <v>107</v>
      </c>
      <c r="C59" s="3">
        <v>35.54</v>
      </c>
      <c r="D59" s="3">
        <v>57.0</v>
      </c>
      <c r="E59" s="7"/>
      <c r="F59" s="4"/>
      <c r="G59" s="4"/>
      <c r="H59" s="21"/>
      <c r="I59" s="4"/>
      <c r="J59" s="4"/>
      <c r="K59" s="4"/>
      <c r="L59" s="4"/>
      <c r="M59" s="4"/>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ht="12.75" customHeight="1">
      <c r="A60" s="18" t="str">
        <f>IFERROR(VLOOKUP(B60,Standings!$A$2:$R$132,6,FALSE),0)</f>
        <v>MWC</v>
      </c>
      <c r="B60" s="3" t="s">
        <v>144</v>
      </c>
      <c r="C60" s="3">
        <v>35.51</v>
      </c>
      <c r="D60" s="3">
        <v>58.0</v>
      </c>
      <c r="E60" s="7"/>
      <c r="F60" s="4"/>
      <c r="G60" s="4"/>
      <c r="H60" s="21"/>
      <c r="I60" s="4"/>
      <c r="J60" s="4"/>
      <c r="K60" s="4"/>
      <c r="L60" s="4"/>
      <c r="M60" s="4"/>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ht="12.75" customHeight="1">
      <c r="A61" s="18" t="str">
        <f>IFERROR(VLOOKUP(B61,Standings!$A$2:$R$132,6,FALSE),0)</f>
        <v>B1G</v>
      </c>
      <c r="B61" s="3" t="s">
        <v>153</v>
      </c>
      <c r="C61" s="3">
        <v>35.51</v>
      </c>
      <c r="D61" s="3">
        <v>58.0</v>
      </c>
      <c r="E61" s="7"/>
      <c r="F61" s="4"/>
      <c r="G61" s="4"/>
      <c r="H61" s="21"/>
      <c r="I61" s="4"/>
      <c r="J61" s="4"/>
      <c r="K61" s="4"/>
      <c r="L61" s="4"/>
      <c r="M61" s="4"/>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ht="12.75" customHeight="1">
      <c r="A62" s="18" t="str">
        <f>IFERROR(VLOOKUP(B62,Standings!$A$2:$R$132,6,FALSE),0)</f>
        <v>B1G</v>
      </c>
      <c r="B62" s="3" t="s">
        <v>91</v>
      </c>
      <c r="C62" s="3">
        <v>35.39</v>
      </c>
      <c r="D62" s="3">
        <v>60.0</v>
      </c>
      <c r="E62" s="7"/>
      <c r="F62" s="4"/>
      <c r="G62" s="4"/>
      <c r="H62" s="21"/>
      <c r="I62" s="4"/>
      <c r="J62" s="4"/>
      <c r="K62" s="4"/>
      <c r="L62" s="4"/>
      <c r="M62" s="4"/>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ht="12.75" customHeight="1">
      <c r="A63" s="18" t="str">
        <f>IFERROR(VLOOKUP(B63,Standings!$A$2:$R$132,6,FALSE),0)</f>
        <v>AAC</v>
      </c>
      <c r="B63" s="3" t="s">
        <v>60</v>
      </c>
      <c r="C63" s="3">
        <v>35.34</v>
      </c>
      <c r="D63" s="3">
        <v>61.0</v>
      </c>
      <c r="E63" s="7"/>
      <c r="F63" s="4"/>
      <c r="G63" s="4"/>
      <c r="H63" s="21"/>
      <c r="I63" s="4"/>
      <c r="J63" s="4"/>
      <c r="K63" s="4"/>
      <c r="L63" s="4"/>
      <c r="M63" s="4"/>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ht="12.75" customHeight="1">
      <c r="A64" s="18" t="str">
        <f>IFERROR(VLOOKUP(B64,Standings!$A$2:$R$132,6,FALSE),0)</f>
        <v>SUN</v>
      </c>
      <c r="B64" s="3" t="s">
        <v>136</v>
      </c>
      <c r="C64" s="3">
        <v>35.33</v>
      </c>
      <c r="D64" s="3">
        <v>62.0</v>
      </c>
      <c r="E64" s="7"/>
      <c r="F64" s="4"/>
      <c r="G64" s="4"/>
      <c r="H64" s="21"/>
      <c r="I64" s="4"/>
      <c r="J64" s="4"/>
      <c r="K64" s="4"/>
      <c r="L64" s="4"/>
      <c r="M64" s="4"/>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ht="12.75" customHeight="1">
      <c r="A65" s="18" t="str">
        <f>IFERROR(VLOOKUP(B65,Standings!$A$2:$R$132,6,FALSE),0)</f>
        <v>MAC</v>
      </c>
      <c r="B65" s="3" t="s">
        <v>142</v>
      </c>
      <c r="C65" s="3">
        <v>35.28</v>
      </c>
      <c r="D65" s="3">
        <v>63.0</v>
      </c>
      <c r="E65" s="7"/>
      <c r="F65" s="4"/>
      <c r="G65" s="4"/>
      <c r="H65" s="21"/>
      <c r="I65" s="4"/>
      <c r="J65" s="4"/>
      <c r="K65" s="4"/>
      <c r="L65" s="4"/>
      <c r="M65" s="4"/>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ht="12.75" customHeight="1">
      <c r="A66" s="18" t="str">
        <f>IFERROR(VLOOKUP(B66,Standings!$A$2:$R$132,6,FALSE),0)</f>
        <v>BIG12</v>
      </c>
      <c r="B66" s="3" t="s">
        <v>127</v>
      </c>
      <c r="C66" s="3">
        <v>35.27</v>
      </c>
      <c r="D66" s="3">
        <v>64.0</v>
      </c>
      <c r="E66" s="7"/>
      <c r="F66" s="4"/>
      <c r="G66" s="4"/>
      <c r="H66" s="21"/>
      <c r="I66" s="4"/>
      <c r="J66" s="4"/>
      <c r="K66" s="4"/>
      <c r="L66" s="4"/>
      <c r="M66" s="4"/>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ht="12.75" customHeight="1">
      <c r="A67" s="18" t="str">
        <f>IFERROR(VLOOKUP(B67,Standings!$A$2:$R$132,6,FALSE),0)</f>
        <v>SEC</v>
      </c>
      <c r="B67" s="3" t="s">
        <v>118</v>
      </c>
      <c r="C67" s="3">
        <v>35.17</v>
      </c>
      <c r="D67" s="3">
        <v>65.0</v>
      </c>
      <c r="E67" s="7"/>
      <c r="F67" s="4"/>
      <c r="G67" s="4"/>
      <c r="H67" s="21"/>
      <c r="I67" s="4"/>
      <c r="J67" s="4"/>
      <c r="K67" s="4"/>
      <c r="L67" s="4"/>
      <c r="M67" s="4"/>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ht="12.75" customHeight="1">
      <c r="A68" s="18" t="str">
        <f>IFERROR(VLOOKUP(B68,Standings!$A$2:$R$132,6,FALSE),0)</f>
        <v>PAC12</v>
      </c>
      <c r="B68" s="3" t="s">
        <v>160</v>
      </c>
      <c r="C68" s="3">
        <v>34.87</v>
      </c>
      <c r="D68" s="3">
        <v>66.0</v>
      </c>
      <c r="E68" s="7"/>
      <c r="F68" s="4"/>
      <c r="G68" s="4"/>
      <c r="H68" s="21"/>
      <c r="I68" s="4"/>
      <c r="J68" s="4"/>
      <c r="K68" s="4"/>
      <c r="L68" s="4"/>
      <c r="M68" s="4"/>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ht="12.75" customHeight="1">
      <c r="A69" s="18" t="str">
        <f>IFERROR(VLOOKUP(B69,Standings!$A$2:$R$132,6,FALSE),0)</f>
        <v>MAC</v>
      </c>
      <c r="B69" s="3" t="s">
        <v>151</v>
      </c>
      <c r="C69" s="3">
        <v>34.83</v>
      </c>
      <c r="D69" s="3">
        <v>67.0</v>
      </c>
      <c r="E69" s="7"/>
      <c r="F69" s="4"/>
      <c r="G69" s="4"/>
      <c r="H69" s="21"/>
      <c r="I69" s="4"/>
      <c r="J69" s="4"/>
      <c r="K69" s="4"/>
      <c r="L69" s="4"/>
      <c r="M69" s="4"/>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ht="12.75" customHeight="1">
      <c r="A70" s="18" t="str">
        <f>IFERROR(VLOOKUP(B70,Standings!$A$2:$R$132,6,FALSE),0)</f>
        <v>MAC</v>
      </c>
      <c r="B70" s="3" t="s">
        <v>191</v>
      </c>
      <c r="C70" s="3">
        <v>34.71</v>
      </c>
      <c r="D70" s="3">
        <v>68.0</v>
      </c>
      <c r="E70" s="7"/>
      <c r="F70" s="4"/>
      <c r="G70" s="4"/>
      <c r="H70" s="21"/>
      <c r="I70" s="4"/>
      <c r="J70" s="4"/>
      <c r="K70" s="4"/>
      <c r="L70" s="4"/>
      <c r="M70" s="4"/>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ht="12.75" customHeight="1">
      <c r="A71" s="18" t="str">
        <f>IFERROR(VLOOKUP(B71,Standings!$A$2:$R$132,6,FALSE),0)</f>
        <v>MWC</v>
      </c>
      <c r="B71" s="3" t="s">
        <v>133</v>
      </c>
      <c r="C71" s="3">
        <v>34.63</v>
      </c>
      <c r="D71" s="3">
        <v>69.0</v>
      </c>
      <c r="E71" s="7"/>
      <c r="F71" s="4"/>
      <c r="G71" s="4"/>
      <c r="H71" s="21"/>
      <c r="I71" s="4"/>
      <c r="J71" s="4"/>
      <c r="K71" s="4"/>
      <c r="L71" s="4"/>
      <c r="M71" s="4"/>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ht="12.75" customHeight="1">
      <c r="A72" s="18" t="str">
        <f>IFERROR(VLOOKUP(B72,Standings!$A$2:$R$132,6,FALSE),0)</f>
        <v>AAC</v>
      </c>
      <c r="B72" s="3" t="s">
        <v>103</v>
      </c>
      <c r="C72" s="3">
        <v>34.42</v>
      </c>
      <c r="D72" s="3">
        <v>70.0</v>
      </c>
      <c r="E72" s="7"/>
      <c r="F72" s="4"/>
      <c r="G72" s="4"/>
      <c r="H72" s="21"/>
      <c r="I72" s="4"/>
      <c r="J72" s="4"/>
      <c r="K72" s="4"/>
      <c r="L72" s="4"/>
      <c r="M72" s="4"/>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ht="12.75" customHeight="1">
      <c r="A73" s="18" t="str">
        <f>IFERROR(VLOOKUP(B73,Standings!$A$2:$R$132,6,FALSE),0)</f>
        <v>MAC</v>
      </c>
      <c r="B73" s="3" t="s">
        <v>169</v>
      </c>
      <c r="C73" s="3">
        <v>34.3</v>
      </c>
      <c r="D73" s="3">
        <v>71.0</v>
      </c>
      <c r="E73" s="7"/>
      <c r="F73" s="4"/>
      <c r="G73" s="4"/>
      <c r="H73" s="21"/>
      <c r="I73" s="4"/>
      <c r="J73" s="4"/>
      <c r="K73" s="4"/>
      <c r="L73" s="4"/>
      <c r="M73" s="4"/>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ht="12.75" customHeight="1">
      <c r="A74" s="18" t="str">
        <f>IFERROR(VLOOKUP(B74,Standings!$A$2:$R$132,6,FALSE),0)</f>
        <v>PAC12</v>
      </c>
      <c r="B74" s="3" t="s">
        <v>158</v>
      </c>
      <c r="C74" s="3">
        <v>34.21</v>
      </c>
      <c r="D74" s="3">
        <v>72.0</v>
      </c>
      <c r="E74" s="7"/>
      <c r="F74" s="4"/>
      <c r="G74" s="4"/>
      <c r="H74" s="21"/>
      <c r="I74" s="4"/>
      <c r="J74" s="4"/>
      <c r="K74" s="4"/>
      <c r="L74" s="4"/>
      <c r="M74" s="4"/>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ht="12.75" customHeight="1">
      <c r="A75" s="18" t="str">
        <f>IFERROR(VLOOKUP(B75,Standings!$A$2:$R$132,6,FALSE),0)</f>
        <v>MWC</v>
      </c>
      <c r="B75" s="3" t="s">
        <v>173</v>
      </c>
      <c r="C75" s="3">
        <v>34.13</v>
      </c>
      <c r="D75" s="3">
        <v>73.0</v>
      </c>
      <c r="E75" s="7"/>
      <c r="F75" s="4"/>
      <c r="G75" s="4"/>
      <c r="H75" s="21"/>
      <c r="I75" s="4"/>
      <c r="J75" s="4"/>
      <c r="K75" s="4"/>
      <c r="L75" s="4"/>
      <c r="M75" s="4"/>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ht="12.75" customHeight="1">
      <c r="A76" s="18" t="str">
        <f>IFERROR(VLOOKUP(B76,Standings!$A$2:$R$132,6,FALSE),0)</f>
        <v>SEC</v>
      </c>
      <c r="B76" s="3" t="s">
        <v>65</v>
      </c>
      <c r="C76" s="3">
        <v>34.09</v>
      </c>
      <c r="D76" s="3">
        <v>74.0</v>
      </c>
      <c r="E76" s="7"/>
      <c r="F76" s="4"/>
      <c r="G76" s="4"/>
      <c r="H76" s="21"/>
      <c r="I76" s="4"/>
      <c r="J76" s="4"/>
      <c r="K76" s="4"/>
      <c r="L76" s="4"/>
      <c r="M76" s="4"/>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ht="12.75" customHeight="1">
      <c r="A77" s="18" t="str">
        <f>IFERROR(VLOOKUP(B77,Standings!$A$2:$R$132,6,FALSE),0)</f>
        <v>SEC</v>
      </c>
      <c r="B77" s="3" t="s">
        <v>81</v>
      </c>
      <c r="C77" s="3">
        <v>33.91</v>
      </c>
      <c r="D77" s="3">
        <v>75.0</v>
      </c>
      <c r="E77" s="7"/>
      <c r="F77" s="4"/>
      <c r="G77" s="4"/>
      <c r="H77" s="21"/>
      <c r="I77" s="4"/>
      <c r="J77" s="4"/>
      <c r="K77" s="4"/>
      <c r="L77" s="4"/>
      <c r="M77" s="4"/>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ht="12.75" customHeight="1">
      <c r="A78" s="18" t="str">
        <f>IFERROR(VLOOKUP(B78,Standings!$A$2:$R$132,6,FALSE),0)</f>
        <v>B1G</v>
      </c>
      <c r="B78" s="3" t="s">
        <v>150</v>
      </c>
      <c r="C78" s="3">
        <v>33.72</v>
      </c>
      <c r="D78" s="3">
        <v>76.0</v>
      </c>
      <c r="E78" s="7"/>
      <c r="F78" s="4"/>
      <c r="G78" s="4"/>
      <c r="H78" s="21"/>
      <c r="I78" s="4"/>
      <c r="J78" s="4"/>
      <c r="K78" s="4"/>
      <c r="L78" s="4"/>
      <c r="M78" s="4"/>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ht="12.75" customHeight="1">
      <c r="A79" s="18" t="str">
        <f>IFERROR(VLOOKUP(B79,Standings!$A$2:$R$132,6,FALSE),0)</f>
        <v>MAC</v>
      </c>
      <c r="B79" s="3" t="s">
        <v>157</v>
      </c>
      <c r="C79" s="3">
        <v>33.69</v>
      </c>
      <c r="D79" s="3">
        <v>77.0</v>
      </c>
      <c r="E79" s="7"/>
      <c r="F79" s="4"/>
      <c r="G79" s="4"/>
      <c r="H79" s="21"/>
      <c r="I79" s="4"/>
      <c r="J79" s="4"/>
      <c r="K79" s="4"/>
      <c r="L79" s="4"/>
      <c r="M79" s="4"/>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ht="12.75" customHeight="1">
      <c r="A80" s="18" t="str">
        <f>IFERROR(VLOOKUP(B80,Standings!$A$2:$R$132,6,FALSE),0)</f>
        <v>AAC</v>
      </c>
      <c r="B80" s="3" t="s">
        <v>86</v>
      </c>
      <c r="C80" s="3">
        <v>33.56</v>
      </c>
      <c r="D80" s="3">
        <v>78.0</v>
      </c>
      <c r="E80" s="7"/>
      <c r="F80" s="4"/>
      <c r="G80" s="4"/>
      <c r="H80" s="21"/>
      <c r="I80" s="4"/>
      <c r="J80" s="4"/>
      <c r="K80" s="4"/>
      <c r="L80" s="4"/>
      <c r="M80" s="4"/>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ht="12.75" customHeight="1">
      <c r="A81" s="18" t="str">
        <f>IFERROR(VLOOKUP(B81,Standings!$A$2:$R$132,6,FALSE),0)</f>
        <v>MWC</v>
      </c>
      <c r="B81" s="3" t="s">
        <v>186</v>
      </c>
      <c r="C81" s="3">
        <v>33.49</v>
      </c>
      <c r="D81" s="3">
        <v>79.0</v>
      </c>
      <c r="E81" s="7"/>
      <c r="F81" s="4"/>
      <c r="G81" s="4"/>
      <c r="H81" s="21"/>
      <c r="I81" s="4"/>
      <c r="J81" s="4"/>
      <c r="K81" s="4"/>
      <c r="L81" s="4"/>
      <c r="M81" s="4"/>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ht="12.75" customHeight="1">
      <c r="A82" s="18" t="str">
        <f>IFERROR(VLOOKUP(B82,Standings!$A$2:$R$132,6,FALSE),0)</f>
        <v>CUSA</v>
      </c>
      <c r="B82" s="3" t="s">
        <v>172</v>
      </c>
      <c r="C82" s="3">
        <v>33.49</v>
      </c>
      <c r="D82" s="3">
        <v>79.0</v>
      </c>
      <c r="E82" s="7"/>
      <c r="F82" s="4"/>
      <c r="G82" s="4"/>
      <c r="H82" s="21"/>
      <c r="I82" s="4"/>
      <c r="J82" s="4"/>
      <c r="K82" s="4"/>
      <c r="L82" s="4"/>
      <c r="M82" s="4"/>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ht="12.75" customHeight="1">
      <c r="A83" s="18" t="str">
        <f>IFERROR(VLOOKUP(B83,Standings!$A$2:$R$132,6,FALSE),0)</f>
        <v>CUSA</v>
      </c>
      <c r="B83" s="3" t="s">
        <v>95</v>
      </c>
      <c r="C83" s="3">
        <v>33.45</v>
      </c>
      <c r="D83" s="3">
        <v>81.0</v>
      </c>
      <c r="E83" s="7"/>
      <c r="F83" s="4"/>
      <c r="G83" s="4"/>
      <c r="H83" s="21"/>
      <c r="I83" s="4"/>
      <c r="J83" s="4"/>
      <c r="K83" s="4"/>
      <c r="L83" s="4"/>
      <c r="M83" s="4"/>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ht="12.75" customHeight="1">
      <c r="A84" s="18" t="str">
        <f>IFERROR(VLOOKUP(B84,Standings!$A$2:$R$132,6,FALSE),0)</f>
        <v>SUN</v>
      </c>
      <c r="B84" s="3" t="s">
        <v>131</v>
      </c>
      <c r="C84" s="3">
        <v>33.34</v>
      </c>
      <c r="D84" s="3">
        <v>82.0</v>
      </c>
      <c r="E84" s="7"/>
      <c r="F84" s="4"/>
      <c r="G84" s="4"/>
      <c r="H84" s="21"/>
      <c r="I84" s="4"/>
      <c r="J84" s="4"/>
      <c r="K84" s="4"/>
      <c r="L84" s="4"/>
      <c r="M84" s="4"/>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ht="12.75" customHeight="1">
      <c r="A85" s="18" t="str">
        <f>IFERROR(VLOOKUP(B85,Standings!$A$2:$R$132,6,FALSE),0)</f>
        <v>CUSA</v>
      </c>
      <c r="B85" s="3" t="s">
        <v>124</v>
      </c>
      <c r="C85" s="3">
        <v>33.33</v>
      </c>
      <c r="D85" s="3">
        <v>83.0</v>
      </c>
      <c r="E85" s="7"/>
      <c r="F85" s="4"/>
      <c r="G85" s="4"/>
      <c r="H85" s="21"/>
      <c r="I85" s="4"/>
      <c r="J85" s="4"/>
      <c r="K85" s="4"/>
      <c r="L85" s="4"/>
      <c r="M85" s="4"/>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ht="12.75" customHeight="1">
      <c r="A86" s="18" t="str">
        <f>IFERROR(VLOOKUP(B86,Standings!$A$2:$R$132,6,FALSE),0)</f>
        <v>MWC</v>
      </c>
      <c r="B86" s="3" t="s">
        <v>185</v>
      </c>
      <c r="C86" s="3">
        <v>33.22</v>
      </c>
      <c r="D86" s="3">
        <v>84.0</v>
      </c>
      <c r="E86" s="7"/>
      <c r="F86" s="4"/>
      <c r="G86" s="4"/>
      <c r="H86" s="21"/>
      <c r="I86" s="4"/>
      <c r="J86" s="4"/>
      <c r="K86" s="4"/>
      <c r="L86" s="4"/>
      <c r="M86" s="4"/>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ht="12.75" customHeight="1">
      <c r="A87" s="18" t="str">
        <f>IFERROR(VLOOKUP(B87,Standings!$A$2:$R$132,6,FALSE),0)</f>
        <v>IND</v>
      </c>
      <c r="B87" s="3" t="s">
        <v>88</v>
      </c>
      <c r="C87" s="3">
        <v>33.11</v>
      </c>
      <c r="D87" s="3">
        <v>85.0</v>
      </c>
      <c r="E87" s="7"/>
      <c r="F87" s="4"/>
      <c r="G87" s="4"/>
      <c r="H87" s="21"/>
      <c r="I87" s="4"/>
      <c r="J87" s="4"/>
      <c r="K87" s="4"/>
      <c r="L87" s="4"/>
      <c r="M87" s="4"/>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ht="12.75" customHeight="1">
      <c r="A88" s="18" t="str">
        <f>IFERROR(VLOOKUP(B88,Standings!$A$2:$R$132,6,FALSE),0)</f>
        <v>AAC</v>
      </c>
      <c r="B88" s="3" t="s">
        <v>196</v>
      </c>
      <c r="C88" s="3">
        <v>33.03</v>
      </c>
      <c r="D88" s="3">
        <v>86.0</v>
      </c>
      <c r="E88" s="7"/>
      <c r="F88" s="4"/>
      <c r="G88" s="4"/>
      <c r="H88" s="21"/>
      <c r="I88" s="4"/>
      <c r="J88" s="4"/>
      <c r="K88" s="4"/>
      <c r="L88" s="4"/>
      <c r="M88" s="4"/>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ht="12.75" customHeight="1">
      <c r="A89" s="18" t="str">
        <f>IFERROR(VLOOKUP(B89,Standings!$A$2:$R$132,6,FALSE),0)</f>
        <v>AAC</v>
      </c>
      <c r="B89" s="3" t="s">
        <v>148</v>
      </c>
      <c r="C89" s="3">
        <v>32.94</v>
      </c>
      <c r="D89" s="3">
        <v>87.0</v>
      </c>
      <c r="E89" s="7"/>
      <c r="F89" s="4"/>
      <c r="G89" s="4"/>
      <c r="H89" s="21"/>
      <c r="I89" s="4"/>
      <c r="J89" s="4"/>
      <c r="K89" s="4"/>
      <c r="L89" s="4"/>
      <c r="M89" s="4"/>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ht="12.75" customHeight="1">
      <c r="A90" s="18" t="str">
        <f>IFERROR(VLOOKUP(B90,Standings!$A$2:$R$132,6,FALSE),0)</f>
        <v>MWC</v>
      </c>
      <c r="B90" s="3" t="s">
        <v>156</v>
      </c>
      <c r="C90" s="3">
        <v>32.81</v>
      </c>
      <c r="D90" s="3">
        <v>88.0</v>
      </c>
      <c r="E90" s="7"/>
      <c r="F90" s="4"/>
      <c r="G90" s="4"/>
      <c r="H90" s="21"/>
      <c r="I90" s="4"/>
      <c r="J90" s="4"/>
      <c r="K90" s="4"/>
      <c r="L90" s="4"/>
      <c r="M90" s="4"/>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ht="12.75" customHeight="1">
      <c r="A91" s="18" t="str">
        <f>IFERROR(VLOOKUP(B91,Standings!$A$2:$R$132,6,FALSE),0)</f>
        <v>CUSA</v>
      </c>
      <c r="B91" s="3" t="s">
        <v>200</v>
      </c>
      <c r="C91" s="3">
        <v>32.76</v>
      </c>
      <c r="D91" s="3">
        <v>89.0</v>
      </c>
      <c r="E91" s="7"/>
      <c r="F91" s="4"/>
      <c r="G91" s="4"/>
      <c r="H91" s="21"/>
      <c r="I91" s="4"/>
      <c r="J91" s="4"/>
      <c r="K91" s="4"/>
      <c r="L91" s="4"/>
      <c r="M91" s="4"/>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ht="12.75" customHeight="1">
      <c r="A92" s="18" t="str">
        <f>IFERROR(VLOOKUP(B92,Standings!$A$2:$R$132,6,FALSE),0)</f>
        <v>CUSA</v>
      </c>
      <c r="B92" s="3" t="s">
        <v>105</v>
      </c>
      <c r="C92" s="3">
        <v>32.43</v>
      </c>
      <c r="D92" s="3">
        <v>90.0</v>
      </c>
      <c r="E92" s="7"/>
      <c r="F92" s="4"/>
      <c r="G92" s="4"/>
      <c r="H92" s="21"/>
      <c r="I92" s="4"/>
      <c r="J92" s="4"/>
      <c r="K92" s="4"/>
      <c r="L92" s="4"/>
      <c r="M92" s="4"/>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ht="12.75" customHeight="1">
      <c r="A93" s="18" t="str">
        <f>IFERROR(VLOOKUP(B93,Standings!$A$2:$R$132,6,FALSE),0)</f>
        <v>SUN</v>
      </c>
      <c r="B93" s="3" t="s">
        <v>115</v>
      </c>
      <c r="C93" s="3">
        <v>32.29</v>
      </c>
      <c r="D93" s="3">
        <v>91.0</v>
      </c>
      <c r="E93" s="7"/>
      <c r="F93" s="4"/>
      <c r="G93" s="4"/>
      <c r="H93" s="21"/>
      <c r="I93" s="4"/>
      <c r="J93" s="4"/>
      <c r="K93" s="4"/>
      <c r="L93" s="4"/>
      <c r="M93" s="4"/>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ht="12.75" customHeight="1">
      <c r="A94" s="18" t="str">
        <f>IFERROR(VLOOKUP(B94,Standings!$A$2:$R$132,6,FALSE),0)</f>
        <v>B1G</v>
      </c>
      <c r="B94" s="3" t="s">
        <v>152</v>
      </c>
      <c r="C94" s="3">
        <v>32.23</v>
      </c>
      <c r="D94" s="3">
        <v>92.0</v>
      </c>
      <c r="E94" s="7"/>
      <c r="F94" s="4"/>
      <c r="G94" s="4"/>
      <c r="H94" s="21"/>
      <c r="I94" s="4"/>
      <c r="J94" s="4"/>
      <c r="K94" s="4"/>
      <c r="L94" s="4"/>
      <c r="M94" s="4"/>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ht="12.75" customHeight="1">
      <c r="A95" s="18" t="str">
        <f>IFERROR(VLOOKUP(B95,Standings!$A$2:$R$132,6,FALSE),0)</f>
        <v>ACC</v>
      </c>
      <c r="B95" s="3" t="s">
        <v>147</v>
      </c>
      <c r="C95" s="3">
        <v>32.08</v>
      </c>
      <c r="D95" s="3">
        <v>93.0</v>
      </c>
      <c r="E95" s="7"/>
      <c r="F95" s="4"/>
      <c r="G95" s="4"/>
      <c r="H95" s="21"/>
      <c r="I95" s="4"/>
      <c r="J95" s="4"/>
      <c r="K95" s="4"/>
      <c r="L95" s="4"/>
      <c r="M95" s="4"/>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ht="12.75" customHeight="1">
      <c r="A96" s="18" t="str">
        <f>IFERROR(VLOOKUP(B96,Standings!$A$2:$R$132,6,FALSE),0)</f>
        <v>CUSA</v>
      </c>
      <c r="B96" s="3" t="s">
        <v>119</v>
      </c>
      <c r="C96" s="3">
        <v>31.96</v>
      </c>
      <c r="D96" s="3">
        <v>94.0</v>
      </c>
      <c r="E96" s="7"/>
      <c r="F96" s="4"/>
      <c r="G96" s="4"/>
      <c r="H96" s="21"/>
      <c r="I96" s="4"/>
      <c r="J96" s="4"/>
      <c r="K96" s="4"/>
      <c r="L96" s="4"/>
      <c r="M96" s="4"/>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ht="12.75" customHeight="1">
      <c r="A97" s="18" t="str">
        <f>IFERROR(VLOOKUP(B97,Standings!$A$2:$R$132,6,FALSE),0)</f>
        <v>MWC</v>
      </c>
      <c r="B97" s="3" t="s">
        <v>175</v>
      </c>
      <c r="C97" s="3">
        <v>31.85</v>
      </c>
      <c r="D97" s="3">
        <v>95.0</v>
      </c>
      <c r="E97" s="7"/>
      <c r="F97" s="4"/>
      <c r="G97" s="4"/>
      <c r="H97" s="21"/>
      <c r="I97" s="4"/>
      <c r="J97" s="4"/>
      <c r="K97" s="4"/>
      <c r="L97" s="4"/>
      <c r="M97" s="4"/>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ht="12.75" customHeight="1">
      <c r="A98" s="18" t="str">
        <f>IFERROR(VLOOKUP(B98,Standings!$A$2:$R$132,6,FALSE),0)</f>
        <v>BIG12</v>
      </c>
      <c r="B98" s="3" t="s">
        <v>116</v>
      </c>
      <c r="C98" s="3">
        <v>31.6</v>
      </c>
      <c r="D98" s="3">
        <v>96.0</v>
      </c>
      <c r="E98" s="7"/>
      <c r="F98" s="4"/>
      <c r="G98" s="4"/>
      <c r="H98" s="21"/>
      <c r="I98" s="4"/>
      <c r="J98" s="4"/>
      <c r="K98" s="4"/>
      <c r="L98" s="4"/>
      <c r="M98" s="4"/>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ht="12.75" customHeight="1">
      <c r="A99" s="18" t="str">
        <f>IFERROR(VLOOKUP(B99,Standings!$A$2:$R$132,6,FALSE),0)</f>
        <v>B1G</v>
      </c>
      <c r="B99" s="3" t="s">
        <v>87</v>
      </c>
      <c r="C99" s="3">
        <v>31.54</v>
      </c>
      <c r="D99" s="3">
        <v>97.0</v>
      </c>
      <c r="E99" s="7"/>
      <c r="F99" s="4"/>
      <c r="G99" s="4"/>
      <c r="H99" s="21"/>
      <c r="I99" s="4"/>
      <c r="J99" s="4"/>
      <c r="K99" s="4"/>
      <c r="L99" s="4"/>
      <c r="M99" s="4"/>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ht="12.75" customHeight="1">
      <c r="A100" s="18" t="str">
        <f>IFERROR(VLOOKUP(B100,Standings!$A$2:$R$132,6,FALSE),0)</f>
        <v>B1G</v>
      </c>
      <c r="B100" s="3" t="s">
        <v>137</v>
      </c>
      <c r="C100" s="3">
        <v>31.52</v>
      </c>
      <c r="D100" s="3">
        <v>98.0</v>
      </c>
      <c r="E100" s="7"/>
      <c r="F100" s="4"/>
      <c r="G100" s="4"/>
      <c r="H100" s="21"/>
      <c r="I100" s="4"/>
      <c r="J100" s="4"/>
      <c r="K100" s="4"/>
      <c r="L100" s="4"/>
      <c r="M100" s="4"/>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ht="12.75" customHeight="1">
      <c r="A101" s="18" t="str">
        <f>IFERROR(VLOOKUP(B101,Standings!$A$2:$R$132,6,FALSE),0)</f>
        <v>B1G</v>
      </c>
      <c r="B101" s="3" t="s">
        <v>166</v>
      </c>
      <c r="C101" s="3">
        <v>31.48</v>
      </c>
      <c r="D101" s="3">
        <v>99.0</v>
      </c>
      <c r="E101" s="7"/>
      <c r="F101" s="4"/>
      <c r="G101" s="4"/>
      <c r="H101" s="21"/>
      <c r="I101" s="4"/>
      <c r="J101" s="4"/>
      <c r="K101" s="4"/>
      <c r="L101" s="4"/>
      <c r="M101" s="4"/>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ht="12.75" customHeight="1">
      <c r="A102" s="18" t="str">
        <f>IFERROR(VLOOKUP(B102,Standings!$A$2:$R$132,6,FALSE),0)</f>
        <v>SEC</v>
      </c>
      <c r="B102" s="3" t="s">
        <v>161</v>
      </c>
      <c r="C102" s="3">
        <v>31.11</v>
      </c>
      <c r="D102" s="3">
        <v>100.0</v>
      </c>
      <c r="E102" s="7"/>
      <c r="F102" s="4"/>
      <c r="G102" s="4"/>
      <c r="H102" s="21"/>
      <c r="I102" s="4"/>
      <c r="J102" s="4"/>
      <c r="K102" s="4"/>
      <c r="L102" s="4"/>
      <c r="M102" s="4"/>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ht="12.75" customHeight="1">
      <c r="A103" s="18" t="str">
        <f>IFERROR(VLOOKUP(B103,Standings!$A$2:$R$132,6,FALSE),0)</f>
        <v>BIG12</v>
      </c>
      <c r="B103" s="3" t="s">
        <v>104</v>
      </c>
      <c r="C103" s="3">
        <v>31.08</v>
      </c>
      <c r="D103" s="3">
        <v>101.0</v>
      </c>
      <c r="E103" s="7"/>
      <c r="F103" s="4"/>
      <c r="G103" s="4"/>
      <c r="H103" s="21"/>
      <c r="I103" s="4"/>
      <c r="J103" s="4"/>
      <c r="K103" s="4"/>
      <c r="L103" s="4"/>
      <c r="M103" s="4"/>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ht="12.75" customHeight="1">
      <c r="A104" s="18" t="str">
        <f>IFERROR(VLOOKUP(B104,Standings!$A$2:$R$132,6,FALSE),0)</f>
        <v>SUN</v>
      </c>
      <c r="B104" s="3" t="s">
        <v>102</v>
      </c>
      <c r="C104" s="3">
        <v>31.07</v>
      </c>
      <c r="D104" s="3">
        <v>102.0</v>
      </c>
      <c r="E104" s="7"/>
      <c r="F104" s="4"/>
      <c r="G104" s="4"/>
      <c r="H104" s="21"/>
      <c r="I104" s="4"/>
      <c r="J104" s="4"/>
      <c r="K104" s="4"/>
      <c r="L104" s="4"/>
      <c r="M104" s="4"/>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ht="12.75" customHeight="1">
      <c r="A105" s="18" t="str">
        <f>IFERROR(VLOOKUP(B105,Standings!$A$2:$R$132,6,FALSE),0)</f>
        <v>CUSA</v>
      </c>
      <c r="B105" s="3" t="s">
        <v>141</v>
      </c>
      <c r="C105" s="3">
        <v>30.89</v>
      </c>
      <c r="D105" s="3">
        <v>103.0</v>
      </c>
      <c r="E105" s="7"/>
      <c r="F105" s="4"/>
      <c r="G105" s="4"/>
      <c r="H105" s="21"/>
      <c r="I105" s="4"/>
      <c r="J105" s="4"/>
      <c r="K105" s="4"/>
      <c r="L105" s="4"/>
      <c r="M105" s="4"/>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ht="12.75" customHeight="1">
      <c r="A106" s="18" t="str">
        <f>IFERROR(VLOOKUP(B106,Standings!$A$2:$R$132,6,FALSE),0)</f>
        <v>AAC</v>
      </c>
      <c r="B106" s="3" t="s">
        <v>178</v>
      </c>
      <c r="C106" s="3">
        <v>30.84</v>
      </c>
      <c r="D106" s="3">
        <v>104.0</v>
      </c>
      <c r="E106" s="7"/>
      <c r="F106" s="4"/>
      <c r="G106" s="4"/>
      <c r="H106" s="21"/>
      <c r="I106" s="4"/>
      <c r="J106" s="4"/>
      <c r="K106" s="3"/>
      <c r="L106" s="4"/>
      <c r="M106" s="4"/>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ht="12.75" customHeight="1">
      <c r="A107" s="18" t="str">
        <f>IFERROR(VLOOKUP(B107,Standings!$A$2:$R$132,6,FALSE),0)</f>
        <v>IND</v>
      </c>
      <c r="B107" s="3" t="s">
        <v>188</v>
      </c>
      <c r="C107" s="3">
        <v>30.77</v>
      </c>
      <c r="D107" s="3">
        <v>105.0</v>
      </c>
      <c r="E107" s="7"/>
      <c r="F107" s="4"/>
      <c r="G107" s="4"/>
      <c r="H107" s="21"/>
      <c r="I107" s="4"/>
      <c r="J107" s="4"/>
      <c r="K107" s="4"/>
      <c r="L107" s="4"/>
      <c r="M107" s="4"/>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ht="12.75" customHeight="1">
      <c r="A108" s="18" t="str">
        <f>IFERROR(VLOOKUP(B108,Standings!$A$2:$R$132,6,FALSE),0)</f>
        <v>CUSA</v>
      </c>
      <c r="B108" s="3" t="s">
        <v>154</v>
      </c>
      <c r="C108" s="3">
        <v>30.77</v>
      </c>
      <c r="D108" s="3">
        <v>105.0</v>
      </c>
      <c r="E108" s="7"/>
      <c r="F108" s="4"/>
      <c r="G108" s="4"/>
      <c r="H108" s="21"/>
      <c r="I108" s="4"/>
      <c r="J108" s="4"/>
      <c r="K108" s="4"/>
      <c r="L108" s="4"/>
      <c r="M108" s="4"/>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ht="12.75" customHeight="1">
      <c r="A109" s="18" t="str">
        <f>IFERROR(VLOOKUP(B109,Standings!$A$2:$R$132,6,FALSE),0)</f>
        <v>AAC</v>
      </c>
      <c r="B109" s="3" t="s">
        <v>155</v>
      </c>
      <c r="C109" s="3">
        <v>30.77</v>
      </c>
      <c r="D109" s="3">
        <v>105.0</v>
      </c>
      <c r="E109" s="7"/>
      <c r="F109" s="4"/>
      <c r="G109" s="4"/>
      <c r="H109" s="21"/>
      <c r="I109" s="4"/>
      <c r="J109" s="4"/>
      <c r="K109" s="4"/>
      <c r="L109" s="4"/>
      <c r="M109" s="4"/>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ht="12.75" customHeight="1">
      <c r="A110" s="18" t="str">
        <f>IFERROR(VLOOKUP(B110,Standings!$A$2:$R$132,6,FALSE),0)</f>
        <v>MAC</v>
      </c>
      <c r="B110" s="3" t="s">
        <v>143</v>
      </c>
      <c r="C110" s="3">
        <v>30.67</v>
      </c>
      <c r="D110" s="3">
        <v>108.0</v>
      </c>
      <c r="E110" s="7"/>
      <c r="F110" s="4"/>
      <c r="G110" s="4"/>
      <c r="H110" s="21"/>
      <c r="I110" s="4"/>
      <c r="J110" s="4"/>
      <c r="K110" s="4"/>
      <c r="L110" s="4"/>
      <c r="M110" s="4"/>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ht="12.75" customHeight="1">
      <c r="A111" s="18" t="str">
        <f>IFERROR(VLOOKUP(B111,Standings!$A$2:$R$132,6,FALSE),0)</f>
        <v>ACC</v>
      </c>
      <c r="B111" s="3" t="s">
        <v>108</v>
      </c>
      <c r="C111" s="3">
        <v>30.15</v>
      </c>
      <c r="D111" s="3">
        <v>109.0</v>
      </c>
      <c r="E111" s="7"/>
      <c r="F111" s="4"/>
      <c r="G111" s="4"/>
      <c r="H111" s="21"/>
      <c r="I111" s="4"/>
      <c r="J111" s="4"/>
      <c r="K111" s="4"/>
      <c r="L111" s="4"/>
      <c r="M111" s="4"/>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ht="12.75" customHeight="1">
      <c r="A112" s="18" t="str">
        <f>IFERROR(VLOOKUP(B112,Standings!$A$2:$R$132,6,FALSE),0)</f>
        <v>CUSA</v>
      </c>
      <c r="B112" s="3" t="s">
        <v>114</v>
      </c>
      <c r="C112" s="3">
        <v>29.9</v>
      </c>
      <c r="D112" s="3">
        <v>110.0</v>
      </c>
      <c r="E112" s="7"/>
      <c r="F112" s="4"/>
      <c r="G112" s="4"/>
      <c r="H112" s="21"/>
      <c r="I112" s="4"/>
      <c r="J112" s="4"/>
      <c r="K112" s="4"/>
      <c r="L112" s="4"/>
      <c r="M112" s="4"/>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ht="12.75" customHeight="1">
      <c r="A113" s="18" t="str">
        <f>IFERROR(VLOOKUP(B113,Standings!$A$2:$R$132,6,FALSE),0)</f>
        <v>MWC</v>
      </c>
      <c r="B113" s="3" t="s">
        <v>167</v>
      </c>
      <c r="C113" s="3">
        <v>29.87</v>
      </c>
      <c r="D113" s="3">
        <v>111.0</v>
      </c>
      <c r="E113" s="7"/>
      <c r="F113" s="4"/>
      <c r="G113" s="4"/>
      <c r="H113" s="21"/>
      <c r="I113" s="4"/>
      <c r="J113" s="4"/>
      <c r="K113" s="4"/>
      <c r="L113" s="4"/>
      <c r="M113" s="4"/>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ht="12.75" customHeight="1">
      <c r="A114" s="18" t="str">
        <f>IFERROR(VLOOKUP(B114,Standings!$A$2:$R$132,6,FALSE),0)</f>
        <v>SUN</v>
      </c>
      <c r="B114" s="3" t="s">
        <v>111</v>
      </c>
      <c r="C114" s="3">
        <v>29.75</v>
      </c>
      <c r="D114" s="3">
        <v>112.0</v>
      </c>
      <c r="E114" s="7"/>
      <c r="F114" s="4"/>
      <c r="G114" s="4"/>
      <c r="H114" s="21"/>
      <c r="I114" s="4"/>
      <c r="J114" s="4"/>
      <c r="K114" s="4"/>
      <c r="L114" s="4"/>
      <c r="M114" s="4"/>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ht="12.75" customHeight="1">
      <c r="A115" s="18" t="str">
        <f>IFERROR(VLOOKUP(B115,Standings!$A$2:$R$132,6,FALSE),0)</f>
        <v>IND</v>
      </c>
      <c r="B115" s="3" t="s">
        <v>146</v>
      </c>
      <c r="C115" s="3">
        <v>29.48</v>
      </c>
      <c r="D115" s="3">
        <v>113.0</v>
      </c>
      <c r="E115" s="7"/>
      <c r="F115" s="4"/>
      <c r="G115" s="4"/>
      <c r="H115" s="21"/>
      <c r="I115" s="4"/>
      <c r="J115" s="4"/>
      <c r="K115" s="4"/>
      <c r="L115" s="4"/>
      <c r="M115" s="4"/>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ht="12.75" customHeight="1">
      <c r="A116" s="18" t="str">
        <f>IFERROR(VLOOKUP(B116,Standings!$A$2:$R$132,6,FALSE),0)</f>
        <v>B1G</v>
      </c>
      <c r="B116" s="3" t="s">
        <v>145</v>
      </c>
      <c r="C116" s="3">
        <v>29.42</v>
      </c>
      <c r="D116" s="3">
        <v>114.0</v>
      </c>
      <c r="E116" s="7"/>
      <c r="F116" s="4"/>
      <c r="G116" s="4"/>
      <c r="H116" s="21"/>
      <c r="I116" s="4"/>
      <c r="J116" s="4"/>
      <c r="K116" s="4"/>
      <c r="L116" s="4"/>
      <c r="M116" s="4"/>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ht="12.75" customHeight="1">
      <c r="A117" s="18" t="str">
        <f>IFERROR(VLOOKUP(B117,Standings!$A$2:$R$132,6,FALSE),0)</f>
        <v>CUSA</v>
      </c>
      <c r="B117" s="3" t="s">
        <v>193</v>
      </c>
      <c r="C117" s="3">
        <v>29.31</v>
      </c>
      <c r="D117" s="3">
        <v>115.0</v>
      </c>
      <c r="E117" s="7"/>
      <c r="F117" s="4"/>
      <c r="G117" s="4"/>
      <c r="H117" s="21"/>
      <c r="I117" s="4"/>
      <c r="J117" s="4"/>
      <c r="K117" s="4"/>
      <c r="L117" s="4"/>
      <c r="M117" s="4"/>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ht="12.75" customHeight="1">
      <c r="A118" s="18" t="str">
        <f>IFERROR(VLOOKUP(B118,Standings!$A$2:$R$132,6,FALSE),0)</f>
        <v>AAC</v>
      </c>
      <c r="B118" s="3" t="s">
        <v>130</v>
      </c>
      <c r="C118" s="3">
        <v>29.22</v>
      </c>
      <c r="D118" s="3">
        <v>116.0</v>
      </c>
      <c r="E118" s="7"/>
      <c r="F118" s="4"/>
      <c r="G118" s="4"/>
      <c r="H118" s="21"/>
      <c r="I118" s="4"/>
      <c r="J118" s="4"/>
      <c r="K118" s="4"/>
      <c r="L118" s="4"/>
      <c r="M118" s="4"/>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ht="12.75" customHeight="1">
      <c r="A119" s="18" t="str">
        <f>IFERROR(VLOOKUP(B119,Standings!$A$2:$R$132,6,FALSE),0)</f>
        <v>MAC</v>
      </c>
      <c r="B119" s="3" t="s">
        <v>177</v>
      </c>
      <c r="C119" s="3">
        <v>29.15</v>
      </c>
      <c r="D119" s="3">
        <v>117.0</v>
      </c>
      <c r="E119" s="7"/>
      <c r="F119" s="4"/>
      <c r="G119" s="4"/>
      <c r="H119" s="21"/>
      <c r="I119" s="4"/>
      <c r="J119" s="4"/>
      <c r="K119" s="4"/>
      <c r="L119" s="4"/>
      <c r="M119" s="4"/>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ht="12.75" customHeight="1">
      <c r="A120" s="18" t="str">
        <f>IFERROR(VLOOKUP(B120,Standings!$A$2:$R$132,6,FALSE),0)</f>
        <v>MAC</v>
      </c>
      <c r="B120" s="3" t="s">
        <v>184</v>
      </c>
      <c r="C120" s="3">
        <v>28.91</v>
      </c>
      <c r="D120" s="3">
        <v>118.0</v>
      </c>
      <c r="E120" s="7"/>
      <c r="F120" s="4"/>
      <c r="G120" s="4"/>
      <c r="H120" s="21"/>
      <c r="I120" s="4"/>
      <c r="J120" s="4"/>
      <c r="K120" s="4"/>
      <c r="L120" s="4"/>
      <c r="M120" s="4"/>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ht="12.75" customHeight="1">
      <c r="A121" s="18" t="str">
        <f>IFERROR(VLOOKUP(B121,Standings!$A$2:$R$132,6,FALSE),0)</f>
        <v>SUN</v>
      </c>
      <c r="B121" s="3" t="s">
        <v>139</v>
      </c>
      <c r="C121" s="3">
        <v>28.86</v>
      </c>
      <c r="D121" s="3">
        <v>119.0</v>
      </c>
      <c r="E121" s="7"/>
      <c r="F121" s="4"/>
      <c r="G121" s="4"/>
      <c r="H121" s="21"/>
      <c r="I121" s="4"/>
      <c r="J121" s="4"/>
      <c r="K121" s="4"/>
      <c r="L121" s="4"/>
      <c r="M121" s="4"/>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ht="12.75" customHeight="1">
      <c r="A122" s="18" t="str">
        <f>IFERROR(VLOOKUP(B122,Standings!$A$2:$R$132,6,FALSE),0)</f>
        <v>ACC</v>
      </c>
      <c r="B122" s="3" t="s">
        <v>187</v>
      </c>
      <c r="C122" s="3">
        <v>28.66</v>
      </c>
      <c r="D122" s="3">
        <v>120.0</v>
      </c>
      <c r="E122" s="7"/>
      <c r="F122" s="4"/>
      <c r="G122" s="4"/>
      <c r="H122" s="21"/>
      <c r="I122" s="4"/>
      <c r="J122" s="4"/>
      <c r="K122" s="4"/>
      <c r="L122" s="4"/>
      <c r="M122" s="4"/>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ht="12.75" customHeight="1">
      <c r="A123" s="18" t="str">
        <f>IFERROR(VLOOKUP(B123,Standings!$A$2:$R$132,6,FALSE),0)</f>
        <v>CUSA</v>
      </c>
      <c r="B123" s="3" t="s">
        <v>170</v>
      </c>
      <c r="C123" s="3">
        <v>28.08</v>
      </c>
      <c r="D123" s="3">
        <v>121.0</v>
      </c>
      <c r="E123" s="7"/>
      <c r="F123" s="4"/>
      <c r="G123" s="4"/>
      <c r="H123" s="21"/>
      <c r="I123" s="4"/>
      <c r="J123" s="4"/>
      <c r="K123" s="4"/>
      <c r="L123" s="4"/>
      <c r="M123" s="4"/>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ht="12.75" customHeight="1">
      <c r="A124" s="18" t="str">
        <f>IFERROR(VLOOKUP(B124,Standings!$A$2:$R$132,6,FALSE),0)</f>
        <v>PAC12</v>
      </c>
      <c r="B124" s="3" t="s">
        <v>168</v>
      </c>
      <c r="C124" s="3">
        <v>27.16</v>
      </c>
      <c r="D124" s="3">
        <v>122.0</v>
      </c>
      <c r="E124" s="7"/>
      <c r="F124" s="4"/>
      <c r="G124" s="4"/>
      <c r="H124" s="21"/>
      <c r="I124" s="4"/>
      <c r="J124" s="4"/>
      <c r="K124" s="4"/>
      <c r="L124" s="4"/>
      <c r="M124" s="4"/>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ht="12.75" customHeight="1">
      <c r="A125" s="18" t="str">
        <f>IFERROR(VLOOKUP(B125,Standings!$A$2:$R$132,6,FALSE),0)</f>
        <v>ACC</v>
      </c>
      <c r="B125" s="3" t="s">
        <v>128</v>
      </c>
      <c r="C125" s="3">
        <v>26.74</v>
      </c>
      <c r="D125" s="3">
        <v>123.0</v>
      </c>
      <c r="E125" s="7"/>
      <c r="F125" s="4"/>
      <c r="G125" s="4"/>
      <c r="H125" s="21"/>
      <c r="I125" s="4"/>
      <c r="J125" s="4"/>
      <c r="K125" s="4"/>
      <c r="L125" s="4"/>
      <c r="M125" s="4"/>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ht="12.75" customHeight="1">
      <c r="A126" s="18" t="str">
        <f>IFERROR(VLOOKUP(B126,Standings!$A$2:$R$132,6,FALSE),0)</f>
        <v>SUN</v>
      </c>
      <c r="B126" s="3" t="s">
        <v>122</v>
      </c>
      <c r="C126" s="3">
        <v>25.95</v>
      </c>
      <c r="D126" s="3">
        <v>124.0</v>
      </c>
      <c r="E126" s="7"/>
      <c r="F126" s="4"/>
      <c r="G126" s="4"/>
      <c r="H126" s="21"/>
      <c r="I126" s="4"/>
      <c r="J126" s="4"/>
      <c r="K126" s="4"/>
      <c r="L126" s="4"/>
      <c r="M126" s="4"/>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ht="12.75" customHeight="1">
      <c r="A127" s="18" t="str">
        <f>IFERROR(VLOOKUP(B127,Standings!$A$2:$R$132,6,FALSE),0)</f>
        <v>SEC</v>
      </c>
      <c r="B127" s="3" t="s">
        <v>181</v>
      </c>
      <c r="C127" s="3">
        <v>25.47</v>
      </c>
      <c r="D127" s="3">
        <v>125.0</v>
      </c>
      <c r="E127" s="7"/>
      <c r="F127" s="4"/>
      <c r="G127" s="4"/>
      <c r="H127" s="21"/>
      <c r="I127" s="4"/>
      <c r="J127" s="4"/>
      <c r="K127" s="4"/>
      <c r="L127" s="4"/>
      <c r="M127" s="4"/>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ht="12.75" customHeight="1">
      <c r="A128" s="18" t="str">
        <f>IFERROR(VLOOKUP(B128,Standings!$A$2:$R$132,6,FALSE),0)</f>
        <v>CUSA</v>
      </c>
      <c r="B128" s="3" t="s">
        <v>140</v>
      </c>
      <c r="C128" s="3">
        <v>22.5</v>
      </c>
      <c r="D128" s="3">
        <v>126.0</v>
      </c>
      <c r="E128" s="7"/>
      <c r="F128" s="4"/>
      <c r="G128" s="4"/>
      <c r="H128" s="21"/>
      <c r="I128" s="4"/>
      <c r="J128" s="4"/>
      <c r="K128" s="4"/>
      <c r="L128" s="4"/>
      <c r="M128" s="4"/>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ht="12.75" customHeight="1">
      <c r="A129" s="18" t="str">
        <f>IFERROR(VLOOKUP(B129,Standings!$A$2:$R$132,6,FALSE),0)</f>
        <v>BIG12</v>
      </c>
      <c r="B129" s="3" t="s">
        <v>192</v>
      </c>
      <c r="C129" s="3">
        <v>21.55</v>
      </c>
      <c r="D129" s="3">
        <v>127.0</v>
      </c>
      <c r="E129" s="7"/>
      <c r="F129" s="4"/>
      <c r="G129" s="4"/>
      <c r="H129" s="21"/>
      <c r="I129" s="4"/>
      <c r="J129" s="4"/>
      <c r="K129" s="4"/>
      <c r="L129" s="4"/>
      <c r="M129" s="4"/>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ht="12.75" customHeight="1">
      <c r="A130" s="18" t="str">
        <f>IFERROR(VLOOKUP(B130,Standings!$A$2:$R$132,6,FALSE),0)</f>
        <v>CUSA</v>
      </c>
      <c r="B130" s="3" t="s">
        <v>110</v>
      </c>
      <c r="C130" s="3">
        <v>20.47</v>
      </c>
      <c r="D130" s="3">
        <v>128.0</v>
      </c>
      <c r="E130" s="7"/>
      <c r="F130" s="4"/>
      <c r="G130" s="4"/>
      <c r="H130" s="21"/>
      <c r="I130" s="4"/>
      <c r="J130" s="4"/>
      <c r="K130" s="4"/>
      <c r="L130" s="4"/>
      <c r="M130" s="4"/>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ht="12.75" customHeight="1">
      <c r="A131" s="18" t="str">
        <f>IFERROR(VLOOKUP(B131,Standings!$A$2:$R$132,6,FALSE),0)</f>
        <v>AAC</v>
      </c>
      <c r="B131" s="3" t="s">
        <v>123</v>
      </c>
      <c r="C131" s="3">
        <v>13.91</v>
      </c>
      <c r="D131" s="3">
        <v>129.0</v>
      </c>
      <c r="E131" s="7"/>
      <c r="F131" s="4"/>
      <c r="G131" s="4"/>
      <c r="H131" s="21"/>
      <c r="I131" s="4"/>
      <c r="J131" s="4"/>
      <c r="K131" s="4"/>
      <c r="L131" s="4"/>
      <c r="M131" s="4"/>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ht="12.75" customHeight="1">
      <c r="A132" s="18" t="str">
        <f>IFERROR(VLOOKUP(B132,Standings!$A$2:$R$132,6,FALSE),0)</f>
        <v>CUSA</v>
      </c>
      <c r="B132" s="3" t="s">
        <v>43</v>
      </c>
      <c r="C132" s="3">
        <v>11.84</v>
      </c>
      <c r="D132" s="3">
        <v>130.0</v>
      </c>
      <c r="E132" s="7"/>
      <c r="F132" s="4"/>
      <c r="G132" s="4"/>
      <c r="H132" s="21"/>
      <c r="I132" s="4"/>
      <c r="J132" s="4"/>
      <c r="K132" s="4"/>
      <c r="L132" s="4"/>
      <c r="M132" s="4"/>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ht="12.75" customHeight="1">
      <c r="A133" s="4"/>
      <c r="B133" s="4"/>
      <c r="C133" s="4"/>
      <c r="D133" s="4"/>
      <c r="E133" s="7"/>
      <c r="F133" s="4"/>
      <c r="G133" s="4"/>
      <c r="H133" s="21"/>
      <c r="I133" s="4"/>
      <c r="J133" s="4"/>
      <c r="K133" s="4"/>
      <c r="L133" s="4"/>
      <c r="M133" s="4"/>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ht="12.75" customHeight="1">
      <c r="A134" s="4"/>
      <c r="B134" s="4"/>
      <c r="C134" s="4"/>
      <c r="D134" s="4"/>
      <c r="E134" s="7"/>
      <c r="F134" s="4"/>
      <c r="G134" s="4"/>
      <c r="H134" s="21"/>
      <c r="I134" s="4"/>
      <c r="J134" s="4"/>
      <c r="K134" s="4"/>
      <c r="L134" s="4"/>
      <c r="M134" s="4"/>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ht="12.75" customHeight="1">
      <c r="A135" s="4"/>
      <c r="B135" s="4"/>
      <c r="C135" s="4"/>
      <c r="D135" s="4"/>
      <c r="E135" s="7"/>
      <c r="F135" s="4"/>
      <c r="G135" s="4"/>
      <c r="H135" s="21"/>
      <c r="I135" s="4"/>
      <c r="J135" s="4"/>
      <c r="K135" s="4"/>
      <c r="L135" s="4"/>
      <c r="M135" s="4"/>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ht="12.75" customHeight="1">
      <c r="A136" s="4"/>
      <c r="B136" s="4"/>
      <c r="C136" s="4"/>
      <c r="D136" s="4"/>
      <c r="E136" s="7"/>
      <c r="F136" s="4"/>
      <c r="G136" s="4"/>
      <c r="H136" s="21"/>
      <c r="I136" s="4"/>
      <c r="J136" s="4"/>
      <c r="K136" s="4"/>
      <c r="L136" s="4"/>
      <c r="M136" s="4"/>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ht="12.75" customHeight="1">
      <c r="A137" s="4"/>
      <c r="B137" s="4"/>
      <c r="C137" s="4"/>
      <c r="D137" s="4"/>
      <c r="E137" s="7"/>
      <c r="F137" s="4"/>
      <c r="G137" s="4"/>
      <c r="H137" s="21"/>
      <c r="I137" s="4"/>
      <c r="J137" s="4"/>
      <c r="K137" s="4"/>
      <c r="L137" s="4"/>
      <c r="M137" s="4"/>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ht="12.75" customHeight="1">
      <c r="A138" s="4"/>
      <c r="B138" s="4"/>
      <c r="C138" s="4"/>
      <c r="D138" s="4"/>
      <c r="E138" s="7"/>
      <c r="F138" s="4"/>
      <c r="G138" s="4"/>
      <c r="H138" s="21"/>
      <c r="I138" s="4"/>
      <c r="J138" s="4"/>
      <c r="K138" s="4"/>
      <c r="L138" s="4"/>
      <c r="M138" s="4"/>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ht="12.75" customHeight="1">
      <c r="A139" s="4"/>
      <c r="B139" s="4"/>
      <c r="C139" s="4"/>
      <c r="D139" s="4"/>
      <c r="E139" s="7"/>
      <c r="F139" s="4"/>
      <c r="G139" s="4"/>
      <c r="H139" s="21"/>
      <c r="I139" s="4"/>
      <c r="J139" s="4"/>
      <c r="K139" s="4"/>
      <c r="L139" s="4"/>
      <c r="M139" s="4"/>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ht="12.75" customHeight="1">
      <c r="A140" s="4"/>
      <c r="B140" s="4"/>
      <c r="C140" s="4"/>
      <c r="D140" s="4"/>
      <c r="E140" s="7"/>
      <c r="F140" s="4"/>
      <c r="G140" s="4"/>
      <c r="H140" s="21"/>
      <c r="I140" s="4"/>
      <c r="J140" s="4"/>
      <c r="K140" s="4"/>
      <c r="L140" s="4"/>
      <c r="M140" s="4"/>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ht="12.75" customHeight="1">
      <c r="A141" s="4"/>
      <c r="B141" s="4"/>
      <c r="C141" s="4"/>
      <c r="D141" s="4"/>
      <c r="E141" s="7"/>
      <c r="F141" s="4"/>
      <c r="G141" s="4"/>
      <c r="H141" s="21"/>
      <c r="I141" s="4"/>
      <c r="J141" s="4"/>
      <c r="K141" s="4"/>
      <c r="L141" s="4"/>
      <c r="M141" s="4"/>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ht="12.75" customHeight="1">
      <c r="A142" s="4"/>
      <c r="B142" s="4"/>
      <c r="C142" s="4"/>
      <c r="D142" s="4"/>
      <c r="E142" s="7"/>
      <c r="F142" s="4"/>
      <c r="G142" s="4"/>
      <c r="H142" s="21"/>
      <c r="I142" s="4"/>
      <c r="J142" s="4"/>
      <c r="K142" s="4"/>
      <c r="L142" s="4"/>
      <c r="M142" s="4"/>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ht="12.75" customHeight="1">
      <c r="A143" s="4"/>
      <c r="B143" s="4"/>
      <c r="C143" s="4"/>
      <c r="D143" s="4"/>
      <c r="E143" s="7"/>
      <c r="F143" s="4"/>
      <c r="G143" s="4"/>
      <c r="H143" s="21"/>
      <c r="I143" s="4"/>
      <c r="J143" s="4"/>
      <c r="K143" s="4"/>
      <c r="L143" s="4"/>
      <c r="M143" s="4"/>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ht="12.75" customHeight="1">
      <c r="A144" s="4"/>
      <c r="B144" s="4"/>
      <c r="C144" s="4"/>
      <c r="D144" s="4"/>
      <c r="E144" s="7"/>
      <c r="F144" s="4"/>
      <c r="G144" s="4"/>
      <c r="H144" s="21"/>
      <c r="I144" s="4"/>
      <c r="J144" s="4"/>
      <c r="K144" s="4"/>
      <c r="L144" s="4"/>
      <c r="M144" s="4"/>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ht="12.75" customHeight="1">
      <c r="A145" s="4"/>
      <c r="B145" s="4"/>
      <c r="C145" s="4"/>
      <c r="D145" s="4"/>
      <c r="E145" s="7"/>
      <c r="F145" s="4"/>
      <c r="G145" s="4"/>
      <c r="H145" s="21"/>
      <c r="I145" s="4"/>
      <c r="J145" s="4"/>
      <c r="K145" s="4"/>
      <c r="L145" s="4"/>
      <c r="M145" s="4"/>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ht="12.75" customHeight="1">
      <c r="A146" s="4"/>
      <c r="B146" s="4"/>
      <c r="C146" s="4"/>
      <c r="D146" s="4"/>
      <c r="E146" s="7"/>
      <c r="F146" s="4"/>
      <c r="G146" s="4"/>
      <c r="H146" s="21"/>
      <c r="I146" s="4"/>
      <c r="J146" s="4"/>
      <c r="K146" s="4"/>
      <c r="L146" s="4"/>
      <c r="M146" s="4"/>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ht="12.75" customHeight="1">
      <c r="A147" s="4"/>
      <c r="B147" s="4"/>
      <c r="C147" s="4"/>
      <c r="D147" s="4"/>
      <c r="E147" s="7"/>
      <c r="F147" s="4"/>
      <c r="G147" s="4"/>
      <c r="H147" s="21"/>
      <c r="I147" s="4"/>
      <c r="J147" s="4"/>
      <c r="K147" s="4"/>
      <c r="L147" s="4"/>
      <c r="M147" s="4"/>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ht="12.75" customHeight="1">
      <c r="A148" s="4"/>
      <c r="B148" s="4"/>
      <c r="C148" s="4"/>
      <c r="D148" s="4"/>
      <c r="E148" s="7"/>
      <c r="F148" s="4"/>
      <c r="G148" s="4"/>
      <c r="H148" s="21"/>
      <c r="I148" s="4"/>
      <c r="J148" s="4"/>
      <c r="K148" s="4"/>
      <c r="L148" s="4"/>
      <c r="M148" s="4"/>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ht="12.75" customHeight="1">
      <c r="A149" s="4"/>
      <c r="B149" s="4"/>
      <c r="C149" s="4"/>
      <c r="D149" s="4"/>
      <c r="E149" s="7"/>
      <c r="F149" s="4"/>
      <c r="G149" s="4"/>
      <c r="H149" s="21"/>
      <c r="I149" s="4"/>
      <c r="J149" s="4"/>
      <c r="K149" s="4"/>
      <c r="L149" s="4"/>
      <c r="M149" s="4"/>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ht="12.75" customHeight="1">
      <c r="A150" s="4"/>
      <c r="B150" s="4"/>
      <c r="C150" s="4"/>
      <c r="D150" s="4"/>
      <c r="E150" s="7"/>
      <c r="F150" s="4"/>
      <c r="G150" s="4"/>
      <c r="H150" s="21"/>
      <c r="I150" s="4"/>
      <c r="J150" s="4"/>
      <c r="K150" s="4"/>
      <c r="L150" s="4"/>
      <c r="M150" s="4"/>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ht="12.75" customHeight="1">
      <c r="A151" s="4"/>
      <c r="B151" s="4"/>
      <c r="C151" s="4"/>
      <c r="D151" s="4"/>
      <c r="E151" s="7"/>
      <c r="F151" s="4"/>
      <c r="G151" s="4"/>
      <c r="H151" s="21"/>
      <c r="I151" s="4"/>
      <c r="J151" s="4"/>
      <c r="K151" s="4"/>
      <c r="L151" s="4"/>
      <c r="M151" s="4"/>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ht="12.75" customHeight="1">
      <c r="A152" s="4"/>
      <c r="B152" s="4"/>
      <c r="C152" s="4"/>
      <c r="D152" s="4"/>
      <c r="E152" s="7"/>
      <c r="F152" s="4"/>
      <c r="G152" s="4"/>
      <c r="H152" s="21"/>
      <c r="I152" s="4"/>
      <c r="J152" s="4"/>
      <c r="K152" s="4"/>
      <c r="L152" s="4"/>
      <c r="M152" s="4"/>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ht="12.75" customHeight="1">
      <c r="A153" s="4"/>
      <c r="B153" s="4"/>
      <c r="C153" s="4"/>
      <c r="D153" s="4"/>
      <c r="E153" s="7"/>
      <c r="F153" s="4"/>
      <c r="G153" s="4"/>
      <c r="H153" s="21"/>
      <c r="I153" s="4"/>
      <c r="J153" s="4"/>
      <c r="K153" s="4"/>
      <c r="L153" s="4"/>
      <c r="M153" s="4"/>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ht="12.75" customHeight="1">
      <c r="A154" s="4"/>
      <c r="B154" s="4"/>
      <c r="C154" s="4"/>
      <c r="D154" s="4"/>
      <c r="E154" s="7"/>
      <c r="F154" s="4"/>
      <c r="G154" s="4"/>
      <c r="H154" s="21"/>
      <c r="I154" s="4"/>
      <c r="J154" s="4"/>
      <c r="K154" s="4"/>
      <c r="L154" s="4"/>
      <c r="M154" s="4"/>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ht="12.75" customHeight="1">
      <c r="A155" s="4"/>
      <c r="B155" s="4"/>
      <c r="C155" s="4"/>
      <c r="D155" s="4"/>
      <c r="E155" s="7"/>
      <c r="F155" s="4"/>
      <c r="G155" s="4"/>
      <c r="H155" s="21"/>
      <c r="I155" s="4"/>
      <c r="J155" s="4"/>
      <c r="K155" s="4"/>
      <c r="L155" s="4"/>
      <c r="M155" s="4"/>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ht="12.75" customHeight="1">
      <c r="A156" s="4"/>
      <c r="B156" s="4"/>
      <c r="C156" s="4"/>
      <c r="D156" s="4"/>
      <c r="E156" s="7"/>
      <c r="F156" s="4"/>
      <c r="G156" s="4"/>
      <c r="H156" s="21"/>
      <c r="I156" s="4"/>
      <c r="J156" s="4"/>
      <c r="K156" s="4"/>
      <c r="L156" s="4"/>
      <c r="M156" s="4"/>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ht="12.75" customHeight="1">
      <c r="A157" s="4"/>
      <c r="B157" s="4"/>
      <c r="C157" s="4"/>
      <c r="D157" s="4"/>
      <c r="E157" s="7"/>
      <c r="F157" s="4"/>
      <c r="G157" s="4"/>
      <c r="H157" s="21"/>
      <c r="I157" s="4"/>
      <c r="J157" s="4"/>
      <c r="K157" s="4"/>
      <c r="L157" s="4"/>
      <c r="M157" s="4"/>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ht="12.75" customHeight="1">
      <c r="A158" s="4"/>
      <c r="B158" s="4"/>
      <c r="C158" s="4"/>
      <c r="D158" s="4"/>
      <c r="E158" s="7"/>
      <c r="F158" s="4"/>
      <c r="G158" s="4"/>
      <c r="H158" s="21"/>
      <c r="I158" s="4"/>
      <c r="J158" s="4"/>
      <c r="K158" s="4"/>
      <c r="L158" s="4"/>
      <c r="M158" s="4"/>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ht="12.75" customHeight="1">
      <c r="A159" s="4"/>
      <c r="B159" s="4"/>
      <c r="C159" s="4"/>
      <c r="D159" s="4"/>
      <c r="E159" s="7"/>
      <c r="F159" s="4"/>
      <c r="G159" s="4"/>
      <c r="H159" s="21"/>
      <c r="I159" s="4"/>
      <c r="J159" s="4"/>
      <c r="K159" s="4"/>
      <c r="L159" s="4"/>
      <c r="M159" s="4"/>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ht="12.75" customHeight="1">
      <c r="A160" s="4"/>
      <c r="B160" s="4"/>
      <c r="C160" s="4"/>
      <c r="D160" s="4"/>
      <c r="E160" s="7"/>
      <c r="F160" s="4"/>
      <c r="G160" s="4"/>
      <c r="H160" s="21"/>
      <c r="I160" s="4"/>
      <c r="J160" s="4"/>
      <c r="K160" s="4"/>
      <c r="L160" s="4"/>
      <c r="M160" s="4"/>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ht="12.75" customHeight="1">
      <c r="A161" s="4"/>
      <c r="B161" s="4"/>
      <c r="C161" s="4"/>
      <c r="D161" s="4"/>
      <c r="E161" s="7"/>
      <c r="F161" s="4"/>
      <c r="G161" s="4"/>
      <c r="H161" s="21"/>
      <c r="I161" s="4"/>
      <c r="J161" s="4"/>
      <c r="K161" s="4"/>
      <c r="L161" s="4"/>
      <c r="M161" s="4"/>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ht="12.75" customHeight="1">
      <c r="A162" s="4"/>
      <c r="B162" s="4"/>
      <c r="C162" s="4"/>
      <c r="D162" s="4"/>
      <c r="E162" s="7"/>
      <c r="F162" s="4"/>
      <c r="G162" s="4"/>
      <c r="H162" s="21"/>
      <c r="I162" s="4"/>
      <c r="J162" s="4"/>
      <c r="K162" s="4"/>
      <c r="L162" s="4"/>
      <c r="M162" s="4"/>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ht="12.75" customHeight="1">
      <c r="A163" s="4"/>
      <c r="B163" s="4"/>
      <c r="C163" s="4"/>
      <c r="D163" s="4"/>
      <c r="E163" s="7"/>
      <c r="F163" s="4"/>
      <c r="G163" s="4"/>
      <c r="H163" s="21"/>
      <c r="I163" s="4"/>
      <c r="J163" s="4"/>
      <c r="K163" s="4"/>
      <c r="L163" s="4"/>
      <c r="M163" s="4"/>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ht="12.75" customHeight="1">
      <c r="A164" s="4"/>
      <c r="B164" s="4"/>
      <c r="C164" s="4"/>
      <c r="D164" s="4"/>
      <c r="E164" s="7"/>
      <c r="F164" s="4"/>
      <c r="G164" s="4"/>
      <c r="H164" s="21"/>
      <c r="I164" s="4"/>
      <c r="J164" s="4"/>
      <c r="K164" s="4"/>
      <c r="L164" s="4"/>
      <c r="M164" s="4"/>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ht="12.75" customHeight="1">
      <c r="A165" s="4"/>
      <c r="B165" s="4"/>
      <c r="C165" s="4"/>
      <c r="D165" s="4"/>
      <c r="E165" s="7"/>
      <c r="F165" s="4"/>
      <c r="G165" s="4"/>
      <c r="H165" s="21"/>
      <c r="I165" s="4"/>
      <c r="J165" s="4"/>
      <c r="K165" s="4"/>
      <c r="L165" s="4"/>
      <c r="M165" s="4"/>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ht="12.75" customHeight="1">
      <c r="A166" s="4"/>
      <c r="B166" s="4"/>
      <c r="C166" s="4"/>
      <c r="D166" s="4"/>
      <c r="E166" s="7"/>
      <c r="F166" s="4"/>
      <c r="G166" s="4"/>
      <c r="H166" s="21"/>
      <c r="I166" s="4"/>
      <c r="J166" s="4"/>
      <c r="K166" s="4"/>
      <c r="L166" s="4"/>
      <c r="M166" s="4"/>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ht="12.75" customHeight="1">
      <c r="A167" s="4"/>
      <c r="B167" s="4"/>
      <c r="C167" s="4"/>
      <c r="D167" s="4"/>
      <c r="E167" s="7"/>
      <c r="F167" s="4"/>
      <c r="G167" s="4"/>
      <c r="H167" s="21"/>
      <c r="I167" s="4"/>
      <c r="J167" s="4"/>
      <c r="K167" s="4"/>
      <c r="L167" s="4"/>
      <c r="M167" s="4"/>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ht="12.75" customHeight="1">
      <c r="A168" s="4"/>
      <c r="B168" s="4"/>
      <c r="C168" s="4"/>
      <c r="D168" s="4"/>
      <c r="E168" s="7"/>
      <c r="F168" s="4"/>
      <c r="G168" s="4"/>
      <c r="H168" s="21"/>
      <c r="I168" s="4"/>
      <c r="J168" s="4"/>
      <c r="K168" s="4"/>
      <c r="L168" s="4"/>
      <c r="M168" s="4"/>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ht="12.75" customHeight="1">
      <c r="A169" s="4"/>
      <c r="B169" s="4"/>
      <c r="C169" s="4"/>
      <c r="D169" s="4"/>
      <c r="E169" s="7"/>
      <c r="F169" s="4"/>
      <c r="G169" s="4"/>
      <c r="H169" s="21"/>
      <c r="I169" s="4"/>
      <c r="J169" s="4"/>
      <c r="K169" s="4"/>
      <c r="L169" s="4"/>
      <c r="M169" s="4"/>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ht="12.75" customHeight="1">
      <c r="A170" s="4"/>
      <c r="B170" s="4"/>
      <c r="C170" s="4"/>
      <c r="D170" s="4"/>
      <c r="E170" s="7"/>
      <c r="F170" s="4"/>
      <c r="G170" s="4"/>
      <c r="H170" s="21"/>
      <c r="I170" s="4"/>
      <c r="J170" s="4"/>
      <c r="K170" s="4"/>
      <c r="L170" s="4"/>
      <c r="M170" s="4"/>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ht="12.75" customHeight="1">
      <c r="A171" s="4"/>
      <c r="B171" s="4"/>
      <c r="C171" s="4"/>
      <c r="D171" s="4"/>
      <c r="E171" s="7"/>
      <c r="F171" s="4"/>
      <c r="G171" s="4"/>
      <c r="H171" s="21"/>
      <c r="I171" s="4"/>
      <c r="J171" s="4"/>
      <c r="K171" s="4"/>
      <c r="L171" s="4"/>
      <c r="M171" s="4"/>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ht="12.75" customHeight="1">
      <c r="A172" s="4"/>
      <c r="B172" s="4"/>
      <c r="C172" s="4"/>
      <c r="D172" s="4"/>
      <c r="E172" s="7"/>
      <c r="F172" s="4"/>
      <c r="G172" s="4"/>
      <c r="H172" s="21"/>
      <c r="I172" s="4"/>
      <c r="J172" s="4"/>
      <c r="K172" s="4"/>
      <c r="L172" s="4"/>
      <c r="M172" s="4"/>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ht="12.75" customHeight="1">
      <c r="A173" s="4"/>
      <c r="B173" s="4"/>
      <c r="C173" s="4"/>
      <c r="D173" s="4"/>
      <c r="E173" s="7"/>
      <c r="F173" s="4"/>
      <c r="G173" s="4"/>
      <c r="H173" s="21"/>
      <c r="I173" s="4"/>
      <c r="J173" s="4"/>
      <c r="K173" s="4"/>
      <c r="L173" s="4"/>
      <c r="M173" s="4"/>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ht="12.75" customHeight="1">
      <c r="A174" s="4"/>
      <c r="B174" s="4"/>
      <c r="C174" s="4"/>
      <c r="D174" s="4"/>
      <c r="E174" s="7"/>
      <c r="F174" s="4"/>
      <c r="G174" s="4"/>
      <c r="H174" s="21"/>
      <c r="I174" s="4"/>
      <c r="J174" s="4"/>
      <c r="K174" s="4"/>
      <c r="L174" s="4"/>
      <c r="M174" s="4"/>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ht="12.75" customHeight="1">
      <c r="A175" s="4"/>
      <c r="B175" s="4"/>
      <c r="C175" s="4"/>
      <c r="D175" s="4"/>
      <c r="E175" s="7"/>
      <c r="F175" s="4"/>
      <c r="G175" s="4"/>
      <c r="H175" s="21"/>
      <c r="I175" s="4"/>
      <c r="J175" s="4"/>
      <c r="K175" s="4"/>
      <c r="L175" s="4"/>
      <c r="M175" s="4"/>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ht="12.75" customHeight="1">
      <c r="A176" s="4"/>
      <c r="B176" s="4"/>
      <c r="C176" s="4"/>
      <c r="D176" s="4"/>
      <c r="E176" s="7"/>
      <c r="F176" s="4"/>
      <c r="G176" s="4"/>
      <c r="H176" s="21"/>
      <c r="I176" s="4"/>
      <c r="J176" s="4"/>
      <c r="K176" s="4"/>
      <c r="L176" s="4"/>
      <c r="M176" s="4"/>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ht="12.75" customHeight="1">
      <c r="A177" s="4"/>
      <c r="B177" s="4"/>
      <c r="C177" s="4"/>
      <c r="D177" s="4"/>
      <c r="E177" s="7"/>
      <c r="F177" s="4"/>
      <c r="G177" s="4"/>
      <c r="H177" s="21"/>
      <c r="I177" s="4"/>
      <c r="J177" s="4"/>
      <c r="K177" s="4"/>
      <c r="L177" s="4"/>
      <c r="M177" s="4"/>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ht="12.75" customHeight="1">
      <c r="A178" s="4"/>
      <c r="B178" s="4"/>
      <c r="C178" s="4"/>
      <c r="D178" s="4"/>
      <c r="E178" s="7"/>
      <c r="F178" s="4"/>
      <c r="G178" s="4"/>
      <c r="H178" s="21"/>
      <c r="I178" s="4"/>
      <c r="J178" s="4"/>
      <c r="K178" s="4"/>
      <c r="L178" s="4"/>
      <c r="M178" s="4"/>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ht="12.75" customHeight="1">
      <c r="A179" s="4"/>
      <c r="B179" s="4"/>
      <c r="C179" s="4"/>
      <c r="D179" s="4"/>
      <c r="E179" s="7"/>
      <c r="F179" s="4"/>
      <c r="G179" s="4"/>
      <c r="H179" s="21"/>
      <c r="I179" s="4"/>
      <c r="J179" s="4"/>
      <c r="K179" s="4"/>
      <c r="L179" s="4"/>
      <c r="M179" s="4"/>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ht="12.75" customHeight="1">
      <c r="A180" s="4"/>
      <c r="B180" s="4"/>
      <c r="C180" s="4"/>
      <c r="D180" s="4"/>
      <c r="E180" s="7"/>
      <c r="F180" s="4"/>
      <c r="G180" s="4"/>
      <c r="H180" s="21"/>
      <c r="I180" s="4"/>
      <c r="J180" s="4"/>
      <c r="K180" s="4"/>
      <c r="L180" s="4"/>
      <c r="M180" s="4"/>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ht="12.75" customHeight="1">
      <c r="A181" s="4"/>
      <c r="B181" s="4"/>
      <c r="C181" s="4"/>
      <c r="D181" s="4"/>
      <c r="E181" s="7"/>
      <c r="F181" s="4"/>
      <c r="G181" s="4"/>
      <c r="H181" s="21"/>
      <c r="I181" s="4"/>
      <c r="J181" s="4"/>
      <c r="K181" s="4"/>
      <c r="L181" s="4"/>
      <c r="M181" s="4"/>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ht="12.75" customHeight="1">
      <c r="A182" s="4"/>
      <c r="B182" s="4"/>
      <c r="C182" s="4"/>
      <c r="D182" s="4"/>
      <c r="E182" s="7"/>
      <c r="F182" s="4"/>
      <c r="G182" s="4"/>
      <c r="H182" s="21"/>
      <c r="I182" s="4"/>
      <c r="J182" s="4"/>
      <c r="K182" s="4"/>
      <c r="L182" s="4"/>
      <c r="M182" s="4"/>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ht="12.75" customHeight="1">
      <c r="A183" s="4"/>
      <c r="B183" s="4"/>
      <c r="C183" s="4"/>
      <c r="D183" s="4"/>
      <c r="E183" s="7"/>
      <c r="F183" s="4"/>
      <c r="G183" s="4"/>
      <c r="H183" s="21"/>
      <c r="I183" s="4"/>
      <c r="J183" s="4"/>
      <c r="K183" s="4"/>
      <c r="L183" s="4"/>
      <c r="M183" s="4"/>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ht="12.75" customHeight="1">
      <c r="A184" s="4"/>
      <c r="B184" s="4"/>
      <c r="C184" s="4"/>
      <c r="D184" s="4"/>
      <c r="E184" s="7"/>
      <c r="F184" s="4"/>
      <c r="G184" s="4"/>
      <c r="H184" s="21"/>
      <c r="I184" s="4"/>
      <c r="J184" s="4"/>
      <c r="K184" s="4"/>
      <c r="L184" s="4"/>
      <c r="M184" s="4"/>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ht="12.75" customHeight="1">
      <c r="A185" s="4"/>
      <c r="B185" s="4"/>
      <c r="C185" s="4"/>
      <c r="D185" s="4"/>
      <c r="E185" s="7"/>
      <c r="F185" s="4"/>
      <c r="G185" s="4"/>
      <c r="H185" s="21"/>
      <c r="I185" s="4"/>
      <c r="J185" s="4"/>
      <c r="K185" s="4"/>
      <c r="L185" s="4"/>
      <c r="M185" s="4"/>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ht="12.75" customHeight="1">
      <c r="A186" s="4"/>
      <c r="B186" s="4"/>
      <c r="C186" s="4"/>
      <c r="D186" s="4"/>
      <c r="E186" s="7"/>
      <c r="F186" s="4"/>
      <c r="G186" s="4"/>
      <c r="H186" s="21"/>
      <c r="I186" s="4"/>
      <c r="J186" s="4"/>
      <c r="K186" s="4"/>
      <c r="L186" s="4"/>
      <c r="M186" s="4"/>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ht="12.75" customHeight="1">
      <c r="A187" s="4"/>
      <c r="B187" s="4"/>
      <c r="C187" s="4"/>
      <c r="D187" s="4"/>
      <c r="E187" s="7"/>
      <c r="F187" s="4"/>
      <c r="G187" s="4"/>
      <c r="H187" s="21"/>
      <c r="I187" s="4"/>
      <c r="J187" s="4"/>
      <c r="K187" s="4"/>
      <c r="L187" s="4"/>
      <c r="M187" s="4"/>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ht="12.75" customHeight="1">
      <c r="A188" s="4"/>
      <c r="B188" s="4"/>
      <c r="C188" s="4"/>
      <c r="D188" s="4"/>
      <c r="E188" s="7"/>
      <c r="F188" s="4"/>
      <c r="G188" s="4"/>
      <c r="H188" s="21"/>
      <c r="I188" s="4"/>
      <c r="J188" s="4"/>
      <c r="K188" s="4"/>
      <c r="L188" s="4"/>
      <c r="M188" s="4"/>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ht="12.75" customHeight="1">
      <c r="A189" s="4"/>
      <c r="B189" s="4"/>
      <c r="C189" s="4"/>
      <c r="D189" s="4"/>
      <c r="E189" s="7"/>
      <c r="F189" s="4"/>
      <c r="G189" s="4"/>
      <c r="H189" s="21"/>
      <c r="I189" s="4"/>
      <c r="J189" s="4"/>
      <c r="K189" s="4"/>
      <c r="L189" s="4"/>
      <c r="M189" s="4"/>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ht="12.75" customHeight="1">
      <c r="A190" s="4"/>
      <c r="B190" s="4"/>
      <c r="C190" s="4"/>
      <c r="D190" s="4"/>
      <c r="E190" s="7"/>
      <c r="F190" s="4"/>
      <c r="G190" s="4"/>
      <c r="H190" s="21"/>
      <c r="I190" s="4"/>
      <c r="J190" s="4"/>
      <c r="K190" s="4"/>
      <c r="L190" s="4"/>
      <c r="M190" s="4"/>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ht="12.75" customHeight="1">
      <c r="A191" s="4"/>
      <c r="B191" s="4"/>
      <c r="C191" s="4"/>
      <c r="D191" s="4"/>
      <c r="E191" s="7"/>
      <c r="F191" s="4"/>
      <c r="G191" s="4"/>
      <c r="H191" s="21"/>
      <c r="I191" s="4"/>
      <c r="J191" s="4"/>
      <c r="K191" s="4"/>
      <c r="L191" s="4"/>
      <c r="M191" s="4"/>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ht="12.75" customHeight="1">
      <c r="A192" s="4"/>
      <c r="B192" s="4"/>
      <c r="C192" s="4"/>
      <c r="D192" s="4"/>
      <c r="E192" s="7"/>
      <c r="F192" s="4"/>
      <c r="G192" s="4"/>
      <c r="H192" s="21"/>
      <c r="I192" s="4"/>
      <c r="J192" s="4"/>
      <c r="K192" s="4"/>
      <c r="L192" s="4"/>
      <c r="M192" s="4"/>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ht="12.75" customHeight="1">
      <c r="A193" s="4"/>
      <c r="B193" s="4"/>
      <c r="C193" s="4"/>
      <c r="D193" s="4"/>
      <c r="E193" s="7"/>
      <c r="F193" s="4"/>
      <c r="G193" s="4"/>
      <c r="H193" s="21"/>
      <c r="I193" s="4"/>
      <c r="J193" s="4"/>
      <c r="K193" s="4"/>
      <c r="L193" s="4"/>
      <c r="M193" s="4"/>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ht="12.75" customHeight="1">
      <c r="A194" s="4"/>
      <c r="B194" s="4"/>
      <c r="C194" s="4"/>
      <c r="D194" s="4"/>
      <c r="E194" s="7"/>
      <c r="F194" s="4"/>
      <c r="G194" s="4"/>
      <c r="H194" s="21"/>
      <c r="I194" s="4"/>
      <c r="J194" s="4"/>
      <c r="K194" s="4"/>
      <c r="L194" s="4"/>
      <c r="M194" s="4"/>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ht="12.75" customHeight="1">
      <c r="A195" s="4"/>
      <c r="B195" s="4"/>
      <c r="C195" s="4"/>
      <c r="D195" s="4"/>
      <c r="E195" s="7"/>
      <c r="F195" s="4"/>
      <c r="G195" s="4"/>
      <c r="H195" s="21"/>
      <c r="I195" s="4"/>
      <c r="J195" s="4"/>
      <c r="K195" s="4"/>
      <c r="L195" s="4"/>
      <c r="M195" s="4"/>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ht="12.75" customHeight="1">
      <c r="A196" s="4"/>
      <c r="B196" s="4"/>
      <c r="C196" s="4"/>
      <c r="D196" s="4"/>
      <c r="E196" s="7"/>
      <c r="F196" s="4"/>
      <c r="G196" s="4"/>
      <c r="H196" s="21"/>
      <c r="I196" s="4"/>
      <c r="J196" s="4"/>
      <c r="K196" s="4"/>
      <c r="L196" s="4"/>
      <c r="M196" s="4"/>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ht="12.75" customHeight="1">
      <c r="A197" s="4"/>
      <c r="B197" s="4"/>
      <c r="C197" s="4"/>
      <c r="D197" s="4"/>
      <c r="E197" s="7"/>
      <c r="F197" s="4"/>
      <c r="G197" s="4"/>
      <c r="H197" s="21"/>
      <c r="I197" s="4"/>
      <c r="J197" s="4"/>
      <c r="K197" s="4"/>
      <c r="L197" s="4"/>
      <c r="M197" s="4"/>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ht="12.75" customHeight="1">
      <c r="A198" s="4"/>
      <c r="B198" s="4"/>
      <c r="C198" s="4"/>
      <c r="D198" s="4"/>
      <c r="E198" s="7"/>
      <c r="F198" s="4"/>
      <c r="G198" s="4"/>
      <c r="H198" s="21"/>
      <c r="I198" s="4"/>
      <c r="J198" s="4"/>
      <c r="K198" s="4"/>
      <c r="L198" s="4"/>
      <c r="M198" s="4"/>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ht="12.75" customHeight="1">
      <c r="A199" s="4"/>
      <c r="B199" s="4"/>
      <c r="C199" s="4"/>
      <c r="D199" s="4"/>
      <c r="E199" s="7"/>
      <c r="F199" s="4"/>
      <c r="G199" s="4"/>
      <c r="H199" s="21"/>
      <c r="I199" s="4"/>
      <c r="J199" s="4"/>
      <c r="K199" s="4"/>
      <c r="L199" s="4"/>
      <c r="M199" s="4"/>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ht="12.75" customHeight="1">
      <c r="A200" s="4"/>
      <c r="B200" s="4"/>
      <c r="C200" s="4"/>
      <c r="D200" s="4"/>
      <c r="E200" s="7"/>
      <c r="F200" s="4"/>
      <c r="G200" s="4"/>
      <c r="H200" s="21"/>
      <c r="I200" s="4"/>
      <c r="J200" s="4"/>
      <c r="K200" s="4"/>
      <c r="L200" s="4"/>
      <c r="M200" s="4"/>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ht="12.75" customHeight="1">
      <c r="A201" s="4"/>
      <c r="B201" s="4"/>
      <c r="C201" s="4"/>
      <c r="D201" s="4"/>
      <c r="E201" s="7"/>
      <c r="F201" s="4"/>
      <c r="G201" s="4"/>
      <c r="H201" s="21"/>
      <c r="I201" s="4"/>
      <c r="J201" s="4"/>
      <c r="K201" s="4"/>
      <c r="L201" s="4"/>
      <c r="M201" s="4"/>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ht="12.75" customHeight="1">
      <c r="A202" s="4"/>
      <c r="B202" s="4"/>
      <c r="C202" s="4"/>
      <c r="D202" s="4"/>
      <c r="E202" s="7"/>
      <c r="F202" s="4"/>
      <c r="G202" s="4"/>
      <c r="H202" s="21"/>
      <c r="I202" s="4"/>
      <c r="J202" s="4"/>
      <c r="K202" s="4"/>
      <c r="L202" s="4"/>
      <c r="M202" s="4"/>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ht="12.75" customHeight="1">
      <c r="A203" s="4"/>
      <c r="B203" s="4"/>
      <c r="C203" s="4"/>
      <c r="D203" s="4"/>
      <c r="E203" s="7"/>
      <c r="F203" s="4"/>
      <c r="G203" s="4"/>
      <c r="H203" s="21"/>
      <c r="I203" s="4"/>
      <c r="J203" s="4"/>
      <c r="K203" s="4"/>
      <c r="L203" s="4"/>
      <c r="M203" s="4"/>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ht="12.75" customHeight="1">
      <c r="A204" s="4"/>
      <c r="B204" s="4"/>
      <c r="C204" s="4"/>
      <c r="D204" s="4"/>
      <c r="E204" s="7"/>
      <c r="F204" s="4"/>
      <c r="G204" s="4"/>
      <c r="H204" s="21"/>
      <c r="I204" s="4"/>
      <c r="J204" s="4"/>
      <c r="K204" s="4"/>
      <c r="L204" s="4"/>
      <c r="M204" s="4"/>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ht="12.75" customHeight="1">
      <c r="A205" s="4"/>
      <c r="B205" s="4"/>
      <c r="C205" s="4"/>
      <c r="D205" s="4"/>
      <c r="E205" s="7"/>
      <c r="F205" s="4"/>
      <c r="G205" s="4"/>
      <c r="H205" s="21"/>
      <c r="I205" s="4"/>
      <c r="J205" s="4"/>
      <c r="K205" s="4"/>
      <c r="L205" s="4"/>
      <c r="M205" s="4"/>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ht="12.75" customHeight="1">
      <c r="A206" s="4"/>
      <c r="B206" s="4"/>
      <c r="C206" s="4"/>
      <c r="D206" s="4"/>
      <c r="E206" s="7"/>
      <c r="F206" s="4"/>
      <c r="G206" s="4"/>
      <c r="H206" s="21"/>
      <c r="I206" s="4"/>
      <c r="J206" s="4"/>
      <c r="K206" s="4"/>
      <c r="L206" s="4"/>
      <c r="M206" s="4"/>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ht="12.75" customHeight="1">
      <c r="A207" s="4"/>
      <c r="B207" s="4"/>
      <c r="C207" s="4"/>
      <c r="D207" s="4"/>
      <c r="E207" s="7"/>
      <c r="F207" s="4"/>
      <c r="G207" s="4"/>
      <c r="H207" s="21"/>
      <c r="I207" s="4"/>
      <c r="J207" s="4"/>
      <c r="K207" s="4"/>
      <c r="L207" s="4"/>
      <c r="M207" s="4"/>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ht="12.75" customHeight="1">
      <c r="A208" s="4"/>
      <c r="B208" s="4"/>
      <c r="C208" s="4"/>
      <c r="D208" s="4"/>
      <c r="E208" s="7"/>
      <c r="F208" s="4"/>
      <c r="G208" s="4"/>
      <c r="H208" s="21"/>
      <c r="I208" s="4"/>
      <c r="J208" s="4"/>
      <c r="K208" s="4"/>
      <c r="L208" s="4"/>
      <c r="M208" s="4"/>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ht="12.75" customHeight="1">
      <c r="A209" s="4"/>
      <c r="B209" s="4"/>
      <c r="C209" s="4"/>
      <c r="D209" s="4"/>
      <c r="E209" s="7"/>
      <c r="F209" s="4"/>
      <c r="G209" s="4"/>
      <c r="H209" s="21"/>
      <c r="I209" s="4"/>
      <c r="J209" s="4"/>
      <c r="K209" s="4"/>
      <c r="L209" s="4"/>
      <c r="M209" s="4"/>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ht="12.75" customHeight="1">
      <c r="A210" s="4"/>
      <c r="B210" s="4"/>
      <c r="C210" s="4"/>
      <c r="D210" s="4"/>
      <c r="E210" s="7"/>
      <c r="F210" s="4"/>
      <c r="G210" s="4"/>
      <c r="H210" s="21"/>
      <c r="I210" s="4"/>
      <c r="J210" s="4"/>
      <c r="K210" s="4"/>
      <c r="L210" s="4"/>
      <c r="M210" s="4"/>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ht="12.75" customHeight="1">
      <c r="A211" s="4"/>
      <c r="B211" s="4"/>
      <c r="C211" s="4"/>
      <c r="D211" s="4"/>
      <c r="E211" s="7"/>
      <c r="F211" s="4"/>
      <c r="G211" s="4"/>
      <c r="H211" s="21"/>
      <c r="I211" s="4"/>
      <c r="J211" s="4"/>
      <c r="K211" s="4"/>
      <c r="L211" s="4"/>
      <c r="M211" s="4"/>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ht="12.75" customHeight="1">
      <c r="A212" s="4"/>
      <c r="B212" s="4"/>
      <c r="C212" s="4"/>
      <c r="D212" s="4"/>
      <c r="E212" s="7"/>
      <c r="F212" s="4"/>
      <c r="G212" s="4"/>
      <c r="H212" s="21"/>
      <c r="I212" s="4"/>
      <c r="J212" s="4"/>
      <c r="K212" s="4"/>
      <c r="L212" s="4"/>
      <c r="M212" s="4"/>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ht="12.75" customHeight="1">
      <c r="A213" s="4"/>
      <c r="B213" s="4"/>
      <c r="C213" s="4"/>
      <c r="D213" s="4"/>
      <c r="E213" s="7"/>
      <c r="F213" s="4"/>
      <c r="G213" s="4"/>
      <c r="H213" s="21"/>
      <c r="I213" s="4"/>
      <c r="J213" s="4"/>
      <c r="K213" s="4"/>
      <c r="L213" s="4"/>
      <c r="M213" s="4"/>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ht="12.75" customHeight="1">
      <c r="A214" s="4"/>
      <c r="B214" s="4"/>
      <c r="C214" s="4"/>
      <c r="D214" s="4"/>
      <c r="E214" s="7"/>
      <c r="F214" s="4"/>
      <c r="G214" s="4"/>
      <c r="H214" s="21"/>
      <c r="I214" s="4"/>
      <c r="J214" s="4"/>
      <c r="K214" s="4"/>
      <c r="L214" s="4"/>
      <c r="M214" s="4"/>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ht="12.75" customHeight="1">
      <c r="A215" s="4"/>
      <c r="B215" s="4"/>
      <c r="C215" s="4"/>
      <c r="D215" s="4"/>
      <c r="E215" s="7"/>
      <c r="F215" s="4"/>
      <c r="G215" s="4"/>
      <c r="H215" s="21"/>
      <c r="I215" s="4"/>
      <c r="J215" s="4"/>
      <c r="K215" s="4"/>
      <c r="L215" s="4"/>
      <c r="M215" s="4"/>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ht="12.75" customHeight="1">
      <c r="A216" s="4"/>
      <c r="B216" s="4"/>
      <c r="C216" s="4"/>
      <c r="D216" s="4"/>
      <c r="E216" s="7"/>
      <c r="F216" s="4"/>
      <c r="G216" s="4"/>
      <c r="H216" s="21"/>
      <c r="I216" s="4"/>
      <c r="J216" s="4"/>
      <c r="K216" s="4"/>
      <c r="L216" s="4"/>
      <c r="M216" s="4"/>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ht="12.75" customHeight="1">
      <c r="A217" s="4"/>
      <c r="B217" s="4"/>
      <c r="C217" s="4"/>
      <c r="D217" s="4"/>
      <c r="E217" s="7"/>
      <c r="F217" s="4"/>
      <c r="G217" s="4"/>
      <c r="H217" s="21"/>
      <c r="I217" s="4"/>
      <c r="J217" s="4"/>
      <c r="K217" s="4"/>
      <c r="L217" s="4"/>
      <c r="M217" s="4"/>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ht="12.75" customHeight="1">
      <c r="A218" s="4"/>
      <c r="B218" s="4"/>
      <c r="C218" s="4"/>
      <c r="D218" s="4"/>
      <c r="E218" s="7"/>
      <c r="F218" s="4"/>
      <c r="G218" s="4"/>
      <c r="H218" s="21"/>
      <c r="I218" s="4"/>
      <c r="J218" s="4"/>
      <c r="K218" s="4"/>
      <c r="L218" s="4"/>
      <c r="M218" s="4"/>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ht="12.75" customHeight="1">
      <c r="A219" s="4"/>
      <c r="B219" s="4"/>
      <c r="C219" s="4"/>
      <c r="D219" s="4"/>
      <c r="E219" s="7"/>
      <c r="F219" s="4"/>
      <c r="G219" s="4"/>
      <c r="H219" s="21"/>
      <c r="I219" s="4"/>
      <c r="J219" s="4"/>
      <c r="K219" s="4"/>
      <c r="L219" s="4"/>
      <c r="M219" s="4"/>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ht="12.75" customHeight="1">
      <c r="A220" s="4"/>
      <c r="B220" s="4"/>
      <c r="C220" s="4"/>
      <c r="D220" s="4"/>
      <c r="E220" s="7"/>
      <c r="F220" s="4"/>
      <c r="G220" s="4"/>
      <c r="H220" s="21"/>
      <c r="I220" s="4"/>
      <c r="J220" s="4"/>
      <c r="K220" s="4"/>
      <c r="L220" s="4"/>
      <c r="M220" s="4"/>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ht="12.75" customHeight="1">
      <c r="A221" s="4"/>
      <c r="B221" s="4"/>
      <c r="C221" s="4"/>
      <c r="D221" s="4"/>
      <c r="E221" s="7"/>
      <c r="F221" s="4"/>
      <c r="G221" s="4"/>
      <c r="H221" s="21"/>
      <c r="I221" s="4"/>
      <c r="J221" s="4"/>
      <c r="K221" s="4"/>
      <c r="L221" s="4"/>
      <c r="M221" s="4"/>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ht="12.75" customHeight="1">
      <c r="A222" s="4"/>
      <c r="B222" s="4"/>
      <c r="C222" s="4"/>
      <c r="D222" s="4"/>
      <c r="E222" s="7"/>
      <c r="F222" s="4"/>
      <c r="G222" s="4"/>
      <c r="H222" s="21"/>
      <c r="I222" s="4"/>
      <c r="J222" s="4"/>
      <c r="K222" s="4"/>
      <c r="L222" s="4"/>
      <c r="M222" s="4"/>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ht="12.75" customHeight="1">
      <c r="A223" s="4"/>
      <c r="B223" s="4"/>
      <c r="C223" s="4"/>
      <c r="D223" s="4"/>
      <c r="E223" s="7"/>
      <c r="F223" s="4"/>
      <c r="G223" s="4"/>
      <c r="H223" s="21"/>
      <c r="I223" s="4"/>
      <c r="J223" s="4"/>
      <c r="K223" s="4"/>
      <c r="L223" s="4"/>
      <c r="M223" s="4"/>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ht="12.75" customHeight="1">
      <c r="A224" s="4"/>
      <c r="B224" s="4"/>
      <c r="C224" s="4"/>
      <c r="D224" s="4"/>
      <c r="E224" s="7"/>
      <c r="F224" s="4"/>
      <c r="G224" s="4"/>
      <c r="H224" s="21"/>
      <c r="I224" s="4"/>
      <c r="J224" s="4"/>
      <c r="K224" s="4"/>
      <c r="L224" s="4"/>
      <c r="M224" s="4"/>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ht="12.75" customHeight="1">
      <c r="A225" s="4"/>
      <c r="B225" s="4"/>
      <c r="C225" s="4"/>
      <c r="D225" s="4"/>
      <c r="E225" s="7"/>
      <c r="F225" s="4"/>
      <c r="G225" s="4"/>
      <c r="H225" s="21"/>
      <c r="I225" s="4"/>
      <c r="J225" s="4"/>
      <c r="K225" s="4"/>
      <c r="L225" s="4"/>
      <c r="M225" s="4"/>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ht="12.75" customHeight="1">
      <c r="A226" s="4"/>
      <c r="B226" s="4"/>
      <c r="C226" s="4"/>
      <c r="D226" s="4"/>
      <c r="E226" s="7"/>
      <c r="F226" s="4"/>
      <c r="G226" s="4"/>
      <c r="H226" s="21"/>
      <c r="I226" s="4"/>
      <c r="J226" s="4"/>
      <c r="K226" s="4"/>
      <c r="L226" s="4"/>
      <c r="M226" s="4"/>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ht="12.75" customHeight="1">
      <c r="A227" s="4"/>
      <c r="B227" s="4"/>
      <c r="C227" s="4"/>
      <c r="D227" s="4"/>
      <c r="E227" s="7"/>
      <c r="F227" s="4"/>
      <c r="G227" s="4"/>
      <c r="H227" s="21"/>
      <c r="I227" s="4"/>
      <c r="J227" s="4"/>
      <c r="K227" s="4"/>
      <c r="L227" s="4"/>
      <c r="M227" s="4"/>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ht="12.75" customHeight="1">
      <c r="A228" s="4"/>
      <c r="B228" s="4"/>
      <c r="C228" s="4"/>
      <c r="D228" s="4"/>
      <c r="E228" s="7"/>
      <c r="F228" s="4"/>
      <c r="G228" s="4"/>
      <c r="H228" s="21"/>
      <c r="I228" s="4"/>
      <c r="J228" s="4"/>
      <c r="K228" s="4"/>
      <c r="L228" s="4"/>
      <c r="M228" s="4"/>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ht="12.75" customHeight="1">
      <c r="A229" s="4"/>
      <c r="B229" s="4"/>
      <c r="C229" s="4"/>
      <c r="D229" s="4"/>
      <c r="E229" s="7"/>
      <c r="F229" s="4"/>
      <c r="G229" s="4"/>
      <c r="H229" s="21"/>
      <c r="I229" s="4"/>
      <c r="J229" s="4"/>
      <c r="K229" s="4"/>
      <c r="L229" s="4"/>
      <c r="M229" s="4"/>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ht="12.75" customHeight="1">
      <c r="A230" s="4"/>
      <c r="B230" s="4"/>
      <c r="C230" s="4"/>
      <c r="D230" s="4"/>
      <c r="E230" s="7"/>
      <c r="F230" s="4"/>
      <c r="G230" s="4"/>
      <c r="H230" s="21"/>
      <c r="I230" s="4"/>
      <c r="J230" s="4"/>
      <c r="K230" s="4"/>
      <c r="L230" s="4"/>
      <c r="M230" s="4"/>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ht="12.75" customHeight="1">
      <c r="A231" s="4"/>
      <c r="B231" s="4"/>
      <c r="C231" s="4"/>
      <c r="D231" s="4"/>
      <c r="E231" s="7"/>
      <c r="F231" s="4"/>
      <c r="G231" s="4"/>
      <c r="H231" s="21"/>
      <c r="I231" s="4"/>
      <c r="J231" s="4"/>
      <c r="K231" s="4"/>
      <c r="L231" s="4"/>
      <c r="M231" s="4"/>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ht="12.75" customHeight="1">
      <c r="A232" s="4"/>
      <c r="B232" s="4"/>
      <c r="C232" s="4"/>
      <c r="D232" s="4"/>
      <c r="E232" s="7"/>
      <c r="F232" s="4"/>
      <c r="G232" s="4"/>
      <c r="H232" s="21"/>
      <c r="I232" s="4"/>
      <c r="J232" s="4"/>
      <c r="K232" s="4"/>
      <c r="L232" s="4"/>
      <c r="M232" s="4"/>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ht="12.75" customHeight="1">
      <c r="A233" s="4"/>
      <c r="B233" s="4"/>
      <c r="C233" s="4"/>
      <c r="D233" s="4"/>
      <c r="E233" s="7"/>
      <c r="F233" s="4"/>
      <c r="G233" s="4"/>
      <c r="H233" s="21"/>
      <c r="I233" s="4"/>
      <c r="J233" s="4"/>
      <c r="K233" s="4"/>
      <c r="L233" s="4"/>
      <c r="M233" s="4"/>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ht="12.75" customHeight="1">
      <c r="A234" s="4"/>
      <c r="B234" s="4"/>
      <c r="C234" s="4"/>
      <c r="D234" s="4"/>
      <c r="E234" s="7"/>
      <c r="F234" s="4"/>
      <c r="G234" s="4"/>
      <c r="H234" s="21"/>
      <c r="I234" s="4"/>
      <c r="J234" s="4"/>
      <c r="K234" s="4"/>
      <c r="L234" s="4"/>
      <c r="M234" s="4"/>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ht="12.75" customHeight="1">
      <c r="A235" s="4"/>
      <c r="B235" s="4"/>
      <c r="C235" s="4"/>
      <c r="D235" s="4"/>
      <c r="E235" s="7"/>
      <c r="F235" s="4"/>
      <c r="G235" s="4"/>
      <c r="H235" s="21"/>
      <c r="I235" s="4"/>
      <c r="J235" s="4"/>
      <c r="K235" s="4"/>
      <c r="L235" s="4"/>
      <c r="M235" s="4"/>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ht="12.75" customHeight="1">
      <c r="A236" s="4"/>
      <c r="B236" s="4"/>
      <c r="C236" s="4"/>
      <c r="D236" s="4"/>
      <c r="E236" s="7"/>
      <c r="F236" s="4"/>
      <c r="G236" s="4"/>
      <c r="H236" s="21"/>
      <c r="I236" s="4"/>
      <c r="J236" s="4"/>
      <c r="K236" s="4"/>
      <c r="L236" s="4"/>
      <c r="M236" s="4"/>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ht="12.75" customHeight="1">
      <c r="A237" s="4"/>
      <c r="B237" s="4"/>
      <c r="C237" s="4"/>
      <c r="D237" s="4"/>
      <c r="E237" s="7"/>
      <c r="F237" s="4"/>
      <c r="G237" s="4"/>
      <c r="H237" s="21"/>
      <c r="I237" s="4"/>
      <c r="J237" s="4"/>
      <c r="K237" s="4"/>
      <c r="L237" s="4"/>
      <c r="M237" s="4"/>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ht="12.75" customHeight="1">
      <c r="A238" s="4"/>
      <c r="B238" s="4"/>
      <c r="C238" s="4"/>
      <c r="D238" s="4"/>
      <c r="E238" s="7"/>
      <c r="F238" s="4"/>
      <c r="G238" s="4"/>
      <c r="H238" s="21"/>
      <c r="I238" s="4"/>
      <c r="J238" s="4"/>
      <c r="K238" s="4"/>
      <c r="L238" s="4"/>
      <c r="M238" s="4"/>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ht="12.75" customHeight="1">
      <c r="A239" s="4"/>
      <c r="B239" s="4"/>
      <c r="C239" s="4"/>
      <c r="D239" s="4"/>
      <c r="E239" s="7"/>
      <c r="F239" s="4"/>
      <c r="G239" s="4"/>
      <c r="H239" s="21"/>
      <c r="I239" s="4"/>
      <c r="J239" s="4"/>
      <c r="K239" s="4"/>
      <c r="L239" s="4"/>
      <c r="M239" s="4"/>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ht="12.75" customHeight="1">
      <c r="A240" s="4"/>
      <c r="B240" s="4"/>
      <c r="C240" s="4"/>
      <c r="D240" s="4"/>
      <c r="E240" s="7"/>
      <c r="F240" s="4"/>
      <c r="G240" s="4"/>
      <c r="H240" s="21"/>
      <c r="I240" s="4"/>
      <c r="J240" s="4"/>
      <c r="K240" s="4"/>
      <c r="L240" s="4"/>
      <c r="M240" s="4"/>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ht="12.75" customHeight="1">
      <c r="A241" s="4"/>
      <c r="B241" s="4"/>
      <c r="C241" s="4"/>
      <c r="D241" s="4"/>
      <c r="E241" s="7"/>
      <c r="F241" s="4"/>
      <c r="G241" s="4"/>
      <c r="H241" s="21"/>
      <c r="I241" s="4"/>
      <c r="J241" s="4"/>
      <c r="K241" s="4"/>
      <c r="L241" s="4"/>
      <c r="M241" s="4"/>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ht="12.75" customHeight="1">
      <c r="A242" s="4"/>
      <c r="B242" s="4"/>
      <c r="C242" s="4"/>
      <c r="D242" s="4"/>
      <c r="E242" s="7"/>
      <c r="F242" s="4"/>
      <c r="G242" s="4"/>
      <c r="H242" s="21"/>
      <c r="I242" s="4"/>
      <c r="J242" s="4"/>
      <c r="K242" s="4"/>
      <c r="L242" s="4"/>
      <c r="M242" s="4"/>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ht="12.75" customHeight="1">
      <c r="A243" s="4"/>
      <c r="B243" s="4"/>
      <c r="C243" s="4"/>
      <c r="D243" s="4"/>
      <c r="E243" s="7"/>
      <c r="F243" s="4"/>
      <c r="G243" s="4"/>
      <c r="H243" s="21"/>
      <c r="I243" s="4"/>
      <c r="J243" s="4"/>
      <c r="K243" s="4"/>
      <c r="L243" s="4"/>
      <c r="M243" s="4"/>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ht="12.75" customHeight="1">
      <c r="A244" s="4"/>
      <c r="B244" s="4"/>
      <c r="C244" s="4"/>
      <c r="D244" s="4"/>
      <c r="E244" s="7"/>
      <c r="F244" s="4"/>
      <c r="G244" s="4"/>
      <c r="H244" s="21"/>
      <c r="I244" s="4"/>
      <c r="J244" s="4"/>
      <c r="K244" s="4"/>
      <c r="L244" s="4"/>
      <c r="M244" s="4"/>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ht="12.75" customHeight="1">
      <c r="A245" s="4"/>
      <c r="B245" s="4"/>
      <c r="C245" s="4"/>
      <c r="D245" s="4"/>
      <c r="E245" s="7"/>
      <c r="F245" s="4"/>
      <c r="G245" s="4"/>
      <c r="H245" s="21"/>
      <c r="I245" s="4"/>
      <c r="J245" s="4"/>
      <c r="K245" s="4"/>
      <c r="L245" s="4"/>
      <c r="M245" s="4"/>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ht="12.75" customHeight="1">
      <c r="A246" s="4"/>
      <c r="B246" s="4"/>
      <c r="C246" s="4"/>
      <c r="D246" s="4"/>
      <c r="E246" s="7"/>
      <c r="F246" s="4"/>
      <c r="G246" s="4"/>
      <c r="H246" s="21"/>
      <c r="I246" s="4"/>
      <c r="J246" s="4"/>
      <c r="K246" s="4"/>
      <c r="L246" s="4"/>
      <c r="M246" s="4"/>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ht="12.75" customHeight="1">
      <c r="A247" s="4"/>
      <c r="B247" s="4"/>
      <c r="C247" s="4"/>
      <c r="D247" s="4"/>
      <c r="E247" s="7"/>
      <c r="F247" s="4"/>
      <c r="G247" s="4"/>
      <c r="H247" s="21"/>
      <c r="I247" s="4"/>
      <c r="J247" s="4"/>
      <c r="K247" s="4"/>
      <c r="L247" s="4"/>
      <c r="M247" s="4"/>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ht="12.75" customHeight="1">
      <c r="A248" s="4"/>
      <c r="B248" s="4"/>
      <c r="C248" s="4"/>
      <c r="D248" s="4"/>
      <c r="E248" s="7"/>
      <c r="F248" s="4"/>
      <c r="G248" s="4"/>
      <c r="H248" s="21"/>
      <c r="I248" s="4"/>
      <c r="J248" s="4"/>
      <c r="K248" s="4"/>
      <c r="L248" s="4"/>
      <c r="M248" s="4"/>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ht="12.75" customHeight="1">
      <c r="A249" s="4"/>
      <c r="B249" s="4"/>
      <c r="C249" s="4"/>
      <c r="D249" s="4"/>
      <c r="E249" s="7"/>
      <c r="F249" s="4"/>
      <c r="G249" s="4"/>
      <c r="H249" s="21"/>
      <c r="I249" s="4"/>
      <c r="J249" s="4"/>
      <c r="K249" s="4"/>
      <c r="L249" s="4"/>
      <c r="M249" s="4"/>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ht="12.75" customHeight="1">
      <c r="A250" s="4"/>
      <c r="B250" s="4"/>
      <c r="C250" s="4"/>
      <c r="D250" s="4"/>
      <c r="E250" s="7"/>
      <c r="F250" s="4"/>
      <c r="G250" s="4"/>
      <c r="H250" s="21"/>
      <c r="I250" s="4"/>
      <c r="J250" s="4"/>
      <c r="K250" s="4"/>
      <c r="L250" s="4"/>
      <c r="M250" s="4"/>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ht="12.75" customHeight="1">
      <c r="A251" s="4"/>
      <c r="B251" s="4"/>
      <c r="C251" s="4"/>
      <c r="D251" s="4"/>
      <c r="E251" s="7"/>
      <c r="F251" s="4"/>
      <c r="G251" s="4"/>
      <c r="H251" s="21"/>
      <c r="I251" s="4"/>
      <c r="J251" s="4"/>
      <c r="K251" s="4"/>
      <c r="L251" s="4"/>
      <c r="M251" s="4"/>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ht="12.75" customHeight="1">
      <c r="A252" s="4"/>
      <c r="B252" s="4"/>
      <c r="C252" s="4"/>
      <c r="D252" s="4"/>
      <c r="E252" s="7"/>
      <c r="F252" s="4"/>
      <c r="G252" s="4"/>
      <c r="H252" s="21"/>
      <c r="I252" s="4"/>
      <c r="J252" s="4"/>
      <c r="K252" s="4"/>
      <c r="L252" s="4"/>
      <c r="M252" s="4"/>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ht="12.75" customHeight="1">
      <c r="A253" s="4"/>
      <c r="B253" s="4"/>
      <c r="C253" s="4"/>
      <c r="D253" s="4"/>
      <c r="E253" s="7"/>
      <c r="F253" s="4"/>
      <c r="G253" s="4"/>
      <c r="H253" s="21"/>
      <c r="I253" s="4"/>
      <c r="J253" s="4"/>
      <c r="K253" s="4"/>
      <c r="L253" s="4"/>
      <c r="M253" s="4"/>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ht="12.75" customHeight="1">
      <c r="A254" s="4"/>
      <c r="B254" s="4"/>
      <c r="C254" s="4"/>
      <c r="D254" s="4"/>
      <c r="E254" s="7"/>
      <c r="F254" s="4"/>
      <c r="G254" s="4"/>
      <c r="H254" s="21"/>
      <c r="I254" s="4"/>
      <c r="J254" s="4"/>
      <c r="K254" s="4"/>
      <c r="L254" s="4"/>
      <c r="M254" s="4"/>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ht="12.75" customHeight="1">
      <c r="A255" s="4"/>
      <c r="B255" s="4"/>
      <c r="C255" s="4"/>
      <c r="D255" s="4"/>
      <c r="E255" s="7"/>
      <c r="F255" s="4"/>
      <c r="G255" s="4"/>
      <c r="H255" s="21"/>
      <c r="I255" s="4"/>
      <c r="J255" s="4"/>
      <c r="K255" s="4"/>
      <c r="L255" s="4"/>
      <c r="M255" s="4"/>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ht="12.75" customHeight="1">
      <c r="A256" s="4"/>
      <c r="B256" s="4"/>
      <c r="C256" s="4"/>
      <c r="D256" s="4"/>
      <c r="E256" s="7"/>
      <c r="F256" s="4"/>
      <c r="G256" s="4"/>
      <c r="H256" s="21"/>
      <c r="I256" s="4"/>
      <c r="J256" s="4"/>
      <c r="K256" s="4"/>
      <c r="L256" s="4"/>
      <c r="M256" s="4"/>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ht="12.75" customHeight="1">
      <c r="A257" s="4"/>
      <c r="B257" s="4"/>
      <c r="C257" s="4"/>
      <c r="D257" s="4"/>
      <c r="E257" s="7"/>
      <c r="F257" s="4"/>
      <c r="G257" s="4"/>
      <c r="H257" s="21"/>
      <c r="I257" s="4"/>
      <c r="J257" s="4"/>
      <c r="K257" s="4"/>
      <c r="L257" s="4"/>
      <c r="M257" s="4"/>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ht="12.75" customHeight="1">
      <c r="A258" s="4"/>
      <c r="B258" s="4"/>
      <c r="C258" s="4"/>
      <c r="D258" s="4"/>
      <c r="E258" s="7"/>
      <c r="F258" s="4"/>
      <c r="G258" s="4"/>
      <c r="H258" s="21"/>
      <c r="I258" s="4"/>
      <c r="J258" s="4"/>
      <c r="K258" s="4"/>
      <c r="L258" s="4"/>
      <c r="M258" s="4"/>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ht="12.75" customHeight="1">
      <c r="A259" s="4"/>
      <c r="B259" s="4"/>
      <c r="C259" s="4"/>
      <c r="D259" s="4"/>
      <c r="E259" s="7"/>
      <c r="F259" s="4"/>
      <c r="G259" s="4"/>
      <c r="H259" s="21"/>
      <c r="I259" s="4"/>
      <c r="J259" s="4"/>
      <c r="K259" s="4"/>
      <c r="L259" s="4"/>
      <c r="M259" s="4"/>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ht="12.75" customHeight="1">
      <c r="A260" s="4"/>
      <c r="B260" s="4"/>
      <c r="C260" s="4"/>
      <c r="D260" s="4"/>
      <c r="E260" s="7"/>
      <c r="F260" s="4"/>
      <c r="G260" s="4"/>
      <c r="H260" s="21"/>
      <c r="I260" s="4"/>
      <c r="J260" s="4"/>
      <c r="K260" s="4"/>
      <c r="L260" s="4"/>
      <c r="M260" s="4"/>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ht="12.75" customHeight="1">
      <c r="A261" s="4"/>
      <c r="B261" s="4"/>
      <c r="C261" s="4"/>
      <c r="D261" s="4"/>
      <c r="E261" s="7"/>
      <c r="F261" s="4"/>
      <c r="G261" s="4"/>
      <c r="H261" s="21"/>
      <c r="I261" s="4"/>
      <c r="J261" s="4"/>
      <c r="K261" s="4"/>
      <c r="L261" s="4"/>
      <c r="M261" s="4"/>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ht="12.75" customHeight="1">
      <c r="A262" s="4"/>
      <c r="B262" s="4"/>
      <c r="C262" s="4"/>
      <c r="D262" s="4"/>
      <c r="E262" s="7"/>
      <c r="F262" s="4"/>
      <c r="G262" s="4"/>
      <c r="H262" s="21"/>
      <c r="I262" s="4"/>
      <c r="J262" s="4"/>
      <c r="K262" s="4"/>
      <c r="L262" s="4"/>
      <c r="M262" s="4"/>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ht="12.75" customHeight="1">
      <c r="A263" s="4"/>
      <c r="B263" s="4"/>
      <c r="C263" s="4"/>
      <c r="D263" s="4"/>
      <c r="E263" s="7"/>
      <c r="F263" s="4"/>
      <c r="G263" s="4"/>
      <c r="H263" s="21"/>
      <c r="I263" s="4"/>
      <c r="J263" s="4"/>
      <c r="K263" s="4"/>
      <c r="L263" s="4"/>
      <c r="M263" s="4"/>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ht="12.75" customHeight="1">
      <c r="A264" s="4"/>
      <c r="B264" s="4"/>
      <c r="C264" s="4"/>
      <c r="D264" s="4"/>
      <c r="E264" s="7"/>
      <c r="F264" s="4"/>
      <c r="G264" s="4"/>
      <c r="H264" s="21"/>
      <c r="I264" s="4"/>
      <c r="J264" s="4"/>
      <c r="K264" s="4"/>
      <c r="L264" s="4"/>
      <c r="M264" s="4"/>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ht="12.75" customHeight="1">
      <c r="A265" s="4"/>
      <c r="B265" s="4"/>
      <c r="C265" s="4"/>
      <c r="D265" s="4"/>
      <c r="E265" s="7"/>
      <c r="F265" s="4"/>
      <c r="G265" s="4"/>
      <c r="H265" s="21"/>
      <c r="I265" s="4"/>
      <c r="J265" s="4"/>
      <c r="K265" s="4"/>
      <c r="L265" s="4"/>
      <c r="M265" s="4"/>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ht="12.75" customHeight="1">
      <c r="A266" s="4"/>
      <c r="B266" s="4"/>
      <c r="C266" s="4"/>
      <c r="D266" s="4"/>
      <c r="E266" s="7"/>
      <c r="F266" s="4"/>
      <c r="G266" s="4"/>
      <c r="H266" s="21"/>
      <c r="I266" s="4"/>
      <c r="J266" s="4"/>
      <c r="K266" s="4"/>
      <c r="L266" s="4"/>
      <c r="M266" s="4"/>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ht="12.75" customHeight="1">
      <c r="A267" s="4"/>
      <c r="B267" s="4"/>
      <c r="C267" s="4"/>
      <c r="D267" s="4"/>
      <c r="E267" s="7"/>
      <c r="F267" s="4"/>
      <c r="G267" s="4"/>
      <c r="H267" s="21"/>
      <c r="I267" s="4"/>
      <c r="J267" s="4"/>
      <c r="K267" s="4"/>
      <c r="L267" s="4"/>
      <c r="M267" s="4"/>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ht="12.75" customHeight="1">
      <c r="A268" s="4"/>
      <c r="B268" s="4"/>
      <c r="C268" s="4"/>
      <c r="D268" s="4"/>
      <c r="E268" s="7"/>
      <c r="F268" s="4"/>
      <c r="G268" s="4"/>
      <c r="H268" s="21"/>
      <c r="I268" s="4"/>
      <c r="J268" s="4"/>
      <c r="K268" s="4"/>
      <c r="L268" s="4"/>
      <c r="M268" s="4"/>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ht="12.75" customHeight="1">
      <c r="A269" s="4"/>
      <c r="B269" s="4"/>
      <c r="C269" s="4"/>
      <c r="D269" s="4"/>
      <c r="E269" s="7"/>
      <c r="F269" s="4"/>
      <c r="G269" s="4"/>
      <c r="H269" s="21"/>
      <c r="I269" s="4"/>
      <c r="J269" s="4"/>
      <c r="K269" s="4"/>
      <c r="L269" s="4"/>
      <c r="M269" s="4"/>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ht="12.75" customHeight="1">
      <c r="A270" s="4"/>
      <c r="B270" s="4"/>
      <c r="C270" s="4"/>
      <c r="D270" s="4"/>
      <c r="E270" s="7"/>
      <c r="F270" s="4"/>
      <c r="G270" s="4"/>
      <c r="H270" s="21"/>
      <c r="I270" s="4"/>
      <c r="J270" s="4"/>
      <c r="K270" s="4"/>
      <c r="L270" s="4"/>
      <c r="M270" s="4"/>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ht="12.75" customHeight="1">
      <c r="A271" s="4"/>
      <c r="B271" s="4"/>
      <c r="C271" s="4"/>
      <c r="D271" s="4"/>
      <c r="E271" s="7"/>
      <c r="F271" s="4"/>
      <c r="G271" s="4"/>
      <c r="H271" s="21"/>
      <c r="I271" s="4"/>
      <c r="J271" s="4"/>
      <c r="K271" s="4"/>
      <c r="L271" s="4"/>
      <c r="M271" s="4"/>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ht="12.75" customHeight="1">
      <c r="A272" s="4"/>
      <c r="B272" s="4"/>
      <c r="C272" s="4"/>
      <c r="D272" s="4"/>
      <c r="E272" s="7"/>
      <c r="F272" s="4"/>
      <c r="G272" s="4"/>
      <c r="H272" s="21"/>
      <c r="I272" s="4"/>
      <c r="J272" s="4"/>
      <c r="K272" s="4"/>
      <c r="L272" s="4"/>
      <c r="M272" s="4"/>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ht="12.75" customHeight="1">
      <c r="A273" s="4"/>
      <c r="B273" s="4"/>
      <c r="C273" s="4"/>
      <c r="D273" s="4"/>
      <c r="E273" s="7"/>
      <c r="F273" s="4"/>
      <c r="G273" s="4"/>
      <c r="H273" s="21"/>
      <c r="I273" s="4"/>
      <c r="J273" s="4"/>
      <c r="K273" s="4"/>
      <c r="L273" s="4"/>
      <c r="M273" s="4"/>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ht="12.75" customHeight="1">
      <c r="A274" s="4"/>
      <c r="B274" s="4"/>
      <c r="C274" s="4"/>
      <c r="D274" s="4"/>
      <c r="E274" s="7"/>
      <c r="F274" s="4"/>
      <c r="G274" s="4"/>
      <c r="H274" s="21"/>
      <c r="I274" s="4"/>
      <c r="J274" s="4"/>
      <c r="K274" s="4"/>
      <c r="L274" s="4"/>
      <c r="M274" s="4"/>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ht="12.75" customHeight="1">
      <c r="A275" s="4"/>
      <c r="B275" s="4"/>
      <c r="C275" s="4"/>
      <c r="D275" s="4"/>
      <c r="E275" s="7"/>
      <c r="F275" s="4"/>
      <c r="G275" s="4"/>
      <c r="H275" s="21"/>
      <c r="I275" s="4"/>
      <c r="J275" s="4"/>
      <c r="K275" s="4"/>
      <c r="L275" s="4"/>
      <c r="M275" s="4"/>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ht="12.75" customHeight="1">
      <c r="A276" s="4"/>
      <c r="B276" s="4"/>
      <c r="C276" s="4"/>
      <c r="D276" s="4"/>
      <c r="E276" s="7"/>
      <c r="F276" s="4"/>
      <c r="G276" s="4"/>
      <c r="H276" s="21"/>
      <c r="I276" s="4"/>
      <c r="J276" s="4"/>
      <c r="K276" s="4"/>
      <c r="L276" s="4"/>
      <c r="M276" s="4"/>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ht="12.75" customHeight="1">
      <c r="A277" s="4"/>
      <c r="B277" s="4"/>
      <c r="C277" s="4"/>
      <c r="D277" s="4"/>
      <c r="E277" s="7"/>
      <c r="F277" s="4"/>
      <c r="G277" s="4"/>
      <c r="H277" s="21"/>
      <c r="I277" s="4"/>
      <c r="J277" s="4"/>
      <c r="K277" s="4"/>
      <c r="L277" s="4"/>
      <c r="M277" s="4"/>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ht="12.75" customHeight="1">
      <c r="A278" s="4"/>
      <c r="B278" s="4"/>
      <c r="C278" s="4"/>
      <c r="D278" s="4"/>
      <c r="E278" s="7"/>
      <c r="F278" s="4"/>
      <c r="G278" s="4"/>
      <c r="H278" s="21"/>
      <c r="I278" s="4"/>
      <c r="J278" s="4"/>
      <c r="K278" s="4"/>
      <c r="L278" s="4"/>
      <c r="M278" s="4"/>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ht="12.75" customHeight="1">
      <c r="A279" s="4"/>
      <c r="B279" s="4"/>
      <c r="C279" s="4"/>
      <c r="D279" s="4"/>
      <c r="E279" s="7"/>
      <c r="F279" s="4"/>
      <c r="G279" s="4"/>
      <c r="H279" s="21"/>
      <c r="I279" s="4"/>
      <c r="J279" s="4"/>
      <c r="K279" s="4"/>
      <c r="L279" s="4"/>
      <c r="M279" s="4"/>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ht="12.75" customHeight="1">
      <c r="A280" s="4"/>
      <c r="B280" s="4"/>
      <c r="C280" s="4"/>
      <c r="D280" s="4"/>
      <c r="E280" s="7"/>
      <c r="F280" s="4"/>
      <c r="G280" s="4"/>
      <c r="H280" s="21"/>
      <c r="I280" s="4"/>
      <c r="J280" s="4"/>
      <c r="K280" s="4"/>
      <c r="L280" s="4"/>
      <c r="M280" s="4"/>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ht="12.75" customHeight="1">
      <c r="A281" s="4"/>
      <c r="B281" s="4"/>
      <c r="C281" s="4"/>
      <c r="D281" s="4"/>
      <c r="E281" s="7"/>
      <c r="F281" s="4"/>
      <c r="G281" s="4"/>
      <c r="H281" s="21"/>
      <c r="I281" s="4"/>
      <c r="J281" s="4"/>
      <c r="K281" s="4"/>
      <c r="L281" s="4"/>
      <c r="M281" s="4"/>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ht="12.75" customHeight="1">
      <c r="A282" s="4"/>
      <c r="B282" s="4"/>
      <c r="C282" s="4"/>
      <c r="D282" s="4"/>
      <c r="E282" s="7"/>
      <c r="F282" s="4"/>
      <c r="G282" s="4"/>
      <c r="H282" s="21"/>
      <c r="I282" s="4"/>
      <c r="J282" s="4"/>
      <c r="K282" s="4"/>
      <c r="L282" s="4"/>
      <c r="M282" s="4"/>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ht="12.75" customHeight="1">
      <c r="A283" s="4"/>
      <c r="B283" s="4"/>
      <c r="C283" s="4"/>
      <c r="D283" s="4"/>
      <c r="E283" s="7"/>
      <c r="F283" s="4"/>
      <c r="G283" s="4"/>
      <c r="H283" s="21"/>
      <c r="I283" s="4"/>
      <c r="J283" s="4"/>
      <c r="K283" s="4"/>
      <c r="L283" s="4"/>
      <c r="M283" s="4"/>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ht="12.75" customHeight="1">
      <c r="A284" s="4"/>
      <c r="B284" s="4"/>
      <c r="C284" s="4"/>
      <c r="D284" s="4"/>
      <c r="E284" s="7"/>
      <c r="F284" s="4"/>
      <c r="G284" s="4"/>
      <c r="H284" s="21"/>
      <c r="I284" s="4"/>
      <c r="J284" s="4"/>
      <c r="K284" s="4"/>
      <c r="L284" s="4"/>
      <c r="M284" s="4"/>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ht="12.75" customHeight="1">
      <c r="A285" s="4"/>
      <c r="B285" s="4"/>
      <c r="C285" s="4"/>
      <c r="D285" s="4"/>
      <c r="E285" s="7"/>
      <c r="F285" s="4"/>
      <c r="G285" s="4"/>
      <c r="H285" s="21"/>
      <c r="I285" s="4"/>
      <c r="J285" s="4"/>
      <c r="K285" s="4"/>
      <c r="L285" s="4"/>
      <c r="M285" s="4"/>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ht="12.75" customHeight="1">
      <c r="A286" s="4"/>
      <c r="B286" s="4"/>
      <c r="C286" s="4"/>
      <c r="D286" s="4"/>
      <c r="E286" s="7"/>
      <c r="F286" s="4"/>
      <c r="G286" s="4"/>
      <c r="H286" s="21"/>
      <c r="I286" s="4"/>
      <c r="J286" s="4"/>
      <c r="K286" s="4"/>
      <c r="L286" s="4"/>
      <c r="M286" s="4"/>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ht="12.75" customHeight="1">
      <c r="A287" s="4"/>
      <c r="B287" s="4"/>
      <c r="C287" s="4"/>
      <c r="D287" s="4"/>
      <c r="E287" s="7"/>
      <c r="F287" s="4"/>
      <c r="G287" s="4"/>
      <c r="H287" s="21"/>
      <c r="I287" s="4"/>
      <c r="J287" s="4"/>
      <c r="K287" s="4"/>
      <c r="L287" s="4"/>
      <c r="M287" s="4"/>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ht="12.75" customHeight="1">
      <c r="A288" s="4"/>
      <c r="B288" s="4"/>
      <c r="C288" s="4"/>
      <c r="D288" s="4"/>
      <c r="E288" s="7"/>
      <c r="F288" s="4"/>
      <c r="G288" s="4"/>
      <c r="H288" s="21"/>
      <c r="I288" s="4"/>
      <c r="J288" s="4"/>
      <c r="K288" s="4"/>
      <c r="L288" s="4"/>
      <c r="M288" s="4"/>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ht="12.75" customHeight="1">
      <c r="A289" s="4"/>
      <c r="B289" s="4"/>
      <c r="C289" s="4"/>
      <c r="D289" s="4"/>
      <c r="E289" s="7"/>
      <c r="F289" s="4"/>
      <c r="G289" s="4"/>
      <c r="H289" s="21"/>
      <c r="I289" s="4"/>
      <c r="J289" s="4"/>
      <c r="K289" s="4"/>
      <c r="L289" s="4"/>
      <c r="M289" s="4"/>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ht="12.75" customHeight="1">
      <c r="A290" s="4"/>
      <c r="B290" s="4"/>
      <c r="C290" s="4"/>
      <c r="D290" s="4"/>
      <c r="E290" s="7"/>
      <c r="F290" s="4"/>
      <c r="G290" s="4"/>
      <c r="H290" s="21"/>
      <c r="I290" s="4"/>
      <c r="J290" s="4"/>
      <c r="K290" s="4"/>
      <c r="L290" s="4"/>
      <c r="M290" s="4"/>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ht="12.75" customHeight="1">
      <c r="A291" s="4"/>
      <c r="B291" s="4"/>
      <c r="C291" s="4"/>
      <c r="D291" s="4"/>
      <c r="E291" s="7"/>
      <c r="F291" s="4"/>
      <c r="G291" s="4"/>
      <c r="H291" s="21"/>
      <c r="I291" s="4"/>
      <c r="J291" s="4"/>
      <c r="K291" s="4"/>
      <c r="L291" s="4"/>
      <c r="M291" s="4"/>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ht="12.75" customHeight="1">
      <c r="A292" s="4"/>
      <c r="B292" s="4"/>
      <c r="C292" s="4"/>
      <c r="D292" s="4"/>
      <c r="E292" s="7"/>
      <c r="F292" s="4"/>
      <c r="G292" s="4"/>
      <c r="H292" s="21"/>
      <c r="I292" s="4"/>
      <c r="J292" s="4"/>
      <c r="K292" s="4"/>
      <c r="L292" s="4"/>
      <c r="M292" s="4"/>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ht="12.75" customHeight="1">
      <c r="A293" s="4"/>
      <c r="B293" s="4"/>
      <c r="C293" s="4"/>
      <c r="D293" s="4"/>
      <c r="E293" s="7"/>
      <c r="F293" s="4"/>
      <c r="G293" s="4"/>
      <c r="H293" s="21"/>
      <c r="I293" s="4"/>
      <c r="J293" s="4"/>
      <c r="K293" s="4"/>
      <c r="L293" s="4"/>
      <c r="M293" s="4"/>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ht="12.75" customHeight="1">
      <c r="A294" s="4"/>
      <c r="B294" s="4"/>
      <c r="C294" s="4"/>
      <c r="D294" s="4"/>
      <c r="E294" s="7"/>
      <c r="F294" s="4"/>
      <c r="G294" s="4"/>
      <c r="H294" s="21"/>
      <c r="I294" s="4"/>
      <c r="J294" s="4"/>
      <c r="K294" s="4"/>
      <c r="L294" s="4"/>
      <c r="M294" s="4"/>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ht="12.75" customHeight="1">
      <c r="A295" s="4"/>
      <c r="B295" s="4"/>
      <c r="C295" s="4"/>
      <c r="D295" s="4"/>
      <c r="E295" s="7"/>
      <c r="F295" s="4"/>
      <c r="G295" s="4"/>
      <c r="H295" s="21"/>
      <c r="I295" s="4"/>
      <c r="J295" s="4"/>
      <c r="K295" s="4"/>
      <c r="L295" s="4"/>
      <c r="M295" s="4"/>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ht="12.75" customHeight="1">
      <c r="A296" s="4"/>
      <c r="B296" s="4"/>
      <c r="C296" s="4"/>
      <c r="D296" s="4"/>
      <c r="E296" s="7"/>
      <c r="F296" s="4"/>
      <c r="G296" s="4"/>
      <c r="H296" s="21"/>
      <c r="I296" s="4"/>
      <c r="J296" s="4"/>
      <c r="K296" s="4"/>
      <c r="L296" s="4"/>
      <c r="M296" s="4"/>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ht="12.75" customHeight="1">
      <c r="A297" s="4"/>
      <c r="B297" s="4"/>
      <c r="C297" s="4"/>
      <c r="D297" s="4"/>
      <c r="E297" s="7"/>
      <c r="F297" s="4"/>
      <c r="G297" s="4"/>
      <c r="H297" s="21"/>
      <c r="I297" s="4"/>
      <c r="J297" s="4"/>
      <c r="K297" s="4"/>
      <c r="L297" s="4"/>
      <c r="M297" s="4"/>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ht="12.75" customHeight="1">
      <c r="A298" s="4"/>
      <c r="B298" s="4"/>
      <c r="C298" s="4"/>
      <c r="D298" s="4"/>
      <c r="E298" s="7"/>
      <c r="F298" s="4"/>
      <c r="G298" s="4"/>
      <c r="H298" s="21"/>
      <c r="I298" s="4"/>
      <c r="J298" s="4"/>
      <c r="K298" s="4"/>
      <c r="L298" s="4"/>
      <c r="M298" s="4"/>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ht="12.75" customHeight="1">
      <c r="A299" s="4"/>
      <c r="B299" s="4"/>
      <c r="C299" s="4"/>
      <c r="D299" s="4"/>
      <c r="E299" s="7"/>
      <c r="F299" s="4"/>
      <c r="G299" s="4"/>
      <c r="H299" s="21"/>
      <c r="I299" s="4"/>
      <c r="J299" s="4"/>
      <c r="K299" s="4"/>
      <c r="L299" s="4"/>
      <c r="M299" s="4"/>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ht="12.75" customHeight="1">
      <c r="A300" s="4"/>
      <c r="B300" s="4"/>
      <c r="C300" s="4"/>
      <c r="D300" s="4"/>
      <c r="E300" s="7"/>
      <c r="F300" s="4"/>
      <c r="G300" s="4"/>
      <c r="H300" s="21"/>
      <c r="I300" s="4"/>
      <c r="J300" s="4"/>
      <c r="K300" s="4"/>
      <c r="L300" s="4"/>
      <c r="M300" s="4"/>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ht="12.75" customHeight="1">
      <c r="A301" s="4"/>
      <c r="B301" s="4"/>
      <c r="C301" s="4"/>
      <c r="D301" s="4"/>
      <c r="E301" s="7"/>
      <c r="F301" s="4"/>
      <c r="G301" s="4"/>
      <c r="H301" s="21"/>
      <c r="I301" s="4"/>
      <c r="J301" s="4"/>
      <c r="K301" s="4"/>
      <c r="L301" s="4"/>
      <c r="M301" s="4"/>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ht="12.75" customHeight="1">
      <c r="A302" s="4"/>
      <c r="B302" s="4"/>
      <c r="C302" s="4"/>
      <c r="D302" s="4"/>
      <c r="E302" s="7"/>
      <c r="F302" s="4"/>
      <c r="G302" s="4"/>
      <c r="H302" s="21"/>
      <c r="I302" s="4"/>
      <c r="J302" s="4"/>
      <c r="K302" s="4"/>
      <c r="L302" s="4"/>
      <c r="M302" s="4"/>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ht="12.75" customHeight="1">
      <c r="A303" s="4"/>
      <c r="B303" s="4"/>
      <c r="C303" s="4"/>
      <c r="D303" s="4"/>
      <c r="E303" s="7"/>
      <c r="F303" s="4"/>
      <c r="G303" s="4"/>
      <c r="H303" s="21"/>
      <c r="I303" s="4"/>
      <c r="J303" s="4"/>
      <c r="K303" s="4"/>
      <c r="L303" s="4"/>
      <c r="M303" s="4"/>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ht="12.75" customHeight="1">
      <c r="A304" s="4"/>
      <c r="B304" s="4"/>
      <c r="C304" s="4"/>
      <c r="D304" s="4"/>
      <c r="E304" s="7"/>
      <c r="F304" s="4"/>
      <c r="G304" s="4"/>
      <c r="H304" s="21"/>
      <c r="I304" s="4"/>
      <c r="J304" s="4"/>
      <c r="K304" s="4"/>
      <c r="L304" s="4"/>
      <c r="M304" s="4"/>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ht="12.75" customHeight="1">
      <c r="A305" s="4"/>
      <c r="B305" s="4"/>
      <c r="C305" s="4"/>
      <c r="D305" s="4"/>
      <c r="E305" s="7"/>
      <c r="F305" s="4"/>
      <c r="G305" s="4"/>
      <c r="H305" s="21"/>
      <c r="I305" s="4"/>
      <c r="J305" s="4"/>
      <c r="K305" s="4"/>
      <c r="L305" s="4"/>
      <c r="M305" s="4"/>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ht="12.75" customHeight="1">
      <c r="A306" s="4"/>
      <c r="B306" s="4"/>
      <c r="C306" s="4"/>
      <c r="D306" s="4"/>
      <c r="E306" s="7"/>
      <c r="F306" s="4"/>
      <c r="G306" s="4"/>
      <c r="H306" s="21"/>
      <c r="I306" s="4"/>
      <c r="J306" s="4"/>
      <c r="K306" s="4"/>
      <c r="L306" s="4"/>
      <c r="M306" s="4"/>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ht="12.75" customHeight="1">
      <c r="A307" s="4"/>
      <c r="B307" s="4"/>
      <c r="C307" s="4"/>
      <c r="D307" s="4"/>
      <c r="E307" s="7"/>
      <c r="F307" s="4"/>
      <c r="G307" s="4"/>
      <c r="H307" s="21"/>
      <c r="I307" s="4"/>
      <c r="J307" s="4"/>
      <c r="K307" s="4"/>
      <c r="L307" s="4"/>
      <c r="M307" s="4"/>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ht="12.75" customHeight="1">
      <c r="A308" s="4"/>
      <c r="B308" s="4"/>
      <c r="C308" s="4"/>
      <c r="D308" s="4"/>
      <c r="E308" s="7"/>
      <c r="F308" s="4"/>
      <c r="G308" s="4"/>
      <c r="H308" s="21"/>
      <c r="I308" s="4"/>
      <c r="J308" s="4"/>
      <c r="K308" s="4"/>
      <c r="L308" s="4"/>
      <c r="M308" s="4"/>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ht="12.75" customHeight="1">
      <c r="A309" s="4"/>
      <c r="B309" s="4"/>
      <c r="C309" s="4"/>
      <c r="D309" s="4"/>
      <c r="E309" s="7"/>
      <c r="F309" s="4"/>
      <c r="G309" s="4"/>
      <c r="H309" s="21"/>
      <c r="I309" s="4"/>
      <c r="J309" s="4"/>
      <c r="K309" s="4"/>
      <c r="L309" s="4"/>
      <c r="M309" s="4"/>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ht="12.75" customHeight="1">
      <c r="A310" s="4"/>
      <c r="B310" s="4"/>
      <c r="C310" s="4"/>
      <c r="D310" s="4"/>
      <c r="E310" s="7"/>
      <c r="F310" s="4"/>
      <c r="G310" s="4"/>
      <c r="H310" s="21"/>
      <c r="I310" s="4"/>
      <c r="J310" s="4"/>
      <c r="K310" s="4"/>
      <c r="L310" s="4"/>
      <c r="M310" s="4"/>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ht="12.75" customHeight="1">
      <c r="A311" s="4"/>
      <c r="B311" s="4"/>
      <c r="C311" s="4"/>
      <c r="D311" s="4"/>
      <c r="E311" s="7"/>
      <c r="F311" s="4"/>
      <c r="G311" s="4"/>
      <c r="H311" s="21"/>
      <c r="I311" s="4"/>
      <c r="J311" s="4"/>
      <c r="K311" s="4"/>
      <c r="L311" s="4"/>
      <c r="M311" s="4"/>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ht="12.75" customHeight="1">
      <c r="A312" s="4"/>
      <c r="B312" s="4"/>
      <c r="C312" s="4"/>
      <c r="D312" s="4"/>
      <c r="E312" s="7"/>
      <c r="F312" s="4"/>
      <c r="G312" s="4"/>
      <c r="H312" s="21"/>
      <c r="I312" s="4"/>
      <c r="J312" s="4"/>
      <c r="K312" s="4"/>
      <c r="L312" s="4"/>
      <c r="M312" s="4"/>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ht="12.75" customHeight="1">
      <c r="A313" s="4"/>
      <c r="B313" s="4"/>
      <c r="C313" s="4"/>
      <c r="D313" s="4"/>
      <c r="E313" s="7"/>
      <c r="F313" s="4"/>
      <c r="G313" s="4"/>
      <c r="H313" s="21"/>
      <c r="I313" s="4"/>
      <c r="J313" s="4"/>
      <c r="K313" s="4"/>
      <c r="L313" s="4"/>
      <c r="M313" s="4"/>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ht="12.75" customHeight="1">
      <c r="A314" s="4"/>
      <c r="B314" s="4"/>
      <c r="C314" s="4"/>
      <c r="D314" s="4"/>
      <c r="E314" s="7"/>
      <c r="F314" s="4"/>
      <c r="G314" s="4"/>
      <c r="H314" s="21"/>
      <c r="I314" s="4"/>
      <c r="J314" s="4"/>
      <c r="K314" s="4"/>
      <c r="L314" s="4"/>
      <c r="M314" s="4"/>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ht="12.75" customHeight="1">
      <c r="A315" s="4"/>
      <c r="B315" s="4"/>
      <c r="C315" s="4"/>
      <c r="D315" s="4"/>
      <c r="E315" s="7"/>
      <c r="F315" s="4"/>
      <c r="G315" s="4"/>
      <c r="H315" s="21"/>
      <c r="I315" s="4"/>
      <c r="J315" s="4"/>
      <c r="K315" s="4"/>
      <c r="L315" s="4"/>
      <c r="M315" s="4"/>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ht="12.75" customHeight="1">
      <c r="A316" s="4"/>
      <c r="B316" s="4"/>
      <c r="C316" s="4"/>
      <c r="D316" s="4"/>
      <c r="E316" s="7"/>
      <c r="F316" s="4"/>
      <c r="G316" s="4"/>
      <c r="H316" s="21"/>
      <c r="I316" s="4"/>
      <c r="J316" s="4"/>
      <c r="K316" s="4"/>
      <c r="L316" s="4"/>
      <c r="M316" s="4"/>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ht="12.75" customHeight="1">
      <c r="A317" s="4"/>
      <c r="B317" s="4"/>
      <c r="C317" s="4"/>
      <c r="D317" s="4"/>
      <c r="E317" s="7"/>
      <c r="F317" s="4"/>
      <c r="G317" s="4"/>
      <c r="H317" s="21"/>
      <c r="I317" s="4"/>
      <c r="J317" s="4"/>
      <c r="K317" s="4"/>
      <c r="L317" s="4"/>
      <c r="M317" s="4"/>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ht="12.75" customHeight="1">
      <c r="A318" s="4"/>
      <c r="B318" s="4"/>
      <c r="C318" s="4"/>
      <c r="D318" s="4"/>
      <c r="E318" s="7"/>
      <c r="F318" s="4"/>
      <c r="G318" s="4"/>
      <c r="H318" s="21"/>
      <c r="I318" s="4"/>
      <c r="J318" s="4"/>
      <c r="K318" s="4"/>
      <c r="L318" s="4"/>
      <c r="M318" s="4"/>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ht="12.75" customHeight="1">
      <c r="A319" s="4"/>
      <c r="B319" s="4"/>
      <c r="C319" s="4"/>
      <c r="D319" s="4"/>
      <c r="E319" s="7"/>
      <c r="F319" s="4"/>
      <c r="G319" s="4"/>
      <c r="H319" s="21"/>
      <c r="I319" s="4"/>
      <c r="J319" s="4"/>
      <c r="K319" s="4"/>
      <c r="L319" s="4"/>
      <c r="M319" s="4"/>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ht="12.75" customHeight="1">
      <c r="A320" s="4"/>
      <c r="B320" s="4"/>
      <c r="C320" s="4"/>
      <c r="D320" s="4"/>
      <c r="E320" s="7"/>
      <c r="F320" s="4"/>
      <c r="G320" s="4"/>
      <c r="H320" s="21"/>
      <c r="I320" s="4"/>
      <c r="J320" s="4"/>
      <c r="K320" s="4"/>
      <c r="L320" s="4"/>
      <c r="M320" s="4"/>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ht="12.75" customHeight="1">
      <c r="A321" s="4"/>
      <c r="B321" s="4"/>
      <c r="C321" s="4"/>
      <c r="D321" s="4"/>
      <c r="E321" s="7"/>
      <c r="F321" s="4"/>
      <c r="G321" s="4"/>
      <c r="H321" s="21"/>
      <c r="I321" s="4"/>
      <c r="J321" s="4"/>
      <c r="K321" s="4"/>
      <c r="L321" s="4"/>
      <c r="M321" s="4"/>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ht="12.75" customHeight="1">
      <c r="A322" s="4"/>
      <c r="B322" s="4"/>
      <c r="C322" s="4"/>
      <c r="D322" s="4"/>
      <c r="E322" s="7"/>
      <c r="F322" s="4"/>
      <c r="G322" s="4"/>
      <c r="H322" s="21"/>
      <c r="I322" s="4"/>
      <c r="J322" s="4"/>
      <c r="K322" s="4"/>
      <c r="L322" s="4"/>
      <c r="M322" s="4"/>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ht="12.75" customHeight="1">
      <c r="A323" s="4"/>
      <c r="B323" s="4"/>
      <c r="C323" s="4"/>
      <c r="D323" s="4"/>
      <c r="E323" s="7"/>
      <c r="F323" s="4"/>
      <c r="G323" s="4"/>
      <c r="H323" s="21"/>
      <c r="I323" s="4"/>
      <c r="J323" s="4"/>
      <c r="K323" s="4"/>
      <c r="L323" s="4"/>
      <c r="M323" s="4"/>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ht="12.75" customHeight="1">
      <c r="A324" s="4"/>
      <c r="B324" s="4"/>
      <c r="C324" s="4"/>
      <c r="D324" s="4"/>
      <c r="E324" s="7"/>
      <c r="F324" s="4"/>
      <c r="G324" s="4"/>
      <c r="H324" s="21"/>
      <c r="I324" s="4"/>
      <c r="J324" s="4"/>
      <c r="K324" s="4"/>
      <c r="L324" s="4"/>
      <c r="M324" s="4"/>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ht="12.75" customHeight="1">
      <c r="A325" s="4"/>
      <c r="B325" s="4"/>
      <c r="C325" s="4"/>
      <c r="D325" s="4"/>
      <c r="E325" s="7"/>
      <c r="F325" s="4"/>
      <c r="G325" s="4"/>
      <c r="H325" s="21"/>
      <c r="I325" s="4"/>
      <c r="J325" s="4"/>
      <c r="K325" s="4"/>
      <c r="L325" s="4"/>
      <c r="M325" s="4"/>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ht="12.75" customHeight="1">
      <c r="A326" s="4"/>
      <c r="B326" s="4"/>
      <c r="C326" s="4"/>
      <c r="D326" s="4"/>
      <c r="E326" s="7"/>
      <c r="F326" s="4"/>
      <c r="G326" s="4"/>
      <c r="H326" s="21"/>
      <c r="I326" s="4"/>
      <c r="J326" s="4"/>
      <c r="K326" s="4"/>
      <c r="L326" s="4"/>
      <c r="M326" s="4"/>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ht="12.75" customHeight="1">
      <c r="A327" s="4"/>
      <c r="B327" s="4"/>
      <c r="C327" s="4"/>
      <c r="D327" s="4"/>
      <c r="E327" s="7"/>
      <c r="F327" s="4"/>
      <c r="G327" s="4"/>
      <c r="H327" s="21"/>
      <c r="I327" s="4"/>
      <c r="J327" s="4"/>
      <c r="K327" s="4"/>
      <c r="L327" s="4"/>
      <c r="M327" s="4"/>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ht="12.75" customHeight="1">
      <c r="A328" s="4"/>
      <c r="B328" s="4"/>
      <c r="C328" s="4"/>
      <c r="D328" s="4"/>
      <c r="E328" s="7"/>
      <c r="F328" s="4"/>
      <c r="G328" s="4"/>
      <c r="H328" s="21"/>
      <c r="I328" s="4"/>
      <c r="J328" s="4"/>
      <c r="K328" s="4"/>
      <c r="L328" s="4"/>
      <c r="M328" s="4"/>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ht="12.75" customHeight="1">
      <c r="A329" s="4"/>
      <c r="B329" s="4"/>
      <c r="C329" s="4"/>
      <c r="D329" s="4"/>
      <c r="E329" s="7"/>
      <c r="F329" s="4"/>
      <c r="G329" s="4"/>
      <c r="H329" s="21"/>
      <c r="I329" s="4"/>
      <c r="J329" s="4"/>
      <c r="K329" s="4"/>
      <c r="L329" s="4"/>
      <c r="M329" s="4"/>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ht="12.75" customHeight="1">
      <c r="A330" s="4"/>
      <c r="B330" s="4"/>
      <c r="C330" s="4"/>
      <c r="D330" s="4"/>
      <c r="E330" s="7"/>
      <c r="F330" s="4"/>
      <c r="G330" s="4"/>
      <c r="H330" s="21"/>
      <c r="I330" s="4"/>
      <c r="J330" s="4"/>
      <c r="K330" s="4"/>
      <c r="L330" s="4"/>
      <c r="M330" s="4"/>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ht="12.75" customHeight="1">
      <c r="A331" s="4"/>
      <c r="B331" s="4"/>
      <c r="C331" s="4"/>
      <c r="D331" s="4"/>
      <c r="E331" s="7"/>
      <c r="F331" s="4"/>
      <c r="G331" s="4"/>
      <c r="H331" s="21"/>
      <c r="I331" s="4"/>
      <c r="J331" s="4"/>
      <c r="K331" s="4"/>
      <c r="L331" s="4"/>
      <c r="M331" s="4"/>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ht="12.75" customHeight="1">
      <c r="A332" s="4"/>
      <c r="B332" s="4"/>
      <c r="C332" s="4"/>
      <c r="D332" s="4"/>
      <c r="E332" s="7"/>
      <c r="F332" s="4"/>
      <c r="G332" s="4"/>
      <c r="H332" s="21"/>
      <c r="I332" s="4"/>
      <c r="J332" s="4"/>
      <c r="K332" s="4"/>
      <c r="L332" s="4"/>
      <c r="M332" s="4"/>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ht="12.75" customHeight="1">
      <c r="A333" s="4"/>
      <c r="B333" s="4"/>
      <c r="C333" s="4"/>
      <c r="D333" s="4"/>
      <c r="E333" s="7"/>
      <c r="F333" s="4"/>
      <c r="G333" s="4"/>
      <c r="H333" s="10"/>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ht="12.75" customHeight="1">
      <c r="A334" s="4"/>
      <c r="B334" s="4"/>
      <c r="C334" s="4"/>
      <c r="D334" s="4"/>
      <c r="E334" s="7"/>
      <c r="F334" s="4"/>
      <c r="G334" s="4"/>
      <c r="H334" s="10"/>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ht="12.75" customHeight="1">
      <c r="A335" s="4"/>
      <c r="B335" s="4"/>
      <c r="C335" s="4"/>
      <c r="D335" s="4"/>
      <c r="E335" s="7"/>
      <c r="F335" s="4"/>
      <c r="G335" s="4"/>
      <c r="H335" s="10"/>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ht="12.75" customHeight="1">
      <c r="A336" s="4"/>
      <c r="B336" s="4"/>
      <c r="C336" s="4"/>
      <c r="D336" s="4"/>
      <c r="E336" s="7"/>
      <c r="F336" s="4"/>
      <c r="G336" s="4"/>
      <c r="H336" s="10"/>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ht="12.75" customHeight="1">
      <c r="A337" s="4"/>
      <c r="B337" s="4"/>
      <c r="C337" s="4"/>
      <c r="D337" s="4"/>
      <c r="E337" s="7"/>
      <c r="F337" s="4"/>
      <c r="G337" s="4"/>
      <c r="H337" s="10"/>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ht="12.75" customHeight="1">
      <c r="A338" s="4"/>
      <c r="B338" s="4"/>
      <c r="C338" s="4"/>
      <c r="D338" s="4"/>
      <c r="E338" s="7"/>
      <c r="F338" s="4"/>
      <c r="G338" s="4"/>
      <c r="H338" s="10"/>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ht="12.75" customHeight="1">
      <c r="A339" s="4"/>
      <c r="B339" s="4"/>
      <c r="C339" s="4"/>
      <c r="D339" s="4"/>
      <c r="E339" s="7"/>
      <c r="F339" s="4"/>
      <c r="G339" s="4"/>
      <c r="H339" s="10"/>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ht="12.75" customHeight="1">
      <c r="A340" s="4"/>
      <c r="B340" s="4"/>
      <c r="C340" s="4"/>
      <c r="D340" s="4"/>
      <c r="E340" s="7"/>
      <c r="F340" s="4"/>
      <c r="G340" s="4"/>
      <c r="H340" s="10"/>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ht="12.75" customHeight="1">
      <c r="A341" s="4"/>
      <c r="B341" s="4"/>
      <c r="C341" s="4"/>
      <c r="D341" s="4"/>
      <c r="E341" s="7"/>
      <c r="F341" s="4"/>
      <c r="G341" s="4"/>
      <c r="H341" s="10"/>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ht="12.75" customHeight="1">
      <c r="A342" s="4"/>
      <c r="B342" s="4"/>
      <c r="C342" s="4"/>
      <c r="D342" s="4"/>
      <c r="E342" s="7"/>
      <c r="F342" s="4"/>
      <c r="G342" s="4"/>
      <c r="H342" s="10"/>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ht="12.75" customHeight="1">
      <c r="A343" s="4"/>
      <c r="B343" s="4"/>
      <c r="C343" s="4"/>
      <c r="D343" s="4"/>
      <c r="E343" s="7"/>
      <c r="F343" s="4"/>
      <c r="G343" s="4"/>
      <c r="H343" s="10"/>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ht="12.75" customHeight="1">
      <c r="A344" s="4"/>
      <c r="B344" s="4"/>
      <c r="C344" s="4"/>
      <c r="D344" s="4"/>
      <c r="E344" s="7"/>
      <c r="F344" s="4"/>
      <c r="G344" s="4"/>
      <c r="H344" s="10"/>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ht="12.75" customHeight="1">
      <c r="A345" s="4"/>
      <c r="B345" s="4"/>
      <c r="C345" s="4"/>
      <c r="D345" s="4"/>
      <c r="E345" s="7"/>
      <c r="F345" s="4"/>
      <c r="G345" s="4"/>
      <c r="H345" s="10"/>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ht="12.75" customHeight="1">
      <c r="A346" s="4"/>
      <c r="B346" s="4"/>
      <c r="C346" s="4"/>
      <c r="D346" s="4"/>
      <c r="E346" s="7"/>
      <c r="F346" s="4"/>
      <c r="G346" s="4"/>
      <c r="H346" s="10"/>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ht="12.75" customHeight="1">
      <c r="A347" s="4"/>
      <c r="B347" s="4"/>
      <c r="C347" s="4"/>
      <c r="D347" s="4"/>
      <c r="E347" s="7"/>
      <c r="F347" s="4"/>
      <c r="G347" s="4"/>
      <c r="H347" s="10"/>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ht="12.75" customHeight="1">
      <c r="A348" s="4"/>
      <c r="B348" s="4"/>
      <c r="C348" s="4"/>
      <c r="D348" s="4"/>
      <c r="E348" s="7"/>
      <c r="F348" s="4"/>
      <c r="G348" s="4"/>
      <c r="H348" s="10"/>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ht="12.75" customHeight="1">
      <c r="A349" s="4"/>
      <c r="B349" s="4"/>
      <c r="C349" s="4"/>
      <c r="D349" s="4"/>
      <c r="E349" s="7"/>
      <c r="F349" s="4"/>
      <c r="G349" s="4"/>
      <c r="H349" s="10"/>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ht="12.75" customHeight="1">
      <c r="A350" s="4"/>
      <c r="B350" s="4"/>
      <c r="C350" s="4"/>
      <c r="D350" s="4"/>
      <c r="E350" s="7"/>
      <c r="F350" s="4"/>
      <c r="G350" s="4"/>
      <c r="H350" s="10"/>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ht="12.75" customHeight="1">
      <c r="A351" s="4"/>
      <c r="B351" s="4"/>
      <c r="C351" s="4"/>
      <c r="D351" s="4"/>
      <c r="E351" s="7"/>
      <c r="F351" s="4"/>
      <c r="G351" s="4"/>
      <c r="H351" s="10"/>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ht="12.75" customHeight="1">
      <c r="A352" s="4"/>
      <c r="B352" s="4"/>
      <c r="C352" s="4"/>
      <c r="D352" s="4"/>
      <c r="E352" s="7"/>
      <c r="F352" s="4"/>
      <c r="G352" s="4"/>
      <c r="H352" s="10"/>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ht="12.75" customHeight="1">
      <c r="A353" s="4"/>
      <c r="B353" s="4"/>
      <c r="C353" s="4"/>
      <c r="D353" s="4"/>
      <c r="E353" s="7"/>
      <c r="F353" s="4"/>
      <c r="G353" s="4"/>
      <c r="H353" s="10"/>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ht="12.75" customHeight="1">
      <c r="A354" s="4"/>
      <c r="B354" s="4"/>
      <c r="C354" s="4"/>
      <c r="D354" s="4"/>
      <c r="E354" s="7"/>
      <c r="F354" s="4"/>
      <c r="G354" s="4"/>
      <c r="H354" s="10"/>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ht="12.75" customHeight="1">
      <c r="A355" s="4"/>
      <c r="B355" s="4"/>
      <c r="C355" s="4"/>
      <c r="D355" s="4"/>
      <c r="E355" s="7"/>
      <c r="F355" s="4"/>
      <c r="G355" s="4"/>
      <c r="H355" s="10"/>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ht="12.75" customHeight="1">
      <c r="A356" s="4"/>
      <c r="B356" s="4"/>
      <c r="C356" s="4"/>
      <c r="D356" s="4"/>
      <c r="E356" s="7"/>
      <c r="F356" s="4"/>
      <c r="G356" s="4"/>
      <c r="H356" s="10"/>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ht="12.75" customHeight="1">
      <c r="A357" s="4"/>
      <c r="B357" s="4"/>
      <c r="C357" s="4"/>
      <c r="D357" s="4"/>
      <c r="E357" s="7"/>
      <c r="F357" s="4"/>
      <c r="G357" s="4"/>
      <c r="H357" s="10"/>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ht="12.75" customHeight="1">
      <c r="A358" s="4"/>
      <c r="B358" s="4"/>
      <c r="C358" s="4"/>
      <c r="D358" s="4"/>
      <c r="E358" s="7"/>
      <c r="F358" s="4"/>
      <c r="G358" s="4"/>
      <c r="H358" s="10"/>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ht="12.75" customHeight="1">
      <c r="A359" s="4"/>
      <c r="B359" s="4"/>
      <c r="C359" s="4"/>
      <c r="D359" s="4"/>
      <c r="E359" s="7"/>
      <c r="F359" s="4"/>
      <c r="G359" s="4"/>
      <c r="H359" s="10"/>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ht="12.75" customHeight="1">
      <c r="A360" s="4"/>
      <c r="B360" s="4"/>
      <c r="C360" s="4"/>
      <c r="D360" s="4"/>
      <c r="E360" s="7"/>
      <c r="F360" s="4"/>
      <c r="G360" s="4"/>
      <c r="H360" s="10"/>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ht="12.75" customHeight="1">
      <c r="A361" s="4"/>
      <c r="B361" s="4"/>
      <c r="C361" s="4"/>
      <c r="D361" s="4"/>
      <c r="E361" s="7"/>
      <c r="F361" s="4"/>
      <c r="G361" s="4"/>
      <c r="H361" s="10"/>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ht="12.75" customHeight="1">
      <c r="A362" s="4"/>
      <c r="B362" s="4"/>
      <c r="C362" s="4"/>
      <c r="D362" s="4"/>
      <c r="E362" s="7"/>
      <c r="F362" s="4"/>
      <c r="G362" s="4"/>
      <c r="H362" s="10"/>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ht="12.75" customHeight="1">
      <c r="A363" s="4"/>
      <c r="B363" s="4"/>
      <c r="C363" s="4"/>
      <c r="D363" s="4"/>
      <c r="E363" s="7"/>
      <c r="F363" s="4"/>
      <c r="G363" s="4"/>
      <c r="H363" s="10"/>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ht="12.75" customHeight="1">
      <c r="A364" s="4"/>
      <c r="B364" s="4"/>
      <c r="C364" s="4"/>
      <c r="D364" s="4"/>
      <c r="E364" s="7"/>
      <c r="F364" s="4"/>
      <c r="G364" s="4"/>
      <c r="H364" s="10"/>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ht="12.75" customHeight="1">
      <c r="A365" s="4"/>
      <c r="B365" s="4"/>
      <c r="C365" s="4"/>
      <c r="D365" s="4"/>
      <c r="E365" s="7"/>
      <c r="F365" s="4"/>
      <c r="G365" s="4"/>
      <c r="H365" s="10"/>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ht="12.75" customHeight="1">
      <c r="A366" s="4"/>
      <c r="B366" s="4"/>
      <c r="C366" s="4"/>
      <c r="D366" s="4"/>
      <c r="E366" s="7"/>
      <c r="F366" s="4"/>
      <c r="G366" s="4"/>
      <c r="H366" s="10"/>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ht="12.75" customHeight="1">
      <c r="A367" s="4"/>
      <c r="B367" s="4"/>
      <c r="C367" s="4"/>
      <c r="D367" s="4"/>
      <c r="E367" s="7"/>
      <c r="F367" s="4"/>
      <c r="G367" s="4"/>
      <c r="H367" s="10"/>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ht="12.75" customHeight="1">
      <c r="A368" s="4"/>
      <c r="B368" s="4"/>
      <c r="C368" s="4"/>
      <c r="D368" s="4"/>
      <c r="E368" s="7"/>
      <c r="F368" s="4"/>
      <c r="G368" s="4"/>
      <c r="H368" s="10"/>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ht="12.75" customHeight="1">
      <c r="A369" s="4"/>
      <c r="B369" s="4"/>
      <c r="C369" s="4"/>
      <c r="D369" s="4"/>
      <c r="E369" s="7"/>
      <c r="F369" s="4"/>
      <c r="G369" s="4"/>
      <c r="H369" s="10"/>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ht="12.75" customHeight="1">
      <c r="A370" s="4"/>
      <c r="B370" s="4"/>
      <c r="C370" s="4"/>
      <c r="D370" s="4"/>
      <c r="E370" s="7"/>
      <c r="F370" s="4"/>
      <c r="G370" s="4"/>
      <c r="H370" s="10"/>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ht="12.75" customHeight="1">
      <c r="A371" s="4"/>
      <c r="B371" s="4"/>
      <c r="C371" s="4"/>
      <c r="D371" s="4"/>
      <c r="E371" s="7"/>
      <c r="F371" s="4"/>
      <c r="G371" s="4"/>
      <c r="H371" s="10"/>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ht="12.75" customHeight="1">
      <c r="A372" s="4"/>
      <c r="B372" s="4"/>
      <c r="C372" s="4"/>
      <c r="D372" s="4"/>
      <c r="E372" s="7"/>
      <c r="F372" s="4"/>
      <c r="G372" s="4"/>
      <c r="H372" s="10"/>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ht="12.75" customHeight="1">
      <c r="A373" s="4"/>
      <c r="B373" s="4"/>
      <c r="C373" s="4"/>
      <c r="D373" s="4"/>
      <c r="E373" s="7"/>
      <c r="F373" s="4"/>
      <c r="G373" s="4"/>
      <c r="H373" s="10"/>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ht="12.75" customHeight="1">
      <c r="A374" s="4"/>
      <c r="B374" s="4"/>
      <c r="C374" s="4"/>
      <c r="D374" s="4"/>
      <c r="E374" s="7"/>
      <c r="F374" s="4"/>
      <c r="G374" s="4"/>
      <c r="H374" s="10"/>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ht="12.75" customHeight="1">
      <c r="A375" s="4"/>
      <c r="B375" s="4"/>
      <c r="C375" s="4"/>
      <c r="D375" s="4"/>
      <c r="E375" s="7"/>
      <c r="F375" s="4"/>
      <c r="G375" s="4"/>
      <c r="H375" s="10"/>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ht="12.75" customHeight="1">
      <c r="A376" s="4"/>
      <c r="B376" s="4"/>
      <c r="C376" s="4"/>
      <c r="D376" s="4"/>
      <c r="E376" s="7"/>
      <c r="F376" s="4"/>
      <c r="G376" s="4"/>
      <c r="H376" s="10"/>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ht="12.75" customHeight="1">
      <c r="A377" s="4"/>
      <c r="B377" s="4"/>
      <c r="C377" s="4"/>
      <c r="D377" s="4"/>
      <c r="E377" s="7"/>
      <c r="F377" s="4"/>
      <c r="G377" s="4"/>
      <c r="H377" s="10"/>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ht="12.75" customHeight="1">
      <c r="A378" s="4"/>
      <c r="B378" s="4"/>
      <c r="C378" s="4"/>
      <c r="D378" s="4"/>
      <c r="E378" s="7"/>
      <c r="F378" s="4"/>
      <c r="G378" s="4"/>
      <c r="H378" s="10"/>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ht="12.75" customHeight="1">
      <c r="A379" s="4"/>
      <c r="B379" s="4"/>
      <c r="C379" s="4"/>
      <c r="D379" s="4"/>
      <c r="E379" s="7"/>
      <c r="F379" s="4"/>
      <c r="G379" s="4"/>
      <c r="H379" s="10"/>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ht="12.75" customHeight="1">
      <c r="A380" s="4"/>
      <c r="B380" s="4"/>
      <c r="C380" s="4"/>
      <c r="D380" s="4"/>
      <c r="E380" s="7"/>
      <c r="F380" s="4"/>
      <c r="G380" s="4"/>
      <c r="H380" s="10"/>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ht="12.75" customHeight="1">
      <c r="A381" s="4"/>
      <c r="B381" s="4"/>
      <c r="C381" s="4"/>
      <c r="D381" s="4"/>
      <c r="E381" s="7"/>
      <c r="F381" s="4"/>
      <c r="G381" s="4"/>
      <c r="H381" s="10"/>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ht="12.75" customHeight="1">
      <c r="A382" s="4"/>
      <c r="B382" s="4"/>
      <c r="C382" s="4"/>
      <c r="D382" s="4"/>
      <c r="E382" s="7"/>
      <c r="F382" s="4"/>
      <c r="G382" s="4"/>
      <c r="H382" s="10"/>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ht="12.75" customHeight="1">
      <c r="A383" s="4"/>
      <c r="B383" s="4"/>
      <c r="C383" s="4"/>
      <c r="D383" s="4"/>
      <c r="E383" s="7"/>
      <c r="F383" s="4"/>
      <c r="G383" s="4"/>
      <c r="H383" s="10"/>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ht="12.75" customHeight="1">
      <c r="A384" s="4"/>
      <c r="B384" s="4"/>
      <c r="C384" s="4"/>
      <c r="D384" s="4"/>
      <c r="E384" s="7"/>
      <c r="F384" s="4"/>
      <c r="G384" s="4"/>
      <c r="H384" s="10"/>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ht="12.75" customHeight="1">
      <c r="A385" s="4"/>
      <c r="B385" s="4"/>
      <c r="C385" s="4"/>
      <c r="D385" s="4"/>
      <c r="E385" s="7"/>
      <c r="F385" s="4"/>
      <c r="G385" s="4"/>
      <c r="H385" s="10"/>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ht="12.75" customHeight="1">
      <c r="A386" s="4"/>
      <c r="B386" s="4"/>
      <c r="C386" s="4"/>
      <c r="D386" s="4"/>
      <c r="E386" s="7"/>
      <c r="F386" s="4"/>
      <c r="G386" s="4"/>
      <c r="H386" s="10"/>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ht="12.75" customHeight="1">
      <c r="A387" s="4"/>
      <c r="B387" s="4"/>
      <c r="C387" s="4"/>
      <c r="D387" s="4"/>
      <c r="E387" s="7"/>
      <c r="F387" s="4"/>
      <c r="G387" s="4"/>
      <c r="H387" s="10"/>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ht="12.75" customHeight="1">
      <c r="A388" s="4"/>
      <c r="B388" s="4"/>
      <c r="C388" s="4"/>
      <c r="D388" s="4"/>
      <c r="E388" s="7"/>
      <c r="F388" s="4"/>
      <c r="G388" s="4"/>
      <c r="H388" s="10"/>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ht="12.75" customHeight="1">
      <c r="A389" s="4"/>
      <c r="B389" s="4"/>
      <c r="C389" s="4"/>
      <c r="D389" s="4"/>
      <c r="E389" s="7"/>
      <c r="F389" s="4"/>
      <c r="G389" s="4"/>
      <c r="H389" s="10"/>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ht="12.75" customHeight="1">
      <c r="A390" s="4"/>
      <c r="B390" s="4"/>
      <c r="C390" s="4"/>
      <c r="D390" s="4"/>
      <c r="E390" s="7"/>
      <c r="F390" s="4"/>
      <c r="G390" s="4"/>
      <c r="H390" s="10"/>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ht="12.75" customHeight="1">
      <c r="A391" s="4"/>
      <c r="B391" s="4"/>
      <c r="C391" s="4"/>
      <c r="D391" s="4"/>
      <c r="E391" s="7"/>
      <c r="F391" s="4"/>
      <c r="G391" s="4"/>
      <c r="H391" s="10"/>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ht="12.75" customHeight="1">
      <c r="A392" s="4"/>
      <c r="B392" s="4"/>
      <c r="C392" s="4"/>
      <c r="D392" s="4"/>
      <c r="E392" s="7"/>
      <c r="F392" s="4"/>
      <c r="G392" s="4"/>
      <c r="H392" s="10"/>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ht="12.75" customHeight="1">
      <c r="A393" s="4"/>
      <c r="B393" s="4"/>
      <c r="C393" s="4"/>
      <c r="D393" s="4"/>
      <c r="E393" s="7"/>
      <c r="F393" s="4"/>
      <c r="G393" s="4"/>
      <c r="H393" s="10"/>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ht="12.75" customHeight="1">
      <c r="A394" s="4"/>
      <c r="B394" s="4"/>
      <c r="C394" s="4"/>
      <c r="D394" s="4"/>
      <c r="E394" s="7"/>
      <c r="F394" s="4"/>
      <c r="G394" s="4"/>
      <c r="H394" s="10"/>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ht="12.75" customHeight="1">
      <c r="A395" s="4"/>
      <c r="B395" s="4"/>
      <c r="C395" s="4"/>
      <c r="D395" s="4"/>
      <c r="E395" s="7"/>
      <c r="F395" s="4"/>
      <c r="G395" s="4"/>
      <c r="H395" s="10"/>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ht="12.75" customHeight="1">
      <c r="A396" s="4"/>
      <c r="B396" s="4"/>
      <c r="C396" s="4"/>
      <c r="D396" s="4"/>
      <c r="E396" s="7"/>
      <c r="F396" s="4"/>
      <c r="G396" s="4"/>
      <c r="H396" s="10"/>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ht="12.75" customHeight="1">
      <c r="A397" s="4"/>
      <c r="B397" s="4"/>
      <c r="C397" s="4"/>
      <c r="D397" s="4"/>
      <c r="E397" s="7"/>
      <c r="F397" s="4"/>
      <c r="G397" s="4"/>
      <c r="H397" s="10"/>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ht="12.75" customHeight="1">
      <c r="A398" s="4"/>
      <c r="B398" s="4"/>
      <c r="C398" s="4"/>
      <c r="D398" s="4"/>
      <c r="E398" s="7"/>
      <c r="F398" s="4"/>
      <c r="G398" s="4"/>
      <c r="H398" s="10"/>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ht="12.75" customHeight="1">
      <c r="A399" s="4"/>
      <c r="B399" s="4"/>
      <c r="C399" s="4"/>
      <c r="D399" s="4"/>
      <c r="E399" s="7"/>
      <c r="F399" s="4"/>
      <c r="G399" s="4"/>
      <c r="H399" s="10"/>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ht="12.75" customHeight="1">
      <c r="A400" s="4"/>
      <c r="B400" s="4"/>
      <c r="C400" s="4"/>
      <c r="D400" s="4"/>
      <c r="E400" s="7"/>
      <c r="F400" s="4"/>
      <c r="G400" s="4"/>
      <c r="H400" s="10"/>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ht="12.75" customHeight="1">
      <c r="A401" s="4"/>
      <c r="B401" s="4"/>
      <c r="C401" s="4"/>
      <c r="D401" s="4"/>
      <c r="E401" s="7"/>
      <c r="F401" s="4"/>
      <c r="G401" s="4"/>
      <c r="H401" s="10"/>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ht="12.75" customHeight="1">
      <c r="A402" s="4"/>
      <c r="B402" s="4"/>
      <c r="C402" s="4"/>
      <c r="D402" s="4"/>
      <c r="E402" s="7"/>
      <c r="F402" s="4"/>
      <c r="G402" s="4"/>
      <c r="H402" s="10"/>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ht="12.75" customHeight="1">
      <c r="A403" s="4"/>
      <c r="B403" s="4"/>
      <c r="C403" s="4"/>
      <c r="D403" s="4"/>
      <c r="E403" s="7"/>
      <c r="F403" s="4"/>
      <c r="G403" s="4"/>
      <c r="H403" s="10"/>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ht="12.75" customHeight="1">
      <c r="A404" s="4"/>
      <c r="B404" s="4"/>
      <c r="C404" s="4"/>
      <c r="D404" s="4"/>
      <c r="E404" s="7"/>
      <c r="F404" s="4"/>
      <c r="G404" s="4"/>
      <c r="H404" s="10"/>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ht="12.75" customHeight="1">
      <c r="A405" s="4"/>
      <c r="B405" s="4"/>
      <c r="C405" s="4"/>
      <c r="D405" s="4"/>
      <c r="E405" s="7"/>
      <c r="F405" s="4"/>
      <c r="G405" s="4"/>
      <c r="H405" s="10"/>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ht="12.75" customHeight="1">
      <c r="A406" s="4"/>
      <c r="B406" s="4"/>
      <c r="C406" s="4"/>
      <c r="D406" s="4"/>
      <c r="E406" s="7"/>
      <c r="F406" s="4"/>
      <c r="G406" s="4"/>
      <c r="H406" s="10"/>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ht="12.75" customHeight="1">
      <c r="A407" s="4"/>
      <c r="B407" s="4"/>
      <c r="C407" s="4"/>
      <c r="D407" s="4"/>
      <c r="E407" s="7"/>
      <c r="F407" s="4"/>
      <c r="G407" s="4"/>
      <c r="H407" s="10"/>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ht="12.75" customHeight="1">
      <c r="A408" s="4"/>
      <c r="B408" s="4"/>
      <c r="C408" s="4"/>
      <c r="D408" s="4"/>
      <c r="E408" s="7"/>
      <c r="F408" s="4"/>
      <c r="G408" s="4"/>
      <c r="H408" s="10"/>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ht="12.75" customHeight="1">
      <c r="A409" s="4"/>
      <c r="B409" s="4"/>
      <c r="C409" s="4"/>
      <c r="D409" s="4"/>
      <c r="E409" s="7"/>
      <c r="F409" s="4"/>
      <c r="G409" s="4"/>
      <c r="H409" s="10"/>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ht="12.75" customHeight="1">
      <c r="A410" s="4"/>
      <c r="B410" s="4"/>
      <c r="C410" s="4"/>
      <c r="D410" s="4"/>
      <c r="E410" s="7"/>
      <c r="F410" s="4"/>
      <c r="G410" s="4"/>
      <c r="H410" s="10"/>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ht="12.75" customHeight="1">
      <c r="A411" s="4"/>
      <c r="B411" s="4"/>
      <c r="C411" s="4"/>
      <c r="D411" s="4"/>
      <c r="E411" s="7"/>
      <c r="F411" s="4"/>
      <c r="G411" s="4"/>
      <c r="H411" s="10"/>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ht="12.75" customHeight="1">
      <c r="A412" s="4"/>
      <c r="B412" s="4"/>
      <c r="C412" s="4"/>
      <c r="D412" s="4"/>
      <c r="E412" s="7"/>
      <c r="F412" s="4"/>
      <c r="G412" s="4"/>
      <c r="H412" s="10"/>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ht="12.75" customHeight="1">
      <c r="A413" s="4"/>
      <c r="B413" s="4"/>
      <c r="C413" s="4"/>
      <c r="D413" s="4"/>
      <c r="E413" s="7"/>
      <c r="F413" s="4"/>
      <c r="G413" s="4"/>
      <c r="H413" s="10"/>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ht="12.75" customHeight="1">
      <c r="A414" s="4"/>
      <c r="B414" s="4"/>
      <c r="C414" s="4"/>
      <c r="D414" s="4"/>
      <c r="E414" s="7"/>
      <c r="F414" s="4"/>
      <c r="G414" s="4"/>
      <c r="H414" s="10"/>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ht="12.75" customHeight="1">
      <c r="A415" s="4"/>
      <c r="B415" s="4"/>
      <c r="C415" s="4"/>
      <c r="D415" s="4"/>
      <c r="E415" s="7"/>
      <c r="F415" s="4"/>
      <c r="G415" s="4"/>
      <c r="H415" s="10"/>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ht="12.75" customHeight="1">
      <c r="A416" s="4"/>
      <c r="B416" s="4"/>
      <c r="C416" s="4"/>
      <c r="D416" s="4"/>
      <c r="E416" s="7"/>
      <c r="F416" s="4"/>
      <c r="G416" s="4"/>
      <c r="H416" s="10"/>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ht="12.75" customHeight="1">
      <c r="A417" s="4"/>
      <c r="B417" s="4"/>
      <c r="C417" s="4"/>
      <c r="D417" s="4"/>
      <c r="E417" s="7"/>
      <c r="F417" s="4"/>
      <c r="G417" s="4"/>
      <c r="H417" s="10"/>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ht="12.75" customHeight="1">
      <c r="A418" s="4"/>
      <c r="B418" s="4"/>
      <c r="C418" s="4"/>
      <c r="D418" s="4"/>
      <c r="E418" s="7"/>
      <c r="F418" s="4"/>
      <c r="G418" s="4"/>
      <c r="H418" s="10"/>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ht="12.75" customHeight="1">
      <c r="A419" s="4"/>
      <c r="B419" s="4"/>
      <c r="C419" s="4"/>
      <c r="D419" s="4"/>
      <c r="E419" s="7"/>
      <c r="F419" s="4"/>
      <c r="G419" s="4"/>
      <c r="H419" s="10"/>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ht="12.75" customHeight="1">
      <c r="A420" s="4"/>
      <c r="B420" s="4"/>
      <c r="C420" s="4"/>
      <c r="D420" s="4"/>
      <c r="E420" s="7"/>
      <c r="F420" s="4"/>
      <c r="G420" s="4"/>
      <c r="H420" s="10"/>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ht="12.75" customHeight="1">
      <c r="A421" s="4"/>
      <c r="B421" s="4"/>
      <c r="C421" s="4"/>
      <c r="D421" s="4"/>
      <c r="E421" s="7"/>
      <c r="F421" s="4"/>
      <c r="G421" s="4"/>
      <c r="H421" s="10"/>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ht="12.75" customHeight="1">
      <c r="A422" s="4"/>
      <c r="B422" s="4"/>
      <c r="C422" s="4"/>
      <c r="D422" s="4"/>
      <c r="E422" s="7"/>
      <c r="F422" s="4"/>
      <c r="G422" s="4"/>
      <c r="H422" s="10"/>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ht="12.75" customHeight="1">
      <c r="A423" s="4"/>
      <c r="B423" s="4"/>
      <c r="C423" s="4"/>
      <c r="D423" s="4"/>
      <c r="E423" s="7"/>
      <c r="F423" s="4"/>
      <c r="G423" s="4"/>
      <c r="H423" s="10"/>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ht="12.75" customHeight="1">
      <c r="A424" s="4"/>
      <c r="B424" s="4"/>
      <c r="C424" s="4"/>
      <c r="D424" s="4"/>
      <c r="E424" s="7"/>
      <c r="F424" s="4"/>
      <c r="G424" s="4"/>
      <c r="H424" s="10"/>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ht="12.75" customHeight="1">
      <c r="A425" s="4"/>
      <c r="B425" s="4"/>
      <c r="C425" s="4"/>
      <c r="D425" s="4"/>
      <c r="E425" s="7"/>
      <c r="F425" s="4"/>
      <c r="G425" s="4"/>
      <c r="H425" s="10"/>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ht="12.75" customHeight="1">
      <c r="A426" s="4"/>
      <c r="B426" s="4"/>
      <c r="C426" s="4"/>
      <c r="D426" s="4"/>
      <c r="E426" s="7"/>
      <c r="F426" s="4"/>
      <c r="G426" s="4"/>
      <c r="H426" s="10"/>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ht="12.75" customHeight="1">
      <c r="A427" s="4"/>
      <c r="B427" s="4"/>
      <c r="C427" s="4"/>
      <c r="D427" s="4"/>
      <c r="E427" s="7"/>
      <c r="F427" s="4"/>
      <c r="G427" s="4"/>
      <c r="H427" s="10"/>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ht="12.75" customHeight="1">
      <c r="A428" s="4"/>
      <c r="B428" s="4"/>
      <c r="C428" s="4"/>
      <c r="D428" s="4"/>
      <c r="E428" s="7"/>
      <c r="F428" s="4"/>
      <c r="G428" s="4"/>
      <c r="H428" s="10"/>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ht="12.75" customHeight="1">
      <c r="A429" s="4"/>
      <c r="B429" s="4"/>
      <c r="C429" s="4"/>
      <c r="D429" s="4"/>
      <c r="E429" s="7"/>
      <c r="F429" s="4"/>
      <c r="G429" s="4"/>
      <c r="H429" s="10"/>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ht="12.75" customHeight="1">
      <c r="A430" s="4"/>
      <c r="B430" s="4"/>
      <c r="C430" s="4"/>
      <c r="D430" s="4"/>
      <c r="E430" s="7"/>
      <c r="F430" s="4"/>
      <c r="G430" s="4"/>
      <c r="H430" s="10"/>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ht="12.75" customHeight="1">
      <c r="A431" s="4"/>
      <c r="B431" s="4"/>
      <c r="C431" s="4"/>
      <c r="D431" s="4"/>
      <c r="E431" s="7"/>
      <c r="F431" s="4"/>
      <c r="G431" s="4"/>
      <c r="H431" s="10"/>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ht="12.75" customHeight="1">
      <c r="A432" s="4"/>
      <c r="B432" s="4"/>
      <c r="C432" s="4"/>
      <c r="D432" s="4"/>
      <c r="E432" s="7"/>
      <c r="F432" s="4"/>
      <c r="G432" s="4"/>
      <c r="H432" s="10"/>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ht="12.75" customHeight="1">
      <c r="A433" s="4"/>
      <c r="B433" s="4"/>
      <c r="C433" s="4"/>
      <c r="D433" s="4"/>
      <c r="E433" s="7"/>
      <c r="F433" s="4"/>
      <c r="G433" s="4"/>
      <c r="H433" s="10"/>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ht="12.75" customHeight="1">
      <c r="A434" s="4"/>
      <c r="B434" s="4"/>
      <c r="C434" s="4"/>
      <c r="D434" s="4"/>
      <c r="E434" s="7"/>
      <c r="F434" s="4"/>
      <c r="G434" s="4"/>
      <c r="H434" s="10"/>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ht="12.75" customHeight="1">
      <c r="A435" s="4"/>
      <c r="B435" s="4"/>
      <c r="C435" s="4"/>
      <c r="D435" s="4"/>
      <c r="E435" s="7"/>
      <c r="F435" s="4"/>
      <c r="G435" s="4"/>
      <c r="H435" s="10"/>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ht="12.75" customHeight="1">
      <c r="A436" s="4"/>
      <c r="B436" s="4"/>
      <c r="C436" s="4"/>
      <c r="D436" s="4"/>
      <c r="E436" s="7"/>
      <c r="F436" s="4"/>
      <c r="G436" s="4"/>
      <c r="H436" s="10"/>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ht="12.75" customHeight="1">
      <c r="A437" s="4"/>
      <c r="B437" s="4"/>
      <c r="C437" s="4"/>
      <c r="D437" s="4"/>
      <c r="E437" s="7"/>
      <c r="F437" s="4"/>
      <c r="G437" s="4"/>
      <c r="H437" s="10"/>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ht="12.75" customHeight="1">
      <c r="A438" s="4"/>
      <c r="B438" s="4"/>
      <c r="C438" s="4"/>
      <c r="D438" s="4"/>
      <c r="E438" s="7"/>
      <c r="F438" s="4"/>
      <c r="G438" s="4"/>
      <c r="H438" s="10"/>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ht="12.75" customHeight="1">
      <c r="A439" s="4"/>
      <c r="B439" s="4"/>
      <c r="C439" s="4"/>
      <c r="D439" s="4"/>
      <c r="E439" s="7"/>
      <c r="F439" s="4"/>
      <c r="G439" s="4"/>
      <c r="H439" s="10"/>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ht="12.75" customHeight="1">
      <c r="A440" s="4"/>
      <c r="B440" s="4"/>
      <c r="C440" s="4"/>
      <c r="D440" s="4"/>
      <c r="E440" s="7"/>
      <c r="F440" s="4"/>
      <c r="G440" s="4"/>
      <c r="H440" s="10"/>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ht="12.75" customHeight="1">
      <c r="A441" s="4"/>
      <c r="B441" s="4"/>
      <c r="C441" s="4"/>
      <c r="D441" s="4"/>
      <c r="E441" s="7"/>
      <c r="F441" s="4"/>
      <c r="G441" s="4"/>
      <c r="H441" s="10"/>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ht="12.75" customHeight="1">
      <c r="A442" s="4"/>
      <c r="B442" s="4"/>
      <c r="C442" s="4"/>
      <c r="D442" s="4"/>
      <c r="E442" s="7"/>
      <c r="F442" s="4"/>
      <c r="G442" s="4"/>
      <c r="H442" s="10"/>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ht="12.75" customHeight="1">
      <c r="A443" s="4"/>
      <c r="B443" s="4"/>
      <c r="C443" s="4"/>
      <c r="D443" s="4"/>
      <c r="E443" s="7"/>
      <c r="F443" s="4"/>
      <c r="G443" s="4"/>
      <c r="H443" s="10"/>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ht="12.75" customHeight="1">
      <c r="A444" s="4"/>
      <c r="B444" s="4"/>
      <c r="C444" s="4"/>
      <c r="D444" s="4"/>
      <c r="E444" s="7"/>
      <c r="F444" s="4"/>
      <c r="G444" s="4"/>
      <c r="H444" s="10"/>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ht="12.75" customHeight="1">
      <c r="A445" s="4"/>
      <c r="B445" s="4"/>
      <c r="C445" s="4"/>
      <c r="D445" s="4"/>
      <c r="E445" s="7"/>
      <c r="F445" s="4"/>
      <c r="G445" s="4"/>
      <c r="H445" s="10"/>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ht="12.75" customHeight="1">
      <c r="A446" s="4"/>
      <c r="B446" s="4"/>
      <c r="C446" s="4"/>
      <c r="D446" s="4"/>
      <c r="E446" s="7"/>
      <c r="F446" s="4"/>
      <c r="G446" s="4"/>
      <c r="H446" s="10"/>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ht="12.75" customHeight="1">
      <c r="A447" s="4"/>
      <c r="B447" s="4"/>
      <c r="C447" s="4"/>
      <c r="D447" s="4"/>
      <c r="E447" s="7"/>
      <c r="F447" s="4"/>
      <c r="G447" s="4"/>
      <c r="H447" s="10"/>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ht="12.75" customHeight="1">
      <c r="A448" s="4"/>
      <c r="B448" s="4"/>
      <c r="C448" s="4"/>
      <c r="D448" s="4"/>
      <c r="E448" s="7"/>
      <c r="F448" s="4"/>
      <c r="G448" s="4"/>
      <c r="H448" s="10"/>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ht="12.75" customHeight="1">
      <c r="A449" s="4"/>
      <c r="B449" s="4"/>
      <c r="C449" s="4"/>
      <c r="D449" s="4"/>
      <c r="E449" s="7"/>
      <c r="F449" s="4"/>
      <c r="G449" s="4"/>
      <c r="H449" s="10"/>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ht="12.75" customHeight="1">
      <c r="A450" s="4"/>
      <c r="B450" s="4"/>
      <c r="C450" s="4"/>
      <c r="D450" s="4"/>
      <c r="E450" s="7"/>
      <c r="F450" s="4"/>
      <c r="G450" s="4"/>
      <c r="H450" s="10"/>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ht="12.75" customHeight="1">
      <c r="A451" s="4"/>
      <c r="B451" s="4"/>
      <c r="C451" s="4"/>
      <c r="D451" s="4"/>
      <c r="E451" s="7"/>
      <c r="F451" s="4"/>
      <c r="G451" s="4"/>
      <c r="H451" s="10"/>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ht="12.75" customHeight="1">
      <c r="A452" s="4"/>
      <c r="B452" s="4"/>
      <c r="C452" s="4"/>
      <c r="D452" s="4"/>
      <c r="E452" s="7"/>
      <c r="F452" s="4"/>
      <c r="G452" s="4"/>
      <c r="H452" s="10"/>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ht="12.75" customHeight="1">
      <c r="A453" s="4"/>
      <c r="B453" s="4"/>
      <c r="C453" s="4"/>
      <c r="D453" s="4"/>
      <c r="E453" s="7"/>
      <c r="F453" s="4"/>
      <c r="G453" s="4"/>
      <c r="H453" s="10"/>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ht="12.75" customHeight="1">
      <c r="A454" s="4"/>
      <c r="B454" s="4"/>
      <c r="C454" s="4"/>
      <c r="D454" s="4"/>
      <c r="E454" s="7"/>
      <c r="F454" s="4"/>
      <c r="G454" s="4"/>
      <c r="H454" s="10"/>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ht="12.75" customHeight="1">
      <c r="A455" s="4"/>
      <c r="B455" s="4"/>
      <c r="C455" s="4"/>
      <c r="D455" s="4"/>
      <c r="E455" s="7"/>
      <c r="F455" s="4"/>
      <c r="G455" s="4"/>
      <c r="H455" s="10"/>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ht="12.75" customHeight="1">
      <c r="A456" s="4"/>
      <c r="B456" s="4"/>
      <c r="C456" s="4"/>
      <c r="D456" s="4"/>
      <c r="E456" s="7"/>
      <c r="F456" s="4"/>
      <c r="G456" s="4"/>
      <c r="H456" s="10"/>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ht="12.75" customHeight="1">
      <c r="A457" s="4"/>
      <c r="B457" s="4"/>
      <c r="C457" s="4"/>
      <c r="D457" s="4"/>
      <c r="E457" s="7"/>
      <c r="F457" s="4"/>
      <c r="G457" s="4"/>
      <c r="H457" s="10"/>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ht="12.75" customHeight="1">
      <c r="A458" s="4"/>
      <c r="B458" s="4"/>
      <c r="C458" s="4"/>
      <c r="D458" s="4"/>
      <c r="E458" s="7"/>
      <c r="F458" s="4"/>
      <c r="G458" s="4"/>
      <c r="H458" s="10"/>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ht="12.75" customHeight="1">
      <c r="A459" s="4"/>
      <c r="B459" s="4"/>
      <c r="C459" s="4"/>
      <c r="D459" s="4"/>
      <c r="E459" s="7"/>
      <c r="F459" s="4"/>
      <c r="G459" s="4"/>
      <c r="H459" s="10"/>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ht="12.75" customHeight="1">
      <c r="A460" s="4"/>
      <c r="B460" s="4"/>
      <c r="C460" s="4"/>
      <c r="D460" s="4"/>
      <c r="E460" s="7"/>
      <c r="F460" s="4"/>
      <c r="G460" s="4"/>
      <c r="H460" s="10"/>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ht="12.75" customHeight="1">
      <c r="A461" s="4"/>
      <c r="B461" s="4"/>
      <c r="C461" s="4"/>
      <c r="D461" s="4"/>
      <c r="E461" s="7"/>
      <c r="F461" s="4"/>
      <c r="G461" s="4"/>
      <c r="H461" s="10"/>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ht="12.75" customHeight="1">
      <c r="A462" s="4"/>
      <c r="B462" s="4"/>
      <c r="C462" s="4"/>
      <c r="D462" s="4"/>
      <c r="E462" s="7"/>
      <c r="F462" s="4"/>
      <c r="G462" s="4"/>
      <c r="H462" s="10"/>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ht="12.75" customHeight="1">
      <c r="A463" s="4"/>
      <c r="B463" s="4"/>
      <c r="C463" s="4"/>
      <c r="D463" s="4"/>
      <c r="E463" s="7"/>
      <c r="F463" s="4"/>
      <c r="G463" s="4"/>
      <c r="H463" s="10"/>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ht="12.75" customHeight="1">
      <c r="A464" s="4"/>
      <c r="B464" s="4"/>
      <c r="C464" s="4"/>
      <c r="D464" s="4"/>
      <c r="E464" s="7"/>
      <c r="F464" s="4"/>
      <c r="G464" s="4"/>
      <c r="H464" s="10"/>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ht="12.75" customHeight="1">
      <c r="A465" s="4"/>
      <c r="B465" s="4"/>
      <c r="C465" s="4"/>
      <c r="D465" s="4"/>
      <c r="E465" s="7"/>
      <c r="F465" s="4"/>
      <c r="G465" s="4"/>
      <c r="H465" s="10"/>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ht="12.75" customHeight="1">
      <c r="A466" s="4"/>
      <c r="B466" s="4"/>
      <c r="C466" s="4"/>
      <c r="D466" s="4"/>
      <c r="E466" s="7"/>
      <c r="F466" s="4"/>
      <c r="G466" s="4"/>
      <c r="H466" s="10"/>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ht="12.75" customHeight="1">
      <c r="A467" s="4"/>
      <c r="B467" s="4"/>
      <c r="C467" s="4"/>
      <c r="D467" s="4"/>
      <c r="E467" s="7"/>
      <c r="F467" s="4"/>
      <c r="G467" s="4"/>
      <c r="H467" s="10"/>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ht="12.75" customHeight="1">
      <c r="A468" s="4"/>
      <c r="B468" s="4"/>
      <c r="C468" s="4"/>
      <c r="D468" s="4"/>
      <c r="E468" s="7"/>
      <c r="F468" s="4"/>
      <c r="G468" s="4"/>
      <c r="H468" s="10"/>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ht="12.75" customHeight="1">
      <c r="A469" s="4"/>
      <c r="B469" s="4"/>
      <c r="C469" s="4"/>
      <c r="D469" s="4"/>
      <c r="E469" s="7"/>
      <c r="F469" s="4"/>
      <c r="G469" s="4"/>
      <c r="H469" s="10"/>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ht="12.75" customHeight="1">
      <c r="A470" s="4"/>
      <c r="B470" s="4"/>
      <c r="C470" s="4"/>
      <c r="D470" s="4"/>
      <c r="E470" s="7"/>
      <c r="F470" s="4"/>
      <c r="G470" s="4"/>
      <c r="H470" s="10"/>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ht="12.75" customHeight="1">
      <c r="A471" s="4"/>
      <c r="B471" s="4"/>
      <c r="C471" s="4"/>
      <c r="D471" s="4"/>
      <c r="E471" s="7"/>
      <c r="F471" s="4"/>
      <c r="G471" s="4"/>
      <c r="H471" s="10"/>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ht="12.75" customHeight="1">
      <c r="A472" s="4"/>
      <c r="B472" s="4"/>
      <c r="C472" s="4"/>
      <c r="D472" s="4"/>
      <c r="E472" s="7"/>
      <c r="F472" s="4"/>
      <c r="G472" s="4"/>
      <c r="H472" s="10"/>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ht="12.75" customHeight="1">
      <c r="A473" s="4"/>
      <c r="B473" s="4"/>
      <c r="C473" s="4"/>
      <c r="D473" s="4"/>
      <c r="E473" s="7"/>
      <c r="F473" s="4"/>
      <c r="G473" s="4"/>
      <c r="H473" s="10"/>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ht="12.75" customHeight="1">
      <c r="A474" s="4"/>
      <c r="B474" s="4"/>
      <c r="C474" s="4"/>
      <c r="D474" s="4"/>
      <c r="E474" s="7"/>
      <c r="F474" s="4"/>
      <c r="G474" s="4"/>
      <c r="H474" s="10"/>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ht="12.75" customHeight="1">
      <c r="A475" s="4"/>
      <c r="B475" s="4"/>
      <c r="C475" s="4"/>
      <c r="D475" s="4"/>
      <c r="E475" s="7"/>
      <c r="F475" s="4"/>
      <c r="G475" s="4"/>
      <c r="H475" s="10"/>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ht="12.75" customHeight="1">
      <c r="A476" s="4"/>
      <c r="B476" s="4"/>
      <c r="C476" s="4"/>
      <c r="D476" s="4"/>
      <c r="E476" s="7"/>
      <c r="F476" s="4"/>
      <c r="G476" s="4"/>
      <c r="H476" s="10"/>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ht="12.75" customHeight="1">
      <c r="A477" s="4"/>
      <c r="B477" s="4"/>
      <c r="C477" s="4"/>
      <c r="D477" s="4"/>
      <c r="E477" s="7"/>
      <c r="F477" s="4"/>
      <c r="G477" s="4"/>
      <c r="H477" s="10"/>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ht="12.75" customHeight="1">
      <c r="A478" s="4"/>
      <c r="B478" s="4"/>
      <c r="C478" s="4"/>
      <c r="D478" s="4"/>
      <c r="E478" s="7"/>
      <c r="F478" s="4"/>
      <c r="G478" s="4"/>
      <c r="H478" s="10"/>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ht="12.75" customHeight="1">
      <c r="A479" s="4"/>
      <c r="B479" s="4"/>
      <c r="C479" s="4"/>
      <c r="D479" s="4"/>
      <c r="E479" s="7"/>
      <c r="F479" s="4"/>
      <c r="G479" s="4"/>
      <c r="H479" s="10"/>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ht="12.75" customHeight="1">
      <c r="A480" s="4"/>
      <c r="B480" s="4"/>
      <c r="C480" s="4"/>
      <c r="D480" s="4"/>
      <c r="E480" s="7"/>
      <c r="F480" s="4"/>
      <c r="G480" s="4"/>
      <c r="H480" s="10"/>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ht="12.75" customHeight="1">
      <c r="A481" s="4"/>
      <c r="B481" s="4"/>
      <c r="C481" s="4"/>
      <c r="D481" s="4"/>
      <c r="E481" s="7"/>
      <c r="F481" s="4"/>
      <c r="G481" s="4"/>
      <c r="H481" s="10"/>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ht="12.75" customHeight="1">
      <c r="A482" s="4"/>
      <c r="B482" s="4"/>
      <c r="C482" s="4"/>
      <c r="D482" s="4"/>
      <c r="E482" s="7"/>
      <c r="F482" s="4"/>
      <c r="G482" s="4"/>
      <c r="H482" s="10"/>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ht="12.75" customHeight="1">
      <c r="A483" s="4"/>
      <c r="B483" s="4"/>
      <c r="C483" s="4"/>
      <c r="D483" s="4"/>
      <c r="E483" s="7"/>
      <c r="F483" s="4"/>
      <c r="G483" s="4"/>
      <c r="H483" s="10"/>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ht="12.75" customHeight="1">
      <c r="A484" s="4"/>
      <c r="B484" s="4"/>
      <c r="C484" s="4"/>
      <c r="D484" s="4"/>
      <c r="E484" s="7"/>
      <c r="F484" s="4"/>
      <c r="G484" s="4"/>
      <c r="H484" s="10"/>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ht="12.75" customHeight="1">
      <c r="A485" s="4"/>
      <c r="B485" s="4"/>
      <c r="C485" s="4"/>
      <c r="D485" s="4"/>
      <c r="E485" s="7"/>
      <c r="F485" s="4"/>
      <c r="G485" s="4"/>
      <c r="H485" s="10"/>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ht="12.75" customHeight="1">
      <c r="A486" s="4"/>
      <c r="B486" s="4"/>
      <c r="C486" s="4"/>
      <c r="D486" s="4"/>
      <c r="E486" s="7"/>
      <c r="F486" s="4"/>
      <c r="G486" s="4"/>
      <c r="H486" s="10"/>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ht="12.75" customHeight="1">
      <c r="A487" s="4"/>
      <c r="B487" s="4"/>
      <c r="C487" s="4"/>
      <c r="D487" s="4"/>
      <c r="E487" s="7"/>
      <c r="F487" s="4"/>
      <c r="G487" s="4"/>
      <c r="H487" s="10"/>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ht="12.75" customHeight="1">
      <c r="A488" s="4"/>
      <c r="B488" s="4"/>
      <c r="C488" s="4"/>
      <c r="D488" s="4"/>
      <c r="E488" s="7"/>
      <c r="F488" s="4"/>
      <c r="G488" s="4"/>
      <c r="H488" s="10"/>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ht="12.75" customHeight="1">
      <c r="A489" s="4"/>
      <c r="B489" s="4"/>
      <c r="C489" s="4"/>
      <c r="D489" s="4"/>
      <c r="E489" s="7"/>
      <c r="F489" s="4"/>
      <c r="G489" s="4"/>
      <c r="H489" s="10"/>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ht="12.75" customHeight="1">
      <c r="A490" s="4"/>
      <c r="B490" s="4"/>
      <c r="C490" s="4"/>
      <c r="D490" s="4"/>
      <c r="E490" s="7"/>
      <c r="F490" s="4"/>
      <c r="G490" s="4"/>
      <c r="H490" s="10"/>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ht="12.75" customHeight="1">
      <c r="A491" s="4"/>
      <c r="B491" s="4"/>
      <c r="C491" s="4"/>
      <c r="D491" s="4"/>
      <c r="E491" s="7"/>
      <c r="F491" s="4"/>
      <c r="G491" s="4"/>
      <c r="H491" s="10"/>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ht="12.75" customHeight="1">
      <c r="A492" s="4"/>
      <c r="B492" s="4"/>
      <c r="C492" s="4"/>
      <c r="D492" s="4"/>
      <c r="E492" s="7"/>
      <c r="F492" s="4"/>
      <c r="G492" s="4"/>
      <c r="H492" s="10"/>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ht="12.75" customHeight="1">
      <c r="A493" s="4"/>
      <c r="B493" s="4"/>
      <c r="C493" s="4"/>
      <c r="D493" s="4"/>
      <c r="E493" s="7"/>
      <c r="F493" s="4"/>
      <c r="G493" s="4"/>
      <c r="H493" s="10"/>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ht="12.75" customHeight="1">
      <c r="A494" s="4"/>
      <c r="B494" s="4"/>
      <c r="C494" s="4"/>
      <c r="D494" s="4"/>
      <c r="E494" s="7"/>
      <c r="F494" s="4"/>
      <c r="G494" s="4"/>
      <c r="H494" s="10"/>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ht="12.75" customHeight="1">
      <c r="A495" s="4"/>
      <c r="B495" s="4"/>
      <c r="C495" s="4"/>
      <c r="D495" s="4"/>
      <c r="E495" s="7"/>
      <c r="F495" s="4"/>
      <c r="G495" s="4"/>
      <c r="H495" s="10"/>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ht="12.75" customHeight="1">
      <c r="A496" s="4"/>
      <c r="B496" s="4"/>
      <c r="C496" s="4"/>
      <c r="D496" s="4"/>
      <c r="E496" s="7"/>
      <c r="F496" s="4"/>
      <c r="G496" s="4"/>
      <c r="H496" s="10"/>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ht="12.75" customHeight="1">
      <c r="A497" s="4"/>
      <c r="B497" s="4"/>
      <c r="C497" s="4"/>
      <c r="D497" s="4"/>
      <c r="E497" s="7"/>
      <c r="F497" s="4"/>
      <c r="G497" s="4"/>
      <c r="H497" s="10"/>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ht="12.75" customHeight="1">
      <c r="A498" s="4"/>
      <c r="B498" s="4"/>
      <c r="C498" s="4"/>
      <c r="D498" s="4"/>
      <c r="E498" s="7"/>
      <c r="F498" s="4"/>
      <c r="G498" s="4"/>
      <c r="H498" s="10"/>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ht="12.75" customHeight="1">
      <c r="A499" s="4"/>
      <c r="B499" s="4"/>
      <c r="C499" s="4"/>
      <c r="D499" s="4"/>
      <c r="E499" s="7"/>
      <c r="F499" s="4"/>
      <c r="G499" s="4"/>
      <c r="H499" s="10"/>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ht="12.75" customHeight="1">
      <c r="A500" s="4"/>
      <c r="B500" s="4"/>
      <c r="C500" s="4"/>
      <c r="D500" s="4"/>
      <c r="E500" s="7"/>
      <c r="F500" s="4"/>
      <c r="G500" s="4"/>
      <c r="H500" s="10"/>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ht="12.75" customHeight="1">
      <c r="A501" s="4"/>
      <c r="B501" s="4"/>
      <c r="C501" s="4"/>
      <c r="D501" s="4"/>
      <c r="E501" s="7"/>
      <c r="F501" s="4"/>
      <c r="G501" s="4"/>
      <c r="H501" s="10"/>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ht="12.75" customHeight="1">
      <c r="A502" s="4"/>
      <c r="B502" s="4"/>
      <c r="C502" s="4"/>
      <c r="D502" s="4"/>
      <c r="E502" s="7"/>
      <c r="F502" s="4"/>
      <c r="G502" s="4"/>
      <c r="H502" s="10"/>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ht="12.75" customHeight="1">
      <c r="A503" s="4"/>
      <c r="B503" s="4"/>
      <c r="C503" s="4"/>
      <c r="D503" s="4"/>
      <c r="E503" s="7"/>
      <c r="F503" s="4"/>
      <c r="G503" s="4"/>
      <c r="H503" s="10"/>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ht="12.75" customHeight="1">
      <c r="A504" s="4"/>
      <c r="B504" s="4"/>
      <c r="C504" s="4"/>
      <c r="D504" s="4"/>
      <c r="E504" s="7"/>
      <c r="F504" s="4"/>
      <c r="G504" s="4"/>
      <c r="H504" s="10"/>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ht="12.75" customHeight="1">
      <c r="A505" s="4"/>
      <c r="B505" s="4"/>
      <c r="C505" s="4"/>
      <c r="D505" s="4"/>
      <c r="E505" s="7"/>
      <c r="F505" s="4"/>
      <c r="G505" s="4"/>
      <c r="H505" s="10"/>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ht="12.75" customHeight="1">
      <c r="A506" s="4"/>
      <c r="B506" s="4"/>
      <c r="C506" s="4"/>
      <c r="D506" s="4"/>
      <c r="E506" s="7"/>
      <c r="F506" s="4"/>
      <c r="G506" s="4"/>
      <c r="H506" s="10"/>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ht="12.75" customHeight="1">
      <c r="A507" s="4"/>
      <c r="B507" s="4"/>
      <c r="C507" s="4"/>
      <c r="D507" s="4"/>
      <c r="E507" s="7"/>
      <c r="F507" s="4"/>
      <c r="G507" s="4"/>
      <c r="H507" s="10"/>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ht="12.75" customHeight="1">
      <c r="A508" s="4"/>
      <c r="B508" s="4"/>
      <c r="C508" s="4"/>
      <c r="D508" s="4"/>
      <c r="E508" s="7"/>
      <c r="F508" s="4"/>
      <c r="G508" s="4"/>
      <c r="H508" s="10"/>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ht="12.75" customHeight="1">
      <c r="A509" s="4"/>
      <c r="B509" s="4"/>
      <c r="C509" s="4"/>
      <c r="D509" s="4"/>
      <c r="E509" s="7"/>
      <c r="F509" s="4"/>
      <c r="G509" s="4"/>
      <c r="H509" s="10"/>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ht="12.75" customHeight="1">
      <c r="A510" s="4"/>
      <c r="B510" s="4"/>
      <c r="C510" s="4"/>
      <c r="D510" s="4"/>
      <c r="E510" s="7"/>
      <c r="F510" s="4"/>
      <c r="G510" s="4"/>
      <c r="H510" s="10"/>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ht="12.75" customHeight="1">
      <c r="A511" s="4"/>
      <c r="B511" s="4"/>
      <c r="C511" s="4"/>
      <c r="D511" s="4"/>
      <c r="E511" s="7"/>
      <c r="F511" s="4"/>
      <c r="G511" s="4"/>
      <c r="H511" s="10"/>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ht="12.75" customHeight="1">
      <c r="A512" s="4"/>
      <c r="B512" s="4"/>
      <c r="C512" s="4"/>
      <c r="D512" s="4"/>
      <c r="E512" s="7"/>
      <c r="F512" s="4"/>
      <c r="G512" s="4"/>
      <c r="H512" s="10"/>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ht="12.75" customHeight="1">
      <c r="A513" s="4"/>
      <c r="B513" s="4"/>
      <c r="C513" s="4"/>
      <c r="D513" s="4"/>
      <c r="E513" s="7"/>
      <c r="F513" s="4"/>
      <c r="G513" s="4"/>
      <c r="H513" s="10"/>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ht="12.75" customHeight="1">
      <c r="A514" s="4"/>
      <c r="B514" s="4"/>
      <c r="C514" s="4"/>
      <c r="D514" s="4"/>
      <c r="E514" s="7"/>
      <c r="F514" s="4"/>
      <c r="G514" s="4"/>
      <c r="H514" s="10"/>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ht="12.75" customHeight="1">
      <c r="A515" s="4"/>
      <c r="B515" s="4"/>
      <c r="C515" s="4"/>
      <c r="D515" s="4"/>
      <c r="E515" s="7"/>
      <c r="F515" s="4"/>
      <c r="G515" s="4"/>
      <c r="H515" s="10"/>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ht="12.75" customHeight="1">
      <c r="A516" s="4"/>
      <c r="B516" s="4"/>
      <c r="C516" s="4"/>
      <c r="D516" s="4"/>
      <c r="E516" s="7"/>
      <c r="F516" s="4"/>
      <c r="G516" s="4"/>
      <c r="H516" s="10"/>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ht="12.75" customHeight="1">
      <c r="A517" s="4"/>
      <c r="B517" s="4"/>
      <c r="C517" s="4"/>
      <c r="D517" s="4"/>
      <c r="E517" s="7"/>
      <c r="F517" s="4"/>
      <c r="G517" s="4"/>
      <c r="H517" s="10"/>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ht="12.75" customHeight="1">
      <c r="A518" s="4"/>
      <c r="B518" s="4"/>
      <c r="C518" s="4"/>
      <c r="D518" s="4"/>
      <c r="E518" s="7"/>
      <c r="F518" s="4"/>
      <c r="G518" s="4"/>
      <c r="H518" s="10"/>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ht="12.75" customHeight="1">
      <c r="A519" s="4"/>
      <c r="B519" s="4"/>
      <c r="C519" s="4"/>
      <c r="D519" s="4"/>
      <c r="E519" s="7"/>
      <c r="F519" s="4"/>
      <c r="G519" s="4"/>
      <c r="H519" s="10"/>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ht="12.75" customHeight="1">
      <c r="A520" s="4"/>
      <c r="B520" s="4"/>
      <c r="C520" s="4"/>
      <c r="D520" s="4"/>
      <c r="E520" s="7"/>
      <c r="F520" s="4"/>
      <c r="G520" s="4"/>
      <c r="H520" s="10"/>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ht="12.75" customHeight="1">
      <c r="A521" s="4"/>
      <c r="B521" s="4"/>
      <c r="C521" s="4"/>
      <c r="D521" s="4"/>
      <c r="E521" s="7"/>
      <c r="F521" s="4"/>
      <c r="G521" s="4"/>
      <c r="H521" s="10"/>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ht="12.75" customHeight="1">
      <c r="A522" s="4"/>
      <c r="B522" s="4"/>
      <c r="C522" s="4"/>
      <c r="D522" s="4"/>
      <c r="E522" s="7"/>
      <c r="F522" s="4"/>
      <c r="G522" s="4"/>
      <c r="H522" s="10"/>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ht="12.75" customHeight="1">
      <c r="A523" s="4"/>
      <c r="B523" s="4"/>
      <c r="C523" s="4"/>
      <c r="D523" s="4"/>
      <c r="E523" s="7"/>
      <c r="F523" s="4"/>
      <c r="G523" s="4"/>
      <c r="H523" s="10"/>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ht="12.75" customHeight="1">
      <c r="A524" s="4"/>
      <c r="B524" s="4"/>
      <c r="C524" s="4"/>
      <c r="D524" s="4"/>
      <c r="E524" s="7"/>
      <c r="F524" s="4"/>
      <c r="G524" s="4"/>
      <c r="H524" s="10"/>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ht="12.75" customHeight="1">
      <c r="A525" s="4"/>
      <c r="B525" s="4"/>
      <c r="C525" s="4"/>
      <c r="D525" s="4"/>
      <c r="E525" s="7"/>
      <c r="F525" s="4"/>
      <c r="G525" s="4"/>
      <c r="H525" s="10"/>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ht="12.75" customHeight="1">
      <c r="A526" s="4"/>
      <c r="B526" s="4"/>
      <c r="C526" s="4"/>
      <c r="D526" s="4"/>
      <c r="E526" s="7"/>
      <c r="F526" s="4"/>
      <c r="G526" s="4"/>
      <c r="H526" s="10"/>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ht="12.75" customHeight="1">
      <c r="A527" s="4"/>
      <c r="B527" s="4"/>
      <c r="C527" s="4"/>
      <c r="D527" s="4"/>
      <c r="E527" s="7"/>
      <c r="F527" s="4"/>
      <c r="G527" s="4"/>
      <c r="H527" s="10"/>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ht="12.75" customHeight="1">
      <c r="A528" s="4"/>
      <c r="B528" s="4"/>
      <c r="C528" s="4"/>
      <c r="D528" s="4"/>
      <c r="E528" s="7"/>
      <c r="F528" s="4"/>
      <c r="G528" s="4"/>
      <c r="H528" s="10"/>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ht="12.75" customHeight="1">
      <c r="A529" s="4"/>
      <c r="B529" s="4"/>
      <c r="C529" s="4"/>
      <c r="D529" s="4"/>
      <c r="E529" s="7"/>
      <c r="F529" s="4"/>
      <c r="G529" s="4"/>
      <c r="H529" s="10"/>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ht="12.75" customHeight="1">
      <c r="A530" s="4"/>
      <c r="B530" s="4"/>
      <c r="C530" s="4"/>
      <c r="D530" s="4"/>
      <c r="E530" s="7"/>
      <c r="F530" s="4"/>
      <c r="G530" s="4"/>
      <c r="H530" s="10"/>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ht="12.75" customHeight="1">
      <c r="A531" s="4"/>
      <c r="B531" s="4"/>
      <c r="C531" s="4"/>
      <c r="D531" s="4"/>
      <c r="E531" s="7"/>
      <c r="F531" s="4"/>
      <c r="G531" s="4"/>
      <c r="H531" s="10"/>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ht="12.75" customHeight="1">
      <c r="A532" s="4"/>
      <c r="B532" s="4"/>
      <c r="C532" s="4"/>
      <c r="D532" s="4"/>
      <c r="E532" s="7"/>
      <c r="F532" s="4"/>
      <c r="G532" s="4"/>
      <c r="H532" s="10"/>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ht="12.75" customHeight="1">
      <c r="A533" s="4"/>
      <c r="B533" s="4"/>
      <c r="C533" s="4"/>
      <c r="D533" s="4"/>
      <c r="E533" s="7"/>
      <c r="F533" s="4"/>
      <c r="G533" s="4"/>
      <c r="H533" s="10"/>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ht="12.75" customHeight="1">
      <c r="A534" s="4"/>
      <c r="B534" s="4"/>
      <c r="C534" s="4"/>
      <c r="D534" s="4"/>
      <c r="E534" s="7"/>
      <c r="F534" s="4"/>
      <c r="G534" s="4"/>
      <c r="H534" s="10"/>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ht="12.75" customHeight="1">
      <c r="A535" s="4"/>
      <c r="B535" s="4"/>
      <c r="C535" s="4"/>
      <c r="D535" s="4"/>
      <c r="E535" s="7"/>
      <c r="F535" s="4"/>
      <c r="G535" s="4"/>
      <c r="H535" s="10"/>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ht="12.75" customHeight="1">
      <c r="A536" s="4"/>
      <c r="B536" s="4"/>
      <c r="C536" s="4"/>
      <c r="D536" s="4"/>
      <c r="E536" s="7"/>
      <c r="F536" s="4"/>
      <c r="G536" s="4"/>
      <c r="H536" s="10"/>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ht="12.75" customHeight="1">
      <c r="A537" s="4"/>
      <c r="B537" s="4"/>
      <c r="C537" s="4"/>
      <c r="D537" s="4"/>
      <c r="E537" s="7"/>
      <c r="F537" s="4"/>
      <c r="G537" s="4"/>
      <c r="H537" s="10"/>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ht="12.75" customHeight="1">
      <c r="A538" s="4"/>
      <c r="B538" s="4"/>
      <c r="C538" s="4"/>
      <c r="D538" s="4"/>
      <c r="E538" s="7"/>
      <c r="F538" s="4"/>
      <c r="G538" s="4"/>
      <c r="H538" s="10"/>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ht="12.75" customHeight="1">
      <c r="A539" s="4"/>
      <c r="B539" s="4"/>
      <c r="C539" s="4"/>
      <c r="D539" s="4"/>
      <c r="E539" s="7"/>
      <c r="F539" s="4"/>
      <c r="G539" s="4"/>
      <c r="H539" s="10"/>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ht="12.75" customHeight="1">
      <c r="A540" s="4"/>
      <c r="B540" s="4"/>
      <c r="C540" s="4"/>
      <c r="D540" s="4"/>
      <c r="E540" s="7"/>
      <c r="F540" s="4"/>
      <c r="G540" s="4"/>
      <c r="H540" s="10"/>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ht="12.75" customHeight="1">
      <c r="A541" s="4"/>
      <c r="B541" s="4"/>
      <c r="C541" s="4"/>
      <c r="D541" s="4"/>
      <c r="E541" s="7"/>
      <c r="F541" s="4"/>
      <c r="G541" s="4"/>
      <c r="H541" s="10"/>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ht="12.75" customHeight="1">
      <c r="A542" s="4"/>
      <c r="B542" s="4"/>
      <c r="C542" s="4"/>
      <c r="D542" s="4"/>
      <c r="E542" s="7"/>
      <c r="F542" s="4"/>
      <c r="G542" s="4"/>
      <c r="H542" s="10"/>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ht="12.75" customHeight="1">
      <c r="A543" s="4"/>
      <c r="B543" s="4"/>
      <c r="C543" s="4"/>
      <c r="D543" s="4"/>
      <c r="E543" s="7"/>
      <c r="F543" s="4"/>
      <c r="G543" s="4"/>
      <c r="H543" s="10"/>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ht="12.75" customHeight="1">
      <c r="A544" s="4"/>
      <c r="B544" s="4"/>
      <c r="C544" s="4"/>
      <c r="D544" s="4"/>
      <c r="E544" s="7"/>
      <c r="F544" s="4"/>
      <c r="G544" s="4"/>
      <c r="H544" s="10"/>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ht="12.75" customHeight="1">
      <c r="A545" s="4"/>
      <c r="B545" s="4"/>
      <c r="C545" s="4"/>
      <c r="D545" s="4"/>
      <c r="E545" s="7"/>
      <c r="F545" s="4"/>
      <c r="G545" s="4"/>
      <c r="H545" s="10"/>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ht="12.75" customHeight="1">
      <c r="A546" s="4"/>
      <c r="B546" s="4"/>
      <c r="C546" s="4"/>
      <c r="D546" s="4"/>
      <c r="E546" s="7"/>
      <c r="F546" s="4"/>
      <c r="G546" s="4"/>
      <c r="H546" s="10"/>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ht="12.75" customHeight="1">
      <c r="A547" s="4"/>
      <c r="B547" s="4"/>
      <c r="C547" s="4"/>
      <c r="D547" s="4"/>
      <c r="E547" s="7"/>
      <c r="F547" s="4"/>
      <c r="G547" s="4"/>
      <c r="H547" s="10"/>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ht="12.75" customHeight="1">
      <c r="A548" s="4"/>
      <c r="B548" s="4"/>
      <c r="C548" s="4"/>
      <c r="D548" s="4"/>
      <c r="E548" s="7"/>
      <c r="F548" s="4"/>
      <c r="G548" s="4"/>
      <c r="H548" s="10"/>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ht="12.75" customHeight="1">
      <c r="A549" s="4"/>
      <c r="B549" s="4"/>
      <c r="C549" s="4"/>
      <c r="D549" s="4"/>
      <c r="E549" s="7"/>
      <c r="F549" s="4"/>
      <c r="G549" s="4"/>
      <c r="H549" s="10"/>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ht="12.75" customHeight="1">
      <c r="A550" s="4"/>
      <c r="B550" s="4"/>
      <c r="C550" s="4"/>
      <c r="D550" s="4"/>
      <c r="E550" s="7"/>
      <c r="F550" s="4"/>
      <c r="G550" s="4"/>
      <c r="H550" s="10"/>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ht="12.75" customHeight="1">
      <c r="A551" s="4"/>
      <c r="B551" s="4"/>
      <c r="C551" s="4"/>
      <c r="D551" s="4"/>
      <c r="E551" s="7"/>
      <c r="F551" s="4"/>
      <c r="G551" s="4"/>
      <c r="H551" s="10"/>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ht="12.75" customHeight="1">
      <c r="A552" s="4"/>
      <c r="B552" s="4"/>
      <c r="C552" s="4"/>
      <c r="D552" s="4"/>
      <c r="E552" s="7"/>
      <c r="F552" s="4"/>
      <c r="G552" s="4"/>
      <c r="H552" s="10"/>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ht="12.75" customHeight="1">
      <c r="A553" s="4"/>
      <c r="B553" s="4"/>
      <c r="C553" s="4"/>
      <c r="D553" s="4"/>
      <c r="E553" s="7"/>
      <c r="F553" s="4"/>
      <c r="G553" s="4"/>
      <c r="H553" s="10"/>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ht="12.75" customHeight="1">
      <c r="A554" s="4"/>
      <c r="B554" s="4"/>
      <c r="C554" s="4"/>
      <c r="D554" s="4"/>
      <c r="E554" s="7"/>
      <c r="F554" s="4"/>
      <c r="G554" s="4"/>
      <c r="H554" s="10"/>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ht="12.75" customHeight="1">
      <c r="A555" s="4"/>
      <c r="B555" s="4"/>
      <c r="C555" s="4"/>
      <c r="D555" s="4"/>
      <c r="E555" s="7"/>
      <c r="F555" s="4"/>
      <c r="G555" s="4"/>
      <c r="H555" s="10"/>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ht="12.75" customHeight="1">
      <c r="A556" s="4"/>
      <c r="B556" s="4"/>
      <c r="C556" s="4"/>
      <c r="D556" s="4"/>
      <c r="E556" s="7"/>
      <c r="F556" s="4"/>
      <c r="G556" s="4"/>
      <c r="H556" s="10"/>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ht="12.75" customHeight="1">
      <c r="A557" s="4"/>
      <c r="B557" s="4"/>
      <c r="C557" s="4"/>
      <c r="D557" s="4"/>
      <c r="E557" s="7"/>
      <c r="F557" s="4"/>
      <c r="G557" s="4"/>
      <c r="H557" s="10"/>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ht="12.75" customHeight="1">
      <c r="A558" s="4"/>
      <c r="B558" s="4"/>
      <c r="C558" s="4"/>
      <c r="D558" s="4"/>
      <c r="E558" s="7"/>
      <c r="F558" s="4"/>
      <c r="G558" s="4"/>
      <c r="H558" s="10"/>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ht="12.75" customHeight="1">
      <c r="A559" s="4"/>
      <c r="B559" s="4"/>
      <c r="C559" s="4"/>
      <c r="D559" s="4"/>
      <c r="E559" s="7"/>
      <c r="F559" s="4"/>
      <c r="G559" s="4"/>
      <c r="H559" s="10"/>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ht="12.75" customHeight="1">
      <c r="A560" s="4"/>
      <c r="B560" s="4"/>
      <c r="C560" s="4"/>
      <c r="D560" s="4"/>
      <c r="E560" s="7"/>
      <c r="F560" s="4"/>
      <c r="G560" s="4"/>
      <c r="H560" s="10"/>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ht="12.75" customHeight="1">
      <c r="A561" s="4"/>
      <c r="B561" s="4"/>
      <c r="C561" s="4"/>
      <c r="D561" s="4"/>
      <c r="E561" s="7"/>
      <c r="F561" s="4"/>
      <c r="G561" s="4"/>
      <c r="H561" s="10"/>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ht="12.75" customHeight="1">
      <c r="A562" s="4"/>
      <c r="B562" s="4"/>
      <c r="C562" s="4"/>
      <c r="D562" s="4"/>
      <c r="E562" s="7"/>
      <c r="F562" s="4"/>
      <c r="G562" s="4"/>
      <c r="H562" s="10"/>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ht="12.75" customHeight="1">
      <c r="A563" s="4"/>
      <c r="B563" s="4"/>
      <c r="C563" s="4"/>
      <c r="D563" s="4"/>
      <c r="E563" s="7"/>
      <c r="F563" s="4"/>
      <c r="G563" s="4"/>
      <c r="H563" s="10"/>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ht="12.75" customHeight="1">
      <c r="A564" s="4"/>
      <c r="B564" s="4"/>
      <c r="C564" s="4"/>
      <c r="D564" s="4"/>
      <c r="E564" s="7"/>
      <c r="F564" s="4"/>
      <c r="G564" s="4"/>
      <c r="H564" s="10"/>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ht="12.75" customHeight="1">
      <c r="A565" s="4"/>
      <c r="B565" s="4"/>
      <c r="C565" s="4"/>
      <c r="D565" s="4"/>
      <c r="E565" s="7"/>
      <c r="F565" s="4"/>
      <c r="G565" s="4"/>
      <c r="H565" s="10"/>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ht="12.75" customHeight="1">
      <c r="A566" s="4"/>
      <c r="B566" s="4"/>
      <c r="C566" s="4"/>
      <c r="D566" s="4"/>
      <c r="E566" s="7"/>
      <c r="F566" s="4"/>
      <c r="G566" s="4"/>
      <c r="H566" s="10"/>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ht="12.75" customHeight="1">
      <c r="A567" s="4"/>
      <c r="B567" s="4"/>
      <c r="C567" s="4"/>
      <c r="D567" s="4"/>
      <c r="E567" s="7"/>
      <c r="F567" s="4"/>
      <c r="G567" s="4"/>
      <c r="H567" s="10"/>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ht="12.75" customHeight="1">
      <c r="A568" s="4"/>
      <c r="B568" s="4"/>
      <c r="C568" s="4"/>
      <c r="D568" s="4"/>
      <c r="E568" s="7"/>
      <c r="F568" s="4"/>
      <c r="G568" s="4"/>
      <c r="H568" s="10"/>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ht="12.75" customHeight="1">
      <c r="A569" s="4"/>
      <c r="B569" s="4"/>
      <c r="C569" s="4"/>
      <c r="D569" s="4"/>
      <c r="E569" s="7"/>
      <c r="F569" s="4"/>
      <c r="G569" s="4"/>
      <c r="H569" s="10"/>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ht="12.75" customHeight="1">
      <c r="A570" s="4"/>
      <c r="B570" s="4"/>
      <c r="C570" s="4"/>
      <c r="D570" s="4"/>
      <c r="E570" s="7"/>
      <c r="F570" s="4"/>
      <c r="G570" s="4"/>
      <c r="H570" s="10"/>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ht="12.75" customHeight="1">
      <c r="A571" s="4"/>
      <c r="B571" s="4"/>
      <c r="C571" s="4"/>
      <c r="D571" s="4"/>
      <c r="E571" s="7"/>
      <c r="F571" s="4"/>
      <c r="G571" s="4"/>
      <c r="H571" s="10"/>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ht="12.75" customHeight="1">
      <c r="A572" s="4"/>
      <c r="B572" s="4"/>
      <c r="C572" s="4"/>
      <c r="D572" s="4"/>
      <c r="E572" s="7"/>
      <c r="F572" s="4"/>
      <c r="G572" s="4"/>
      <c r="H572" s="10"/>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ht="12.75" customHeight="1">
      <c r="A573" s="4"/>
      <c r="B573" s="4"/>
      <c r="C573" s="4"/>
      <c r="D573" s="4"/>
      <c r="E573" s="7"/>
      <c r="F573" s="4"/>
      <c r="G573" s="4"/>
      <c r="H573" s="10"/>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ht="12.75" customHeight="1">
      <c r="A574" s="4"/>
      <c r="B574" s="4"/>
      <c r="C574" s="4"/>
      <c r="D574" s="4"/>
      <c r="E574" s="7"/>
      <c r="F574" s="4"/>
      <c r="G574" s="4"/>
      <c r="H574" s="10"/>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ht="12.75" customHeight="1">
      <c r="A575" s="4"/>
      <c r="B575" s="4"/>
      <c r="C575" s="4"/>
      <c r="D575" s="4"/>
      <c r="E575" s="7"/>
      <c r="F575" s="4"/>
      <c r="G575" s="4"/>
      <c r="H575" s="10"/>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ht="12.75" customHeight="1">
      <c r="A576" s="4"/>
      <c r="B576" s="4"/>
      <c r="C576" s="4"/>
      <c r="D576" s="4"/>
      <c r="E576" s="7"/>
      <c r="F576" s="4"/>
      <c r="G576" s="4"/>
      <c r="H576" s="10"/>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ht="12.75" customHeight="1">
      <c r="A577" s="4"/>
      <c r="B577" s="4"/>
      <c r="C577" s="4"/>
      <c r="D577" s="4"/>
      <c r="E577" s="7"/>
      <c r="F577" s="4"/>
      <c r="G577" s="4"/>
      <c r="H577" s="10"/>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ht="12.75" customHeight="1">
      <c r="A578" s="4"/>
      <c r="B578" s="4"/>
      <c r="C578" s="4"/>
      <c r="D578" s="4"/>
      <c r="E578" s="7"/>
      <c r="F578" s="4"/>
      <c r="G578" s="4"/>
      <c r="H578" s="10"/>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ht="12.75" customHeight="1">
      <c r="A579" s="4"/>
      <c r="B579" s="4"/>
      <c r="C579" s="4"/>
      <c r="D579" s="4"/>
      <c r="E579" s="7"/>
      <c r="F579" s="4"/>
      <c r="G579" s="4"/>
      <c r="H579" s="10"/>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ht="12.75" customHeight="1">
      <c r="A580" s="4"/>
      <c r="B580" s="4"/>
      <c r="C580" s="4"/>
      <c r="D580" s="4"/>
      <c r="E580" s="7"/>
      <c r="F580" s="4"/>
      <c r="G580" s="4"/>
      <c r="H580" s="10"/>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ht="12.75" customHeight="1">
      <c r="A581" s="4"/>
      <c r="B581" s="4"/>
      <c r="C581" s="4"/>
      <c r="D581" s="4"/>
      <c r="E581" s="7"/>
      <c r="F581" s="4"/>
      <c r="G581" s="4"/>
      <c r="H581" s="10"/>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ht="12.75" customHeight="1">
      <c r="A582" s="4"/>
      <c r="B582" s="4"/>
      <c r="C582" s="4"/>
      <c r="D582" s="4"/>
      <c r="E582" s="7"/>
      <c r="F582" s="4"/>
      <c r="G582" s="4"/>
      <c r="H582" s="10"/>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ht="12.75" customHeight="1">
      <c r="A583" s="4"/>
      <c r="B583" s="4"/>
      <c r="C583" s="4"/>
      <c r="D583" s="4"/>
      <c r="E583" s="7"/>
      <c r="F583" s="4"/>
      <c r="G583" s="4"/>
      <c r="H583" s="10"/>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ht="12.75" customHeight="1">
      <c r="A584" s="4"/>
      <c r="B584" s="4"/>
      <c r="C584" s="4"/>
      <c r="D584" s="4"/>
      <c r="E584" s="7"/>
      <c r="F584" s="4"/>
      <c r="G584" s="4"/>
      <c r="H584" s="10"/>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ht="12.75" customHeight="1">
      <c r="A585" s="4"/>
      <c r="B585" s="4"/>
      <c r="C585" s="4"/>
      <c r="D585" s="4"/>
      <c r="E585" s="7"/>
      <c r="F585" s="4"/>
      <c r="G585" s="4"/>
      <c r="H585" s="10"/>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ht="12.75" customHeight="1">
      <c r="A586" s="4"/>
      <c r="B586" s="4"/>
      <c r="C586" s="4"/>
      <c r="D586" s="4"/>
      <c r="E586" s="7"/>
      <c r="F586" s="4"/>
      <c r="G586" s="4"/>
      <c r="H586" s="10"/>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ht="12.75" customHeight="1">
      <c r="A587" s="4"/>
      <c r="B587" s="4"/>
      <c r="C587" s="4"/>
      <c r="D587" s="4"/>
      <c r="E587" s="7"/>
      <c r="F587" s="4"/>
      <c r="G587" s="4"/>
      <c r="H587" s="10"/>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ht="12.75" customHeight="1">
      <c r="A588" s="4"/>
      <c r="B588" s="4"/>
      <c r="C588" s="4"/>
      <c r="D588" s="4"/>
      <c r="E588" s="7"/>
      <c r="F588" s="4"/>
      <c r="G588" s="4"/>
      <c r="H588" s="10"/>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ht="12.75" customHeight="1">
      <c r="A589" s="4"/>
      <c r="B589" s="4"/>
      <c r="C589" s="4"/>
      <c r="D589" s="4"/>
      <c r="E589" s="7"/>
      <c r="F589" s="4"/>
      <c r="G589" s="4"/>
      <c r="H589" s="10"/>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ht="12.75" customHeight="1">
      <c r="A590" s="4"/>
      <c r="B590" s="4"/>
      <c r="C590" s="4"/>
      <c r="D590" s="4"/>
      <c r="E590" s="7"/>
      <c r="F590" s="4"/>
      <c r="G590" s="4"/>
      <c r="H590" s="10"/>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ht="12.75" customHeight="1">
      <c r="A591" s="4"/>
      <c r="B591" s="4"/>
      <c r="C591" s="4"/>
      <c r="D591" s="4"/>
      <c r="E591" s="7"/>
      <c r="F591" s="4"/>
      <c r="G591" s="4"/>
      <c r="H591" s="10"/>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ht="12.75" customHeight="1">
      <c r="A592" s="4"/>
      <c r="B592" s="4"/>
      <c r="C592" s="4"/>
      <c r="D592" s="4"/>
      <c r="E592" s="7"/>
      <c r="F592" s="4"/>
      <c r="G592" s="4"/>
      <c r="H592" s="10"/>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ht="12.75" customHeight="1">
      <c r="A593" s="4"/>
      <c r="B593" s="4"/>
      <c r="C593" s="4"/>
      <c r="D593" s="4"/>
      <c r="E593" s="7"/>
      <c r="F593" s="4"/>
      <c r="G593" s="4"/>
      <c r="H593" s="10"/>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ht="12.75" customHeight="1">
      <c r="A594" s="4"/>
      <c r="B594" s="4"/>
      <c r="C594" s="4"/>
      <c r="D594" s="4"/>
      <c r="E594" s="7"/>
      <c r="F594" s="4"/>
      <c r="G594" s="4"/>
      <c r="H594" s="10"/>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ht="12.75" customHeight="1">
      <c r="A595" s="4"/>
      <c r="B595" s="4"/>
      <c r="C595" s="4"/>
      <c r="D595" s="4"/>
      <c r="E595" s="7"/>
      <c r="F595" s="4"/>
      <c r="G595" s="4"/>
      <c r="H595" s="10"/>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ht="12.75" customHeight="1">
      <c r="A596" s="4"/>
      <c r="B596" s="4"/>
      <c r="C596" s="4"/>
      <c r="D596" s="4"/>
      <c r="E596" s="7"/>
      <c r="F596" s="4"/>
      <c r="G596" s="4"/>
      <c r="H596" s="10"/>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ht="12.75" customHeight="1">
      <c r="A597" s="4"/>
      <c r="B597" s="4"/>
      <c r="C597" s="4"/>
      <c r="D597" s="4"/>
      <c r="E597" s="7"/>
      <c r="F597" s="4"/>
      <c r="G597" s="4"/>
      <c r="H597" s="10"/>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ht="12.75" customHeight="1">
      <c r="A598" s="4"/>
      <c r="B598" s="4"/>
      <c r="C598" s="4"/>
      <c r="D598" s="4"/>
      <c r="E598" s="7"/>
      <c r="F598" s="4"/>
      <c r="G598" s="4"/>
      <c r="H598" s="10"/>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ht="12.75" customHeight="1">
      <c r="A599" s="4"/>
      <c r="B599" s="4"/>
      <c r="C599" s="4"/>
      <c r="D599" s="4"/>
      <c r="E599" s="7"/>
      <c r="F599" s="4"/>
      <c r="G599" s="4"/>
      <c r="H599" s="10"/>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ht="12.75" customHeight="1">
      <c r="A600" s="4"/>
      <c r="B600" s="4"/>
      <c r="C600" s="4"/>
      <c r="D600" s="4"/>
      <c r="E600" s="7"/>
      <c r="F600" s="4"/>
      <c r="G600" s="4"/>
      <c r="H600" s="10"/>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ht="12.75" customHeight="1">
      <c r="A601" s="4"/>
      <c r="B601" s="4"/>
      <c r="C601" s="4"/>
      <c r="D601" s="4"/>
      <c r="E601" s="7"/>
      <c r="F601" s="4"/>
      <c r="G601" s="4"/>
      <c r="H601" s="10"/>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ht="12.75" customHeight="1">
      <c r="A602" s="4"/>
      <c r="B602" s="4"/>
      <c r="C602" s="4"/>
      <c r="D602" s="4"/>
      <c r="E602" s="7"/>
      <c r="F602" s="4"/>
      <c r="G602" s="4"/>
      <c r="H602" s="10"/>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ht="12.75" customHeight="1">
      <c r="A603" s="4"/>
      <c r="B603" s="4"/>
      <c r="C603" s="4"/>
      <c r="D603" s="4"/>
      <c r="E603" s="7"/>
      <c r="F603" s="4"/>
      <c r="G603" s="4"/>
      <c r="H603" s="10"/>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ht="12.75" customHeight="1">
      <c r="A604" s="4"/>
      <c r="B604" s="4"/>
      <c r="C604" s="4"/>
      <c r="D604" s="4"/>
      <c r="E604" s="7"/>
      <c r="F604" s="4"/>
      <c r="G604" s="4"/>
      <c r="H604" s="10"/>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ht="12.75" customHeight="1">
      <c r="A605" s="4"/>
      <c r="B605" s="4"/>
      <c r="C605" s="4"/>
      <c r="D605" s="4"/>
      <c r="E605" s="7"/>
      <c r="F605" s="4"/>
      <c r="G605" s="4"/>
      <c r="H605" s="10"/>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ht="12.75" customHeight="1">
      <c r="A606" s="4"/>
      <c r="B606" s="4"/>
      <c r="C606" s="4"/>
      <c r="D606" s="4"/>
      <c r="E606" s="7"/>
      <c r="F606" s="4"/>
      <c r="G606" s="4"/>
      <c r="H606" s="10"/>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ht="12.75" customHeight="1">
      <c r="A607" s="4"/>
      <c r="B607" s="4"/>
      <c r="C607" s="4"/>
      <c r="D607" s="4"/>
      <c r="E607" s="7"/>
      <c r="F607" s="4"/>
      <c r="G607" s="4"/>
      <c r="H607" s="10"/>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ht="12.75" customHeight="1">
      <c r="A608" s="4"/>
      <c r="B608" s="4"/>
      <c r="C608" s="4"/>
      <c r="D608" s="4"/>
      <c r="E608" s="7"/>
      <c r="F608" s="4"/>
      <c r="G608" s="4"/>
      <c r="H608" s="10"/>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ht="12.75" customHeight="1">
      <c r="A609" s="4"/>
      <c r="B609" s="4"/>
      <c r="C609" s="4"/>
      <c r="D609" s="4"/>
      <c r="E609" s="7"/>
      <c r="F609" s="4"/>
      <c r="G609" s="4"/>
      <c r="H609" s="10"/>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ht="12.75" customHeight="1">
      <c r="A610" s="4"/>
      <c r="B610" s="4"/>
      <c r="C610" s="4"/>
      <c r="D610" s="4"/>
      <c r="E610" s="7"/>
      <c r="F610" s="4"/>
      <c r="G610" s="4"/>
      <c r="H610" s="10"/>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ht="12.75" customHeight="1">
      <c r="A611" s="4"/>
      <c r="B611" s="4"/>
      <c r="C611" s="4"/>
      <c r="D611" s="4"/>
      <c r="E611" s="7"/>
      <c r="F611" s="4"/>
      <c r="G611" s="4"/>
      <c r="H611" s="10"/>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ht="12.75" customHeight="1">
      <c r="A612" s="4"/>
      <c r="B612" s="4"/>
      <c r="C612" s="4"/>
      <c r="D612" s="4"/>
      <c r="E612" s="7"/>
      <c r="F612" s="4"/>
      <c r="G612" s="4"/>
      <c r="H612" s="10"/>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ht="12.75" customHeight="1">
      <c r="A613" s="4"/>
      <c r="B613" s="4"/>
      <c r="C613" s="4"/>
      <c r="D613" s="4"/>
      <c r="E613" s="7"/>
      <c r="F613" s="4"/>
      <c r="G613" s="4"/>
      <c r="H613" s="10"/>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ht="12.75" customHeight="1">
      <c r="A614" s="4"/>
      <c r="B614" s="4"/>
      <c r="C614" s="4"/>
      <c r="D614" s="4"/>
      <c r="E614" s="7"/>
      <c r="F614" s="4"/>
      <c r="G614" s="4"/>
      <c r="H614" s="10"/>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ht="12.75" customHeight="1">
      <c r="A615" s="4"/>
      <c r="B615" s="4"/>
      <c r="C615" s="4"/>
      <c r="D615" s="4"/>
      <c r="E615" s="7"/>
      <c r="F615" s="4"/>
      <c r="G615" s="4"/>
      <c r="H615" s="10"/>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ht="12.75" customHeight="1">
      <c r="A616" s="4"/>
      <c r="B616" s="4"/>
      <c r="C616" s="4"/>
      <c r="D616" s="4"/>
      <c r="E616" s="7"/>
      <c r="F616" s="4"/>
      <c r="G616" s="4"/>
      <c r="H616" s="10"/>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ht="12.75" customHeight="1">
      <c r="A617" s="4"/>
      <c r="B617" s="4"/>
      <c r="C617" s="4"/>
      <c r="D617" s="4"/>
      <c r="E617" s="7"/>
      <c r="F617" s="4"/>
      <c r="G617" s="4"/>
      <c r="H617" s="10"/>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ht="12.75" customHeight="1">
      <c r="A618" s="4"/>
      <c r="B618" s="4"/>
      <c r="C618" s="4"/>
      <c r="D618" s="4"/>
      <c r="E618" s="7"/>
      <c r="F618" s="4"/>
      <c r="G618" s="4"/>
      <c r="H618" s="10"/>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ht="12.75" customHeight="1">
      <c r="A619" s="4"/>
      <c r="B619" s="4"/>
      <c r="C619" s="4"/>
      <c r="D619" s="4"/>
      <c r="E619" s="7"/>
      <c r="F619" s="4"/>
      <c r="G619" s="4"/>
      <c r="H619" s="10"/>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ht="12.75" customHeight="1">
      <c r="A620" s="4"/>
      <c r="B620" s="4"/>
      <c r="C620" s="4"/>
      <c r="D620" s="4"/>
      <c r="E620" s="7"/>
      <c r="F620" s="4"/>
      <c r="G620" s="4"/>
      <c r="H620" s="10"/>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ht="12.75" customHeight="1">
      <c r="A621" s="4"/>
      <c r="B621" s="4"/>
      <c r="C621" s="4"/>
      <c r="D621" s="4"/>
      <c r="E621" s="7"/>
      <c r="F621" s="4"/>
      <c r="G621" s="4"/>
      <c r="H621" s="10"/>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ht="12.75" customHeight="1">
      <c r="A622" s="4"/>
      <c r="B622" s="4"/>
      <c r="C622" s="4"/>
      <c r="D622" s="4"/>
      <c r="E622" s="7"/>
      <c r="F622" s="4"/>
      <c r="G622" s="4"/>
      <c r="H622" s="10"/>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ht="12.75" customHeight="1">
      <c r="A623" s="4"/>
      <c r="B623" s="4"/>
      <c r="C623" s="4"/>
      <c r="D623" s="4"/>
      <c r="E623" s="7"/>
      <c r="F623" s="4"/>
      <c r="G623" s="4"/>
      <c r="H623" s="10"/>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ht="12.75" customHeight="1">
      <c r="A624" s="4"/>
      <c r="B624" s="4"/>
      <c r="C624" s="4"/>
      <c r="D624" s="4"/>
      <c r="E624" s="7"/>
      <c r="F624" s="4"/>
      <c r="G624" s="4"/>
      <c r="H624" s="10"/>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ht="12.75" customHeight="1">
      <c r="A625" s="4"/>
      <c r="B625" s="4"/>
      <c r="C625" s="4"/>
      <c r="D625" s="4"/>
      <c r="E625" s="7"/>
      <c r="F625" s="4"/>
      <c r="G625" s="4"/>
      <c r="H625" s="10"/>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ht="12.75" customHeight="1">
      <c r="A626" s="4"/>
      <c r="B626" s="4"/>
      <c r="C626" s="4"/>
      <c r="D626" s="4"/>
      <c r="E626" s="7"/>
      <c r="F626" s="4"/>
      <c r="G626" s="4"/>
      <c r="H626" s="10"/>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ht="12.75" customHeight="1">
      <c r="A627" s="4"/>
      <c r="B627" s="4"/>
      <c r="C627" s="4"/>
      <c r="D627" s="4"/>
      <c r="E627" s="7"/>
      <c r="F627" s="4"/>
      <c r="G627" s="4"/>
      <c r="H627" s="10"/>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ht="12.75" customHeight="1">
      <c r="A628" s="4"/>
      <c r="B628" s="4"/>
      <c r="C628" s="4"/>
      <c r="D628" s="4"/>
      <c r="E628" s="7"/>
      <c r="F628" s="4"/>
      <c r="G628" s="4"/>
      <c r="H628" s="10"/>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ht="12.75" customHeight="1">
      <c r="A629" s="4"/>
      <c r="B629" s="4"/>
      <c r="C629" s="4"/>
      <c r="D629" s="4"/>
      <c r="E629" s="7"/>
      <c r="F629" s="4"/>
      <c r="G629" s="4"/>
      <c r="H629" s="10"/>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ht="12.75" customHeight="1">
      <c r="A630" s="4"/>
      <c r="B630" s="4"/>
      <c r="C630" s="4"/>
      <c r="D630" s="4"/>
      <c r="E630" s="7"/>
      <c r="F630" s="4"/>
      <c r="G630" s="4"/>
      <c r="H630" s="10"/>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ht="12.75" customHeight="1">
      <c r="A631" s="4"/>
      <c r="B631" s="4"/>
      <c r="C631" s="4"/>
      <c r="D631" s="4"/>
      <c r="E631" s="7"/>
      <c r="F631" s="4"/>
      <c r="G631" s="4"/>
      <c r="H631" s="10"/>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ht="12.75" customHeight="1">
      <c r="A632" s="4"/>
      <c r="B632" s="4"/>
      <c r="C632" s="4"/>
      <c r="D632" s="4"/>
      <c r="E632" s="7"/>
      <c r="F632" s="4"/>
      <c r="G632" s="4"/>
      <c r="H632" s="10"/>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ht="12.75" customHeight="1">
      <c r="A633" s="4"/>
      <c r="B633" s="4"/>
      <c r="C633" s="4"/>
      <c r="D633" s="4"/>
      <c r="E633" s="7"/>
      <c r="F633" s="4"/>
      <c r="G633" s="4"/>
      <c r="H633" s="10"/>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ht="12.75" customHeight="1">
      <c r="A634" s="4"/>
      <c r="B634" s="4"/>
      <c r="C634" s="4"/>
      <c r="D634" s="4"/>
      <c r="E634" s="7"/>
      <c r="F634" s="4"/>
      <c r="G634" s="4"/>
      <c r="H634" s="10"/>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ht="12.75" customHeight="1">
      <c r="A635" s="4"/>
      <c r="B635" s="4"/>
      <c r="C635" s="4"/>
      <c r="D635" s="4"/>
      <c r="E635" s="7"/>
      <c r="F635" s="4"/>
      <c r="G635" s="4"/>
      <c r="H635" s="10"/>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ht="12.75" customHeight="1">
      <c r="A636" s="4"/>
      <c r="B636" s="4"/>
      <c r="C636" s="4"/>
      <c r="D636" s="4"/>
      <c r="E636" s="7"/>
      <c r="F636" s="4"/>
      <c r="G636" s="4"/>
      <c r="H636" s="10"/>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ht="12.75" customHeight="1">
      <c r="A637" s="4"/>
      <c r="B637" s="4"/>
      <c r="C637" s="4"/>
      <c r="D637" s="4"/>
      <c r="E637" s="7"/>
      <c r="F637" s="4"/>
      <c r="G637" s="4"/>
      <c r="H637" s="10"/>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ht="12.75" customHeight="1">
      <c r="A638" s="4"/>
      <c r="B638" s="4"/>
      <c r="C638" s="4"/>
      <c r="D638" s="4"/>
      <c r="E638" s="7"/>
      <c r="F638" s="4"/>
      <c r="G638" s="4"/>
      <c r="H638" s="10"/>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ht="12.75" customHeight="1">
      <c r="A639" s="4"/>
      <c r="B639" s="4"/>
      <c r="C639" s="4"/>
      <c r="D639" s="4"/>
      <c r="E639" s="7"/>
      <c r="F639" s="4"/>
      <c r="G639" s="4"/>
      <c r="H639" s="10"/>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ht="12.75" customHeight="1">
      <c r="A640" s="4"/>
      <c r="B640" s="4"/>
      <c r="C640" s="4"/>
      <c r="D640" s="4"/>
      <c r="E640" s="7"/>
      <c r="F640" s="4"/>
      <c r="G640" s="4"/>
      <c r="H640" s="10"/>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ht="12.75" customHeight="1">
      <c r="A641" s="4"/>
      <c r="B641" s="4"/>
      <c r="C641" s="4"/>
      <c r="D641" s="4"/>
      <c r="E641" s="7"/>
      <c r="F641" s="4"/>
      <c r="G641" s="4"/>
      <c r="H641" s="10"/>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ht="12.75" customHeight="1">
      <c r="A642" s="4"/>
      <c r="B642" s="4"/>
      <c r="C642" s="4"/>
      <c r="D642" s="4"/>
      <c r="E642" s="7"/>
      <c r="F642" s="4"/>
      <c r="G642" s="4"/>
      <c r="H642" s="10"/>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ht="12.75" customHeight="1">
      <c r="A643" s="4"/>
      <c r="B643" s="4"/>
      <c r="C643" s="4"/>
      <c r="D643" s="4"/>
      <c r="E643" s="7"/>
      <c r="F643" s="4"/>
      <c r="G643" s="4"/>
      <c r="H643" s="10"/>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ht="12.75" customHeight="1">
      <c r="A644" s="4"/>
      <c r="B644" s="4"/>
      <c r="C644" s="4"/>
      <c r="D644" s="4"/>
      <c r="E644" s="7"/>
      <c r="F644" s="4"/>
      <c r="G644" s="4"/>
      <c r="H644" s="10"/>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ht="12.75" customHeight="1">
      <c r="A645" s="4"/>
      <c r="B645" s="4"/>
      <c r="C645" s="4"/>
      <c r="D645" s="4"/>
      <c r="E645" s="7"/>
      <c r="F645" s="4"/>
      <c r="G645" s="4"/>
      <c r="H645" s="10"/>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ht="12.75" customHeight="1">
      <c r="A646" s="4"/>
      <c r="B646" s="4"/>
      <c r="C646" s="4"/>
      <c r="D646" s="4"/>
      <c r="E646" s="7"/>
      <c r="F646" s="4"/>
      <c r="G646" s="4"/>
      <c r="H646" s="10"/>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ht="12.75" customHeight="1">
      <c r="A647" s="4"/>
      <c r="B647" s="4"/>
      <c r="C647" s="4"/>
      <c r="D647" s="4"/>
      <c r="E647" s="7"/>
      <c r="F647" s="4"/>
      <c r="G647" s="4"/>
      <c r="H647" s="10"/>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ht="12.75" customHeight="1">
      <c r="A648" s="4"/>
      <c r="B648" s="4"/>
      <c r="C648" s="4"/>
      <c r="D648" s="4"/>
      <c r="E648" s="7"/>
      <c r="F648" s="4"/>
      <c r="G648" s="4"/>
      <c r="H648" s="10"/>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ht="12.75" customHeight="1">
      <c r="A649" s="4"/>
      <c r="B649" s="4"/>
      <c r="C649" s="4"/>
      <c r="D649" s="4"/>
      <c r="E649" s="7"/>
      <c r="F649" s="4"/>
      <c r="G649" s="4"/>
      <c r="H649" s="10"/>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ht="12.75" customHeight="1">
      <c r="A650" s="4"/>
      <c r="B650" s="4"/>
      <c r="C650" s="4"/>
      <c r="D650" s="4"/>
      <c r="E650" s="7"/>
      <c r="F650" s="4"/>
      <c r="G650" s="4"/>
      <c r="H650" s="10"/>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ht="12.75" customHeight="1">
      <c r="A651" s="4"/>
      <c r="B651" s="4"/>
      <c r="C651" s="4"/>
      <c r="D651" s="4"/>
      <c r="E651" s="7"/>
      <c r="F651" s="4"/>
      <c r="G651" s="4"/>
      <c r="H651" s="10"/>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ht="12.75" customHeight="1">
      <c r="A652" s="4"/>
      <c r="B652" s="4"/>
      <c r="C652" s="4"/>
      <c r="D652" s="4"/>
      <c r="E652" s="7"/>
      <c r="F652" s="4"/>
      <c r="G652" s="4"/>
      <c r="H652" s="10"/>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ht="12.75" customHeight="1">
      <c r="A653" s="4"/>
      <c r="B653" s="4"/>
      <c r="C653" s="4"/>
      <c r="D653" s="4"/>
      <c r="E653" s="7"/>
      <c r="F653" s="4"/>
      <c r="G653" s="4"/>
      <c r="H653" s="10"/>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ht="12.75" customHeight="1">
      <c r="A654" s="4"/>
      <c r="B654" s="4"/>
      <c r="C654" s="4"/>
      <c r="D654" s="4"/>
      <c r="E654" s="7"/>
      <c r="F654" s="4"/>
      <c r="G654" s="4"/>
      <c r="H654" s="10"/>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ht="12.75" customHeight="1">
      <c r="A655" s="4"/>
      <c r="B655" s="4"/>
      <c r="C655" s="4"/>
      <c r="D655" s="4"/>
      <c r="E655" s="7"/>
      <c r="F655" s="4"/>
      <c r="G655" s="4"/>
      <c r="H655" s="10"/>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ht="12.75" customHeight="1">
      <c r="A656" s="4"/>
      <c r="B656" s="4"/>
      <c r="C656" s="4"/>
      <c r="D656" s="4"/>
      <c r="E656" s="7"/>
      <c r="F656" s="4"/>
      <c r="G656" s="4"/>
      <c r="H656" s="10"/>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ht="12.75" customHeight="1">
      <c r="A657" s="4"/>
      <c r="B657" s="4"/>
      <c r="C657" s="4"/>
      <c r="D657" s="4"/>
      <c r="E657" s="7"/>
      <c r="F657" s="4"/>
      <c r="G657" s="4"/>
      <c r="H657" s="10"/>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ht="12.75" customHeight="1">
      <c r="A658" s="4"/>
      <c r="B658" s="4"/>
      <c r="C658" s="4"/>
      <c r="D658" s="4"/>
      <c r="E658" s="7"/>
      <c r="F658" s="4"/>
      <c r="G658" s="4"/>
      <c r="H658" s="10"/>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ht="12.75" customHeight="1">
      <c r="A659" s="4"/>
      <c r="B659" s="4"/>
      <c r="C659" s="4"/>
      <c r="D659" s="4"/>
      <c r="E659" s="7"/>
      <c r="F659" s="4"/>
      <c r="G659" s="4"/>
      <c r="H659" s="10"/>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ht="12.75" customHeight="1">
      <c r="A660" s="4"/>
      <c r="B660" s="4"/>
      <c r="C660" s="4"/>
      <c r="D660" s="4"/>
      <c r="E660" s="7"/>
      <c r="F660" s="4"/>
      <c r="G660" s="4"/>
      <c r="H660" s="10"/>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ht="12.75" customHeight="1">
      <c r="A661" s="4"/>
      <c r="B661" s="4"/>
      <c r="C661" s="4"/>
      <c r="D661" s="4"/>
      <c r="E661" s="7"/>
      <c r="F661" s="4"/>
      <c r="G661" s="4"/>
      <c r="H661" s="10"/>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ht="12.75" customHeight="1">
      <c r="A662" s="4"/>
      <c r="B662" s="4"/>
      <c r="C662" s="4"/>
      <c r="D662" s="4"/>
      <c r="E662" s="7"/>
      <c r="F662" s="4"/>
      <c r="G662" s="4"/>
      <c r="H662" s="10"/>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ht="12.75" customHeight="1">
      <c r="A663" s="4"/>
      <c r="B663" s="4"/>
      <c r="C663" s="4"/>
      <c r="D663" s="4"/>
      <c r="E663" s="7"/>
      <c r="F663" s="4"/>
      <c r="G663" s="4"/>
      <c r="H663" s="10"/>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ht="12.75" customHeight="1">
      <c r="A664" s="4"/>
      <c r="B664" s="4"/>
      <c r="C664" s="4"/>
      <c r="D664" s="4"/>
      <c r="E664" s="7"/>
      <c r="F664" s="4"/>
      <c r="G664" s="4"/>
      <c r="H664" s="10"/>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ht="12.75" customHeight="1">
      <c r="A665" s="4"/>
      <c r="B665" s="4"/>
      <c r="C665" s="4"/>
      <c r="D665" s="4"/>
      <c r="E665" s="7"/>
      <c r="F665" s="4"/>
      <c r="G665" s="4"/>
      <c r="H665" s="10"/>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ht="12.75" customHeight="1">
      <c r="A666" s="4"/>
      <c r="B666" s="4"/>
      <c r="C666" s="4"/>
      <c r="D666" s="4"/>
      <c r="E666" s="7"/>
      <c r="F666" s="4"/>
      <c r="G666" s="4"/>
      <c r="H666" s="10"/>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ht="12.75" customHeight="1">
      <c r="A667" s="4"/>
      <c r="B667" s="4"/>
      <c r="C667" s="4"/>
      <c r="D667" s="4"/>
      <c r="E667" s="7"/>
      <c r="F667" s="4"/>
      <c r="G667" s="4"/>
      <c r="H667" s="10"/>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ht="12.75" customHeight="1">
      <c r="A668" s="4"/>
      <c r="B668" s="4"/>
      <c r="C668" s="4"/>
      <c r="D668" s="4"/>
      <c r="E668" s="7"/>
      <c r="F668" s="4"/>
      <c r="G668" s="4"/>
      <c r="H668" s="10"/>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ht="12.75" customHeight="1">
      <c r="A669" s="4"/>
      <c r="B669" s="4"/>
      <c r="C669" s="4"/>
      <c r="D669" s="4"/>
      <c r="E669" s="7"/>
      <c r="F669" s="4"/>
      <c r="G669" s="4"/>
      <c r="H669" s="10"/>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ht="12.75" customHeight="1">
      <c r="A670" s="4"/>
      <c r="B670" s="4"/>
      <c r="C670" s="4"/>
      <c r="D670" s="4"/>
      <c r="E670" s="7"/>
      <c r="F670" s="4"/>
      <c r="G670" s="4"/>
      <c r="H670" s="10"/>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ht="12.75" customHeight="1">
      <c r="A671" s="4"/>
      <c r="B671" s="4"/>
      <c r="C671" s="4"/>
      <c r="D671" s="4"/>
      <c r="E671" s="7"/>
      <c r="F671" s="4"/>
      <c r="G671" s="4"/>
      <c r="H671" s="10"/>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ht="12.75" customHeight="1">
      <c r="A672" s="4"/>
      <c r="B672" s="4"/>
      <c r="C672" s="4"/>
      <c r="D672" s="4"/>
      <c r="E672" s="7"/>
      <c r="F672" s="4"/>
      <c r="G672" s="4"/>
      <c r="H672" s="10"/>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ht="12.75" customHeight="1">
      <c r="A673" s="4"/>
      <c r="B673" s="4"/>
      <c r="C673" s="4"/>
      <c r="D673" s="4"/>
      <c r="E673" s="7"/>
      <c r="F673" s="4"/>
      <c r="G673" s="4"/>
      <c r="H673" s="10"/>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ht="12.75" customHeight="1">
      <c r="A674" s="4"/>
      <c r="B674" s="4"/>
      <c r="C674" s="4"/>
      <c r="D674" s="4"/>
      <c r="E674" s="7"/>
      <c r="F674" s="4"/>
      <c r="G674" s="4"/>
      <c r="H674" s="10"/>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ht="12.75" customHeight="1">
      <c r="A675" s="4"/>
      <c r="B675" s="4"/>
      <c r="C675" s="4"/>
      <c r="D675" s="4"/>
      <c r="E675" s="7"/>
      <c r="F675" s="4"/>
      <c r="G675" s="4"/>
      <c r="H675" s="10"/>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ht="12.75" customHeight="1">
      <c r="A676" s="4"/>
      <c r="B676" s="4"/>
      <c r="C676" s="4"/>
      <c r="D676" s="4"/>
      <c r="E676" s="7"/>
      <c r="F676" s="4"/>
      <c r="G676" s="4"/>
      <c r="H676" s="10"/>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ht="12.75" customHeight="1">
      <c r="A677" s="4"/>
      <c r="B677" s="4"/>
      <c r="C677" s="4"/>
      <c r="D677" s="4"/>
      <c r="E677" s="7"/>
      <c r="F677" s="4"/>
      <c r="G677" s="4"/>
      <c r="H677" s="10"/>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ht="12.75" customHeight="1">
      <c r="A678" s="4"/>
      <c r="B678" s="4"/>
      <c r="C678" s="4"/>
      <c r="D678" s="4"/>
      <c r="E678" s="7"/>
      <c r="F678" s="4"/>
      <c r="G678" s="4"/>
      <c r="H678" s="10"/>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ht="12.75" customHeight="1">
      <c r="A679" s="4"/>
      <c r="B679" s="4"/>
      <c r="C679" s="4"/>
      <c r="D679" s="4"/>
      <c r="E679" s="7"/>
      <c r="F679" s="4"/>
      <c r="G679" s="4"/>
      <c r="H679" s="10"/>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ht="12.75" customHeight="1">
      <c r="A680" s="4"/>
      <c r="B680" s="4"/>
      <c r="C680" s="4"/>
      <c r="D680" s="4"/>
      <c r="E680" s="7"/>
      <c r="F680" s="4"/>
      <c r="G680" s="4"/>
      <c r="H680" s="10"/>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ht="12.75" customHeight="1">
      <c r="A681" s="4"/>
      <c r="B681" s="4"/>
      <c r="C681" s="4"/>
      <c r="D681" s="4"/>
      <c r="E681" s="7"/>
      <c r="F681" s="4"/>
      <c r="G681" s="4"/>
      <c r="H681" s="10"/>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ht="12.75" customHeight="1">
      <c r="A682" s="4"/>
      <c r="B682" s="4"/>
      <c r="C682" s="4"/>
      <c r="D682" s="4"/>
      <c r="E682" s="7"/>
      <c r="F682" s="4"/>
      <c r="G682" s="4"/>
      <c r="H682" s="10"/>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ht="12.75" customHeight="1">
      <c r="A683" s="4"/>
      <c r="B683" s="4"/>
      <c r="C683" s="4"/>
      <c r="D683" s="4"/>
      <c r="E683" s="7"/>
      <c r="F683" s="4"/>
      <c r="G683" s="4"/>
      <c r="H683" s="10"/>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ht="12.75" customHeight="1">
      <c r="A684" s="4"/>
      <c r="B684" s="4"/>
      <c r="C684" s="4"/>
      <c r="D684" s="4"/>
      <c r="E684" s="7"/>
      <c r="F684" s="4"/>
      <c r="G684" s="4"/>
      <c r="H684" s="10"/>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ht="12.75" customHeight="1">
      <c r="A685" s="4"/>
      <c r="B685" s="4"/>
      <c r="C685" s="4"/>
      <c r="D685" s="4"/>
      <c r="E685" s="7"/>
      <c r="F685" s="4"/>
      <c r="G685" s="4"/>
      <c r="H685" s="10"/>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ht="12.75" customHeight="1">
      <c r="A686" s="4"/>
      <c r="B686" s="4"/>
      <c r="C686" s="4"/>
      <c r="D686" s="4"/>
      <c r="E686" s="7"/>
      <c r="F686" s="4"/>
      <c r="G686" s="4"/>
      <c r="H686" s="10"/>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ht="12.75" customHeight="1">
      <c r="A687" s="4"/>
      <c r="B687" s="4"/>
      <c r="C687" s="4"/>
      <c r="D687" s="4"/>
      <c r="E687" s="7"/>
      <c r="F687" s="4"/>
      <c r="G687" s="4"/>
      <c r="H687" s="10"/>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ht="12.75" customHeight="1">
      <c r="A688" s="4"/>
      <c r="B688" s="4"/>
      <c r="C688" s="4"/>
      <c r="D688" s="4"/>
      <c r="E688" s="7"/>
      <c r="F688" s="4"/>
      <c r="G688" s="4"/>
      <c r="H688" s="10"/>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ht="12.75" customHeight="1">
      <c r="A689" s="4"/>
      <c r="B689" s="4"/>
      <c r="C689" s="4"/>
      <c r="D689" s="4"/>
      <c r="E689" s="7"/>
      <c r="F689" s="4"/>
      <c r="G689" s="4"/>
      <c r="H689" s="10"/>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ht="12.75" customHeight="1">
      <c r="A690" s="4"/>
      <c r="B690" s="4"/>
      <c r="C690" s="4"/>
      <c r="D690" s="4"/>
      <c r="E690" s="7"/>
      <c r="F690" s="4"/>
      <c r="G690" s="4"/>
      <c r="H690" s="10"/>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ht="12.75" customHeight="1">
      <c r="A691" s="4"/>
      <c r="B691" s="4"/>
      <c r="C691" s="4"/>
      <c r="D691" s="4"/>
      <c r="E691" s="7"/>
      <c r="F691" s="4"/>
      <c r="G691" s="4"/>
      <c r="H691" s="10"/>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ht="12.75" customHeight="1">
      <c r="A692" s="4"/>
      <c r="B692" s="4"/>
      <c r="C692" s="4"/>
      <c r="D692" s="4"/>
      <c r="E692" s="7"/>
      <c r="F692" s="4"/>
      <c r="G692" s="4"/>
      <c r="H692" s="10"/>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ht="12.75" customHeight="1">
      <c r="A693" s="4"/>
      <c r="B693" s="4"/>
      <c r="C693" s="4"/>
      <c r="D693" s="4"/>
      <c r="E693" s="7"/>
      <c r="F693" s="4"/>
      <c r="G693" s="4"/>
      <c r="H693" s="10"/>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ht="12.75" customHeight="1">
      <c r="A694" s="4"/>
      <c r="B694" s="4"/>
      <c r="C694" s="4"/>
      <c r="D694" s="4"/>
      <c r="E694" s="7"/>
      <c r="F694" s="4"/>
      <c r="G694" s="4"/>
      <c r="H694" s="10"/>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ht="12.75" customHeight="1">
      <c r="A695" s="4"/>
      <c r="B695" s="4"/>
      <c r="C695" s="4"/>
      <c r="D695" s="4"/>
      <c r="E695" s="7"/>
      <c r="F695" s="4"/>
      <c r="G695" s="4"/>
      <c r="H695" s="10"/>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ht="12.75" customHeight="1">
      <c r="A696" s="4"/>
      <c r="B696" s="4"/>
      <c r="C696" s="4"/>
      <c r="D696" s="4"/>
      <c r="E696" s="7"/>
      <c r="F696" s="4"/>
      <c r="G696" s="4"/>
      <c r="H696" s="10"/>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ht="12.75" customHeight="1">
      <c r="A697" s="4"/>
      <c r="B697" s="4"/>
      <c r="C697" s="4"/>
      <c r="D697" s="4"/>
      <c r="E697" s="7"/>
      <c r="F697" s="4"/>
      <c r="G697" s="4"/>
      <c r="H697" s="10"/>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ht="12.75" customHeight="1">
      <c r="A698" s="4"/>
      <c r="B698" s="4"/>
      <c r="C698" s="4"/>
      <c r="D698" s="4"/>
      <c r="E698" s="7"/>
      <c r="F698" s="4"/>
      <c r="G698" s="4"/>
      <c r="H698" s="10"/>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ht="12.75" customHeight="1">
      <c r="A699" s="4"/>
      <c r="B699" s="4"/>
      <c r="C699" s="4"/>
      <c r="D699" s="4"/>
      <c r="E699" s="7"/>
      <c r="F699" s="4"/>
      <c r="G699" s="4"/>
      <c r="H699" s="10"/>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ht="12.75" customHeight="1">
      <c r="A700" s="4"/>
      <c r="B700" s="4"/>
      <c r="C700" s="4"/>
      <c r="D700" s="4"/>
      <c r="E700" s="7"/>
      <c r="F700" s="4"/>
      <c r="G700" s="4"/>
      <c r="H700" s="10"/>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ht="12.75" customHeight="1">
      <c r="A701" s="4"/>
      <c r="B701" s="4"/>
      <c r="C701" s="4"/>
      <c r="D701" s="4"/>
      <c r="E701" s="7"/>
      <c r="F701" s="4"/>
      <c r="G701" s="4"/>
      <c r="H701" s="10"/>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ht="12.75" customHeight="1">
      <c r="A702" s="4"/>
      <c r="B702" s="4"/>
      <c r="C702" s="4"/>
      <c r="D702" s="4"/>
      <c r="E702" s="7"/>
      <c r="F702" s="4"/>
      <c r="G702" s="4"/>
      <c r="H702" s="10"/>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ht="12.75" customHeight="1">
      <c r="A703" s="4"/>
      <c r="B703" s="4"/>
      <c r="C703" s="4"/>
      <c r="D703" s="4"/>
      <c r="E703" s="7"/>
      <c r="F703" s="4"/>
      <c r="G703" s="4"/>
      <c r="H703" s="10"/>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ht="12.75" customHeight="1">
      <c r="A704" s="4"/>
      <c r="B704" s="4"/>
      <c r="C704" s="4"/>
      <c r="D704" s="4"/>
      <c r="E704" s="7"/>
      <c r="F704" s="4"/>
      <c r="G704" s="4"/>
      <c r="H704" s="10"/>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ht="12.75" customHeight="1">
      <c r="A705" s="4"/>
      <c r="B705" s="4"/>
      <c r="C705" s="4"/>
      <c r="D705" s="4"/>
      <c r="E705" s="7"/>
      <c r="F705" s="4"/>
      <c r="G705" s="4"/>
      <c r="H705" s="10"/>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ht="12.75" customHeight="1">
      <c r="A706" s="4"/>
      <c r="B706" s="4"/>
      <c r="C706" s="4"/>
      <c r="D706" s="4"/>
      <c r="E706" s="7"/>
      <c r="F706" s="4"/>
      <c r="G706" s="4"/>
      <c r="H706" s="10"/>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ht="12.75" customHeight="1">
      <c r="A707" s="4"/>
      <c r="B707" s="4"/>
      <c r="C707" s="4"/>
      <c r="D707" s="4"/>
      <c r="E707" s="7"/>
      <c r="F707" s="4"/>
      <c r="G707" s="4"/>
      <c r="H707" s="10"/>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ht="12.75" customHeight="1">
      <c r="A708" s="4"/>
      <c r="B708" s="4"/>
      <c r="C708" s="4"/>
      <c r="D708" s="4"/>
      <c r="E708" s="7"/>
      <c r="F708" s="4"/>
      <c r="G708" s="4"/>
      <c r="H708" s="10"/>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ht="12.75" customHeight="1">
      <c r="A709" s="4"/>
      <c r="B709" s="4"/>
      <c r="C709" s="4"/>
      <c r="D709" s="4"/>
      <c r="E709" s="7"/>
      <c r="F709" s="4"/>
      <c r="G709" s="4"/>
      <c r="H709" s="10"/>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ht="12.75" customHeight="1">
      <c r="A710" s="4"/>
      <c r="B710" s="4"/>
      <c r="C710" s="4"/>
      <c r="D710" s="4"/>
      <c r="E710" s="7"/>
      <c r="F710" s="4"/>
      <c r="G710" s="4"/>
      <c r="H710" s="10"/>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ht="12.75" customHeight="1">
      <c r="A711" s="4"/>
      <c r="B711" s="4"/>
      <c r="C711" s="4"/>
      <c r="D711" s="4"/>
      <c r="E711" s="7"/>
      <c r="F711" s="4"/>
      <c r="G711" s="4"/>
      <c r="H711" s="10"/>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ht="12.75" customHeight="1">
      <c r="A712" s="4"/>
      <c r="B712" s="4"/>
      <c r="C712" s="4"/>
      <c r="D712" s="4"/>
      <c r="E712" s="7"/>
      <c r="F712" s="4"/>
      <c r="G712" s="4"/>
      <c r="H712" s="10"/>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ht="12.75" customHeight="1">
      <c r="A713" s="4"/>
      <c r="B713" s="4"/>
      <c r="C713" s="4"/>
      <c r="D713" s="4"/>
      <c r="E713" s="7"/>
      <c r="F713" s="4"/>
      <c r="G713" s="4"/>
      <c r="H713" s="10"/>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ht="12.75" customHeight="1">
      <c r="A714" s="4"/>
      <c r="B714" s="4"/>
      <c r="C714" s="4"/>
      <c r="D714" s="4"/>
      <c r="E714" s="7"/>
      <c r="F714" s="4"/>
      <c r="G714" s="4"/>
      <c r="H714" s="10"/>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ht="12.75" customHeight="1">
      <c r="A715" s="4"/>
      <c r="B715" s="4"/>
      <c r="C715" s="4"/>
      <c r="D715" s="4"/>
      <c r="E715" s="7"/>
      <c r="F715" s="4"/>
      <c r="G715" s="4"/>
      <c r="H715" s="10"/>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ht="12.75" customHeight="1">
      <c r="A716" s="4"/>
      <c r="B716" s="4"/>
      <c r="C716" s="4"/>
      <c r="D716" s="4"/>
      <c r="E716" s="7"/>
      <c r="F716" s="4"/>
      <c r="G716" s="4"/>
      <c r="H716" s="10"/>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ht="12.75" customHeight="1">
      <c r="A717" s="4"/>
      <c r="B717" s="4"/>
      <c r="C717" s="4"/>
      <c r="D717" s="4"/>
      <c r="E717" s="7"/>
      <c r="F717" s="4"/>
      <c r="G717" s="4"/>
      <c r="H717" s="10"/>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ht="12.75" customHeight="1">
      <c r="A718" s="4"/>
      <c r="B718" s="4"/>
      <c r="C718" s="4"/>
      <c r="D718" s="4"/>
      <c r="E718" s="7"/>
      <c r="F718" s="4"/>
      <c r="G718" s="4"/>
      <c r="H718" s="10"/>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ht="12.75" customHeight="1">
      <c r="A719" s="4"/>
      <c r="B719" s="4"/>
      <c r="C719" s="4"/>
      <c r="D719" s="4"/>
      <c r="E719" s="7"/>
      <c r="F719" s="4"/>
      <c r="G719" s="4"/>
      <c r="H719" s="10"/>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ht="12.75" customHeight="1">
      <c r="A720" s="4"/>
      <c r="B720" s="4"/>
      <c r="C720" s="4"/>
      <c r="D720" s="4"/>
      <c r="E720" s="7"/>
      <c r="F720" s="4"/>
      <c r="G720" s="4"/>
      <c r="H720" s="10"/>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ht="12.75" customHeight="1">
      <c r="A721" s="4"/>
      <c r="B721" s="4"/>
      <c r="C721" s="4"/>
      <c r="D721" s="4"/>
      <c r="E721" s="7"/>
      <c r="F721" s="4"/>
      <c r="G721" s="4"/>
      <c r="H721" s="10"/>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ht="12.75" customHeight="1">
      <c r="A722" s="4"/>
      <c r="B722" s="4"/>
      <c r="C722" s="4"/>
      <c r="D722" s="4"/>
      <c r="E722" s="7"/>
      <c r="F722" s="4"/>
      <c r="G722" s="4"/>
      <c r="H722" s="10"/>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ht="12.75" customHeight="1">
      <c r="A723" s="4"/>
      <c r="B723" s="4"/>
      <c r="C723" s="4"/>
      <c r="D723" s="4"/>
      <c r="E723" s="7"/>
      <c r="F723" s="4"/>
      <c r="G723" s="4"/>
      <c r="H723" s="10"/>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ht="12.75" customHeight="1">
      <c r="A724" s="4"/>
      <c r="B724" s="4"/>
      <c r="C724" s="4"/>
      <c r="D724" s="4"/>
      <c r="E724" s="7"/>
      <c r="F724" s="4"/>
      <c r="G724" s="4"/>
      <c r="H724" s="10"/>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ht="12.75" customHeight="1">
      <c r="A725" s="4"/>
      <c r="B725" s="4"/>
      <c r="C725" s="4"/>
      <c r="D725" s="4"/>
      <c r="E725" s="7"/>
      <c r="F725" s="4"/>
      <c r="G725" s="4"/>
      <c r="H725" s="10"/>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ht="12.75" customHeight="1">
      <c r="A726" s="4"/>
      <c r="B726" s="4"/>
      <c r="C726" s="4"/>
      <c r="D726" s="4"/>
      <c r="E726" s="7"/>
      <c r="F726" s="4"/>
      <c r="G726" s="4"/>
      <c r="H726" s="10"/>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ht="12.75" customHeight="1">
      <c r="A727" s="4"/>
      <c r="B727" s="4"/>
      <c r="C727" s="4"/>
      <c r="D727" s="4"/>
      <c r="E727" s="7"/>
      <c r="F727" s="4"/>
      <c r="G727" s="4"/>
      <c r="H727" s="10"/>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ht="12.75" customHeight="1">
      <c r="A728" s="4"/>
      <c r="B728" s="4"/>
      <c r="C728" s="4"/>
      <c r="D728" s="4"/>
      <c r="E728" s="7"/>
      <c r="F728" s="4"/>
      <c r="G728" s="4"/>
      <c r="H728" s="10"/>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ht="12.75" customHeight="1">
      <c r="A729" s="4"/>
      <c r="B729" s="4"/>
      <c r="C729" s="4"/>
      <c r="D729" s="4"/>
      <c r="E729" s="7"/>
      <c r="F729" s="4"/>
      <c r="G729" s="4"/>
      <c r="H729" s="10"/>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ht="12.75" customHeight="1">
      <c r="A730" s="4"/>
      <c r="B730" s="4"/>
      <c r="C730" s="4"/>
      <c r="D730" s="4"/>
      <c r="E730" s="7"/>
      <c r="F730" s="4"/>
      <c r="G730" s="4"/>
      <c r="H730" s="10"/>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ht="12.75" customHeight="1">
      <c r="A731" s="4"/>
      <c r="B731" s="4"/>
      <c r="C731" s="4"/>
      <c r="D731" s="4"/>
      <c r="E731" s="7"/>
      <c r="F731" s="4"/>
      <c r="G731" s="4"/>
      <c r="H731" s="10"/>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ht="12.75" customHeight="1">
      <c r="A732" s="4"/>
      <c r="B732" s="4"/>
      <c r="C732" s="4"/>
      <c r="D732" s="4"/>
      <c r="E732" s="7"/>
      <c r="F732" s="4"/>
      <c r="G732" s="4"/>
      <c r="H732" s="10"/>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ht="12.75" customHeight="1">
      <c r="A733" s="4"/>
      <c r="B733" s="4"/>
      <c r="C733" s="4"/>
      <c r="D733" s="4"/>
      <c r="E733" s="7"/>
      <c r="F733" s="4"/>
      <c r="G733" s="4"/>
      <c r="H733" s="10"/>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ht="12.75" customHeight="1">
      <c r="A734" s="4"/>
      <c r="B734" s="4"/>
      <c r="C734" s="4"/>
      <c r="D734" s="4"/>
      <c r="E734" s="7"/>
      <c r="F734" s="4"/>
      <c r="G734" s="4"/>
      <c r="H734" s="10"/>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ht="12.75" customHeight="1">
      <c r="A735" s="4"/>
      <c r="B735" s="4"/>
      <c r="C735" s="4"/>
      <c r="D735" s="4"/>
      <c r="E735" s="7"/>
      <c r="F735" s="4"/>
      <c r="G735" s="4"/>
      <c r="H735" s="10"/>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ht="12.75" customHeight="1">
      <c r="A736" s="4"/>
      <c r="B736" s="4"/>
      <c r="C736" s="4"/>
      <c r="D736" s="4"/>
      <c r="E736" s="7"/>
      <c r="F736" s="4"/>
      <c r="G736" s="4"/>
      <c r="H736" s="10"/>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ht="12.75" customHeight="1">
      <c r="A737" s="4"/>
      <c r="B737" s="4"/>
      <c r="C737" s="4"/>
      <c r="D737" s="4"/>
      <c r="E737" s="7"/>
      <c r="F737" s="4"/>
      <c r="G737" s="4"/>
      <c r="H737" s="10"/>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ht="12.75" customHeight="1">
      <c r="A738" s="4"/>
      <c r="B738" s="4"/>
      <c r="C738" s="4"/>
      <c r="D738" s="4"/>
      <c r="E738" s="7"/>
      <c r="F738" s="4"/>
      <c r="G738" s="4"/>
      <c r="H738" s="10"/>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ht="12.75" customHeight="1">
      <c r="A739" s="4"/>
      <c r="B739" s="4"/>
      <c r="C739" s="4"/>
      <c r="D739" s="4"/>
      <c r="E739" s="7"/>
      <c r="F739" s="4"/>
      <c r="G739" s="4"/>
      <c r="H739" s="10"/>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ht="12.75" customHeight="1">
      <c r="A740" s="4"/>
      <c r="B740" s="4"/>
      <c r="C740" s="4"/>
      <c r="D740" s="4"/>
      <c r="E740" s="7"/>
      <c r="F740" s="4"/>
      <c r="G740" s="4"/>
      <c r="H740" s="10"/>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ht="12.75" customHeight="1">
      <c r="A741" s="4"/>
      <c r="B741" s="4"/>
      <c r="C741" s="4"/>
      <c r="D741" s="4"/>
      <c r="E741" s="7"/>
      <c r="F741" s="4"/>
      <c r="G741" s="4"/>
      <c r="H741" s="10"/>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ht="12.75" customHeight="1">
      <c r="A742" s="4"/>
      <c r="B742" s="4"/>
      <c r="C742" s="4"/>
      <c r="D742" s="4"/>
      <c r="E742" s="7"/>
      <c r="F742" s="4"/>
      <c r="G742" s="4"/>
      <c r="H742" s="10"/>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ht="12.75" customHeight="1">
      <c r="A743" s="4"/>
      <c r="B743" s="4"/>
      <c r="C743" s="4"/>
      <c r="D743" s="4"/>
      <c r="E743" s="7"/>
      <c r="F743" s="4"/>
      <c r="G743" s="4"/>
      <c r="H743" s="10"/>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ht="12.75" customHeight="1">
      <c r="A744" s="4"/>
      <c r="B744" s="4"/>
      <c r="C744" s="4"/>
      <c r="D744" s="4"/>
      <c r="E744" s="7"/>
      <c r="F744" s="4"/>
      <c r="G744" s="4"/>
      <c r="H744" s="10"/>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ht="12.75" customHeight="1">
      <c r="A745" s="4"/>
      <c r="B745" s="4"/>
      <c r="C745" s="4"/>
      <c r="D745" s="4"/>
      <c r="E745" s="7"/>
      <c r="F745" s="4"/>
      <c r="G745" s="4"/>
      <c r="H745" s="10"/>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ht="12.75" customHeight="1">
      <c r="A746" s="4"/>
      <c r="B746" s="4"/>
      <c r="C746" s="4"/>
      <c r="D746" s="4"/>
      <c r="E746" s="7"/>
      <c r="F746" s="4"/>
      <c r="G746" s="4"/>
      <c r="H746" s="10"/>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ht="12.75" customHeight="1">
      <c r="A747" s="4"/>
      <c r="B747" s="4"/>
      <c r="C747" s="4"/>
      <c r="D747" s="4"/>
      <c r="E747" s="7"/>
      <c r="F747" s="4"/>
      <c r="G747" s="4"/>
      <c r="H747" s="10"/>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ht="12.75" customHeight="1">
      <c r="A748" s="4"/>
      <c r="B748" s="4"/>
      <c r="C748" s="4"/>
      <c r="D748" s="4"/>
      <c r="E748" s="7"/>
      <c r="F748" s="4"/>
      <c r="G748" s="4"/>
      <c r="H748" s="10"/>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ht="12.75" customHeight="1">
      <c r="A749" s="4"/>
      <c r="B749" s="4"/>
      <c r="C749" s="4"/>
      <c r="D749" s="4"/>
      <c r="E749" s="7"/>
      <c r="F749" s="4"/>
      <c r="G749" s="4"/>
      <c r="H749" s="10"/>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ht="12.75" customHeight="1">
      <c r="A750" s="4"/>
      <c r="B750" s="4"/>
      <c r="C750" s="4"/>
      <c r="D750" s="4"/>
      <c r="E750" s="7"/>
      <c r="F750" s="4"/>
      <c r="G750" s="4"/>
      <c r="H750" s="10"/>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ht="12.75" customHeight="1">
      <c r="A751" s="4"/>
      <c r="B751" s="4"/>
      <c r="C751" s="4"/>
      <c r="D751" s="4"/>
      <c r="E751" s="7"/>
      <c r="F751" s="4"/>
      <c r="G751" s="4"/>
      <c r="H751" s="10"/>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ht="12.75" customHeight="1">
      <c r="A752" s="4"/>
      <c r="B752" s="4"/>
      <c r="C752" s="4"/>
      <c r="D752" s="4"/>
      <c r="E752" s="7"/>
      <c r="F752" s="4"/>
      <c r="G752" s="4"/>
      <c r="H752" s="10"/>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ht="12.75" customHeight="1">
      <c r="A753" s="4"/>
      <c r="B753" s="4"/>
      <c r="C753" s="4"/>
      <c r="D753" s="4"/>
      <c r="E753" s="7"/>
      <c r="F753" s="4"/>
      <c r="G753" s="4"/>
      <c r="H753" s="10"/>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ht="12.75" customHeight="1">
      <c r="A754" s="4"/>
      <c r="B754" s="4"/>
      <c r="C754" s="4"/>
      <c r="D754" s="4"/>
      <c r="E754" s="7"/>
      <c r="F754" s="4"/>
      <c r="G754" s="4"/>
      <c r="H754" s="10"/>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ht="12.75" customHeight="1">
      <c r="A755" s="4"/>
      <c r="B755" s="4"/>
      <c r="C755" s="4"/>
      <c r="D755" s="4"/>
      <c r="E755" s="7"/>
      <c r="F755" s="4"/>
      <c r="G755" s="4"/>
      <c r="H755" s="10"/>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ht="12.75" customHeight="1">
      <c r="A756" s="4"/>
      <c r="B756" s="4"/>
      <c r="C756" s="4"/>
      <c r="D756" s="4"/>
      <c r="E756" s="7"/>
      <c r="F756" s="4"/>
      <c r="G756" s="4"/>
      <c r="H756" s="10"/>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ht="12.75" customHeight="1">
      <c r="A757" s="4"/>
      <c r="B757" s="4"/>
      <c r="C757" s="4"/>
      <c r="D757" s="4"/>
      <c r="E757" s="7"/>
      <c r="F757" s="4"/>
      <c r="G757" s="4"/>
      <c r="H757" s="10"/>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ht="12.75" customHeight="1">
      <c r="A758" s="4"/>
      <c r="B758" s="4"/>
      <c r="C758" s="4"/>
      <c r="D758" s="4"/>
      <c r="E758" s="7"/>
      <c r="F758" s="4"/>
      <c r="G758" s="4"/>
      <c r="H758" s="10"/>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ht="12.75" customHeight="1">
      <c r="A759" s="4"/>
      <c r="B759" s="4"/>
      <c r="C759" s="4"/>
      <c r="D759" s="4"/>
      <c r="E759" s="7"/>
      <c r="F759" s="4"/>
      <c r="G759" s="4"/>
      <c r="H759" s="10"/>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ht="12.75" customHeight="1">
      <c r="A760" s="4"/>
      <c r="B760" s="4"/>
      <c r="C760" s="4"/>
      <c r="D760" s="4"/>
      <c r="E760" s="7"/>
      <c r="F760" s="4"/>
      <c r="G760" s="4"/>
      <c r="H760" s="10"/>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ht="12.75" customHeight="1">
      <c r="A761" s="4"/>
      <c r="B761" s="4"/>
      <c r="C761" s="4"/>
      <c r="D761" s="4"/>
      <c r="E761" s="7"/>
      <c r="F761" s="4"/>
      <c r="G761" s="4"/>
      <c r="H761" s="10"/>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ht="12.75" customHeight="1">
      <c r="A762" s="4"/>
      <c r="B762" s="4"/>
      <c r="C762" s="4"/>
      <c r="D762" s="4"/>
      <c r="E762" s="7"/>
      <c r="F762" s="4"/>
      <c r="G762" s="4"/>
      <c r="H762" s="10"/>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ht="12.75" customHeight="1">
      <c r="A763" s="4"/>
      <c r="B763" s="4"/>
      <c r="C763" s="4"/>
      <c r="D763" s="4"/>
      <c r="E763" s="7"/>
      <c r="F763" s="4"/>
      <c r="G763" s="4"/>
      <c r="H763" s="10"/>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ht="12.75" customHeight="1">
      <c r="A764" s="4"/>
      <c r="B764" s="4"/>
      <c r="C764" s="4"/>
      <c r="D764" s="4"/>
      <c r="E764" s="7"/>
      <c r="F764" s="4"/>
      <c r="G764" s="4"/>
      <c r="H764" s="10"/>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ht="12.75" customHeight="1">
      <c r="A765" s="4"/>
      <c r="B765" s="4"/>
      <c r="C765" s="4"/>
      <c r="D765" s="4"/>
      <c r="E765" s="7"/>
      <c r="F765" s="4"/>
      <c r="G765" s="4"/>
      <c r="H765" s="10"/>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ht="12.75" customHeight="1">
      <c r="A766" s="4"/>
      <c r="B766" s="4"/>
      <c r="C766" s="4"/>
      <c r="D766" s="4"/>
      <c r="E766" s="7"/>
      <c r="F766" s="4"/>
      <c r="G766" s="4"/>
      <c r="H766" s="10"/>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ht="12.75" customHeight="1">
      <c r="A767" s="4"/>
      <c r="B767" s="4"/>
      <c r="C767" s="4"/>
      <c r="D767" s="4"/>
      <c r="E767" s="7"/>
      <c r="F767" s="4"/>
      <c r="G767" s="4"/>
      <c r="H767" s="10"/>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ht="12.75" customHeight="1">
      <c r="A768" s="4"/>
      <c r="B768" s="4"/>
      <c r="C768" s="4"/>
      <c r="D768" s="4"/>
      <c r="E768" s="7"/>
      <c r="F768" s="4"/>
      <c r="G768" s="4"/>
      <c r="H768" s="10"/>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ht="12.75" customHeight="1">
      <c r="A769" s="4"/>
      <c r="B769" s="4"/>
      <c r="C769" s="4"/>
      <c r="D769" s="4"/>
      <c r="E769" s="7"/>
      <c r="F769" s="4"/>
      <c r="G769" s="4"/>
      <c r="H769" s="10"/>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ht="12.75" customHeight="1">
      <c r="A770" s="4"/>
      <c r="B770" s="4"/>
      <c r="C770" s="4"/>
      <c r="D770" s="4"/>
      <c r="E770" s="7"/>
      <c r="F770" s="4"/>
      <c r="G770" s="4"/>
      <c r="H770" s="10"/>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ht="12.75" customHeight="1">
      <c r="A771" s="4"/>
      <c r="B771" s="4"/>
      <c r="C771" s="4"/>
      <c r="D771" s="4"/>
      <c r="E771" s="7"/>
      <c r="F771" s="4"/>
      <c r="G771" s="4"/>
      <c r="H771" s="10"/>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ht="12.75" customHeight="1">
      <c r="A772" s="4"/>
      <c r="B772" s="4"/>
      <c r="C772" s="4"/>
      <c r="D772" s="4"/>
      <c r="E772" s="7"/>
      <c r="F772" s="4"/>
      <c r="G772" s="4"/>
      <c r="H772" s="10"/>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ht="12.75" customHeight="1">
      <c r="A773" s="4"/>
      <c r="B773" s="4"/>
      <c r="C773" s="4"/>
      <c r="D773" s="4"/>
      <c r="E773" s="7"/>
      <c r="F773" s="4"/>
      <c r="G773" s="4"/>
      <c r="H773" s="10"/>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ht="12.75" customHeight="1">
      <c r="A774" s="4"/>
      <c r="B774" s="4"/>
      <c r="C774" s="4"/>
      <c r="D774" s="4"/>
      <c r="E774" s="7"/>
      <c r="F774" s="4"/>
      <c r="G774" s="4"/>
      <c r="H774" s="10"/>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ht="12.75" customHeight="1">
      <c r="A775" s="4"/>
      <c r="B775" s="4"/>
      <c r="C775" s="4"/>
      <c r="D775" s="4"/>
      <c r="E775" s="7"/>
      <c r="F775" s="4"/>
      <c r="G775" s="4"/>
      <c r="H775" s="10"/>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ht="12.75" customHeight="1">
      <c r="A776" s="4"/>
      <c r="B776" s="4"/>
      <c r="C776" s="4"/>
      <c r="D776" s="4"/>
      <c r="E776" s="7"/>
      <c r="F776" s="4"/>
      <c r="G776" s="4"/>
      <c r="H776" s="10"/>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ht="12.75" customHeight="1">
      <c r="A777" s="4"/>
      <c r="B777" s="4"/>
      <c r="C777" s="4"/>
      <c r="D777" s="4"/>
      <c r="E777" s="7"/>
      <c r="F777" s="4"/>
      <c r="G777" s="4"/>
      <c r="H777" s="10"/>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ht="12.75" customHeight="1">
      <c r="A778" s="4"/>
      <c r="B778" s="4"/>
      <c r="C778" s="4"/>
      <c r="D778" s="4"/>
      <c r="E778" s="7"/>
      <c r="F778" s="4"/>
      <c r="G778" s="4"/>
      <c r="H778" s="10"/>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ht="12.75" customHeight="1">
      <c r="A779" s="4"/>
      <c r="B779" s="4"/>
      <c r="C779" s="4"/>
      <c r="D779" s="4"/>
      <c r="E779" s="7"/>
      <c r="F779" s="4"/>
      <c r="G779" s="4"/>
      <c r="H779" s="10"/>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ht="12.75" customHeight="1">
      <c r="A780" s="4"/>
      <c r="B780" s="4"/>
      <c r="C780" s="4"/>
      <c r="D780" s="4"/>
      <c r="E780" s="7"/>
      <c r="F780" s="4"/>
      <c r="G780" s="4"/>
      <c r="H780" s="10"/>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ht="12.75" customHeight="1">
      <c r="A781" s="4"/>
      <c r="B781" s="4"/>
      <c r="C781" s="4"/>
      <c r="D781" s="4"/>
      <c r="E781" s="7"/>
      <c r="F781" s="4"/>
      <c r="G781" s="4"/>
      <c r="H781" s="10"/>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ht="12.75" customHeight="1">
      <c r="A782" s="4"/>
      <c r="B782" s="4"/>
      <c r="C782" s="4"/>
      <c r="D782" s="4"/>
      <c r="E782" s="7"/>
      <c r="F782" s="4"/>
      <c r="G782" s="4"/>
      <c r="H782" s="10"/>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ht="12.75" customHeight="1">
      <c r="A783" s="4"/>
      <c r="B783" s="4"/>
      <c r="C783" s="4"/>
      <c r="D783" s="4"/>
      <c r="E783" s="7"/>
      <c r="F783" s="4"/>
      <c r="G783" s="4"/>
      <c r="H783" s="10"/>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ht="12.75" customHeight="1">
      <c r="A784" s="4"/>
      <c r="B784" s="4"/>
      <c r="C784" s="4"/>
      <c r="D784" s="4"/>
      <c r="E784" s="7"/>
      <c r="F784" s="4"/>
      <c r="G784" s="4"/>
      <c r="H784" s="10"/>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ht="12.75" customHeight="1">
      <c r="A785" s="4"/>
      <c r="B785" s="4"/>
      <c r="C785" s="4"/>
      <c r="D785" s="4"/>
      <c r="E785" s="7"/>
      <c r="F785" s="4"/>
      <c r="G785" s="4"/>
      <c r="H785" s="10"/>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ht="12.75" customHeight="1">
      <c r="A786" s="4"/>
      <c r="B786" s="4"/>
      <c r="C786" s="4"/>
      <c r="D786" s="4"/>
      <c r="E786" s="7"/>
      <c r="F786" s="4"/>
      <c r="G786" s="4"/>
      <c r="H786" s="10"/>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ht="12.75" customHeight="1">
      <c r="A787" s="4"/>
      <c r="B787" s="4"/>
      <c r="C787" s="4"/>
      <c r="D787" s="4"/>
      <c r="E787" s="7"/>
      <c r="F787" s="4"/>
      <c r="G787" s="4"/>
      <c r="H787" s="10"/>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ht="12.75" customHeight="1">
      <c r="A788" s="4"/>
      <c r="B788" s="4"/>
      <c r="C788" s="4"/>
      <c r="D788" s="4"/>
      <c r="E788" s="7"/>
      <c r="F788" s="4"/>
      <c r="G788" s="4"/>
      <c r="H788" s="10"/>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ht="12.75" customHeight="1">
      <c r="A789" s="4"/>
      <c r="B789" s="4"/>
      <c r="C789" s="4"/>
      <c r="D789" s="4"/>
      <c r="E789" s="7"/>
      <c r="F789" s="4"/>
      <c r="G789" s="4"/>
      <c r="H789" s="10"/>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ht="12.75" customHeight="1">
      <c r="A790" s="4"/>
      <c r="B790" s="4"/>
      <c r="C790" s="4"/>
      <c r="D790" s="4"/>
      <c r="E790" s="7"/>
      <c r="F790" s="4"/>
      <c r="G790" s="4"/>
      <c r="H790" s="10"/>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ht="12.75" customHeight="1">
      <c r="A791" s="4"/>
      <c r="B791" s="4"/>
      <c r="C791" s="4"/>
      <c r="D791" s="4"/>
      <c r="E791" s="7"/>
      <c r="F791" s="4"/>
      <c r="G791" s="4"/>
      <c r="H791" s="10"/>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ht="12.75" customHeight="1">
      <c r="A792" s="4"/>
      <c r="B792" s="4"/>
      <c r="C792" s="4"/>
      <c r="D792" s="4"/>
      <c r="E792" s="7"/>
      <c r="F792" s="4"/>
      <c r="G792" s="4"/>
      <c r="H792" s="10"/>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ht="12.75" customHeight="1">
      <c r="A793" s="4"/>
      <c r="B793" s="4"/>
      <c r="C793" s="4"/>
      <c r="D793" s="4"/>
      <c r="E793" s="7"/>
      <c r="F793" s="4"/>
      <c r="G793" s="4"/>
      <c r="H793" s="10"/>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ht="12.75" customHeight="1">
      <c r="A794" s="4"/>
      <c r="B794" s="4"/>
      <c r="C794" s="4"/>
      <c r="D794" s="4"/>
      <c r="E794" s="7"/>
      <c r="F794" s="4"/>
      <c r="G794" s="4"/>
      <c r="H794" s="10"/>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ht="12.75" customHeight="1">
      <c r="A795" s="4"/>
      <c r="B795" s="4"/>
      <c r="C795" s="4"/>
      <c r="D795" s="4"/>
      <c r="E795" s="7"/>
      <c r="F795" s="4"/>
      <c r="G795" s="4"/>
      <c r="H795" s="10"/>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ht="12.75" customHeight="1">
      <c r="A796" s="4"/>
      <c r="B796" s="4"/>
      <c r="C796" s="4"/>
      <c r="D796" s="4"/>
      <c r="E796" s="7"/>
      <c r="F796" s="4"/>
      <c r="G796" s="4"/>
      <c r="H796" s="10"/>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ht="12.75" customHeight="1">
      <c r="A797" s="4"/>
      <c r="B797" s="4"/>
      <c r="C797" s="4"/>
      <c r="D797" s="4"/>
      <c r="E797" s="7"/>
      <c r="F797" s="4"/>
      <c r="G797" s="4"/>
      <c r="H797" s="10"/>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ht="12.75" customHeight="1">
      <c r="A798" s="4"/>
      <c r="B798" s="4"/>
      <c r="C798" s="4"/>
      <c r="D798" s="4"/>
      <c r="E798" s="7"/>
      <c r="F798" s="4"/>
      <c r="G798" s="4"/>
      <c r="H798" s="10"/>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ht="12.75" customHeight="1">
      <c r="A799" s="4"/>
      <c r="B799" s="4"/>
      <c r="C799" s="4"/>
      <c r="D799" s="4"/>
      <c r="E799" s="7"/>
      <c r="F799" s="4"/>
      <c r="G799" s="4"/>
      <c r="H799" s="10"/>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ht="12.75" customHeight="1">
      <c r="A800" s="4"/>
      <c r="B800" s="4"/>
      <c r="C800" s="4"/>
      <c r="D800" s="4"/>
      <c r="E800" s="7"/>
      <c r="F800" s="4"/>
      <c r="G800" s="4"/>
      <c r="H800" s="10"/>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ht="12.75" customHeight="1">
      <c r="A801" s="4"/>
      <c r="B801" s="4"/>
      <c r="C801" s="4"/>
      <c r="D801" s="4"/>
      <c r="E801" s="7"/>
      <c r="F801" s="4"/>
      <c r="G801" s="4"/>
      <c r="H801" s="10"/>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ht="12.75" customHeight="1">
      <c r="A802" s="4"/>
      <c r="B802" s="4"/>
      <c r="C802" s="4"/>
      <c r="D802" s="4"/>
      <c r="E802" s="7"/>
      <c r="F802" s="4"/>
      <c r="G802" s="4"/>
      <c r="H802" s="10"/>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ht="12.75" customHeight="1">
      <c r="A803" s="4"/>
      <c r="B803" s="4"/>
      <c r="C803" s="4"/>
      <c r="D803" s="4"/>
      <c r="E803" s="7"/>
      <c r="F803" s="4"/>
      <c r="G803" s="4"/>
      <c r="H803" s="10"/>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ht="12.75" customHeight="1">
      <c r="A804" s="4"/>
      <c r="B804" s="4"/>
      <c r="C804" s="4"/>
      <c r="D804" s="4"/>
      <c r="E804" s="7"/>
      <c r="F804" s="4"/>
      <c r="G804" s="4"/>
      <c r="H804" s="10"/>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ht="12.75" customHeight="1">
      <c r="A805" s="4"/>
      <c r="B805" s="4"/>
      <c r="C805" s="4"/>
      <c r="D805" s="4"/>
      <c r="E805" s="7"/>
      <c r="F805" s="4"/>
      <c r="G805" s="4"/>
      <c r="H805" s="10"/>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ht="12.75" customHeight="1">
      <c r="A806" s="4"/>
      <c r="B806" s="4"/>
      <c r="C806" s="4"/>
      <c r="D806" s="4"/>
      <c r="E806" s="7"/>
      <c r="F806" s="4"/>
      <c r="G806" s="4"/>
      <c r="H806" s="10"/>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ht="12.75" customHeight="1">
      <c r="A807" s="4"/>
      <c r="B807" s="4"/>
      <c r="C807" s="4"/>
      <c r="D807" s="4"/>
      <c r="E807" s="7"/>
      <c r="F807" s="4"/>
      <c r="G807" s="4"/>
      <c r="H807" s="10"/>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ht="12.75" customHeight="1">
      <c r="A808" s="4"/>
      <c r="B808" s="4"/>
      <c r="C808" s="4"/>
      <c r="D808" s="4"/>
      <c r="E808" s="7"/>
      <c r="F808" s="4"/>
      <c r="G808" s="4"/>
      <c r="H808" s="10"/>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ht="12.75" customHeight="1">
      <c r="A809" s="4"/>
      <c r="B809" s="4"/>
      <c r="C809" s="4"/>
      <c r="D809" s="4"/>
      <c r="E809" s="7"/>
      <c r="F809" s="4"/>
      <c r="G809" s="4"/>
      <c r="H809" s="10"/>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ht="12.75" customHeight="1">
      <c r="A810" s="4"/>
      <c r="B810" s="4"/>
      <c r="C810" s="4"/>
      <c r="D810" s="4"/>
      <c r="E810" s="7"/>
      <c r="F810" s="4"/>
      <c r="G810" s="4"/>
      <c r="H810" s="10"/>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ht="12.75" customHeight="1">
      <c r="A811" s="4"/>
      <c r="B811" s="4"/>
      <c r="C811" s="4"/>
      <c r="D811" s="4"/>
      <c r="E811" s="7"/>
      <c r="F811" s="4"/>
      <c r="G811" s="4"/>
      <c r="H811" s="10"/>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ht="12.75" customHeight="1">
      <c r="A812" s="4"/>
      <c r="B812" s="4"/>
      <c r="C812" s="4"/>
      <c r="D812" s="4"/>
      <c r="E812" s="7"/>
      <c r="F812" s="4"/>
      <c r="G812" s="4"/>
      <c r="H812" s="10"/>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ht="12.75" customHeight="1">
      <c r="A813" s="4"/>
      <c r="B813" s="4"/>
      <c r="C813" s="4"/>
      <c r="D813" s="4"/>
      <c r="E813" s="7"/>
      <c r="F813" s="4"/>
      <c r="G813" s="4"/>
      <c r="H813" s="10"/>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ht="12.75" customHeight="1">
      <c r="A814" s="4"/>
      <c r="B814" s="4"/>
      <c r="C814" s="4"/>
      <c r="D814" s="4"/>
      <c r="E814" s="7"/>
      <c r="F814" s="4"/>
      <c r="G814" s="4"/>
      <c r="H814" s="10"/>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ht="12.75" customHeight="1">
      <c r="A815" s="4"/>
      <c r="B815" s="4"/>
      <c r="C815" s="4"/>
      <c r="D815" s="4"/>
      <c r="E815" s="7"/>
      <c r="F815" s="4"/>
      <c r="G815" s="4"/>
      <c r="H815" s="10"/>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ht="12.75" customHeight="1">
      <c r="A816" s="4"/>
      <c r="B816" s="4"/>
      <c r="C816" s="4"/>
      <c r="D816" s="4"/>
      <c r="E816" s="7"/>
      <c r="F816" s="4"/>
      <c r="G816" s="4"/>
      <c r="H816" s="10"/>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ht="12.75" customHeight="1">
      <c r="A817" s="4"/>
      <c r="B817" s="4"/>
      <c r="C817" s="4"/>
      <c r="D817" s="4"/>
      <c r="E817" s="7"/>
      <c r="F817" s="4"/>
      <c r="G817" s="4"/>
      <c r="H817" s="10"/>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ht="12.75" customHeight="1">
      <c r="A818" s="4"/>
      <c r="B818" s="4"/>
      <c r="C818" s="4"/>
      <c r="D818" s="4"/>
      <c r="E818" s="7"/>
      <c r="F818" s="4"/>
      <c r="G818" s="4"/>
      <c r="H818" s="10"/>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ht="12.75" customHeight="1">
      <c r="A819" s="4"/>
      <c r="B819" s="4"/>
      <c r="C819" s="4"/>
      <c r="D819" s="4"/>
      <c r="E819" s="7"/>
      <c r="F819" s="4"/>
      <c r="G819" s="4"/>
      <c r="H819" s="10"/>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ht="12.75" customHeight="1">
      <c r="A820" s="4"/>
      <c r="B820" s="4"/>
      <c r="C820" s="4"/>
      <c r="D820" s="4"/>
      <c r="E820" s="7"/>
      <c r="F820" s="4"/>
      <c r="G820" s="4"/>
      <c r="H820" s="10"/>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ht="12.75" customHeight="1">
      <c r="A821" s="4"/>
      <c r="B821" s="4"/>
      <c r="C821" s="4"/>
      <c r="D821" s="4"/>
      <c r="E821" s="7"/>
      <c r="F821" s="4"/>
      <c r="G821" s="4"/>
      <c r="H821" s="10"/>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ht="12.75" customHeight="1">
      <c r="A822" s="4"/>
      <c r="B822" s="4"/>
      <c r="C822" s="4"/>
      <c r="D822" s="4"/>
      <c r="E822" s="7"/>
      <c r="F822" s="4"/>
      <c r="G822" s="4"/>
      <c r="H822" s="10"/>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ht="12.75" customHeight="1">
      <c r="A823" s="4"/>
      <c r="B823" s="4"/>
      <c r="C823" s="4"/>
      <c r="D823" s="4"/>
      <c r="E823" s="7"/>
      <c r="F823" s="4"/>
      <c r="G823" s="4"/>
      <c r="H823" s="10"/>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ht="12.75" customHeight="1">
      <c r="A824" s="4"/>
      <c r="B824" s="4"/>
      <c r="C824" s="4"/>
      <c r="D824" s="4"/>
      <c r="E824" s="7"/>
      <c r="F824" s="4"/>
      <c r="G824" s="4"/>
      <c r="H824" s="10"/>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ht="12.75" customHeight="1">
      <c r="A825" s="4"/>
      <c r="B825" s="4"/>
      <c r="C825" s="4"/>
      <c r="D825" s="4"/>
      <c r="E825" s="7"/>
      <c r="F825" s="4"/>
      <c r="G825" s="4"/>
      <c r="H825" s="10"/>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ht="12.75" customHeight="1">
      <c r="A826" s="4"/>
      <c r="B826" s="4"/>
      <c r="C826" s="4"/>
      <c r="D826" s="4"/>
      <c r="E826" s="7"/>
      <c r="F826" s="4"/>
      <c r="G826" s="4"/>
      <c r="H826" s="10"/>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ht="12.75" customHeight="1">
      <c r="A827" s="4"/>
      <c r="B827" s="4"/>
      <c r="C827" s="4"/>
      <c r="D827" s="4"/>
      <c r="E827" s="7"/>
      <c r="F827" s="4"/>
      <c r="G827" s="4"/>
      <c r="H827" s="10"/>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ht="12.75" customHeight="1">
      <c r="A828" s="4"/>
      <c r="B828" s="4"/>
      <c r="C828" s="4"/>
      <c r="D828" s="4"/>
      <c r="E828" s="7"/>
      <c r="F828" s="4"/>
      <c r="G828" s="4"/>
      <c r="H828" s="10"/>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ht="12.75" customHeight="1">
      <c r="A829" s="4"/>
      <c r="B829" s="4"/>
      <c r="C829" s="4"/>
      <c r="D829" s="4"/>
      <c r="E829" s="7"/>
      <c r="F829" s="4"/>
      <c r="G829" s="4"/>
      <c r="H829" s="10"/>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ht="12.75" customHeight="1">
      <c r="A830" s="4"/>
      <c r="B830" s="4"/>
      <c r="C830" s="4"/>
      <c r="D830" s="4"/>
      <c r="E830" s="7"/>
      <c r="F830" s="4"/>
      <c r="G830" s="4"/>
      <c r="H830" s="10"/>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ht="12.75" customHeight="1">
      <c r="A831" s="4"/>
      <c r="B831" s="4"/>
      <c r="C831" s="4"/>
      <c r="D831" s="4"/>
      <c r="E831" s="7"/>
      <c r="F831" s="4"/>
      <c r="G831" s="4"/>
      <c r="H831" s="10"/>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ht="12.75" customHeight="1">
      <c r="A832" s="4"/>
      <c r="B832" s="4"/>
      <c r="C832" s="4"/>
      <c r="D832" s="4"/>
      <c r="E832" s="7"/>
      <c r="F832" s="4"/>
      <c r="G832" s="4"/>
      <c r="H832" s="10"/>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ht="12.75" customHeight="1">
      <c r="A833" s="4"/>
      <c r="B833" s="4"/>
      <c r="C833" s="4"/>
      <c r="D833" s="4"/>
      <c r="E833" s="7"/>
      <c r="F833" s="4"/>
      <c r="G833" s="4"/>
      <c r="H833" s="10"/>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ht="12.75" customHeight="1">
      <c r="A834" s="4"/>
      <c r="B834" s="4"/>
      <c r="C834" s="4"/>
      <c r="D834" s="4"/>
      <c r="E834" s="7"/>
      <c r="F834" s="4"/>
      <c r="G834" s="4"/>
      <c r="H834" s="10"/>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ht="12.75" customHeight="1">
      <c r="A835" s="4"/>
      <c r="B835" s="4"/>
      <c r="C835" s="4"/>
      <c r="D835" s="4"/>
      <c r="E835" s="7"/>
      <c r="F835" s="4"/>
      <c r="G835" s="4"/>
      <c r="H835" s="10"/>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ht="12.75" customHeight="1">
      <c r="A836" s="4"/>
      <c r="B836" s="4"/>
      <c r="C836" s="4"/>
      <c r="D836" s="4"/>
      <c r="E836" s="7"/>
      <c r="F836" s="4"/>
      <c r="G836" s="4"/>
      <c r="H836" s="10"/>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ht="12.75" customHeight="1">
      <c r="A837" s="4"/>
      <c r="B837" s="4"/>
      <c r="C837" s="4"/>
      <c r="D837" s="4"/>
      <c r="E837" s="7"/>
      <c r="F837" s="4"/>
      <c r="G837" s="4"/>
      <c r="H837" s="10"/>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ht="12.75" customHeight="1">
      <c r="A838" s="4"/>
      <c r="B838" s="4"/>
      <c r="C838" s="4"/>
      <c r="D838" s="4"/>
      <c r="E838" s="7"/>
      <c r="F838" s="4"/>
      <c r="G838" s="4"/>
      <c r="H838" s="10"/>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ht="12.75" customHeight="1">
      <c r="A839" s="4"/>
      <c r="B839" s="4"/>
      <c r="C839" s="4"/>
      <c r="D839" s="4"/>
      <c r="E839" s="7"/>
      <c r="F839" s="4"/>
      <c r="G839" s="4"/>
      <c r="H839" s="10"/>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ht="12.75" customHeight="1">
      <c r="A840" s="4"/>
      <c r="B840" s="4"/>
      <c r="C840" s="4"/>
      <c r="D840" s="4"/>
      <c r="E840" s="7"/>
      <c r="F840" s="4"/>
      <c r="G840" s="4"/>
      <c r="H840" s="10"/>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ht="12.75" customHeight="1">
      <c r="A841" s="4"/>
      <c r="B841" s="4"/>
      <c r="C841" s="4"/>
      <c r="D841" s="4"/>
      <c r="E841" s="7"/>
      <c r="F841" s="4"/>
      <c r="G841" s="4"/>
      <c r="H841" s="10"/>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ht="12.75" customHeight="1">
      <c r="A842" s="4"/>
      <c r="B842" s="4"/>
      <c r="C842" s="4"/>
      <c r="D842" s="4"/>
      <c r="E842" s="7"/>
      <c r="F842" s="4"/>
      <c r="G842" s="4"/>
      <c r="H842" s="10"/>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ht="12.75" customHeight="1">
      <c r="A843" s="4"/>
      <c r="B843" s="4"/>
      <c r="C843" s="4"/>
      <c r="D843" s="4"/>
      <c r="E843" s="7"/>
      <c r="F843" s="4"/>
      <c r="G843" s="4"/>
      <c r="H843" s="10"/>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ht="12.75" customHeight="1">
      <c r="A844" s="4"/>
      <c r="B844" s="4"/>
      <c r="C844" s="4"/>
      <c r="D844" s="4"/>
      <c r="E844" s="7"/>
      <c r="F844" s="4"/>
      <c r="G844" s="4"/>
      <c r="H844" s="10"/>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ht="12.75" customHeight="1">
      <c r="A845" s="4"/>
      <c r="B845" s="4"/>
      <c r="C845" s="4"/>
      <c r="D845" s="4"/>
      <c r="E845" s="7"/>
      <c r="F845" s="4"/>
      <c r="G845" s="4"/>
      <c r="H845" s="10"/>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ht="12.75" customHeight="1">
      <c r="A846" s="4"/>
      <c r="B846" s="4"/>
      <c r="C846" s="4"/>
      <c r="D846" s="4"/>
      <c r="E846" s="7"/>
      <c r="F846" s="4"/>
      <c r="G846" s="4"/>
      <c r="H846" s="10"/>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ht="12.75" customHeight="1">
      <c r="A847" s="4"/>
      <c r="B847" s="4"/>
      <c r="C847" s="4"/>
      <c r="D847" s="4"/>
      <c r="E847" s="7"/>
      <c r="F847" s="4"/>
      <c r="G847" s="4"/>
      <c r="H847" s="10"/>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ht="12.75" customHeight="1">
      <c r="A848" s="4"/>
      <c r="B848" s="4"/>
      <c r="C848" s="4"/>
      <c r="D848" s="4"/>
      <c r="E848" s="7"/>
      <c r="F848" s="4"/>
      <c r="G848" s="4"/>
      <c r="H848" s="10"/>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ht="12.75" customHeight="1">
      <c r="A849" s="4"/>
      <c r="B849" s="4"/>
      <c r="C849" s="4"/>
      <c r="D849" s="4"/>
      <c r="E849" s="7"/>
      <c r="F849" s="4"/>
      <c r="G849" s="4"/>
      <c r="H849" s="10"/>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ht="12.75" customHeight="1">
      <c r="A850" s="4"/>
      <c r="B850" s="4"/>
      <c r="C850" s="4"/>
      <c r="D850" s="4"/>
      <c r="E850" s="7"/>
      <c r="F850" s="4"/>
      <c r="G850" s="4"/>
      <c r="H850" s="10"/>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ht="12.75" customHeight="1">
      <c r="A851" s="4"/>
      <c r="B851" s="4"/>
      <c r="C851" s="4"/>
      <c r="D851" s="4"/>
      <c r="E851" s="7"/>
      <c r="F851" s="4"/>
      <c r="G851" s="4"/>
      <c r="H851" s="10"/>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ht="12.75" customHeight="1">
      <c r="A852" s="4"/>
      <c r="B852" s="4"/>
      <c r="C852" s="4"/>
      <c r="D852" s="4"/>
      <c r="E852" s="7"/>
      <c r="F852" s="4"/>
      <c r="G852" s="4"/>
      <c r="H852" s="10"/>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ht="12.75" customHeight="1">
      <c r="A853" s="4"/>
      <c r="B853" s="4"/>
      <c r="C853" s="4"/>
      <c r="D853" s="4"/>
      <c r="E853" s="7"/>
      <c r="F853" s="4"/>
      <c r="G853" s="4"/>
      <c r="H853" s="10"/>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ht="12.75" customHeight="1">
      <c r="A854" s="4"/>
      <c r="B854" s="4"/>
      <c r="C854" s="4"/>
      <c r="D854" s="4"/>
      <c r="E854" s="7"/>
      <c r="F854" s="4"/>
      <c r="G854" s="4"/>
      <c r="H854" s="10"/>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ht="12.75" customHeight="1">
      <c r="A855" s="4"/>
      <c r="B855" s="4"/>
      <c r="C855" s="4"/>
      <c r="D855" s="4"/>
      <c r="E855" s="7"/>
      <c r="F855" s="4"/>
      <c r="G855" s="4"/>
      <c r="H855" s="10"/>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ht="12.75" customHeight="1">
      <c r="A856" s="4"/>
      <c r="B856" s="4"/>
      <c r="C856" s="4"/>
      <c r="D856" s="4"/>
      <c r="E856" s="7"/>
      <c r="F856" s="4"/>
      <c r="G856" s="4"/>
      <c r="H856" s="10"/>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ht="12.75" customHeight="1">
      <c r="A857" s="4"/>
      <c r="B857" s="4"/>
      <c r="C857" s="4"/>
      <c r="D857" s="4"/>
      <c r="E857" s="7"/>
      <c r="F857" s="4"/>
      <c r="G857" s="4"/>
      <c r="H857" s="10"/>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ht="12.75" customHeight="1">
      <c r="A858" s="4"/>
      <c r="B858" s="4"/>
      <c r="C858" s="4"/>
      <c r="D858" s="4"/>
      <c r="E858" s="7"/>
      <c r="F858" s="4"/>
      <c r="G858" s="4"/>
      <c r="H858" s="10"/>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ht="12.75" customHeight="1">
      <c r="A859" s="4"/>
      <c r="B859" s="4"/>
      <c r="C859" s="4"/>
      <c r="D859" s="4"/>
      <c r="E859" s="7"/>
      <c r="F859" s="4"/>
      <c r="G859" s="4"/>
      <c r="H859" s="10"/>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ht="12.75" customHeight="1">
      <c r="A860" s="4"/>
      <c r="B860" s="4"/>
      <c r="C860" s="4"/>
      <c r="D860" s="4"/>
      <c r="E860" s="7"/>
      <c r="F860" s="4"/>
      <c r="G860" s="4"/>
      <c r="H860" s="10"/>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ht="12.75" customHeight="1">
      <c r="A861" s="4"/>
      <c r="B861" s="4"/>
      <c r="C861" s="4"/>
      <c r="D861" s="4"/>
      <c r="E861" s="7"/>
      <c r="F861" s="4"/>
      <c r="G861" s="4"/>
      <c r="H861" s="10"/>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ht="12.75" customHeight="1">
      <c r="A862" s="4"/>
      <c r="B862" s="4"/>
      <c r="C862" s="4"/>
      <c r="D862" s="4"/>
      <c r="E862" s="7"/>
      <c r="F862" s="4"/>
      <c r="G862" s="4"/>
      <c r="H862" s="10"/>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ht="12.75" customHeight="1">
      <c r="A863" s="4"/>
      <c r="B863" s="4"/>
      <c r="C863" s="4"/>
      <c r="D863" s="4"/>
      <c r="E863" s="7"/>
      <c r="F863" s="4"/>
      <c r="G863" s="4"/>
      <c r="H863" s="10"/>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ht="12.75" customHeight="1">
      <c r="A864" s="4"/>
      <c r="B864" s="4"/>
      <c r="C864" s="4"/>
      <c r="D864" s="4"/>
      <c r="E864" s="7"/>
      <c r="F864" s="4"/>
      <c r="G864" s="4"/>
      <c r="H864" s="10"/>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ht="12.75" customHeight="1">
      <c r="A865" s="4"/>
      <c r="B865" s="4"/>
      <c r="C865" s="4"/>
      <c r="D865" s="4"/>
      <c r="E865" s="7"/>
      <c r="F865" s="4"/>
      <c r="G865" s="4"/>
      <c r="H865" s="10"/>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ht="12.75" customHeight="1">
      <c r="A866" s="4"/>
      <c r="B866" s="4"/>
      <c r="C866" s="4"/>
      <c r="D866" s="4"/>
      <c r="E866" s="7"/>
      <c r="F866" s="4"/>
      <c r="G866" s="4"/>
      <c r="H866" s="10"/>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ht="12.75" customHeight="1">
      <c r="A867" s="4"/>
      <c r="B867" s="4"/>
      <c r="C867" s="4"/>
      <c r="D867" s="4"/>
      <c r="E867" s="7"/>
      <c r="F867" s="4"/>
      <c r="G867" s="4"/>
      <c r="H867" s="10"/>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ht="12.75" customHeight="1">
      <c r="A868" s="4"/>
      <c r="B868" s="4"/>
      <c r="C868" s="4"/>
      <c r="D868" s="4"/>
      <c r="E868" s="7"/>
      <c r="F868" s="4"/>
      <c r="G868" s="4"/>
      <c r="H868" s="10"/>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ht="12.75" customHeight="1">
      <c r="A869" s="4"/>
      <c r="B869" s="4"/>
      <c r="C869" s="4"/>
      <c r="D869" s="4"/>
      <c r="E869" s="7"/>
      <c r="F869" s="4"/>
      <c r="G869" s="4"/>
      <c r="H869" s="10"/>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ht="12.75" customHeight="1">
      <c r="A870" s="4"/>
      <c r="B870" s="4"/>
      <c r="C870" s="4"/>
      <c r="D870" s="4"/>
      <c r="E870" s="7"/>
      <c r="F870" s="4"/>
      <c r="G870" s="4"/>
      <c r="H870" s="10"/>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ht="12.75" customHeight="1">
      <c r="A871" s="4"/>
      <c r="B871" s="4"/>
      <c r="C871" s="4"/>
      <c r="D871" s="4"/>
      <c r="E871" s="7"/>
      <c r="F871" s="4"/>
      <c r="G871" s="4"/>
      <c r="H871" s="10"/>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ht="12.75" customHeight="1">
      <c r="A872" s="4"/>
      <c r="B872" s="4"/>
      <c r="C872" s="4"/>
      <c r="D872" s="4"/>
      <c r="E872" s="7"/>
      <c r="F872" s="4"/>
      <c r="G872" s="4"/>
      <c r="H872" s="10"/>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ht="12.75" customHeight="1">
      <c r="A873" s="4"/>
      <c r="B873" s="4"/>
      <c r="C873" s="4"/>
      <c r="D873" s="4"/>
      <c r="E873" s="7"/>
      <c r="F873" s="4"/>
      <c r="G873" s="4"/>
      <c r="H873" s="10"/>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ht="12.75" customHeight="1">
      <c r="A874" s="4"/>
      <c r="B874" s="4"/>
      <c r="C874" s="4"/>
      <c r="D874" s="4"/>
      <c r="E874" s="7"/>
      <c r="F874" s="4"/>
      <c r="G874" s="4"/>
      <c r="H874" s="10"/>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ht="12.75" customHeight="1">
      <c r="A875" s="4"/>
      <c r="B875" s="4"/>
      <c r="C875" s="4"/>
      <c r="D875" s="4"/>
      <c r="E875" s="7"/>
      <c r="F875" s="4"/>
      <c r="G875" s="4"/>
      <c r="H875" s="10"/>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ht="12.75" customHeight="1">
      <c r="A876" s="4"/>
      <c r="B876" s="4"/>
      <c r="C876" s="4"/>
      <c r="D876" s="4"/>
      <c r="E876" s="7"/>
      <c r="F876" s="4"/>
      <c r="G876" s="4"/>
      <c r="H876" s="10"/>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ht="12.75" customHeight="1">
      <c r="A877" s="4"/>
      <c r="B877" s="4"/>
      <c r="C877" s="4"/>
      <c r="D877" s="4"/>
      <c r="E877" s="7"/>
      <c r="F877" s="4"/>
      <c r="G877" s="4"/>
      <c r="H877" s="10"/>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ht="12.75" customHeight="1">
      <c r="A878" s="4"/>
      <c r="B878" s="4"/>
      <c r="C878" s="4"/>
      <c r="D878" s="4"/>
      <c r="E878" s="7"/>
      <c r="F878" s="4"/>
      <c r="G878" s="4"/>
      <c r="H878" s="10"/>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ht="12.75" customHeight="1">
      <c r="A879" s="4"/>
      <c r="B879" s="4"/>
      <c r="C879" s="4"/>
      <c r="D879" s="4"/>
      <c r="E879" s="7"/>
      <c r="F879" s="4"/>
      <c r="G879" s="4"/>
      <c r="H879" s="10"/>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ht="12.75" customHeight="1">
      <c r="A880" s="4"/>
      <c r="B880" s="4"/>
      <c r="C880" s="4"/>
      <c r="D880" s="4"/>
      <c r="E880" s="7"/>
      <c r="F880" s="4"/>
      <c r="G880" s="4"/>
      <c r="H880" s="10"/>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ht="12.75" customHeight="1">
      <c r="A881" s="4"/>
      <c r="B881" s="4"/>
      <c r="C881" s="4"/>
      <c r="D881" s="4"/>
      <c r="E881" s="7"/>
      <c r="F881" s="4"/>
      <c r="G881" s="4"/>
      <c r="H881" s="10"/>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ht="12.75" customHeight="1">
      <c r="A882" s="4"/>
      <c r="B882" s="4"/>
      <c r="C882" s="4"/>
      <c r="D882" s="4"/>
      <c r="E882" s="7"/>
      <c r="F882" s="4"/>
      <c r="G882" s="4"/>
      <c r="H882" s="10"/>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ht="12.75" customHeight="1">
      <c r="A883" s="4"/>
      <c r="B883" s="4"/>
      <c r="C883" s="4"/>
      <c r="D883" s="4"/>
      <c r="E883" s="7"/>
      <c r="F883" s="4"/>
      <c r="G883" s="4"/>
      <c r="H883" s="10"/>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ht="12.75" customHeight="1">
      <c r="A884" s="4"/>
      <c r="B884" s="4"/>
      <c r="C884" s="4"/>
      <c r="D884" s="4"/>
      <c r="E884" s="7"/>
      <c r="F884" s="4"/>
      <c r="G884" s="4"/>
      <c r="H884" s="10"/>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ht="12.75" customHeight="1">
      <c r="A885" s="4"/>
      <c r="B885" s="4"/>
      <c r="C885" s="4"/>
      <c r="D885" s="4"/>
      <c r="E885" s="7"/>
      <c r="F885" s="4"/>
      <c r="G885" s="4"/>
      <c r="H885" s="10"/>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ht="12.75" customHeight="1">
      <c r="A886" s="4"/>
      <c r="B886" s="4"/>
      <c r="C886" s="4"/>
      <c r="D886" s="4"/>
      <c r="E886" s="7"/>
      <c r="F886" s="4"/>
      <c r="G886" s="4"/>
      <c r="H886" s="10"/>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ht="12.75" customHeight="1">
      <c r="A887" s="4"/>
      <c r="B887" s="4"/>
      <c r="C887" s="4"/>
      <c r="D887" s="4"/>
      <c r="E887" s="7"/>
      <c r="F887" s="4"/>
      <c r="G887" s="4"/>
      <c r="H887" s="10"/>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ht="12.75" customHeight="1">
      <c r="A888" s="4"/>
      <c r="B888" s="4"/>
      <c r="C888" s="4"/>
      <c r="D888" s="4"/>
      <c r="E888" s="7"/>
      <c r="F888" s="4"/>
      <c r="G888" s="4"/>
      <c r="H888" s="10"/>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ht="12.75" customHeight="1">
      <c r="A889" s="4"/>
      <c r="B889" s="4"/>
      <c r="C889" s="4"/>
      <c r="D889" s="4"/>
      <c r="E889" s="7"/>
      <c r="F889" s="4"/>
      <c r="G889" s="4"/>
      <c r="H889" s="10"/>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ht="12.75" customHeight="1">
      <c r="A890" s="4"/>
      <c r="B890" s="4"/>
      <c r="C890" s="4"/>
      <c r="D890" s="4"/>
      <c r="E890" s="7"/>
      <c r="F890" s="4"/>
      <c r="G890" s="4"/>
      <c r="H890" s="10"/>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ht="12.75" customHeight="1">
      <c r="A891" s="4"/>
      <c r="B891" s="4"/>
      <c r="C891" s="4"/>
      <c r="D891" s="4"/>
      <c r="E891" s="7"/>
      <c r="F891" s="4"/>
      <c r="G891" s="4"/>
      <c r="H891" s="10"/>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ht="12.75" customHeight="1">
      <c r="A892" s="4"/>
      <c r="B892" s="4"/>
      <c r="C892" s="4"/>
      <c r="D892" s="4"/>
      <c r="E892" s="7"/>
      <c r="F892" s="4"/>
      <c r="G892" s="4"/>
      <c r="H892" s="10"/>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ht="12.75" customHeight="1">
      <c r="A893" s="4"/>
      <c r="B893" s="4"/>
      <c r="C893" s="4"/>
      <c r="D893" s="4"/>
      <c r="E893" s="7"/>
      <c r="F893" s="4"/>
      <c r="G893" s="4"/>
      <c r="H893" s="10"/>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ht="12.75" customHeight="1">
      <c r="A894" s="4"/>
      <c r="B894" s="4"/>
      <c r="C894" s="4"/>
      <c r="D894" s="4"/>
      <c r="E894" s="7"/>
      <c r="F894" s="4"/>
      <c r="G894" s="4"/>
      <c r="H894" s="10"/>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ht="12.75" customHeight="1">
      <c r="A895" s="4"/>
      <c r="B895" s="4"/>
      <c r="C895" s="4"/>
      <c r="D895" s="4"/>
      <c r="E895" s="7"/>
      <c r="F895" s="4"/>
      <c r="G895" s="4"/>
      <c r="H895" s="10"/>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ht="12.75" customHeight="1">
      <c r="A896" s="4"/>
      <c r="B896" s="4"/>
      <c r="C896" s="4"/>
      <c r="D896" s="4"/>
      <c r="E896" s="7"/>
      <c r="F896" s="4"/>
      <c r="G896" s="4"/>
      <c r="H896" s="10"/>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ht="12.75" customHeight="1">
      <c r="A897" s="4"/>
      <c r="B897" s="4"/>
      <c r="C897" s="4"/>
      <c r="D897" s="4"/>
      <c r="E897" s="7"/>
      <c r="F897" s="4"/>
      <c r="G897" s="4"/>
      <c r="H897" s="10"/>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ht="12.75" customHeight="1">
      <c r="A898" s="4"/>
      <c r="B898" s="4"/>
      <c r="C898" s="4"/>
      <c r="D898" s="4"/>
      <c r="E898" s="7"/>
      <c r="F898" s="4"/>
      <c r="G898" s="4"/>
      <c r="H898" s="10"/>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ht="12.75" customHeight="1">
      <c r="A899" s="4"/>
      <c r="B899" s="4"/>
      <c r="C899" s="4"/>
      <c r="D899" s="4"/>
      <c r="E899" s="7"/>
      <c r="F899" s="4"/>
      <c r="G899" s="4"/>
      <c r="H899" s="10"/>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ht="12.75" customHeight="1">
      <c r="A900" s="4"/>
      <c r="B900" s="4"/>
      <c r="C900" s="4"/>
      <c r="D900" s="4"/>
      <c r="E900" s="7"/>
      <c r="F900" s="4"/>
      <c r="G900" s="4"/>
      <c r="H900" s="10"/>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ht="12.75" customHeight="1">
      <c r="A901" s="4"/>
      <c r="B901" s="4"/>
      <c r="C901" s="4"/>
      <c r="D901" s="4"/>
      <c r="E901" s="7"/>
      <c r="F901" s="4"/>
      <c r="G901" s="4"/>
      <c r="H901" s="10"/>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ht="12.75" customHeight="1">
      <c r="A902" s="4"/>
      <c r="B902" s="4"/>
      <c r="C902" s="4"/>
      <c r="D902" s="4"/>
      <c r="E902" s="7"/>
      <c r="F902" s="4"/>
      <c r="G902" s="4"/>
      <c r="H902" s="10"/>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ht="12.75" customHeight="1">
      <c r="A903" s="4"/>
      <c r="B903" s="4"/>
      <c r="C903" s="4"/>
      <c r="D903" s="4"/>
      <c r="E903" s="7"/>
      <c r="F903" s="4"/>
      <c r="G903" s="4"/>
      <c r="H903" s="10"/>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ht="12.75" customHeight="1">
      <c r="A904" s="4"/>
      <c r="B904" s="4"/>
      <c r="C904" s="4"/>
      <c r="D904" s="4"/>
      <c r="E904" s="7"/>
      <c r="F904" s="4"/>
      <c r="G904" s="4"/>
      <c r="H904" s="10"/>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ht="12.75" customHeight="1">
      <c r="A905" s="4"/>
      <c r="B905" s="4"/>
      <c r="C905" s="4"/>
      <c r="D905" s="4"/>
      <c r="E905" s="7"/>
      <c r="F905" s="4"/>
      <c r="G905" s="4"/>
      <c r="H905" s="10"/>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ht="12.75" customHeight="1">
      <c r="A906" s="4"/>
      <c r="B906" s="4"/>
      <c r="C906" s="4"/>
      <c r="D906" s="4"/>
      <c r="E906" s="7"/>
      <c r="F906" s="4"/>
      <c r="G906" s="4"/>
      <c r="H906" s="10"/>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ht="12.75" customHeight="1">
      <c r="A907" s="4"/>
      <c r="B907" s="4"/>
      <c r="C907" s="4"/>
      <c r="D907" s="4"/>
      <c r="E907" s="7"/>
      <c r="F907" s="4"/>
      <c r="G907" s="4"/>
      <c r="H907" s="10"/>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ht="12.75" customHeight="1">
      <c r="A908" s="4"/>
      <c r="B908" s="4"/>
      <c r="C908" s="4"/>
      <c r="D908" s="4"/>
      <c r="E908" s="7"/>
      <c r="F908" s="4"/>
      <c r="G908" s="4"/>
      <c r="H908" s="10"/>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ht="12.75" customHeight="1">
      <c r="A909" s="4"/>
      <c r="B909" s="4"/>
      <c r="C909" s="4"/>
      <c r="D909" s="4"/>
      <c r="E909" s="7"/>
      <c r="F909" s="4"/>
      <c r="G909" s="4"/>
      <c r="H909" s="10"/>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ht="12.75" customHeight="1">
      <c r="A910" s="4"/>
      <c r="B910" s="4"/>
      <c r="C910" s="4"/>
      <c r="D910" s="4"/>
      <c r="E910" s="7"/>
      <c r="F910" s="4"/>
      <c r="G910" s="4"/>
      <c r="H910" s="10"/>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ht="12.75" customHeight="1">
      <c r="A911" s="4"/>
      <c r="B911" s="4"/>
      <c r="C911" s="4"/>
      <c r="D911" s="4"/>
      <c r="E911" s="7"/>
      <c r="F911" s="4"/>
      <c r="G911" s="4"/>
      <c r="H911" s="10"/>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ht="12.75" customHeight="1">
      <c r="A912" s="4"/>
      <c r="B912" s="4"/>
      <c r="C912" s="4"/>
      <c r="D912" s="4"/>
      <c r="E912" s="7"/>
      <c r="F912" s="4"/>
      <c r="G912" s="4"/>
      <c r="H912" s="10"/>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ht="12.75" customHeight="1">
      <c r="A913" s="4"/>
      <c r="B913" s="4"/>
      <c r="C913" s="4"/>
      <c r="D913" s="4"/>
      <c r="E913" s="7"/>
      <c r="F913" s="4"/>
      <c r="G913" s="4"/>
      <c r="H913" s="10"/>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ht="12.75" customHeight="1">
      <c r="A914" s="4"/>
      <c r="B914" s="4"/>
      <c r="C914" s="4"/>
      <c r="D914" s="4"/>
      <c r="E914" s="7"/>
      <c r="F914" s="4"/>
      <c r="G914" s="4"/>
      <c r="H914" s="10"/>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ht="12.75" customHeight="1">
      <c r="A915" s="4"/>
      <c r="B915" s="4"/>
      <c r="C915" s="4"/>
      <c r="D915" s="4"/>
      <c r="E915" s="7"/>
      <c r="F915" s="4"/>
      <c r="G915" s="4"/>
      <c r="H915" s="10"/>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ht="12.75" customHeight="1">
      <c r="A916" s="4"/>
      <c r="B916" s="4"/>
      <c r="C916" s="4"/>
      <c r="D916" s="4"/>
      <c r="E916" s="7"/>
      <c r="F916" s="4"/>
      <c r="G916" s="4"/>
      <c r="H916" s="10"/>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ht="12.75" customHeight="1">
      <c r="A917" s="4"/>
      <c r="B917" s="4"/>
      <c r="C917" s="4"/>
      <c r="D917" s="4"/>
      <c r="E917" s="7"/>
      <c r="F917" s="4"/>
      <c r="G917" s="4"/>
      <c r="H917" s="10"/>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ht="12.75" customHeight="1">
      <c r="A918" s="4"/>
      <c r="B918" s="4"/>
      <c r="C918" s="4"/>
      <c r="D918" s="4"/>
      <c r="E918" s="7"/>
      <c r="F918" s="4"/>
      <c r="G918" s="4"/>
      <c r="H918" s="10"/>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ht="12.75" customHeight="1">
      <c r="A919" s="4"/>
      <c r="B919" s="4"/>
      <c r="C919" s="4"/>
      <c r="D919" s="4"/>
      <c r="E919" s="7"/>
      <c r="F919" s="4"/>
      <c r="G919" s="4"/>
      <c r="H919" s="10"/>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ht="12.75" customHeight="1">
      <c r="A920" s="4"/>
      <c r="B920" s="4"/>
      <c r="C920" s="4"/>
      <c r="D920" s="4"/>
      <c r="E920" s="7"/>
      <c r="F920" s="4"/>
      <c r="G920" s="4"/>
      <c r="H920" s="10"/>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ht="12.75" customHeight="1">
      <c r="A921" s="4"/>
      <c r="B921" s="4"/>
      <c r="C921" s="4"/>
      <c r="D921" s="4"/>
      <c r="E921" s="7"/>
      <c r="F921" s="4"/>
      <c r="G921" s="4"/>
      <c r="H921" s="10"/>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ht="12.75" customHeight="1">
      <c r="A922" s="4"/>
      <c r="B922" s="4"/>
      <c r="C922" s="4"/>
      <c r="D922" s="4"/>
      <c r="E922" s="7"/>
      <c r="F922" s="4"/>
      <c r="G922" s="4"/>
      <c r="H922" s="10"/>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ht="12.75" customHeight="1">
      <c r="A923" s="4"/>
      <c r="B923" s="4"/>
      <c r="C923" s="4"/>
      <c r="D923" s="4"/>
      <c r="E923" s="7"/>
      <c r="F923" s="4"/>
      <c r="G923" s="4"/>
      <c r="H923" s="10"/>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ht="12.75" customHeight="1">
      <c r="A924" s="4"/>
      <c r="B924" s="4"/>
      <c r="C924" s="4"/>
      <c r="D924" s="4"/>
      <c r="E924" s="7"/>
      <c r="F924" s="4"/>
      <c r="G924" s="4"/>
      <c r="H924" s="10"/>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ht="12.75" customHeight="1">
      <c r="A925" s="4"/>
      <c r="B925" s="4"/>
      <c r="C925" s="4"/>
      <c r="D925" s="4"/>
      <c r="E925" s="7"/>
      <c r="F925" s="4"/>
      <c r="G925" s="4"/>
      <c r="H925" s="10"/>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ht="12.75" customHeight="1">
      <c r="A926" s="4"/>
      <c r="B926" s="4"/>
      <c r="C926" s="4"/>
      <c r="D926" s="4"/>
      <c r="E926" s="7"/>
      <c r="F926" s="4"/>
      <c r="G926" s="4"/>
      <c r="H926" s="10"/>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ht="12.75" customHeight="1">
      <c r="A927" s="4"/>
      <c r="B927" s="4"/>
      <c r="C927" s="4"/>
      <c r="D927" s="4"/>
      <c r="E927" s="7"/>
      <c r="F927" s="4"/>
      <c r="G927" s="4"/>
      <c r="H927" s="10"/>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ht="12.75" customHeight="1">
      <c r="A928" s="4"/>
      <c r="B928" s="4"/>
      <c r="C928" s="4"/>
      <c r="D928" s="4"/>
      <c r="E928" s="7"/>
      <c r="F928" s="4"/>
      <c r="G928" s="4"/>
      <c r="H928" s="10"/>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ht="12.75" customHeight="1">
      <c r="A929" s="4"/>
      <c r="B929" s="4"/>
      <c r="C929" s="4"/>
      <c r="D929" s="4"/>
      <c r="E929" s="7"/>
      <c r="F929" s="4"/>
      <c r="G929" s="4"/>
      <c r="H929" s="10"/>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ht="12.75" customHeight="1">
      <c r="A930" s="4"/>
      <c r="B930" s="4"/>
      <c r="C930" s="4"/>
      <c r="D930" s="4"/>
      <c r="E930" s="7"/>
      <c r="F930" s="4"/>
      <c r="G930" s="4"/>
      <c r="H930" s="10"/>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ht="12.75" customHeight="1">
      <c r="A931" s="4"/>
      <c r="B931" s="4"/>
      <c r="C931" s="4"/>
      <c r="D931" s="4"/>
      <c r="E931" s="7"/>
      <c r="F931" s="4"/>
      <c r="G931" s="4"/>
      <c r="H931" s="10"/>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ht="12.75" customHeight="1">
      <c r="A932" s="4"/>
      <c r="B932" s="4"/>
      <c r="C932" s="4"/>
      <c r="D932" s="4"/>
      <c r="E932" s="7"/>
      <c r="F932" s="4"/>
      <c r="G932" s="4"/>
      <c r="H932" s="10"/>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ht="12.75" customHeight="1">
      <c r="A933" s="4"/>
      <c r="B933" s="4"/>
      <c r="C933" s="4"/>
      <c r="D933" s="4"/>
      <c r="E933" s="7"/>
      <c r="F933" s="4"/>
      <c r="G933" s="4"/>
      <c r="H933" s="10"/>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ht="12.75" customHeight="1">
      <c r="A934" s="4"/>
      <c r="B934" s="4"/>
      <c r="C934" s="4"/>
      <c r="D934" s="4"/>
      <c r="E934" s="7"/>
      <c r="F934" s="4"/>
      <c r="G934" s="4"/>
      <c r="H934" s="10"/>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ht="12.75" customHeight="1">
      <c r="A935" s="4"/>
      <c r="B935" s="4"/>
      <c r="C935" s="4"/>
      <c r="D935" s="4"/>
      <c r="E935" s="7"/>
      <c r="F935" s="4"/>
      <c r="G935" s="4"/>
      <c r="H935" s="10"/>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ht="12.75" customHeight="1">
      <c r="A936" s="4"/>
      <c r="B936" s="4"/>
      <c r="C936" s="4"/>
      <c r="D936" s="4"/>
      <c r="E936" s="7"/>
      <c r="F936" s="4"/>
      <c r="G936" s="4"/>
      <c r="H936" s="10"/>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ht="12.75" customHeight="1">
      <c r="A937" s="4"/>
      <c r="B937" s="4"/>
      <c r="C937" s="4"/>
      <c r="D937" s="4"/>
      <c r="E937" s="7"/>
      <c r="F937" s="4"/>
      <c r="G937" s="4"/>
      <c r="H937" s="10"/>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ht="12.75" customHeight="1">
      <c r="A938" s="4"/>
      <c r="B938" s="4"/>
      <c r="C938" s="4"/>
      <c r="D938" s="4"/>
      <c r="E938" s="7"/>
      <c r="F938" s="4"/>
      <c r="G938" s="4"/>
      <c r="H938" s="10"/>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ht="12.75" customHeight="1">
      <c r="A939" s="4"/>
      <c r="B939" s="4"/>
      <c r="C939" s="4"/>
      <c r="D939" s="4"/>
      <c r="E939" s="7"/>
      <c r="F939" s="4"/>
      <c r="G939" s="4"/>
      <c r="H939" s="10"/>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ht="12.75" customHeight="1">
      <c r="A940" s="4"/>
      <c r="B940" s="4"/>
      <c r="C940" s="4"/>
      <c r="D940" s="4"/>
      <c r="E940" s="7"/>
      <c r="F940" s="4"/>
      <c r="G940" s="4"/>
      <c r="H940" s="10"/>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ht="12.75" customHeight="1">
      <c r="A941" s="4"/>
      <c r="B941" s="4"/>
      <c r="C941" s="4"/>
      <c r="D941" s="4"/>
      <c r="E941" s="7"/>
      <c r="F941" s="4"/>
      <c r="G941" s="4"/>
      <c r="H941" s="10"/>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ht="12.75" customHeight="1">
      <c r="A942" s="4"/>
      <c r="B942" s="4"/>
      <c r="C942" s="4"/>
      <c r="D942" s="4"/>
      <c r="E942" s="7"/>
      <c r="F942" s="4"/>
      <c r="G942" s="4"/>
      <c r="H942" s="10"/>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ht="12.75" customHeight="1">
      <c r="A943" s="4"/>
      <c r="B943" s="4"/>
      <c r="C943" s="4"/>
      <c r="D943" s="4"/>
      <c r="E943" s="7"/>
      <c r="F943" s="4"/>
      <c r="G943" s="4"/>
      <c r="H943" s="10"/>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ht="12.75" customHeight="1">
      <c r="A944" s="4"/>
      <c r="B944" s="4"/>
      <c r="C944" s="4"/>
      <c r="D944" s="4"/>
      <c r="E944" s="7"/>
      <c r="F944" s="4"/>
      <c r="G944" s="4"/>
      <c r="H944" s="10"/>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ht="12.75" customHeight="1">
      <c r="A945" s="4"/>
      <c r="B945" s="4"/>
      <c r="C945" s="4"/>
      <c r="D945" s="4"/>
      <c r="E945" s="7"/>
      <c r="F945" s="4"/>
      <c r="G945" s="4"/>
      <c r="H945" s="10"/>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ht="12.75" customHeight="1">
      <c r="A946" s="4"/>
      <c r="B946" s="4"/>
      <c r="C946" s="4"/>
      <c r="D946" s="4"/>
      <c r="E946" s="7"/>
      <c r="F946" s="4"/>
      <c r="G946" s="4"/>
      <c r="H946" s="10"/>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ht="12.75" customHeight="1">
      <c r="A947" s="4"/>
      <c r="B947" s="4"/>
      <c r="C947" s="4"/>
      <c r="D947" s="4"/>
      <c r="E947" s="7"/>
      <c r="F947" s="4"/>
      <c r="G947" s="4"/>
      <c r="H947" s="10"/>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ht="12.75" customHeight="1">
      <c r="A948" s="4"/>
      <c r="B948" s="4"/>
      <c r="C948" s="4"/>
      <c r="D948" s="4"/>
      <c r="E948" s="7"/>
      <c r="F948" s="4"/>
      <c r="G948" s="4"/>
      <c r="H948" s="10"/>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ht="12.75" customHeight="1">
      <c r="A949" s="4"/>
      <c r="B949" s="4"/>
      <c r="C949" s="4"/>
      <c r="D949" s="4"/>
      <c r="E949" s="7"/>
      <c r="F949" s="4"/>
      <c r="G949" s="4"/>
      <c r="H949" s="10"/>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ht="12.75" customHeight="1">
      <c r="A950" s="4"/>
      <c r="B950" s="4"/>
      <c r="C950" s="4"/>
      <c r="D950" s="4"/>
      <c r="E950" s="7"/>
      <c r="F950" s="4"/>
      <c r="G950" s="4"/>
      <c r="H950" s="10"/>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ht="12.75" customHeight="1">
      <c r="A951" s="4"/>
      <c r="B951" s="4"/>
      <c r="C951" s="4"/>
      <c r="D951" s="4"/>
      <c r="E951" s="7"/>
      <c r="F951" s="4"/>
      <c r="G951" s="4"/>
      <c r="H951" s="10"/>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ht="12.75" customHeight="1">
      <c r="A952" s="4"/>
      <c r="B952" s="4"/>
      <c r="C952" s="4"/>
      <c r="D952" s="4"/>
      <c r="E952" s="7"/>
      <c r="F952" s="4"/>
      <c r="G952" s="4"/>
      <c r="H952" s="10"/>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ht="12.75" customHeight="1">
      <c r="A953" s="4"/>
      <c r="B953" s="4"/>
      <c r="C953" s="4"/>
      <c r="D953" s="4"/>
      <c r="E953" s="7"/>
      <c r="F953" s="4"/>
      <c r="G953" s="4"/>
      <c r="H953" s="10"/>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ht="12.75" customHeight="1">
      <c r="A954" s="4"/>
      <c r="B954" s="4"/>
      <c r="C954" s="4"/>
      <c r="D954" s="4"/>
      <c r="E954" s="7"/>
      <c r="F954" s="4"/>
      <c r="G954" s="4"/>
      <c r="H954" s="10"/>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ht="12.75" customHeight="1">
      <c r="A955" s="4"/>
      <c r="B955" s="4"/>
      <c r="C955" s="4"/>
      <c r="D955" s="4"/>
      <c r="E955" s="7"/>
      <c r="F955" s="4"/>
      <c r="G955" s="4"/>
      <c r="H955" s="10"/>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ht="12.75" customHeight="1">
      <c r="A956" s="4"/>
      <c r="B956" s="4"/>
      <c r="C956" s="4"/>
      <c r="D956" s="4"/>
      <c r="E956" s="7"/>
      <c r="F956" s="4"/>
      <c r="G956" s="4"/>
      <c r="H956" s="10"/>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ht="12.75" customHeight="1">
      <c r="A957" s="4"/>
      <c r="B957" s="4"/>
      <c r="C957" s="4"/>
      <c r="D957" s="4"/>
      <c r="E957" s="7"/>
      <c r="F957" s="4"/>
      <c r="G957" s="4"/>
      <c r="H957" s="10"/>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ht="12.75" customHeight="1">
      <c r="A958" s="4"/>
      <c r="B958" s="4"/>
      <c r="C958" s="4"/>
      <c r="D958" s="4"/>
      <c r="E958" s="7"/>
      <c r="F958" s="4"/>
      <c r="G958" s="4"/>
      <c r="H958" s="10"/>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ht="12.75" customHeight="1">
      <c r="A959" s="4"/>
      <c r="B959" s="4"/>
      <c r="C959" s="4"/>
      <c r="D959" s="4"/>
      <c r="E959" s="7"/>
      <c r="F959" s="4"/>
      <c r="G959" s="4"/>
      <c r="H959" s="10"/>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ht="12.75" customHeight="1">
      <c r="A960" s="4"/>
      <c r="B960" s="4"/>
      <c r="C960" s="4"/>
      <c r="D960" s="4"/>
      <c r="E960" s="7"/>
      <c r="F960" s="4"/>
      <c r="G960" s="4"/>
      <c r="H960" s="10"/>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ht="12.75" customHeight="1">
      <c r="A961" s="4"/>
      <c r="B961" s="4"/>
      <c r="C961" s="4"/>
      <c r="D961" s="4"/>
      <c r="E961" s="7"/>
      <c r="F961" s="4"/>
      <c r="G961" s="4"/>
      <c r="H961" s="10"/>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ht="12.75" customHeight="1">
      <c r="A962" s="4"/>
      <c r="B962" s="4"/>
      <c r="C962" s="4"/>
      <c r="D962" s="4"/>
      <c r="E962" s="7"/>
      <c r="F962" s="4"/>
      <c r="G962" s="4"/>
      <c r="H962" s="10"/>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ht="12.75" customHeight="1">
      <c r="A963" s="4"/>
      <c r="B963" s="4"/>
      <c r="C963" s="4"/>
      <c r="D963" s="4"/>
      <c r="E963" s="7"/>
      <c r="F963" s="4"/>
      <c r="G963" s="4"/>
      <c r="H963" s="10"/>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ht="12.75" customHeight="1">
      <c r="A964" s="4"/>
      <c r="B964" s="4"/>
      <c r="C964" s="4"/>
      <c r="D964" s="4"/>
      <c r="E964" s="7"/>
      <c r="F964" s="4"/>
      <c r="G964" s="4"/>
      <c r="H964" s="10"/>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ht="12.75" customHeight="1">
      <c r="A965" s="4"/>
      <c r="B965" s="4"/>
      <c r="C965" s="4"/>
      <c r="D965" s="4"/>
      <c r="E965" s="7"/>
      <c r="F965" s="4"/>
      <c r="G965" s="4"/>
      <c r="H965" s="10"/>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ht="12.75" customHeight="1">
      <c r="A966" s="4"/>
      <c r="B966" s="4"/>
      <c r="C966" s="4"/>
      <c r="D966" s="4"/>
      <c r="E966" s="7"/>
      <c r="F966" s="4"/>
      <c r="G966" s="4"/>
      <c r="H966" s="10"/>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ht="12.75" customHeight="1">
      <c r="A967" s="4"/>
      <c r="B967" s="4"/>
      <c r="C967" s="4"/>
      <c r="D967" s="4"/>
      <c r="E967" s="7"/>
      <c r="F967" s="4"/>
      <c r="G967" s="4"/>
      <c r="H967" s="10"/>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ht="12.75" customHeight="1">
      <c r="A968" s="4"/>
      <c r="B968" s="4"/>
      <c r="C968" s="4"/>
      <c r="D968" s="4"/>
      <c r="E968" s="7"/>
      <c r="F968" s="4"/>
      <c r="G968" s="4"/>
      <c r="H968" s="10"/>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ht="12.75" customHeight="1">
      <c r="A969" s="4"/>
      <c r="B969" s="4"/>
      <c r="C969" s="4"/>
      <c r="D969" s="4"/>
      <c r="E969" s="7"/>
      <c r="F969" s="4"/>
      <c r="G969" s="4"/>
      <c r="H969" s="10"/>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ht="12.75" customHeight="1">
      <c r="A970" s="4"/>
      <c r="B970" s="4"/>
      <c r="C970" s="4"/>
      <c r="D970" s="4"/>
      <c r="E970" s="7"/>
      <c r="F970" s="4"/>
      <c r="G970" s="4"/>
      <c r="H970" s="10"/>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ht="12.75" customHeight="1">
      <c r="A971" s="4"/>
      <c r="B971" s="4"/>
      <c r="C971" s="4"/>
      <c r="D971" s="4"/>
      <c r="E971" s="7"/>
      <c r="F971" s="4"/>
      <c r="G971" s="4"/>
      <c r="H971" s="10"/>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ht="12.75" customHeight="1">
      <c r="A972" s="4"/>
      <c r="B972" s="4"/>
      <c r="C972" s="4"/>
      <c r="D972" s="4"/>
      <c r="E972" s="7"/>
      <c r="F972" s="4"/>
      <c r="G972" s="4"/>
      <c r="H972" s="10"/>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ht="12.75" customHeight="1">
      <c r="A973" s="4"/>
      <c r="B973" s="4"/>
      <c r="C973" s="4"/>
      <c r="D973" s="4"/>
      <c r="E973" s="7"/>
      <c r="F973" s="4"/>
      <c r="G973" s="4"/>
      <c r="H973" s="10"/>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ht="12.75" customHeight="1">
      <c r="A974" s="4"/>
      <c r="B974" s="4"/>
      <c r="C974" s="4"/>
      <c r="D974" s="4"/>
      <c r="E974" s="7"/>
      <c r="F974" s="4"/>
      <c r="G974" s="4"/>
      <c r="H974" s="10"/>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ht="12.75" customHeight="1">
      <c r="A975" s="4"/>
      <c r="B975" s="4"/>
      <c r="C975" s="4"/>
      <c r="D975" s="4"/>
      <c r="E975" s="7"/>
      <c r="F975" s="4"/>
      <c r="G975" s="4"/>
      <c r="H975" s="10"/>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ht="12.75" customHeight="1">
      <c r="A976" s="4"/>
      <c r="B976" s="4"/>
      <c r="C976" s="4"/>
      <c r="D976" s="4"/>
      <c r="E976" s="7"/>
      <c r="F976" s="4"/>
      <c r="G976" s="4"/>
      <c r="H976" s="10"/>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ht="12.75" customHeight="1">
      <c r="A977" s="4"/>
      <c r="B977" s="4"/>
      <c r="C977" s="4"/>
      <c r="D977" s="4"/>
      <c r="E977" s="7"/>
      <c r="F977" s="4"/>
      <c r="G977" s="4"/>
      <c r="H977" s="10"/>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ht="12.75" customHeight="1">
      <c r="A978" s="4"/>
      <c r="B978" s="4"/>
      <c r="C978" s="4"/>
      <c r="D978" s="4"/>
      <c r="E978" s="7"/>
      <c r="F978" s="4"/>
      <c r="G978" s="4"/>
      <c r="H978" s="10"/>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ht="12.75" customHeight="1">
      <c r="A979" s="4"/>
      <c r="B979" s="4"/>
      <c r="C979" s="4"/>
      <c r="D979" s="4"/>
      <c r="E979" s="7"/>
      <c r="F979" s="4"/>
      <c r="G979" s="4"/>
      <c r="H979" s="10"/>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ht="12.75" customHeight="1">
      <c r="A980" s="4"/>
      <c r="B980" s="4"/>
      <c r="C980" s="4"/>
      <c r="D980" s="4"/>
      <c r="E980" s="7"/>
      <c r="F980" s="4"/>
      <c r="G980" s="4"/>
      <c r="H980" s="10"/>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ht="12.75" customHeight="1">
      <c r="A981" s="4"/>
      <c r="B981" s="4"/>
      <c r="C981" s="4"/>
      <c r="D981" s="4"/>
      <c r="E981" s="7"/>
      <c r="F981" s="4"/>
      <c r="G981" s="4"/>
      <c r="H981" s="10"/>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ht="12.75" customHeight="1">
      <c r="A982" s="4"/>
      <c r="B982" s="4"/>
      <c r="C982" s="4"/>
      <c r="D982" s="4"/>
      <c r="E982" s="7"/>
      <c r="F982" s="4"/>
      <c r="G982" s="4"/>
      <c r="H982" s="10"/>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ht="12.75" customHeight="1">
      <c r="A983" s="4"/>
      <c r="B983" s="4"/>
      <c r="C983" s="4"/>
      <c r="D983" s="4"/>
      <c r="E983" s="7"/>
      <c r="F983" s="4"/>
      <c r="G983" s="4"/>
      <c r="H983" s="10"/>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ht="12.75" customHeight="1">
      <c r="A984" s="4"/>
      <c r="B984" s="4"/>
      <c r="C984" s="4"/>
      <c r="D984" s="4"/>
      <c r="E984" s="7"/>
      <c r="F984" s="4"/>
      <c r="G984" s="4"/>
      <c r="H984" s="10"/>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ht="12.75" customHeight="1">
      <c r="A985" s="4"/>
      <c r="B985" s="4"/>
      <c r="C985" s="4"/>
      <c r="D985" s="4"/>
      <c r="E985" s="7"/>
      <c r="F985" s="4"/>
      <c r="G985" s="4"/>
      <c r="H985" s="10"/>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ht="12.75" customHeight="1">
      <c r="A986" s="4"/>
      <c r="B986" s="4"/>
      <c r="C986" s="4"/>
      <c r="D986" s="4"/>
      <c r="E986" s="7"/>
      <c r="F986" s="4"/>
      <c r="G986" s="4"/>
      <c r="H986" s="10"/>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ht="12.75" customHeight="1">
      <c r="A987" s="4"/>
      <c r="B987" s="4"/>
      <c r="C987" s="4"/>
      <c r="D987" s="4"/>
      <c r="E987" s="7"/>
      <c r="F987" s="4"/>
      <c r="G987" s="4"/>
      <c r="H987" s="10"/>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ht="12.75" customHeight="1">
      <c r="A988" s="4"/>
      <c r="B988" s="4"/>
      <c r="C988" s="4"/>
      <c r="D988" s="4"/>
      <c r="E988" s="7"/>
      <c r="F988" s="4"/>
      <c r="G988" s="4"/>
      <c r="H988" s="10"/>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ht="12.75" customHeight="1">
      <c r="A989" s="4"/>
      <c r="B989" s="4"/>
      <c r="C989" s="4"/>
      <c r="D989" s="4"/>
      <c r="E989" s="7"/>
      <c r="F989" s="4"/>
      <c r="G989" s="4"/>
      <c r="H989" s="10"/>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ht="12.75" customHeight="1">
      <c r="A990" s="4"/>
      <c r="B990" s="4"/>
      <c r="C990" s="4"/>
      <c r="D990" s="4"/>
      <c r="E990" s="7"/>
      <c r="F990" s="4"/>
      <c r="G990" s="4"/>
      <c r="H990" s="10"/>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ht="12.75" customHeight="1">
      <c r="A991" s="4"/>
      <c r="B991" s="4"/>
      <c r="C991" s="4"/>
      <c r="D991" s="4"/>
      <c r="E991" s="7"/>
      <c r="F991" s="4"/>
      <c r="G991" s="4"/>
      <c r="H991" s="10"/>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ht="12.75" customHeight="1">
      <c r="A992" s="4"/>
      <c r="B992" s="4"/>
      <c r="C992" s="4"/>
      <c r="D992" s="4"/>
      <c r="E992" s="7"/>
      <c r="F992" s="4"/>
      <c r="G992" s="4"/>
      <c r="H992" s="10"/>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ht="12.75" customHeight="1">
      <c r="A993" s="4"/>
      <c r="B993" s="4"/>
      <c r="C993" s="4"/>
      <c r="D993" s="4"/>
      <c r="E993" s="7"/>
      <c r="F993" s="4"/>
      <c r="G993" s="4"/>
      <c r="H993" s="10"/>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ht="12.75" customHeight="1">
      <c r="A994" s="4"/>
      <c r="B994" s="4"/>
      <c r="C994" s="4"/>
      <c r="D994" s="4"/>
      <c r="E994" s="7"/>
      <c r="F994" s="4"/>
      <c r="G994" s="4"/>
      <c r="H994" s="10"/>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ht="12.75" customHeight="1">
      <c r="A995" s="4"/>
      <c r="B995" s="4"/>
      <c r="C995" s="4"/>
      <c r="D995" s="4"/>
      <c r="E995" s="7"/>
      <c r="F995" s="4"/>
      <c r="G995" s="4"/>
      <c r="H995" s="10"/>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ht="12.75" customHeight="1">
      <c r="A996" s="4"/>
      <c r="B996" s="4"/>
      <c r="C996" s="4"/>
      <c r="D996" s="4"/>
      <c r="E996" s="7"/>
      <c r="F996" s="4"/>
      <c r="G996" s="4"/>
      <c r="H996" s="10"/>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ht="12.75" customHeight="1">
      <c r="A997" s="4"/>
      <c r="B997" s="4"/>
      <c r="C997" s="4"/>
      <c r="D997" s="4"/>
      <c r="E997" s="7"/>
      <c r="F997" s="4"/>
      <c r="G997" s="4"/>
      <c r="H997" s="10"/>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ht="12.75" customHeight="1">
      <c r="A998" s="4"/>
      <c r="B998" s="4"/>
      <c r="C998" s="4"/>
      <c r="D998" s="4"/>
      <c r="E998" s="7"/>
      <c r="F998" s="4"/>
      <c r="G998" s="4"/>
      <c r="H998" s="10"/>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ht="12.75" customHeight="1">
      <c r="A999" s="4"/>
      <c r="B999" s="4"/>
      <c r="C999" s="4"/>
      <c r="D999" s="4"/>
      <c r="E999" s="7"/>
      <c r="F999" s="4"/>
      <c r="G999" s="4"/>
      <c r="H999" s="10"/>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ht="12.75" customHeight="1">
      <c r="A1000" s="4"/>
      <c r="B1000" s="4"/>
      <c r="C1000" s="4"/>
      <c r="D1000" s="4"/>
      <c r="E1000" s="7"/>
      <c r="F1000" s="4"/>
      <c r="G1000" s="4"/>
      <c r="H1000" s="10"/>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row r="1001" ht="12.75" customHeight="1">
      <c r="A1001" s="4"/>
      <c r="B1001" s="4"/>
      <c r="C1001" s="4"/>
      <c r="D1001" s="4"/>
      <c r="E1001" s="7"/>
      <c r="F1001" s="4"/>
      <c r="G1001" s="4"/>
      <c r="H1001" s="10"/>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row>
    <row r="1002" ht="12.75" customHeight="1">
      <c r="A1002" s="4"/>
      <c r="B1002" s="4"/>
      <c r="C1002" s="4"/>
      <c r="D1002" s="4"/>
      <c r="E1002" s="7"/>
      <c r="F1002" s="4"/>
      <c r="G1002" s="4"/>
      <c r="H1002" s="10"/>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row>
    <row r="1003" ht="12.75" customHeight="1">
      <c r="A1003" s="4"/>
      <c r="B1003" s="4"/>
      <c r="C1003" s="4"/>
      <c r="D1003" s="4"/>
      <c r="E1003" s="7"/>
      <c r="F1003" s="4"/>
      <c r="G1003" s="4"/>
      <c r="H1003" s="10"/>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row>
    <row r="1004" ht="12.75" customHeight="1">
      <c r="A1004" s="4"/>
      <c r="B1004" s="4"/>
      <c r="C1004" s="4"/>
      <c r="D1004" s="4"/>
      <c r="E1004" s="7"/>
      <c r="F1004" s="4"/>
      <c r="G1004" s="4"/>
      <c r="H1004" s="10"/>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row>
    <row r="1005" ht="12.75" customHeight="1">
      <c r="A1005" s="4"/>
      <c r="B1005" s="4"/>
      <c r="C1005" s="4"/>
      <c r="D1005" s="4"/>
      <c r="E1005" s="7"/>
      <c r="F1005" s="4"/>
      <c r="G1005" s="4"/>
      <c r="H1005" s="10"/>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row>
    <row r="1006" ht="12.75" customHeight="1">
      <c r="A1006" s="4"/>
      <c r="B1006" s="4"/>
      <c r="C1006" s="4"/>
      <c r="D1006" s="4"/>
      <c r="E1006" s="7"/>
      <c r="F1006" s="4"/>
      <c r="G1006" s="4"/>
      <c r="H1006" s="10"/>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row>
    <row r="1007" ht="12.75" customHeight="1">
      <c r="A1007" s="4"/>
      <c r="B1007" s="4"/>
      <c r="C1007" s="4"/>
      <c r="D1007" s="4"/>
      <c r="E1007" s="7"/>
      <c r="F1007" s="4"/>
      <c r="G1007" s="4"/>
      <c r="H1007" s="10"/>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row>
    <row r="1008" ht="12.75" customHeight="1">
      <c r="A1008" s="4"/>
      <c r="B1008" s="4"/>
      <c r="C1008" s="4"/>
      <c r="D1008" s="4"/>
      <c r="E1008" s="7"/>
      <c r="F1008" s="4"/>
      <c r="G1008" s="4"/>
      <c r="H1008" s="10"/>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row>
    <row r="1009" ht="12.75" customHeight="1">
      <c r="A1009" s="4"/>
      <c r="B1009" s="4"/>
      <c r="C1009" s="4"/>
      <c r="D1009" s="4"/>
      <c r="E1009" s="7"/>
      <c r="F1009" s="4"/>
      <c r="G1009" s="4"/>
      <c r="H1009" s="10"/>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row>
    <row r="1010" ht="12.75" customHeight="1">
      <c r="A1010" s="4"/>
      <c r="B1010" s="4"/>
      <c r="C1010" s="4"/>
      <c r="D1010" s="4"/>
      <c r="E1010" s="7"/>
      <c r="F1010" s="4"/>
      <c r="G1010" s="4"/>
      <c r="H1010" s="10"/>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row>
    <row r="1011" ht="12.75" customHeight="1">
      <c r="A1011" s="4"/>
      <c r="B1011" s="4"/>
      <c r="C1011" s="4"/>
      <c r="D1011" s="4"/>
      <c r="E1011" s="7"/>
      <c r="F1011" s="4"/>
      <c r="G1011" s="4"/>
      <c r="H1011" s="10"/>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row>
    <row r="1012" ht="12.75" customHeight="1">
      <c r="A1012" s="4"/>
      <c r="B1012" s="4"/>
      <c r="C1012" s="4"/>
      <c r="D1012" s="4"/>
      <c r="E1012" s="7"/>
      <c r="F1012" s="4"/>
      <c r="G1012" s="4"/>
      <c r="H1012" s="10"/>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row>
    <row r="1013" ht="12.75" customHeight="1">
      <c r="A1013" s="4"/>
      <c r="B1013" s="4"/>
      <c r="C1013" s="4"/>
      <c r="D1013" s="4"/>
      <c r="E1013" s="7"/>
      <c r="F1013" s="4"/>
      <c r="G1013" s="4"/>
      <c r="H1013" s="10"/>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row>
    <row r="1014" ht="12.75" customHeight="1">
      <c r="A1014" s="4"/>
      <c r="B1014" s="4"/>
      <c r="C1014" s="4"/>
      <c r="D1014" s="4"/>
      <c r="E1014" s="7"/>
      <c r="F1014" s="4"/>
      <c r="G1014" s="4"/>
      <c r="H1014" s="10"/>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row>
    <row r="1015" ht="12.75" customHeight="1">
      <c r="A1015" s="4"/>
      <c r="B1015" s="4"/>
      <c r="C1015" s="4"/>
      <c r="D1015" s="4"/>
      <c r="E1015" s="7"/>
      <c r="F1015" s="4"/>
      <c r="G1015" s="4"/>
      <c r="H1015" s="10"/>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row>
    <row r="1016" ht="12.75" customHeight="1">
      <c r="A1016" s="4"/>
      <c r="B1016" s="4"/>
      <c r="C1016" s="4"/>
      <c r="D1016" s="4"/>
      <c r="E1016" s="7"/>
      <c r="F1016" s="4"/>
      <c r="G1016" s="4"/>
      <c r="H1016" s="10"/>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row>
    <row r="1017" ht="12.75" customHeight="1">
      <c r="A1017" s="4"/>
      <c r="B1017" s="4"/>
      <c r="C1017" s="4"/>
      <c r="D1017" s="4"/>
      <c r="E1017" s="7"/>
      <c r="F1017" s="4"/>
      <c r="G1017" s="4"/>
      <c r="H1017" s="10"/>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row>
    <row r="1018" ht="12.75" customHeight="1">
      <c r="A1018" s="4"/>
      <c r="B1018" s="4"/>
      <c r="C1018" s="4"/>
      <c r="D1018" s="4"/>
      <c r="E1018" s="7"/>
      <c r="F1018" s="4"/>
      <c r="G1018" s="4"/>
      <c r="H1018" s="10"/>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row>
    <row r="1019" ht="12.75" customHeight="1">
      <c r="A1019" s="4"/>
      <c r="B1019" s="4"/>
      <c r="C1019" s="4"/>
      <c r="D1019" s="4"/>
      <c r="E1019" s="7"/>
      <c r="F1019" s="4"/>
      <c r="G1019" s="4"/>
      <c r="H1019" s="10"/>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row>
    <row r="1020" ht="12.75" customHeight="1">
      <c r="A1020" s="4"/>
      <c r="B1020" s="4"/>
      <c r="C1020" s="4"/>
      <c r="D1020" s="4"/>
      <c r="E1020" s="7"/>
      <c r="F1020" s="4"/>
      <c r="G1020" s="4"/>
      <c r="H1020" s="10"/>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row>
    <row r="1021" ht="12.75" customHeight="1">
      <c r="A1021" s="4"/>
      <c r="B1021" s="4"/>
      <c r="C1021" s="4"/>
      <c r="D1021" s="4"/>
      <c r="E1021" s="7"/>
      <c r="F1021" s="4"/>
      <c r="G1021" s="4"/>
      <c r="H1021" s="10"/>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row>
    <row r="1022" ht="12.75" customHeight="1">
      <c r="A1022" s="4"/>
      <c r="B1022" s="4"/>
      <c r="C1022" s="4"/>
      <c r="D1022" s="4"/>
      <c r="E1022" s="7"/>
      <c r="F1022" s="4"/>
      <c r="G1022" s="4"/>
      <c r="H1022" s="10"/>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row>
    <row r="1023" ht="12.75" customHeight="1">
      <c r="A1023" s="4"/>
      <c r="B1023" s="4"/>
      <c r="C1023" s="4"/>
      <c r="D1023" s="4"/>
      <c r="E1023" s="7"/>
      <c r="F1023" s="4"/>
      <c r="G1023" s="4"/>
      <c r="H1023" s="10"/>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row>
    <row r="1024" ht="12.75" customHeight="1">
      <c r="A1024" s="4"/>
      <c r="B1024" s="4"/>
      <c r="C1024" s="4"/>
      <c r="D1024" s="4"/>
      <c r="E1024" s="7"/>
      <c r="F1024" s="4"/>
      <c r="G1024" s="4"/>
      <c r="H1024" s="10"/>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row>
    <row r="1025" ht="12.75" customHeight="1">
      <c r="A1025" s="4"/>
      <c r="B1025" s="4"/>
      <c r="C1025" s="4"/>
      <c r="D1025" s="4"/>
      <c r="E1025" s="7"/>
      <c r="F1025" s="4"/>
      <c r="G1025" s="4"/>
      <c r="H1025" s="10"/>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row>
    <row r="1026" ht="12.75" customHeight="1">
      <c r="A1026" s="4"/>
      <c r="B1026" s="4"/>
      <c r="C1026" s="4"/>
      <c r="D1026" s="4"/>
      <c r="E1026" s="7"/>
      <c r="F1026" s="4"/>
      <c r="G1026" s="4"/>
      <c r="H1026" s="10"/>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row>
    <row r="1027" ht="12.75" customHeight="1">
      <c r="A1027" s="4"/>
      <c r="B1027" s="4"/>
      <c r="C1027" s="4"/>
      <c r="D1027" s="4"/>
      <c r="E1027" s="7"/>
      <c r="F1027" s="4"/>
      <c r="G1027" s="4"/>
      <c r="H1027" s="10"/>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row>
    <row r="1028" ht="12.75" customHeight="1">
      <c r="A1028" s="4"/>
      <c r="B1028" s="4"/>
      <c r="C1028" s="4"/>
      <c r="D1028" s="4"/>
      <c r="E1028" s="7"/>
      <c r="F1028" s="4"/>
      <c r="G1028" s="4"/>
      <c r="H1028" s="10"/>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row>
    <row r="1029" ht="12.75" customHeight="1">
      <c r="A1029" s="4"/>
      <c r="B1029" s="4"/>
      <c r="C1029" s="4"/>
      <c r="D1029" s="4"/>
      <c r="E1029" s="7"/>
      <c r="F1029" s="4"/>
      <c r="G1029" s="4"/>
      <c r="H1029" s="10"/>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row>
    <row r="1030" ht="12.75" customHeight="1">
      <c r="A1030" s="4"/>
      <c r="B1030" s="4"/>
      <c r="C1030" s="4"/>
      <c r="D1030" s="4"/>
      <c r="E1030" s="7"/>
      <c r="F1030" s="4"/>
      <c r="G1030" s="4"/>
      <c r="H1030" s="10"/>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row>
    <row r="1031" ht="12.75" customHeight="1">
      <c r="A1031" s="4"/>
      <c r="B1031" s="4"/>
      <c r="C1031" s="4"/>
      <c r="D1031" s="4"/>
      <c r="E1031" s="7"/>
      <c r="F1031" s="4"/>
      <c r="G1031" s="4"/>
      <c r="H1031" s="10"/>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row>
    <row r="1032" ht="12.75" customHeight="1">
      <c r="A1032" s="4"/>
      <c r="B1032" s="4"/>
      <c r="C1032" s="4"/>
      <c r="D1032" s="4"/>
      <c r="E1032" s="7"/>
      <c r="F1032" s="4"/>
      <c r="G1032" s="4"/>
      <c r="H1032" s="10"/>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row>
    <row r="1033" ht="12.75" customHeight="1">
      <c r="A1033" s="4"/>
      <c r="B1033" s="4"/>
      <c r="C1033" s="4"/>
      <c r="D1033" s="4"/>
      <c r="E1033" s="7"/>
      <c r="F1033" s="4"/>
      <c r="G1033" s="4"/>
      <c r="H1033" s="10"/>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row>
    <row r="1034" ht="12.75" customHeight="1">
      <c r="A1034" s="4"/>
      <c r="B1034" s="4"/>
      <c r="C1034" s="4"/>
      <c r="D1034" s="4"/>
      <c r="E1034" s="7"/>
      <c r="F1034" s="4"/>
      <c r="G1034" s="4"/>
      <c r="H1034" s="10"/>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row>
    <row r="1035" ht="12.75" customHeight="1">
      <c r="A1035" s="4"/>
      <c r="B1035" s="4"/>
      <c r="C1035" s="4"/>
      <c r="D1035" s="4"/>
      <c r="E1035" s="7"/>
      <c r="F1035" s="4"/>
      <c r="G1035" s="4"/>
      <c r="H1035" s="10"/>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row>
    <row r="1036" ht="12.75" customHeight="1">
      <c r="A1036" s="4"/>
      <c r="B1036" s="4"/>
      <c r="C1036" s="4"/>
      <c r="D1036" s="4"/>
      <c r="E1036" s="7"/>
      <c r="F1036" s="4"/>
      <c r="G1036" s="4"/>
      <c r="H1036" s="10"/>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row>
    <row r="1037" ht="12.75" customHeight="1">
      <c r="A1037" s="4"/>
      <c r="B1037" s="4"/>
      <c r="C1037" s="4"/>
      <c r="D1037" s="4"/>
      <c r="E1037" s="7"/>
      <c r="F1037" s="4"/>
      <c r="G1037" s="4"/>
      <c r="H1037" s="10"/>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row>
    <row r="1038" ht="12.75" customHeight="1">
      <c r="A1038" s="4"/>
      <c r="B1038" s="4"/>
      <c r="C1038" s="4"/>
      <c r="D1038" s="4"/>
      <c r="E1038" s="7"/>
      <c r="F1038" s="4"/>
      <c r="G1038" s="4"/>
      <c r="H1038" s="10"/>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row>
    <row r="1039" ht="12.75" customHeight="1">
      <c r="A1039" s="4"/>
      <c r="B1039" s="4"/>
      <c r="C1039" s="4"/>
      <c r="D1039" s="4"/>
      <c r="E1039" s="7"/>
      <c r="F1039" s="4"/>
      <c r="G1039" s="4"/>
      <c r="H1039" s="10"/>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row>
    <row r="1040" ht="12.75" customHeight="1">
      <c r="A1040" s="4"/>
      <c r="B1040" s="4"/>
      <c r="C1040" s="4"/>
      <c r="D1040" s="4"/>
      <c r="E1040" s="7"/>
      <c r="F1040" s="4"/>
      <c r="G1040" s="4"/>
      <c r="H1040" s="10"/>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row>
    <row r="1041" ht="12.75" customHeight="1">
      <c r="A1041" s="4"/>
      <c r="B1041" s="4"/>
      <c r="C1041" s="4"/>
      <c r="D1041" s="4"/>
      <c r="E1041" s="7"/>
      <c r="F1041" s="4"/>
      <c r="G1041" s="4"/>
      <c r="H1041" s="10"/>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row>
    <row r="1042" ht="12.75" customHeight="1">
      <c r="A1042" s="4"/>
      <c r="B1042" s="4"/>
      <c r="C1042" s="4"/>
      <c r="D1042" s="4"/>
      <c r="E1042" s="7"/>
      <c r="F1042" s="4"/>
      <c r="G1042" s="4"/>
      <c r="H1042" s="10"/>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row>
    <row r="1043" ht="12.75" customHeight="1">
      <c r="A1043" s="4"/>
      <c r="B1043" s="4"/>
      <c r="C1043" s="4"/>
      <c r="D1043" s="4"/>
      <c r="E1043" s="7"/>
      <c r="F1043" s="4"/>
      <c r="G1043" s="4"/>
      <c r="H1043" s="10"/>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row>
    <row r="1044" ht="12.75" customHeight="1">
      <c r="A1044" s="4"/>
      <c r="B1044" s="4"/>
      <c r="C1044" s="4"/>
      <c r="D1044" s="4"/>
      <c r="E1044" s="7"/>
      <c r="F1044" s="4"/>
      <c r="G1044" s="4"/>
      <c r="H1044" s="10"/>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row>
    <row r="1045" ht="12.75" customHeight="1">
      <c r="A1045" s="4"/>
      <c r="B1045" s="4"/>
      <c r="C1045" s="4"/>
      <c r="D1045" s="4"/>
      <c r="E1045" s="7"/>
      <c r="F1045" s="4"/>
      <c r="G1045" s="4"/>
      <c r="H1045" s="10"/>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row>
    <row r="1046" ht="12.75" customHeight="1">
      <c r="A1046" s="4"/>
      <c r="B1046" s="4"/>
      <c r="C1046" s="4"/>
      <c r="D1046" s="4"/>
      <c r="E1046" s="7"/>
      <c r="F1046" s="4"/>
      <c r="G1046" s="4"/>
      <c r="H1046" s="10"/>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row>
    <row r="1047" ht="12.75" customHeight="1">
      <c r="A1047" s="4"/>
      <c r="B1047" s="4"/>
      <c r="C1047" s="4"/>
      <c r="D1047" s="4"/>
      <c r="E1047" s="7"/>
      <c r="F1047" s="4"/>
      <c r="G1047" s="4"/>
      <c r="H1047" s="10"/>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row>
    <row r="1048" ht="12.75" customHeight="1">
      <c r="A1048" s="4"/>
      <c r="B1048" s="4"/>
      <c r="C1048" s="4"/>
      <c r="D1048" s="4"/>
      <c r="E1048" s="7"/>
      <c r="F1048" s="4"/>
      <c r="G1048" s="4"/>
      <c r="H1048" s="10"/>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row>
    <row r="1049" ht="12.75" customHeight="1">
      <c r="A1049" s="4"/>
      <c r="B1049" s="4"/>
      <c r="C1049" s="4"/>
      <c r="D1049" s="4"/>
      <c r="E1049" s="7"/>
      <c r="F1049" s="4"/>
      <c r="G1049" s="4"/>
      <c r="H1049" s="10"/>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row>
    <row r="1050" ht="12.75" customHeight="1">
      <c r="A1050" s="4"/>
      <c r="B1050" s="4"/>
      <c r="C1050" s="4"/>
      <c r="D1050" s="4"/>
      <c r="E1050" s="7"/>
      <c r="F1050" s="4"/>
      <c r="G1050" s="4"/>
      <c r="H1050" s="10"/>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row>
    <row r="1051" ht="12.75" customHeight="1">
      <c r="A1051" s="4"/>
      <c r="B1051" s="4"/>
      <c r="C1051" s="4"/>
      <c r="D1051" s="4"/>
      <c r="E1051" s="7"/>
      <c r="F1051" s="4"/>
      <c r="G1051" s="4"/>
      <c r="H1051" s="10"/>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row>
    <row r="1052" ht="12.75" customHeight="1">
      <c r="A1052" s="4"/>
      <c r="B1052" s="4"/>
      <c r="C1052" s="4"/>
      <c r="D1052" s="4"/>
      <c r="E1052" s="7"/>
      <c r="F1052" s="4"/>
      <c r="G1052" s="4"/>
      <c r="H1052" s="10"/>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row>
    <row r="1053" ht="12.75" customHeight="1">
      <c r="A1053" s="4"/>
      <c r="B1053" s="4"/>
      <c r="C1053" s="4"/>
      <c r="D1053" s="4"/>
      <c r="E1053" s="7"/>
      <c r="F1053" s="4"/>
      <c r="G1053" s="4"/>
      <c r="H1053" s="10"/>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row>
    <row r="1054" ht="12.75" customHeight="1">
      <c r="A1054" s="4"/>
      <c r="B1054" s="4"/>
      <c r="C1054" s="4"/>
      <c r="D1054" s="4"/>
      <c r="E1054" s="7"/>
      <c r="F1054" s="4"/>
      <c r="G1054" s="4"/>
      <c r="H1054" s="10"/>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row>
    <row r="1055" ht="12.75" customHeight="1">
      <c r="A1055" s="4"/>
      <c r="B1055" s="4"/>
      <c r="C1055" s="4"/>
      <c r="D1055" s="4"/>
      <c r="E1055" s="7"/>
      <c r="F1055" s="4"/>
      <c r="G1055" s="4"/>
      <c r="H1055" s="10"/>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row>
    <row r="1056" ht="12.75" customHeight="1">
      <c r="A1056" s="4"/>
      <c r="B1056" s="4"/>
      <c r="C1056" s="4"/>
      <c r="D1056" s="4"/>
      <c r="E1056" s="7"/>
      <c r="F1056" s="4"/>
      <c r="G1056" s="4"/>
      <c r="H1056" s="10"/>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row>
    <row r="1057" ht="12.75" customHeight="1">
      <c r="A1057" s="4"/>
      <c r="B1057" s="4"/>
      <c r="C1057" s="4"/>
      <c r="D1057" s="4"/>
      <c r="E1057" s="7"/>
      <c r="F1057" s="4"/>
      <c r="G1057" s="4"/>
      <c r="H1057" s="10"/>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row>
    <row r="1058" ht="12.75" customHeight="1">
      <c r="A1058" s="4"/>
      <c r="B1058" s="4"/>
      <c r="C1058" s="4"/>
      <c r="D1058" s="4"/>
      <c r="E1058" s="7"/>
      <c r="F1058" s="4"/>
      <c r="G1058" s="4"/>
      <c r="H1058" s="10"/>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row>
    <row r="1059" ht="12.75" customHeight="1">
      <c r="A1059" s="4"/>
      <c r="B1059" s="4"/>
      <c r="C1059" s="4"/>
      <c r="D1059" s="4"/>
      <c r="E1059" s="7"/>
      <c r="F1059" s="4"/>
      <c r="G1059" s="4"/>
      <c r="H1059" s="10"/>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row>
    <row r="1060" ht="12.75" customHeight="1">
      <c r="A1060" s="4"/>
      <c r="B1060" s="4"/>
      <c r="C1060" s="4"/>
      <c r="D1060" s="4"/>
      <c r="E1060" s="7"/>
      <c r="F1060" s="4"/>
      <c r="G1060" s="4"/>
      <c r="H1060" s="10"/>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row>
    <row r="1061" ht="12.75" customHeight="1">
      <c r="A1061" s="4"/>
      <c r="B1061" s="4"/>
      <c r="C1061" s="4"/>
      <c r="D1061" s="4"/>
      <c r="E1061" s="7"/>
      <c r="F1061" s="4"/>
      <c r="G1061" s="4"/>
      <c r="H1061" s="10"/>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row>
    <row r="1062" ht="12.75" customHeight="1">
      <c r="A1062" s="4"/>
      <c r="B1062" s="4"/>
      <c r="C1062" s="4"/>
      <c r="D1062" s="4"/>
      <c r="E1062" s="7"/>
      <c r="F1062" s="4"/>
      <c r="G1062" s="4"/>
      <c r="H1062" s="10"/>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row>
    <row r="1063" ht="12.75" customHeight="1">
      <c r="A1063" s="4"/>
      <c r="B1063" s="4"/>
      <c r="C1063" s="4"/>
      <c r="D1063" s="4"/>
      <c r="E1063" s="7"/>
      <c r="F1063" s="4"/>
      <c r="G1063" s="4"/>
      <c r="H1063" s="10"/>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row>
    <row r="1064" ht="12.75" customHeight="1">
      <c r="A1064" s="4"/>
      <c r="B1064" s="4"/>
      <c r="C1064" s="4"/>
      <c r="D1064" s="4"/>
      <c r="E1064" s="7"/>
      <c r="F1064" s="4"/>
      <c r="G1064" s="4"/>
      <c r="H1064" s="10"/>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row>
    <row r="1065" ht="12.75" customHeight="1">
      <c r="A1065" s="4"/>
      <c r="B1065" s="4"/>
      <c r="C1065" s="4"/>
      <c r="D1065" s="4"/>
      <c r="E1065" s="7"/>
      <c r="F1065" s="4"/>
      <c r="G1065" s="4"/>
      <c r="H1065" s="10"/>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row>
    <row r="1066" ht="12.75" customHeight="1">
      <c r="A1066" s="4"/>
      <c r="B1066" s="4"/>
      <c r="C1066" s="4"/>
      <c r="D1066" s="4"/>
      <c r="E1066" s="7"/>
      <c r="F1066" s="4"/>
      <c r="G1066" s="4"/>
      <c r="H1066" s="10"/>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row>
    <row r="1067" ht="12.75" customHeight="1">
      <c r="A1067" s="4"/>
      <c r="B1067" s="4"/>
      <c r="C1067" s="4"/>
      <c r="D1067" s="4"/>
      <c r="E1067" s="7"/>
      <c r="F1067" s="4"/>
      <c r="G1067" s="4"/>
      <c r="H1067" s="10"/>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row>
    <row r="1068" ht="12.75" customHeight="1">
      <c r="A1068" s="4"/>
      <c r="B1068" s="4"/>
      <c r="C1068" s="4"/>
      <c r="D1068" s="4"/>
      <c r="E1068" s="7"/>
      <c r="F1068" s="4"/>
      <c r="G1068" s="4"/>
      <c r="H1068" s="10"/>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row>
    <row r="1069" ht="12.75" customHeight="1">
      <c r="A1069" s="4"/>
      <c r="B1069" s="4"/>
      <c r="C1069" s="4"/>
      <c r="D1069" s="4"/>
      <c r="E1069" s="7"/>
      <c r="F1069" s="4"/>
      <c r="G1069" s="4"/>
      <c r="H1069" s="10"/>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row>
    <row r="1070" ht="12.75" customHeight="1">
      <c r="A1070" s="4"/>
      <c r="B1070" s="4"/>
      <c r="C1070" s="4"/>
      <c r="D1070" s="4"/>
      <c r="E1070" s="7"/>
      <c r="F1070" s="4"/>
      <c r="G1070" s="4"/>
      <c r="H1070" s="10"/>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row>
    <row r="1071" ht="12.75" customHeight="1">
      <c r="A1071" s="4"/>
      <c r="B1071" s="4"/>
      <c r="C1071" s="4"/>
      <c r="D1071" s="4"/>
      <c r="E1071" s="7"/>
      <c r="F1071" s="4"/>
      <c r="G1071" s="4"/>
      <c r="H1071" s="10"/>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row>
    <row r="1072" ht="12.75" customHeight="1">
      <c r="A1072" s="4"/>
      <c r="B1072" s="4"/>
      <c r="C1072" s="4"/>
      <c r="D1072" s="4"/>
      <c r="E1072" s="7"/>
      <c r="F1072" s="4"/>
      <c r="G1072" s="4"/>
      <c r="H1072" s="10"/>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row>
    <row r="1073" ht="12.75" customHeight="1">
      <c r="A1073" s="4"/>
      <c r="B1073" s="4"/>
      <c r="C1073" s="4"/>
      <c r="D1073" s="4"/>
      <c r="E1073" s="7"/>
      <c r="F1073" s="4"/>
      <c r="G1073" s="4"/>
      <c r="H1073" s="10"/>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row>
    <row r="1074" ht="12.75" customHeight="1">
      <c r="A1074" s="4"/>
      <c r="B1074" s="4"/>
      <c r="C1074" s="4"/>
      <c r="D1074" s="4"/>
      <c r="E1074" s="7"/>
      <c r="F1074" s="4"/>
      <c r="G1074" s="4"/>
      <c r="H1074" s="10"/>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row>
    <row r="1075" ht="12.75" customHeight="1">
      <c r="A1075" s="4"/>
      <c r="B1075" s="4"/>
      <c r="C1075" s="4"/>
      <c r="D1075" s="4"/>
      <c r="E1075" s="7"/>
      <c r="F1075" s="4"/>
      <c r="G1075" s="4"/>
      <c r="H1075" s="10"/>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row>
    <row r="1076" ht="12.75" customHeight="1">
      <c r="A1076" s="4"/>
      <c r="B1076" s="4"/>
      <c r="C1076" s="4"/>
      <c r="D1076" s="4"/>
      <c r="E1076" s="7"/>
      <c r="F1076" s="4"/>
      <c r="G1076" s="4"/>
      <c r="H1076" s="10"/>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row>
    <row r="1077" ht="12.75" customHeight="1">
      <c r="A1077" s="4"/>
      <c r="B1077" s="4"/>
      <c r="C1077" s="4"/>
      <c r="D1077" s="4"/>
      <c r="E1077" s="7"/>
      <c r="F1077" s="4"/>
      <c r="G1077" s="4"/>
      <c r="H1077" s="10"/>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row>
    <row r="1078" ht="12.75" customHeight="1">
      <c r="A1078" s="4"/>
      <c r="B1078" s="4"/>
      <c r="C1078" s="4"/>
      <c r="D1078" s="4"/>
      <c r="E1078" s="7"/>
      <c r="F1078" s="4"/>
      <c r="G1078" s="4"/>
      <c r="H1078" s="10"/>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row>
    <row r="1079" ht="12.75" customHeight="1">
      <c r="A1079" s="4"/>
      <c r="B1079" s="4"/>
      <c r="C1079" s="4"/>
      <c r="D1079" s="4"/>
      <c r="E1079" s="7"/>
      <c r="F1079" s="4"/>
      <c r="G1079" s="4"/>
      <c r="H1079" s="10"/>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row>
    <row r="1080" ht="12.75" customHeight="1">
      <c r="A1080" s="4"/>
      <c r="B1080" s="4"/>
      <c r="C1080" s="4"/>
      <c r="D1080" s="4"/>
      <c r="E1080" s="7"/>
      <c r="F1080" s="4"/>
      <c r="G1080" s="4"/>
      <c r="H1080" s="10"/>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row>
    <row r="1081" ht="12.75" customHeight="1">
      <c r="A1081" s="4"/>
      <c r="B1081" s="4"/>
      <c r="C1081" s="4"/>
      <c r="D1081" s="4"/>
      <c r="E1081" s="7"/>
      <c r="F1081" s="4"/>
      <c r="G1081" s="4"/>
      <c r="H1081" s="10"/>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row>
    <row r="1082" ht="12.75" customHeight="1">
      <c r="A1082" s="4"/>
      <c r="B1082" s="4"/>
      <c r="C1082" s="4"/>
      <c r="D1082" s="4"/>
      <c r="E1082" s="7"/>
      <c r="F1082" s="4"/>
      <c r="G1082" s="4"/>
      <c r="H1082" s="10"/>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row>
    <row r="1083" ht="12.75" customHeight="1">
      <c r="A1083" s="4"/>
      <c r="B1083" s="4"/>
      <c r="C1083" s="4"/>
      <c r="D1083" s="4"/>
      <c r="E1083" s="7"/>
      <c r="F1083" s="4"/>
      <c r="G1083" s="4"/>
      <c r="H1083" s="10"/>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row>
    <row r="1084" ht="12.75" customHeight="1">
      <c r="A1084" s="4"/>
      <c r="B1084" s="4"/>
      <c r="C1084" s="4"/>
      <c r="D1084" s="4"/>
      <c r="E1084" s="7"/>
      <c r="F1084" s="4"/>
      <c r="G1084" s="4"/>
      <c r="H1084" s="10"/>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row>
    <row r="1085" ht="12.75" customHeight="1">
      <c r="A1085" s="4"/>
      <c r="B1085" s="4"/>
      <c r="C1085" s="4"/>
      <c r="D1085" s="4"/>
      <c r="E1085" s="7"/>
      <c r="F1085" s="4"/>
      <c r="G1085" s="4"/>
      <c r="H1085" s="10"/>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row>
    <row r="1086" ht="12.75" customHeight="1">
      <c r="A1086" s="4"/>
      <c r="B1086" s="4"/>
      <c r="C1086" s="4"/>
      <c r="D1086" s="4"/>
      <c r="E1086" s="7"/>
      <c r="F1086" s="4"/>
      <c r="G1086" s="4"/>
      <c r="H1086" s="10"/>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row>
    <row r="1087" ht="12.75" customHeight="1">
      <c r="A1087" s="4"/>
      <c r="B1087" s="4"/>
      <c r="C1087" s="4"/>
      <c r="D1087" s="4"/>
      <c r="E1087" s="7"/>
      <c r="F1087" s="4"/>
      <c r="G1087" s="4"/>
      <c r="H1087" s="10"/>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row>
    <row r="1088" ht="12.75" customHeight="1">
      <c r="A1088" s="4"/>
      <c r="B1088" s="4"/>
      <c r="C1088" s="4"/>
      <c r="D1088" s="4"/>
      <c r="E1088" s="7"/>
      <c r="F1088" s="4"/>
      <c r="G1088" s="4"/>
      <c r="H1088" s="10"/>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row>
    <row r="1089" ht="12.75" customHeight="1">
      <c r="A1089" s="4"/>
      <c r="B1089" s="4"/>
      <c r="C1089" s="4"/>
      <c r="D1089" s="4"/>
      <c r="E1089" s="7"/>
      <c r="F1089" s="4"/>
      <c r="G1089" s="4"/>
      <c r="H1089" s="10"/>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row>
    <row r="1090" ht="12.75" customHeight="1">
      <c r="A1090" s="4"/>
      <c r="B1090" s="4"/>
      <c r="C1090" s="4"/>
      <c r="D1090" s="4"/>
      <c r="E1090" s="7"/>
      <c r="F1090" s="4"/>
      <c r="G1090" s="4"/>
      <c r="H1090" s="10"/>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row>
    <row r="1091" ht="12.75" customHeight="1">
      <c r="A1091" s="4"/>
      <c r="B1091" s="4"/>
      <c r="C1091" s="4"/>
      <c r="D1091" s="4"/>
      <c r="E1091" s="7"/>
      <c r="F1091" s="4"/>
      <c r="G1091" s="4"/>
      <c r="H1091" s="10"/>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row>
    <row r="1092" ht="12.75" customHeight="1">
      <c r="A1092" s="4"/>
      <c r="B1092" s="4"/>
      <c r="C1092" s="4"/>
      <c r="D1092" s="4"/>
      <c r="E1092" s="7"/>
      <c r="F1092" s="4"/>
      <c r="G1092" s="4"/>
      <c r="H1092" s="10"/>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row>
    <row r="1093" ht="12.75" customHeight="1">
      <c r="A1093" s="4"/>
      <c r="B1093" s="4"/>
      <c r="C1093" s="4"/>
      <c r="D1093" s="4"/>
      <c r="E1093" s="7"/>
      <c r="F1093" s="4"/>
      <c r="G1093" s="4"/>
      <c r="H1093" s="10"/>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row>
    <row r="1094" ht="12.75" customHeight="1">
      <c r="A1094" s="4"/>
      <c r="B1094" s="4"/>
      <c r="C1094" s="4"/>
      <c r="D1094" s="4"/>
      <c r="E1094" s="7"/>
      <c r="F1094" s="4"/>
      <c r="G1094" s="4"/>
      <c r="H1094" s="10"/>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row>
    <row r="1095" ht="12.75" customHeight="1">
      <c r="A1095" s="4"/>
      <c r="B1095" s="4"/>
      <c r="C1095" s="4"/>
      <c r="D1095" s="4"/>
      <c r="E1095" s="7"/>
      <c r="F1095" s="4"/>
      <c r="G1095" s="4"/>
      <c r="H1095" s="10"/>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row>
    <row r="1096" ht="12.75" customHeight="1">
      <c r="A1096" s="4"/>
      <c r="B1096" s="4"/>
      <c r="C1096" s="4"/>
      <c r="D1096" s="4"/>
      <c r="E1096" s="7"/>
      <c r="F1096" s="4"/>
      <c r="G1096" s="4"/>
      <c r="H1096" s="10"/>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row>
    <row r="1097" ht="12.75" customHeight="1">
      <c r="A1097" s="4"/>
      <c r="B1097" s="4"/>
      <c r="C1097" s="4"/>
      <c r="D1097" s="4"/>
      <c r="E1097" s="7"/>
      <c r="F1097" s="4"/>
      <c r="G1097" s="4"/>
      <c r="H1097" s="10"/>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row>
    <row r="1098" ht="12.75" customHeight="1">
      <c r="A1098" s="4"/>
      <c r="B1098" s="4"/>
      <c r="C1098" s="4"/>
      <c r="D1098" s="4"/>
      <c r="E1098" s="7"/>
      <c r="F1098" s="4"/>
      <c r="G1098" s="4"/>
      <c r="H1098" s="10"/>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row>
    <row r="1099" ht="12.75" customHeight="1">
      <c r="A1099" s="4"/>
      <c r="B1099" s="4"/>
      <c r="C1099" s="4"/>
      <c r="D1099" s="4"/>
      <c r="E1099" s="7"/>
      <c r="F1099" s="4"/>
      <c r="G1099" s="4"/>
      <c r="H1099" s="10"/>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row>
    <row r="1100" ht="12.75" customHeight="1">
      <c r="A1100" s="4"/>
      <c r="B1100" s="4"/>
      <c r="C1100" s="4"/>
      <c r="D1100" s="4"/>
      <c r="E1100" s="7"/>
      <c r="F1100" s="4"/>
      <c r="G1100" s="4"/>
      <c r="H1100" s="10"/>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row>
    <row r="1101" ht="12.75" customHeight="1">
      <c r="A1101" s="4"/>
      <c r="B1101" s="4"/>
      <c r="C1101" s="4"/>
      <c r="D1101" s="4"/>
      <c r="E1101" s="7"/>
      <c r="F1101" s="4"/>
      <c r="G1101" s="4"/>
      <c r="H1101" s="10"/>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row>
    <row r="1102" ht="12.75" customHeight="1">
      <c r="A1102" s="4"/>
      <c r="B1102" s="4"/>
      <c r="C1102" s="4"/>
      <c r="D1102" s="4"/>
      <c r="E1102" s="7"/>
      <c r="F1102" s="4"/>
      <c r="G1102" s="4"/>
      <c r="H1102" s="10"/>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row>
    <row r="1103" ht="12.75" customHeight="1">
      <c r="A1103" s="4"/>
      <c r="B1103" s="4"/>
      <c r="C1103" s="4"/>
      <c r="D1103" s="4"/>
      <c r="E1103" s="7"/>
      <c r="F1103" s="4"/>
      <c r="G1103" s="4"/>
      <c r="H1103" s="10"/>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row>
    <row r="1104" ht="12.75" customHeight="1">
      <c r="A1104" s="4"/>
      <c r="B1104" s="4"/>
      <c r="C1104" s="4"/>
      <c r="D1104" s="4"/>
      <c r="E1104" s="7"/>
      <c r="F1104" s="4"/>
      <c r="G1104" s="4"/>
      <c r="H1104" s="10"/>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row>
    <row r="1105" ht="12.75" customHeight="1">
      <c r="A1105" s="4"/>
      <c r="B1105" s="4"/>
      <c r="C1105" s="4"/>
      <c r="D1105" s="4"/>
      <c r="E1105" s="7"/>
      <c r="F1105" s="4"/>
      <c r="G1105" s="4"/>
      <c r="H1105" s="10"/>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row>
    <row r="1106" ht="12.75" customHeight="1">
      <c r="A1106" s="4"/>
      <c r="B1106" s="4"/>
      <c r="C1106" s="4"/>
      <c r="D1106" s="4"/>
      <c r="E1106" s="7"/>
      <c r="F1106" s="4"/>
      <c r="G1106" s="4"/>
      <c r="H1106" s="10"/>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row>
    <row r="1107" ht="12.75" customHeight="1">
      <c r="A1107" s="4"/>
      <c r="B1107" s="4"/>
      <c r="C1107" s="4"/>
      <c r="D1107" s="4"/>
      <c r="E1107" s="7"/>
      <c r="F1107" s="4"/>
      <c r="G1107" s="4"/>
      <c r="H1107" s="10"/>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row>
    <row r="1108" ht="12.75" customHeight="1">
      <c r="A1108" s="4"/>
      <c r="B1108" s="4"/>
      <c r="C1108" s="4"/>
      <c r="D1108" s="4"/>
      <c r="E1108" s="7"/>
      <c r="F1108" s="4"/>
      <c r="G1108" s="4"/>
      <c r="H1108" s="10"/>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row>
    <row r="1109" ht="12.75" customHeight="1">
      <c r="A1109" s="4"/>
      <c r="B1109" s="4"/>
      <c r="C1109" s="4"/>
      <c r="D1109" s="4"/>
      <c r="E1109" s="7"/>
      <c r="F1109" s="4"/>
      <c r="G1109" s="4"/>
      <c r="H1109" s="10"/>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row>
    <row r="1110" ht="12.75" customHeight="1">
      <c r="A1110" s="4"/>
      <c r="B1110" s="4"/>
      <c r="C1110" s="4"/>
      <c r="D1110" s="4"/>
      <c r="E1110" s="7"/>
      <c r="F1110" s="4"/>
      <c r="G1110" s="4"/>
      <c r="H1110" s="10"/>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row>
    <row r="1111" ht="12.75" customHeight="1">
      <c r="A1111" s="4"/>
      <c r="B1111" s="4"/>
      <c r="C1111" s="4"/>
      <c r="D1111" s="4"/>
      <c r="E1111" s="7"/>
      <c r="F1111" s="4"/>
      <c r="G1111" s="4"/>
      <c r="H1111" s="10"/>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row>
    <row r="1112" ht="12.75" customHeight="1">
      <c r="A1112" s="4"/>
      <c r="B1112" s="4"/>
      <c r="C1112" s="4"/>
      <c r="D1112" s="4"/>
      <c r="E1112" s="7"/>
      <c r="F1112" s="4"/>
      <c r="G1112" s="4"/>
      <c r="H1112" s="10"/>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row>
    <row r="1113" ht="12.75" customHeight="1">
      <c r="A1113" s="4"/>
      <c r="B1113" s="4"/>
      <c r="C1113" s="4"/>
      <c r="D1113" s="4"/>
      <c r="E1113" s="7"/>
      <c r="F1113" s="4"/>
      <c r="G1113" s="4"/>
      <c r="H1113" s="10"/>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row>
    <row r="1114" ht="12.75" customHeight="1">
      <c r="A1114" s="4"/>
      <c r="B1114" s="4"/>
      <c r="C1114" s="4"/>
      <c r="D1114" s="4"/>
      <c r="E1114" s="7"/>
      <c r="F1114" s="4"/>
      <c r="G1114" s="4"/>
      <c r="H1114" s="10"/>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row>
    <row r="1115" ht="12.75" customHeight="1">
      <c r="A1115" s="4"/>
      <c r="B1115" s="4"/>
      <c r="C1115" s="4"/>
      <c r="D1115" s="4"/>
      <c r="E1115" s="7"/>
      <c r="F1115" s="4"/>
      <c r="G1115" s="4"/>
      <c r="H1115" s="10"/>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row>
    <row r="1116" ht="12.75" customHeight="1">
      <c r="A1116" s="4"/>
      <c r="B1116" s="4"/>
      <c r="C1116" s="4"/>
      <c r="D1116" s="4"/>
      <c r="E1116" s="7"/>
      <c r="F1116" s="4"/>
      <c r="G1116" s="4"/>
      <c r="H1116" s="10"/>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row>
    <row r="1117" ht="12.75" customHeight="1">
      <c r="A1117" s="4"/>
      <c r="B1117" s="4"/>
      <c r="C1117" s="4"/>
      <c r="D1117" s="4"/>
      <c r="E1117" s="7"/>
      <c r="F1117" s="4"/>
      <c r="G1117" s="4"/>
      <c r="H1117" s="10"/>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row>
    <row r="1118" ht="12.75" customHeight="1">
      <c r="A1118" s="4"/>
      <c r="B1118" s="4"/>
      <c r="C1118" s="4"/>
      <c r="D1118" s="4"/>
      <c r="E1118" s="7"/>
      <c r="F1118" s="4"/>
      <c r="G1118" s="4"/>
      <c r="H1118" s="10"/>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row>
    <row r="1119" ht="12.75" customHeight="1">
      <c r="A1119" s="4"/>
      <c r="B1119" s="4"/>
      <c r="C1119" s="4"/>
      <c r="D1119" s="4"/>
      <c r="E1119" s="7"/>
      <c r="F1119" s="4"/>
      <c r="G1119" s="4"/>
      <c r="H1119" s="10"/>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row>
    <row r="1120" ht="12.75" customHeight="1">
      <c r="A1120" s="4"/>
      <c r="B1120" s="4"/>
      <c r="C1120" s="4"/>
      <c r="D1120" s="4"/>
      <c r="E1120" s="7"/>
      <c r="F1120" s="4"/>
      <c r="G1120" s="4"/>
      <c r="H1120" s="10"/>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row>
    <row r="1121" ht="12.75" customHeight="1">
      <c r="A1121" s="4"/>
      <c r="B1121" s="4"/>
      <c r="C1121" s="4"/>
      <c r="D1121" s="4"/>
      <c r="E1121" s="7"/>
      <c r="F1121" s="4"/>
      <c r="G1121" s="4"/>
      <c r="H1121" s="10"/>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row>
    <row r="1122" ht="12.75" customHeight="1">
      <c r="A1122" s="4"/>
      <c r="B1122" s="4"/>
      <c r="C1122" s="4"/>
      <c r="D1122" s="4"/>
      <c r="E1122" s="7"/>
      <c r="F1122" s="4"/>
      <c r="G1122" s="4"/>
      <c r="H1122" s="10"/>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row>
    <row r="1123" ht="12.75" customHeight="1">
      <c r="A1123" s="4"/>
      <c r="B1123" s="4"/>
      <c r="C1123" s="4"/>
      <c r="D1123" s="4"/>
      <c r="E1123" s="7"/>
      <c r="F1123" s="4"/>
      <c r="G1123" s="4"/>
      <c r="H1123" s="10"/>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row>
    <row r="1124" ht="12.75" customHeight="1">
      <c r="A1124" s="4"/>
      <c r="B1124" s="4"/>
      <c r="C1124" s="4"/>
      <c r="D1124" s="4"/>
      <c r="E1124" s="7"/>
      <c r="F1124" s="4"/>
      <c r="G1124" s="4"/>
      <c r="H1124" s="10"/>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row>
    <row r="1125" ht="12.75" customHeight="1">
      <c r="A1125" s="4"/>
      <c r="B1125" s="4"/>
      <c r="C1125" s="4"/>
      <c r="D1125" s="4"/>
      <c r="E1125" s="7"/>
      <c r="F1125" s="4"/>
      <c r="G1125" s="4"/>
      <c r="H1125" s="10"/>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row>
    <row r="1126" ht="12.75" customHeight="1">
      <c r="A1126" s="4"/>
      <c r="B1126" s="4"/>
      <c r="C1126" s="4"/>
      <c r="D1126" s="4"/>
      <c r="E1126" s="7"/>
      <c r="F1126" s="4"/>
      <c r="G1126" s="4"/>
      <c r="H1126" s="10"/>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row>
    <row r="1127" ht="12.75" customHeight="1">
      <c r="A1127" s="4"/>
      <c r="B1127" s="4"/>
      <c r="C1127" s="4"/>
      <c r="D1127" s="4"/>
      <c r="E1127" s="7"/>
      <c r="F1127" s="4"/>
      <c r="G1127" s="4"/>
      <c r="H1127" s="10"/>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row>
    <row r="1128" ht="12.75" customHeight="1">
      <c r="A1128" s="4"/>
      <c r="B1128" s="4"/>
      <c r="C1128" s="4"/>
      <c r="D1128" s="4"/>
      <c r="E1128" s="7"/>
      <c r="F1128" s="4"/>
      <c r="G1128" s="4"/>
      <c r="H1128" s="10"/>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row>
    <row r="1129" ht="12.75" customHeight="1">
      <c r="A1129" s="4"/>
      <c r="B1129" s="4"/>
      <c r="C1129" s="4"/>
      <c r="D1129" s="4"/>
      <c r="E1129" s="7"/>
      <c r="F1129" s="4"/>
      <c r="G1129" s="4"/>
      <c r="H1129" s="10"/>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row>
    <row r="1130" ht="12.75" customHeight="1">
      <c r="A1130" s="4"/>
      <c r="B1130" s="4"/>
      <c r="C1130" s="4"/>
      <c r="D1130" s="4"/>
      <c r="E1130" s="7"/>
      <c r="F1130" s="4"/>
      <c r="G1130" s="4"/>
      <c r="H1130" s="10"/>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row>
    <row r="1131" ht="12.75" customHeight="1">
      <c r="A1131" s="4"/>
      <c r="B1131" s="4"/>
      <c r="C1131" s="4"/>
      <c r="D1131" s="4"/>
      <c r="E1131" s="7"/>
      <c r="F1131" s="4"/>
      <c r="G1131" s="4"/>
      <c r="H1131" s="10"/>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row>
    <row r="1132" ht="12.75" customHeight="1">
      <c r="A1132" s="4"/>
      <c r="B1132" s="4"/>
      <c r="C1132" s="4"/>
      <c r="D1132" s="4"/>
      <c r="E1132" s="7"/>
      <c r="F1132" s="4"/>
      <c r="G1132" s="4"/>
      <c r="H1132" s="10"/>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row>
    <row r="1133" ht="12.75" customHeight="1">
      <c r="A1133" s="4"/>
      <c r="B1133" s="4"/>
      <c r="C1133" s="4"/>
      <c r="D1133" s="4"/>
      <c r="E1133" s="7"/>
      <c r="F1133" s="4"/>
      <c r="G1133" s="4"/>
      <c r="H1133" s="10"/>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row>
    <row r="1134" ht="12.75" customHeight="1">
      <c r="A1134" s="4"/>
      <c r="B1134" s="4"/>
      <c r="C1134" s="4"/>
      <c r="D1134" s="4"/>
      <c r="E1134" s="7"/>
      <c r="F1134" s="4"/>
      <c r="G1134" s="4"/>
      <c r="H1134" s="10"/>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row>
    <row r="1135" ht="12.75" customHeight="1">
      <c r="A1135" s="4"/>
      <c r="B1135" s="4"/>
      <c r="C1135" s="4"/>
      <c r="D1135" s="4"/>
      <c r="E1135" s="7"/>
      <c r="F1135" s="4"/>
      <c r="G1135" s="4"/>
      <c r="H1135" s="10"/>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row>
    <row r="1136" ht="12.75" customHeight="1">
      <c r="A1136" s="4"/>
      <c r="B1136" s="4"/>
      <c r="C1136" s="4"/>
      <c r="D1136" s="4"/>
      <c r="E1136" s="7"/>
      <c r="F1136" s="4"/>
      <c r="G1136" s="4"/>
      <c r="H1136" s="10"/>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row>
    <row r="1137" ht="12.75" customHeight="1">
      <c r="A1137" s="4"/>
      <c r="B1137" s="4"/>
      <c r="C1137" s="4"/>
      <c r="D1137" s="4"/>
      <c r="E1137" s="7"/>
      <c r="F1137" s="4"/>
      <c r="G1137" s="4"/>
      <c r="H1137" s="10"/>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row>
    <row r="1138" ht="12.75" customHeight="1">
      <c r="A1138" s="4"/>
      <c r="B1138" s="4"/>
      <c r="C1138" s="4"/>
      <c r="D1138" s="4"/>
      <c r="E1138" s="7"/>
      <c r="F1138" s="4"/>
      <c r="G1138" s="4"/>
      <c r="H1138" s="10"/>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row>
    <row r="1139" ht="12.75" customHeight="1">
      <c r="A1139" s="4"/>
      <c r="B1139" s="4"/>
      <c r="C1139" s="4"/>
      <c r="D1139" s="4"/>
      <c r="E1139" s="7"/>
      <c r="F1139" s="4"/>
      <c r="G1139" s="4"/>
      <c r="H1139" s="10"/>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row>
    <row r="1140" ht="12.75" customHeight="1">
      <c r="A1140" s="4"/>
      <c r="B1140" s="4"/>
      <c r="C1140" s="4"/>
      <c r="D1140" s="4"/>
      <c r="E1140" s="7"/>
      <c r="F1140" s="4"/>
      <c r="G1140" s="4"/>
      <c r="H1140" s="10"/>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row>
    <row r="1141" ht="12.75" customHeight="1">
      <c r="A1141" s="4"/>
      <c r="B1141" s="4"/>
      <c r="C1141" s="4"/>
      <c r="D1141" s="4"/>
      <c r="E1141" s="7"/>
      <c r="F1141" s="4"/>
      <c r="G1141" s="4"/>
      <c r="H1141" s="10"/>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row>
    <row r="1142" ht="12.75" customHeight="1">
      <c r="A1142" s="4"/>
      <c r="B1142" s="4"/>
      <c r="C1142" s="4"/>
      <c r="D1142" s="4"/>
      <c r="E1142" s="7"/>
      <c r="F1142" s="4"/>
      <c r="G1142" s="4"/>
      <c r="H1142" s="10"/>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row>
    <row r="1143" ht="12.75" customHeight="1">
      <c r="A1143" s="4"/>
      <c r="B1143" s="4"/>
      <c r="C1143" s="4"/>
      <c r="D1143" s="4"/>
      <c r="E1143" s="7"/>
      <c r="F1143" s="4"/>
      <c r="G1143" s="4"/>
      <c r="H1143" s="10"/>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row>
    <row r="1144" ht="12.75" customHeight="1">
      <c r="A1144" s="4"/>
      <c r="B1144" s="4"/>
      <c r="C1144" s="4"/>
      <c r="D1144" s="4"/>
      <c r="E1144" s="7"/>
      <c r="F1144" s="4"/>
      <c r="G1144" s="4"/>
      <c r="H1144" s="10"/>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row>
    <row r="1145" ht="12.75" customHeight="1">
      <c r="A1145" s="4"/>
      <c r="B1145" s="4"/>
      <c r="C1145" s="4"/>
      <c r="D1145" s="4"/>
      <c r="E1145" s="7"/>
      <c r="F1145" s="4"/>
      <c r="G1145" s="4"/>
      <c r="H1145" s="10"/>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row>
    <row r="1146" ht="12.75" customHeight="1">
      <c r="A1146" s="4"/>
      <c r="B1146" s="4"/>
      <c r="C1146" s="4"/>
      <c r="D1146" s="4"/>
      <c r="E1146" s="7"/>
      <c r="F1146" s="4"/>
      <c r="G1146" s="4"/>
      <c r="H1146" s="10"/>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row>
    <row r="1147" ht="12.75" customHeight="1">
      <c r="A1147" s="4"/>
      <c r="B1147" s="4"/>
      <c r="C1147" s="4"/>
      <c r="D1147" s="4"/>
      <c r="E1147" s="7"/>
      <c r="F1147" s="4"/>
      <c r="G1147" s="4"/>
      <c r="H1147" s="10"/>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row>
    <row r="1148" ht="12.75" customHeight="1">
      <c r="A1148" s="4"/>
      <c r="B1148" s="4"/>
      <c r="C1148" s="4"/>
      <c r="D1148" s="4"/>
      <c r="E1148" s="7"/>
      <c r="F1148" s="4"/>
      <c r="G1148" s="4"/>
      <c r="H1148" s="10"/>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row>
    <row r="1149" ht="12.75" customHeight="1">
      <c r="A1149" s="4"/>
      <c r="B1149" s="4"/>
      <c r="C1149" s="4"/>
      <c r="D1149" s="4"/>
      <c r="E1149" s="7"/>
      <c r="F1149" s="4"/>
      <c r="G1149" s="4"/>
      <c r="H1149" s="10"/>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row>
    <row r="1150" ht="12.75" customHeight="1">
      <c r="A1150" s="4"/>
      <c r="B1150" s="4"/>
      <c r="C1150" s="4"/>
      <c r="D1150" s="4"/>
      <c r="E1150" s="7"/>
      <c r="F1150" s="4"/>
      <c r="G1150" s="4"/>
      <c r="H1150" s="10"/>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row>
    <row r="1151" ht="12.75" customHeight="1">
      <c r="A1151" s="4"/>
      <c r="B1151" s="4"/>
      <c r="C1151" s="4"/>
      <c r="D1151" s="4"/>
      <c r="E1151" s="7"/>
      <c r="F1151" s="4"/>
      <c r="G1151" s="4"/>
      <c r="H1151" s="10"/>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row>
    <row r="1152" ht="12.75" customHeight="1">
      <c r="A1152" s="4"/>
      <c r="B1152" s="4"/>
      <c r="C1152" s="4"/>
      <c r="D1152" s="4"/>
      <c r="E1152" s="7"/>
      <c r="F1152" s="4"/>
      <c r="G1152" s="4"/>
      <c r="H1152" s="10"/>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row>
    <row r="1153" ht="12.75" customHeight="1">
      <c r="A1153" s="4"/>
      <c r="B1153" s="4"/>
      <c r="C1153" s="4"/>
      <c r="D1153" s="4"/>
      <c r="E1153" s="7"/>
      <c r="F1153" s="4"/>
      <c r="G1153" s="4"/>
      <c r="H1153" s="10"/>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row>
    <row r="1154" ht="12.75" customHeight="1">
      <c r="A1154" s="4"/>
      <c r="B1154" s="4"/>
      <c r="C1154" s="4"/>
      <c r="D1154" s="4"/>
      <c r="E1154" s="7"/>
      <c r="F1154" s="4"/>
      <c r="G1154" s="4"/>
      <c r="H1154" s="10"/>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row>
    <row r="1155" ht="12.75" customHeight="1">
      <c r="A1155" s="4"/>
      <c r="B1155" s="4"/>
      <c r="C1155" s="4"/>
      <c r="D1155" s="4"/>
      <c r="E1155" s="7"/>
      <c r="F1155" s="4"/>
      <c r="G1155" s="4"/>
      <c r="H1155" s="10"/>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row>
    <row r="1156" ht="12.75" customHeight="1">
      <c r="A1156" s="4"/>
      <c r="B1156" s="4"/>
      <c r="C1156" s="4"/>
      <c r="D1156" s="4"/>
      <c r="E1156" s="7"/>
      <c r="F1156" s="4"/>
      <c r="G1156" s="4"/>
      <c r="H1156" s="10"/>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row>
    <row r="1157" ht="12.75" customHeight="1">
      <c r="A1157" s="4"/>
      <c r="B1157" s="4"/>
      <c r="C1157" s="4"/>
      <c r="D1157" s="4"/>
      <c r="E1157" s="7"/>
      <c r="F1157" s="4"/>
      <c r="G1157" s="4"/>
      <c r="H1157" s="10"/>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row>
    <row r="1158" ht="12.75" customHeight="1">
      <c r="A1158" s="4"/>
      <c r="B1158" s="4"/>
      <c r="C1158" s="4"/>
      <c r="D1158" s="4"/>
      <c r="E1158" s="7"/>
      <c r="F1158" s="4"/>
      <c r="G1158" s="4"/>
      <c r="H1158" s="10"/>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row>
    <row r="1159" ht="12.75" customHeight="1">
      <c r="A1159" s="4"/>
      <c r="B1159" s="4"/>
      <c r="C1159" s="4"/>
      <c r="D1159" s="4"/>
      <c r="E1159" s="7"/>
      <c r="F1159" s="4"/>
      <c r="G1159" s="4"/>
      <c r="H1159" s="10"/>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row>
    <row r="1160" ht="12.75" customHeight="1">
      <c r="A1160" s="4"/>
      <c r="B1160" s="4"/>
      <c r="C1160" s="4"/>
      <c r="D1160" s="4"/>
      <c r="E1160" s="7"/>
      <c r="F1160" s="4"/>
      <c r="G1160" s="4"/>
      <c r="H1160" s="10"/>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row>
    <row r="1161" ht="12.75" customHeight="1">
      <c r="A1161" s="4"/>
      <c r="B1161" s="4"/>
      <c r="C1161" s="4"/>
      <c r="D1161" s="4"/>
      <c r="E1161" s="7"/>
      <c r="F1161" s="4"/>
      <c r="G1161" s="4"/>
      <c r="H1161" s="10"/>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row>
    <row r="1162" ht="12.75" customHeight="1">
      <c r="A1162" s="4"/>
      <c r="B1162" s="4"/>
      <c r="C1162" s="4"/>
      <c r="D1162" s="4"/>
      <c r="E1162" s="7"/>
      <c r="F1162" s="4"/>
      <c r="G1162" s="4"/>
      <c r="H1162" s="10"/>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row>
    <row r="1163" ht="12.75" customHeight="1">
      <c r="A1163" s="4"/>
      <c r="B1163" s="4"/>
      <c r="C1163" s="4"/>
      <c r="D1163" s="4"/>
      <c r="E1163" s="7"/>
      <c r="F1163" s="4"/>
      <c r="G1163" s="4"/>
      <c r="H1163" s="10"/>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row>
    <row r="1164" ht="12.75" customHeight="1">
      <c r="A1164" s="4"/>
      <c r="B1164" s="4"/>
      <c r="C1164" s="4"/>
      <c r="D1164" s="4"/>
      <c r="E1164" s="7"/>
      <c r="F1164" s="4"/>
      <c r="G1164" s="4"/>
      <c r="H1164" s="10"/>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row>
    <row r="1165" ht="12.75" customHeight="1">
      <c r="A1165" s="4"/>
      <c r="B1165" s="4"/>
      <c r="C1165" s="4"/>
      <c r="D1165" s="4"/>
      <c r="E1165" s="7"/>
      <c r="F1165" s="4"/>
      <c r="G1165" s="4"/>
      <c r="H1165" s="10"/>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row>
    <row r="1166" ht="12.75" customHeight="1">
      <c r="A1166" s="4"/>
      <c r="B1166" s="4"/>
      <c r="C1166" s="4"/>
      <c r="D1166" s="4"/>
      <c r="E1166" s="7"/>
      <c r="F1166" s="4"/>
      <c r="G1166" s="4"/>
      <c r="H1166" s="10"/>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row>
    <row r="1167" ht="12.75" customHeight="1">
      <c r="A1167" s="4"/>
      <c r="B1167" s="4"/>
      <c r="C1167" s="4"/>
      <c r="D1167" s="4"/>
      <c r="E1167" s="7"/>
      <c r="F1167" s="4"/>
      <c r="G1167" s="4"/>
      <c r="H1167" s="10"/>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row>
    <row r="1168" ht="12.75" customHeight="1">
      <c r="A1168" s="4"/>
      <c r="B1168" s="4"/>
      <c r="C1168" s="4"/>
      <c r="D1168" s="4"/>
      <c r="E1168" s="7"/>
      <c r="F1168" s="4"/>
      <c r="G1168" s="4"/>
      <c r="H1168" s="10"/>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row>
    <row r="1169" ht="12.75" customHeight="1">
      <c r="A1169" s="4"/>
      <c r="B1169" s="4"/>
      <c r="C1169" s="4"/>
      <c r="D1169" s="4"/>
      <c r="E1169" s="7"/>
      <c r="F1169" s="4"/>
      <c r="G1169" s="4"/>
      <c r="H1169" s="10"/>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row>
    <row r="1170" ht="12.75" customHeight="1">
      <c r="A1170" s="4"/>
      <c r="B1170" s="4"/>
      <c r="C1170" s="4"/>
      <c r="D1170" s="4"/>
      <c r="E1170" s="7"/>
      <c r="F1170" s="4"/>
      <c r="G1170" s="4"/>
      <c r="H1170" s="10"/>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row>
    <row r="1171" ht="12.75" customHeight="1">
      <c r="A1171" s="4"/>
      <c r="B1171" s="4"/>
      <c r="C1171" s="4"/>
      <c r="D1171" s="4"/>
      <c r="E1171" s="7"/>
      <c r="F1171" s="4"/>
      <c r="G1171" s="4"/>
      <c r="H1171" s="10"/>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row>
    <row r="1172" ht="12.75" customHeight="1">
      <c r="A1172" s="4"/>
      <c r="B1172" s="4"/>
      <c r="C1172" s="4"/>
      <c r="D1172" s="4"/>
      <c r="E1172" s="7"/>
      <c r="F1172" s="4"/>
      <c r="G1172" s="4"/>
      <c r="H1172" s="10"/>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row>
    <row r="1173" ht="12.75" customHeight="1">
      <c r="A1173" s="4"/>
      <c r="B1173" s="4"/>
      <c r="C1173" s="4"/>
      <c r="D1173" s="4"/>
      <c r="E1173" s="7"/>
      <c r="F1173" s="4"/>
      <c r="G1173" s="4"/>
      <c r="H1173" s="10"/>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row>
    <row r="1174" ht="12.75" customHeight="1">
      <c r="A1174" s="4"/>
      <c r="B1174" s="4"/>
      <c r="C1174" s="4"/>
      <c r="D1174" s="4"/>
      <c r="E1174" s="7"/>
      <c r="F1174" s="4"/>
      <c r="G1174" s="4"/>
      <c r="H1174" s="10"/>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row>
    <row r="1175" ht="12.75" customHeight="1">
      <c r="A1175" s="4"/>
      <c r="B1175" s="4"/>
      <c r="C1175" s="4"/>
      <c r="D1175" s="4"/>
      <c r="E1175" s="7"/>
      <c r="F1175" s="4"/>
      <c r="G1175" s="4"/>
      <c r="H1175" s="10"/>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row>
    <row r="1176" ht="12.75" customHeight="1">
      <c r="A1176" s="4"/>
      <c r="B1176" s="4"/>
      <c r="C1176" s="4"/>
      <c r="D1176" s="4"/>
      <c r="E1176" s="7"/>
      <c r="F1176" s="4"/>
      <c r="G1176" s="4"/>
      <c r="H1176" s="10"/>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row>
    <row r="1177" ht="12.75" customHeight="1">
      <c r="A1177" s="4"/>
      <c r="B1177" s="4"/>
      <c r="C1177" s="4"/>
      <c r="D1177" s="4"/>
      <c r="E1177" s="7"/>
      <c r="F1177" s="4"/>
      <c r="G1177" s="4"/>
      <c r="H1177" s="10"/>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row>
    <row r="1178" ht="12.75" customHeight="1">
      <c r="A1178" s="4"/>
      <c r="B1178" s="4"/>
      <c r="C1178" s="4"/>
      <c r="D1178" s="4"/>
      <c r="E1178" s="7"/>
      <c r="F1178" s="4"/>
      <c r="G1178" s="4"/>
      <c r="H1178" s="10"/>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row>
    <row r="1179" ht="12.75" customHeight="1">
      <c r="A1179" s="4"/>
      <c r="B1179" s="4"/>
      <c r="C1179" s="4"/>
      <c r="D1179" s="4"/>
      <c r="E1179" s="7"/>
      <c r="F1179" s="4"/>
      <c r="G1179" s="4"/>
      <c r="H1179" s="10"/>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row>
    <row r="1180" ht="12.75" customHeight="1">
      <c r="A1180" s="4"/>
      <c r="B1180" s="4"/>
      <c r="C1180" s="4"/>
      <c r="D1180" s="4"/>
      <c r="E1180" s="7"/>
      <c r="F1180" s="4"/>
      <c r="G1180" s="4"/>
      <c r="H1180" s="10"/>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row>
    <row r="1181" ht="12.75" customHeight="1">
      <c r="A1181" s="4"/>
      <c r="B1181" s="4"/>
      <c r="C1181" s="4"/>
      <c r="D1181" s="4"/>
      <c r="E1181" s="7"/>
      <c r="F1181" s="4"/>
      <c r="G1181" s="4"/>
      <c r="H1181" s="10"/>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row>
    <row r="1182" ht="12.75" customHeight="1">
      <c r="A1182" s="4"/>
      <c r="B1182" s="4"/>
      <c r="C1182" s="4"/>
      <c r="D1182" s="4"/>
      <c r="E1182" s="7"/>
      <c r="F1182" s="4"/>
      <c r="G1182" s="4"/>
      <c r="H1182" s="10"/>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row>
    <row r="1183" ht="12.75" customHeight="1">
      <c r="A1183" s="4"/>
      <c r="B1183" s="4"/>
      <c r="C1183" s="4"/>
      <c r="D1183" s="4"/>
      <c r="E1183" s="7"/>
      <c r="F1183" s="4"/>
      <c r="G1183" s="4"/>
      <c r="H1183" s="10"/>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row>
    <row r="1184" ht="12.75" customHeight="1">
      <c r="A1184" s="4"/>
      <c r="B1184" s="4"/>
      <c r="C1184" s="4"/>
      <c r="D1184" s="4"/>
      <c r="E1184" s="7"/>
      <c r="F1184" s="4"/>
      <c r="G1184" s="4"/>
      <c r="H1184" s="10"/>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row>
    <row r="1185" ht="12.75" customHeight="1">
      <c r="A1185" s="4"/>
      <c r="B1185" s="4"/>
      <c r="C1185" s="4"/>
      <c r="D1185" s="4"/>
      <c r="E1185" s="7"/>
      <c r="F1185" s="4"/>
      <c r="G1185" s="4"/>
      <c r="H1185" s="10"/>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row>
    <row r="1186" ht="12.75" customHeight="1">
      <c r="A1186" s="4"/>
      <c r="B1186" s="4"/>
      <c r="C1186" s="4"/>
      <c r="D1186" s="4"/>
      <c r="E1186" s="7"/>
      <c r="F1186" s="4"/>
      <c r="G1186" s="4"/>
      <c r="H1186" s="10"/>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row>
    <row r="1187" ht="12.75" customHeight="1">
      <c r="A1187" s="4"/>
      <c r="B1187" s="4"/>
      <c r="C1187" s="4"/>
      <c r="D1187" s="4"/>
      <c r="E1187" s="7"/>
      <c r="F1187" s="4"/>
      <c r="G1187" s="4"/>
      <c r="H1187" s="10"/>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row>
    <row r="1188" ht="12.75" customHeight="1">
      <c r="A1188" s="4"/>
      <c r="B1188" s="4"/>
      <c r="C1188" s="4"/>
      <c r="D1188" s="4"/>
      <c r="E1188" s="7"/>
      <c r="F1188" s="4"/>
      <c r="G1188" s="4"/>
      <c r="H1188" s="10"/>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row>
    <row r="1189" ht="12.75" customHeight="1">
      <c r="A1189" s="4"/>
      <c r="B1189" s="4"/>
      <c r="C1189" s="4"/>
      <c r="D1189" s="4"/>
      <c r="E1189" s="7"/>
      <c r="F1189" s="4"/>
      <c r="G1189" s="4"/>
      <c r="H1189" s="10"/>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row>
    <row r="1190" ht="12.75" customHeight="1">
      <c r="A1190" s="4"/>
      <c r="B1190" s="4"/>
      <c r="C1190" s="4"/>
      <c r="D1190" s="4"/>
      <c r="E1190" s="7"/>
      <c r="F1190" s="4"/>
      <c r="G1190" s="4"/>
      <c r="H1190" s="10"/>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row>
    <row r="1191" ht="12.75" customHeight="1">
      <c r="A1191" s="4"/>
      <c r="B1191" s="4"/>
      <c r="C1191" s="4"/>
      <c r="D1191" s="4"/>
      <c r="E1191" s="7"/>
      <c r="F1191" s="4"/>
      <c r="G1191" s="4"/>
      <c r="H1191" s="10"/>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row>
    <row r="1192" ht="12.75" customHeight="1">
      <c r="A1192" s="4"/>
      <c r="B1192" s="4"/>
      <c r="C1192" s="4"/>
      <c r="D1192" s="4"/>
      <c r="E1192" s="7"/>
      <c r="F1192" s="4"/>
      <c r="G1192" s="4"/>
      <c r="H1192" s="10"/>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row>
    <row r="1193" ht="12.75" customHeight="1">
      <c r="A1193" s="4"/>
      <c r="B1193" s="4"/>
      <c r="C1193" s="4"/>
      <c r="D1193" s="4"/>
      <c r="E1193" s="7"/>
      <c r="F1193" s="4"/>
      <c r="G1193" s="4"/>
      <c r="H1193" s="10"/>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row>
    <row r="1194" ht="12.75" customHeight="1">
      <c r="A1194" s="4"/>
      <c r="B1194" s="4"/>
      <c r="C1194" s="4"/>
      <c r="D1194" s="4"/>
      <c r="E1194" s="7"/>
      <c r="F1194" s="4"/>
      <c r="G1194" s="4"/>
      <c r="H1194" s="10"/>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row>
    <row r="1195" ht="12.75" customHeight="1">
      <c r="A1195" s="4"/>
      <c r="B1195" s="4"/>
      <c r="C1195" s="4"/>
      <c r="D1195" s="4"/>
      <c r="E1195" s="7"/>
      <c r="F1195" s="4"/>
      <c r="G1195" s="4"/>
      <c r="H1195" s="10"/>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row>
    <row r="1196" ht="12.75" customHeight="1">
      <c r="A1196" s="4"/>
      <c r="B1196" s="4"/>
      <c r="C1196" s="4"/>
      <c r="D1196" s="4"/>
      <c r="E1196" s="7"/>
      <c r="F1196" s="4"/>
      <c r="G1196" s="4"/>
      <c r="H1196" s="10"/>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row>
    <row r="1197" ht="12.75" customHeight="1">
      <c r="A1197" s="4"/>
      <c r="B1197" s="4"/>
      <c r="C1197" s="4"/>
      <c r="D1197" s="4"/>
      <c r="E1197" s="7"/>
      <c r="F1197" s="4"/>
      <c r="G1197" s="4"/>
      <c r="H1197" s="10"/>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row>
    <row r="1198" ht="12.75" customHeight="1">
      <c r="A1198" s="4"/>
      <c r="B1198" s="4"/>
      <c r="C1198" s="4"/>
      <c r="D1198" s="4"/>
      <c r="E1198" s="7"/>
      <c r="F1198" s="4"/>
      <c r="G1198" s="4"/>
      <c r="H1198" s="10"/>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row>
    <row r="1199" ht="12.75" customHeight="1">
      <c r="A1199" s="4"/>
      <c r="B1199" s="4"/>
      <c r="C1199" s="4"/>
      <c r="D1199" s="4"/>
      <c r="E1199" s="7"/>
      <c r="F1199" s="4"/>
      <c r="G1199" s="4"/>
      <c r="H1199" s="10"/>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row>
    <row r="1200" ht="12.75" customHeight="1">
      <c r="A1200" s="4"/>
      <c r="B1200" s="4"/>
      <c r="C1200" s="4"/>
      <c r="D1200" s="4"/>
      <c r="E1200" s="7"/>
      <c r="F1200" s="4"/>
      <c r="G1200" s="4"/>
      <c r="H1200" s="10"/>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row>
    <row r="1201" ht="12.75" customHeight="1">
      <c r="A1201" s="4"/>
      <c r="B1201" s="4"/>
      <c r="C1201" s="4"/>
      <c r="D1201" s="4"/>
      <c r="E1201" s="7"/>
      <c r="F1201" s="4"/>
      <c r="G1201" s="4"/>
      <c r="H1201" s="10"/>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row>
    <row r="1202" ht="12.75" customHeight="1">
      <c r="A1202" s="4"/>
      <c r="B1202" s="4"/>
      <c r="C1202" s="4"/>
      <c r="D1202" s="4"/>
      <c r="E1202" s="7"/>
      <c r="F1202" s="4"/>
      <c r="G1202" s="4"/>
      <c r="H1202" s="10"/>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row>
    <row r="1203" ht="12.75" customHeight="1">
      <c r="A1203" s="4"/>
      <c r="B1203" s="4"/>
      <c r="C1203" s="4"/>
      <c r="D1203" s="4"/>
      <c r="E1203" s="7"/>
      <c r="F1203" s="4"/>
      <c r="G1203" s="4"/>
      <c r="H1203" s="10"/>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row>
    <row r="1204" ht="12.75" customHeight="1">
      <c r="A1204" s="4"/>
      <c r="B1204" s="4"/>
      <c r="C1204" s="4"/>
      <c r="D1204" s="4"/>
      <c r="E1204" s="7"/>
      <c r="F1204" s="4"/>
      <c r="G1204" s="4"/>
      <c r="H1204" s="10"/>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row>
    <row r="1205" ht="12.75" customHeight="1">
      <c r="A1205" s="4"/>
      <c r="B1205" s="4"/>
      <c r="C1205" s="4"/>
      <c r="D1205" s="4"/>
      <c r="E1205" s="7"/>
      <c r="F1205" s="4"/>
      <c r="G1205" s="4"/>
      <c r="H1205" s="10"/>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row>
    <row r="1206" ht="12.75" customHeight="1">
      <c r="A1206" s="4"/>
      <c r="B1206" s="4"/>
      <c r="C1206" s="4"/>
      <c r="D1206" s="4"/>
      <c r="E1206" s="7"/>
      <c r="F1206" s="4"/>
      <c r="G1206" s="4"/>
      <c r="H1206" s="10"/>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row>
    <row r="1207" ht="12.75" customHeight="1">
      <c r="A1207" s="4"/>
      <c r="B1207" s="4"/>
      <c r="C1207" s="4"/>
      <c r="D1207" s="4"/>
      <c r="E1207" s="7"/>
      <c r="F1207" s="4"/>
      <c r="G1207" s="4"/>
      <c r="H1207" s="10"/>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row>
    <row r="1208" ht="12.75" customHeight="1">
      <c r="A1208" s="4"/>
      <c r="B1208" s="4"/>
      <c r="C1208" s="4"/>
      <c r="D1208" s="4"/>
      <c r="E1208" s="7"/>
      <c r="F1208" s="4"/>
      <c r="G1208" s="4"/>
      <c r="H1208" s="10"/>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row>
    <row r="1209" ht="12.75" customHeight="1">
      <c r="A1209" s="4"/>
      <c r="B1209" s="4"/>
      <c r="C1209" s="4"/>
      <c r="D1209" s="4"/>
      <c r="E1209" s="7"/>
      <c r="F1209" s="4"/>
      <c r="G1209" s="4"/>
      <c r="H1209" s="10"/>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row>
    <row r="1210" ht="12.75" customHeight="1">
      <c r="A1210" s="4"/>
      <c r="B1210" s="4"/>
      <c r="C1210" s="4"/>
      <c r="D1210" s="4"/>
      <c r="E1210" s="7"/>
      <c r="F1210" s="4"/>
      <c r="G1210" s="4"/>
      <c r="H1210" s="10"/>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row>
    <row r="1211" ht="12.75" customHeight="1">
      <c r="A1211" s="4"/>
      <c r="B1211" s="4"/>
      <c r="C1211" s="4"/>
      <c r="D1211" s="4"/>
      <c r="E1211" s="7"/>
      <c r="F1211" s="4"/>
      <c r="G1211" s="4"/>
      <c r="H1211" s="10"/>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row>
    <row r="1212" ht="12.75" customHeight="1">
      <c r="A1212" s="4"/>
      <c r="B1212" s="4"/>
      <c r="C1212" s="4"/>
      <c r="D1212" s="4"/>
      <c r="E1212" s="7"/>
      <c r="F1212" s="4"/>
      <c r="G1212" s="4"/>
      <c r="H1212" s="10"/>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row>
    <row r="1213" ht="12.75" customHeight="1">
      <c r="A1213" s="4"/>
      <c r="B1213" s="4"/>
      <c r="C1213" s="4"/>
      <c r="D1213" s="4"/>
      <c r="E1213" s="7"/>
      <c r="F1213" s="4"/>
      <c r="G1213" s="4"/>
      <c r="H1213" s="10"/>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row>
    <row r="1214" ht="12.75" customHeight="1">
      <c r="A1214" s="4"/>
      <c r="B1214" s="4"/>
      <c r="C1214" s="4"/>
      <c r="D1214" s="4"/>
      <c r="E1214" s="7"/>
      <c r="F1214" s="4"/>
      <c r="G1214" s="4"/>
      <c r="H1214" s="10"/>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row>
    <row r="1215" ht="12.75" customHeight="1">
      <c r="A1215" s="4"/>
      <c r="B1215" s="4"/>
      <c r="C1215" s="4"/>
      <c r="D1215" s="4"/>
      <c r="E1215" s="7"/>
      <c r="F1215" s="4"/>
      <c r="G1215" s="4"/>
      <c r="H1215" s="10"/>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row>
    <row r="1216" ht="12.75" customHeight="1">
      <c r="A1216" s="4"/>
      <c r="B1216" s="4"/>
      <c r="C1216" s="4"/>
      <c r="D1216" s="4"/>
      <c r="E1216" s="7"/>
      <c r="F1216" s="4"/>
      <c r="G1216" s="4"/>
      <c r="H1216" s="10"/>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row>
    <row r="1217" ht="12.75" customHeight="1">
      <c r="A1217" s="4"/>
      <c r="B1217" s="4"/>
      <c r="C1217" s="4"/>
      <c r="D1217" s="4"/>
      <c r="E1217" s="7"/>
      <c r="F1217" s="4"/>
      <c r="G1217" s="4"/>
      <c r="H1217" s="10"/>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row>
    <row r="1218" ht="12.75" customHeight="1">
      <c r="A1218" s="4"/>
      <c r="B1218" s="4"/>
      <c r="C1218" s="4"/>
      <c r="D1218" s="4"/>
      <c r="E1218" s="7"/>
      <c r="F1218" s="4"/>
      <c r="G1218" s="4"/>
      <c r="H1218" s="10"/>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row>
    <row r="1219" ht="12.75" customHeight="1">
      <c r="A1219" s="4"/>
      <c r="B1219" s="4"/>
      <c r="C1219" s="4"/>
      <c r="D1219" s="4"/>
      <c r="E1219" s="7"/>
      <c r="F1219" s="4"/>
      <c r="G1219" s="4"/>
      <c r="H1219" s="10"/>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row>
    <row r="1220" ht="12.75" customHeight="1">
      <c r="A1220" s="4"/>
      <c r="B1220" s="4"/>
      <c r="C1220" s="4"/>
      <c r="D1220" s="4"/>
      <c r="E1220" s="7"/>
      <c r="F1220" s="4"/>
      <c r="G1220" s="4"/>
      <c r="H1220" s="10"/>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row>
    <row r="1221" ht="12.75" customHeight="1">
      <c r="A1221" s="4"/>
      <c r="B1221" s="4"/>
      <c r="C1221" s="4"/>
      <c r="D1221" s="4"/>
      <c r="E1221" s="7"/>
      <c r="F1221" s="4"/>
      <c r="G1221" s="4"/>
      <c r="H1221" s="10"/>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row>
    <row r="1222" ht="12.75" customHeight="1">
      <c r="A1222" s="4"/>
      <c r="B1222" s="4"/>
      <c r="C1222" s="4"/>
      <c r="D1222" s="4"/>
      <c r="E1222" s="7"/>
      <c r="F1222" s="4"/>
      <c r="G1222" s="4"/>
      <c r="H1222" s="10"/>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row>
    <row r="1223" ht="12.75" customHeight="1">
      <c r="A1223" s="4"/>
      <c r="B1223" s="4"/>
      <c r="C1223" s="4"/>
      <c r="D1223" s="4"/>
      <c r="E1223" s="7"/>
      <c r="F1223" s="4"/>
      <c r="G1223" s="4"/>
      <c r="H1223" s="10"/>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row>
    <row r="1224" ht="12.75" customHeight="1">
      <c r="A1224" s="4"/>
      <c r="B1224" s="4"/>
      <c r="C1224" s="4"/>
      <c r="D1224" s="4"/>
      <c r="E1224" s="7"/>
      <c r="F1224" s="4"/>
      <c r="G1224" s="4"/>
      <c r="H1224" s="10"/>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row>
    <row r="1225" ht="12.75" customHeight="1">
      <c r="A1225" s="4"/>
      <c r="B1225" s="4"/>
      <c r="C1225" s="4"/>
      <c r="D1225" s="4"/>
      <c r="E1225" s="7"/>
      <c r="F1225" s="4"/>
      <c r="G1225" s="4"/>
      <c r="H1225" s="10"/>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row>
    <row r="1226" ht="12.75" customHeight="1">
      <c r="A1226" s="4"/>
      <c r="B1226" s="4"/>
      <c r="C1226" s="4"/>
      <c r="D1226" s="4"/>
      <c r="E1226" s="7"/>
      <c r="F1226" s="4"/>
      <c r="G1226" s="4"/>
      <c r="H1226" s="10"/>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row>
    <row r="1227" ht="12.75" customHeight="1">
      <c r="A1227" s="4"/>
      <c r="B1227" s="4"/>
      <c r="C1227" s="4"/>
      <c r="D1227" s="4"/>
      <c r="E1227" s="7"/>
      <c r="F1227" s="4"/>
      <c r="G1227" s="4"/>
      <c r="H1227" s="10"/>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row>
    <row r="1228" ht="12.75" customHeight="1">
      <c r="A1228" s="4"/>
      <c r="B1228" s="4"/>
      <c r="C1228" s="4"/>
      <c r="D1228" s="4"/>
      <c r="E1228" s="7"/>
      <c r="F1228" s="4"/>
      <c r="G1228" s="4"/>
      <c r="H1228" s="10"/>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row>
    <row r="1229" ht="12.75" customHeight="1">
      <c r="A1229" s="4"/>
      <c r="B1229" s="4"/>
      <c r="C1229" s="4"/>
      <c r="D1229" s="4"/>
      <c r="E1229" s="7"/>
      <c r="F1229" s="4"/>
      <c r="G1229" s="4"/>
      <c r="H1229" s="10"/>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row>
    <row r="1230" ht="12.75" customHeight="1">
      <c r="A1230" s="4"/>
      <c r="B1230" s="4"/>
      <c r="C1230" s="4"/>
      <c r="D1230" s="4"/>
      <c r="E1230" s="7"/>
      <c r="F1230" s="4"/>
      <c r="G1230" s="4"/>
      <c r="H1230" s="10"/>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row>
    <row r="1231" ht="12.75" customHeight="1">
      <c r="A1231" s="4"/>
      <c r="B1231" s="4"/>
      <c r="C1231" s="4"/>
      <c r="D1231" s="4"/>
      <c r="E1231" s="7"/>
      <c r="F1231" s="4"/>
      <c r="G1231" s="4"/>
      <c r="H1231" s="10"/>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row>
    <row r="1232" ht="12.75" customHeight="1">
      <c r="A1232" s="4"/>
      <c r="B1232" s="4"/>
      <c r="C1232" s="4"/>
      <c r="D1232" s="4"/>
      <c r="E1232" s="7"/>
      <c r="F1232" s="4"/>
      <c r="G1232" s="4"/>
      <c r="H1232" s="10"/>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row>
    <row r="1233" ht="12.75" customHeight="1">
      <c r="A1233" s="4"/>
      <c r="B1233" s="4"/>
      <c r="C1233" s="4"/>
      <c r="D1233" s="4"/>
      <c r="E1233" s="7"/>
      <c r="F1233" s="4"/>
      <c r="G1233" s="4"/>
      <c r="H1233" s="10"/>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row>
    <row r="1234" ht="12.75" customHeight="1">
      <c r="A1234" s="4"/>
      <c r="B1234" s="4"/>
      <c r="C1234" s="4"/>
      <c r="D1234" s="4"/>
      <c r="E1234" s="7"/>
      <c r="F1234" s="4"/>
      <c r="G1234" s="4"/>
      <c r="H1234" s="10"/>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row>
    <row r="1235" ht="12.75" customHeight="1">
      <c r="A1235" s="4"/>
      <c r="B1235" s="4"/>
      <c r="C1235" s="4"/>
      <c r="D1235" s="4"/>
      <c r="E1235" s="7"/>
      <c r="F1235" s="4"/>
      <c r="G1235" s="4"/>
      <c r="H1235" s="10"/>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row>
    <row r="1236" ht="12.75" customHeight="1">
      <c r="A1236" s="4"/>
      <c r="B1236" s="4"/>
      <c r="C1236" s="4"/>
      <c r="D1236" s="4"/>
      <c r="E1236" s="7"/>
      <c r="F1236" s="4"/>
      <c r="G1236" s="4"/>
      <c r="H1236" s="10"/>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row>
    <row r="1237" ht="12.75" customHeight="1">
      <c r="A1237" s="4"/>
      <c r="B1237" s="4"/>
      <c r="C1237" s="4"/>
      <c r="D1237" s="4"/>
      <c r="E1237" s="7"/>
      <c r="F1237" s="4"/>
      <c r="G1237" s="4"/>
      <c r="H1237" s="10"/>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row>
    <row r="1238" ht="12.75" customHeight="1">
      <c r="A1238" s="4"/>
      <c r="B1238" s="4"/>
      <c r="C1238" s="4"/>
      <c r="D1238" s="4"/>
      <c r="E1238" s="7"/>
      <c r="F1238" s="4"/>
      <c r="G1238" s="4"/>
      <c r="H1238" s="10"/>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row>
    <row r="1239" ht="12.75" customHeight="1">
      <c r="A1239" s="4"/>
      <c r="B1239" s="4"/>
      <c r="C1239" s="4"/>
      <c r="D1239" s="4"/>
      <c r="E1239" s="7"/>
      <c r="F1239" s="4"/>
      <c r="G1239" s="4"/>
      <c r="H1239" s="10"/>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row>
    <row r="1240" ht="12.75" customHeight="1">
      <c r="A1240" s="4"/>
      <c r="B1240" s="4"/>
      <c r="C1240" s="4"/>
      <c r="D1240" s="4"/>
      <c r="E1240" s="7"/>
      <c r="F1240" s="4"/>
      <c r="G1240" s="4"/>
      <c r="H1240" s="10"/>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row>
    <row r="1241" ht="12.75" customHeight="1">
      <c r="A1241" s="4"/>
      <c r="B1241" s="4"/>
      <c r="C1241" s="4"/>
      <c r="D1241" s="4"/>
      <c r="E1241" s="7"/>
      <c r="F1241" s="4"/>
      <c r="G1241" s="4"/>
      <c r="H1241" s="10"/>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row>
    <row r="1242" ht="12.75" customHeight="1">
      <c r="A1242" s="4"/>
      <c r="B1242" s="4"/>
      <c r="C1242" s="4"/>
      <c r="D1242" s="4"/>
      <c r="E1242" s="7"/>
      <c r="F1242" s="4"/>
      <c r="G1242" s="4"/>
      <c r="H1242" s="10"/>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row>
    <row r="1243" ht="12.75" customHeight="1">
      <c r="A1243" s="4"/>
      <c r="B1243" s="4"/>
      <c r="C1243" s="4"/>
      <c r="D1243" s="4"/>
      <c r="E1243" s="7"/>
      <c r="F1243" s="4"/>
      <c r="G1243" s="4"/>
      <c r="H1243" s="10"/>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row>
    <row r="1244" ht="12.75" customHeight="1">
      <c r="A1244" s="4"/>
      <c r="B1244" s="4"/>
      <c r="C1244" s="4"/>
      <c r="D1244" s="4"/>
      <c r="E1244" s="7"/>
      <c r="F1244" s="4"/>
      <c r="G1244" s="4"/>
      <c r="H1244" s="10"/>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row>
    <row r="1245" ht="12.75" customHeight="1">
      <c r="A1245" s="4"/>
      <c r="B1245" s="4"/>
      <c r="C1245" s="4"/>
      <c r="D1245" s="4"/>
      <c r="E1245" s="7"/>
      <c r="F1245" s="4"/>
      <c r="G1245" s="4"/>
      <c r="H1245" s="10"/>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row>
    <row r="1246" ht="12.75" customHeight="1">
      <c r="A1246" s="4"/>
      <c r="B1246" s="4"/>
      <c r="C1246" s="4"/>
      <c r="D1246" s="4"/>
      <c r="E1246" s="7"/>
      <c r="F1246" s="4"/>
      <c r="G1246" s="4"/>
      <c r="H1246" s="10"/>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row>
    <row r="1247" ht="12.75" customHeight="1">
      <c r="A1247" s="4"/>
      <c r="B1247" s="4"/>
      <c r="C1247" s="4"/>
      <c r="D1247" s="4"/>
      <c r="E1247" s="7"/>
      <c r="F1247" s="4"/>
      <c r="G1247" s="4"/>
      <c r="H1247" s="10"/>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row>
    <row r="1248" ht="12.75" customHeight="1">
      <c r="A1248" s="4"/>
      <c r="B1248" s="4"/>
      <c r="C1248" s="4"/>
      <c r="D1248" s="4"/>
      <c r="E1248" s="7"/>
      <c r="F1248" s="4"/>
      <c r="G1248" s="4"/>
      <c r="H1248" s="10"/>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row>
    <row r="1249" ht="12.75" customHeight="1">
      <c r="A1249" s="4"/>
      <c r="B1249" s="4"/>
      <c r="C1249" s="4"/>
      <c r="D1249" s="4"/>
      <c r="E1249" s="7"/>
      <c r="F1249" s="4"/>
      <c r="G1249" s="4"/>
      <c r="H1249" s="10"/>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row>
    <row r="1250" ht="12.75" customHeight="1">
      <c r="A1250" s="4"/>
      <c r="B1250" s="4"/>
      <c r="C1250" s="4"/>
      <c r="D1250" s="4"/>
      <c r="E1250" s="7"/>
      <c r="F1250" s="4"/>
      <c r="G1250" s="4"/>
      <c r="H1250" s="10"/>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row>
    <row r="1251" ht="12.75" customHeight="1">
      <c r="A1251" s="4"/>
      <c r="B1251" s="4"/>
      <c r="C1251" s="4"/>
      <c r="D1251" s="4"/>
      <c r="E1251" s="7"/>
      <c r="F1251" s="4"/>
      <c r="G1251" s="4"/>
      <c r="H1251" s="10"/>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row>
    <row r="1252" ht="12.75" customHeight="1">
      <c r="A1252" s="4"/>
      <c r="B1252" s="4"/>
      <c r="C1252" s="4"/>
      <c r="D1252" s="4"/>
      <c r="E1252" s="7"/>
      <c r="F1252" s="4"/>
      <c r="G1252" s="4"/>
      <c r="H1252" s="10"/>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row>
    <row r="1253" ht="12.75" customHeight="1">
      <c r="A1253" s="4"/>
      <c r="B1253" s="4"/>
      <c r="C1253" s="4"/>
      <c r="D1253" s="4"/>
      <c r="E1253" s="7"/>
      <c r="F1253" s="4"/>
      <c r="G1253" s="4"/>
      <c r="H1253" s="10"/>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row>
    <row r="1254" ht="12.75" customHeight="1">
      <c r="A1254" s="4"/>
      <c r="B1254" s="4"/>
      <c r="C1254" s="4"/>
      <c r="D1254" s="4"/>
      <c r="E1254" s="7"/>
      <c r="F1254" s="4"/>
      <c r="G1254" s="4"/>
      <c r="H1254" s="10"/>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row>
    <row r="1255" ht="12.75" customHeight="1">
      <c r="A1255" s="4"/>
      <c r="B1255" s="4"/>
      <c r="C1255" s="4"/>
      <c r="D1255" s="4"/>
      <c r="E1255" s="7"/>
      <c r="F1255" s="4"/>
      <c r="G1255" s="4"/>
      <c r="H1255" s="10"/>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row>
    <row r="1256" ht="12.75" customHeight="1">
      <c r="A1256" s="4"/>
      <c r="B1256" s="4"/>
      <c r="C1256" s="4"/>
      <c r="D1256" s="4"/>
      <c r="E1256" s="7"/>
      <c r="F1256" s="4"/>
      <c r="G1256" s="4"/>
      <c r="H1256" s="10"/>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row>
    <row r="1257" ht="12.75" customHeight="1">
      <c r="A1257" s="4"/>
      <c r="B1257" s="4"/>
      <c r="C1257" s="4"/>
      <c r="D1257" s="4"/>
      <c r="E1257" s="7"/>
      <c r="F1257" s="4"/>
      <c r="G1257" s="4"/>
      <c r="H1257" s="10"/>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row>
    <row r="1258" ht="12.75" customHeight="1">
      <c r="A1258" s="4"/>
      <c r="B1258" s="4"/>
      <c r="C1258" s="4"/>
      <c r="D1258" s="4"/>
      <c r="E1258" s="7"/>
      <c r="F1258" s="4"/>
      <c r="G1258" s="4"/>
      <c r="H1258" s="10"/>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row>
    <row r="1259" ht="12.75" customHeight="1">
      <c r="A1259" s="4"/>
      <c r="B1259" s="4"/>
      <c r="C1259" s="4"/>
      <c r="D1259" s="4"/>
      <c r="E1259" s="7"/>
      <c r="F1259" s="4"/>
      <c r="G1259" s="4"/>
      <c r="H1259" s="10"/>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row>
    <row r="1260" ht="12.75" customHeight="1">
      <c r="A1260" s="4"/>
      <c r="B1260" s="4"/>
      <c r="C1260" s="4"/>
      <c r="D1260" s="4"/>
      <c r="E1260" s="7"/>
      <c r="F1260" s="4"/>
      <c r="G1260" s="4"/>
      <c r="H1260" s="10"/>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row>
    <row r="1261" ht="12.75" customHeight="1">
      <c r="A1261" s="4"/>
      <c r="B1261" s="4"/>
      <c r="C1261" s="4"/>
      <c r="D1261" s="4"/>
      <c r="E1261" s="7"/>
      <c r="F1261" s="4"/>
      <c r="G1261" s="4"/>
      <c r="H1261" s="10"/>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row>
    <row r="1262" ht="12.75" customHeight="1">
      <c r="A1262" s="4"/>
      <c r="B1262" s="4"/>
      <c r="C1262" s="4"/>
      <c r="D1262" s="4"/>
      <c r="E1262" s="7"/>
      <c r="F1262" s="4"/>
      <c r="G1262" s="4"/>
      <c r="H1262" s="10"/>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row>
    <row r="1263" ht="12.75" customHeight="1">
      <c r="A1263" s="4"/>
      <c r="B1263" s="4"/>
      <c r="C1263" s="4"/>
      <c r="D1263" s="4"/>
      <c r="E1263" s="7"/>
      <c r="F1263" s="4"/>
      <c r="G1263" s="4"/>
      <c r="H1263" s="10"/>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row>
    <row r="1264" ht="12.75" customHeight="1">
      <c r="A1264" s="4"/>
      <c r="B1264" s="4"/>
      <c r="C1264" s="4"/>
      <c r="D1264" s="4"/>
      <c r="E1264" s="7"/>
      <c r="F1264" s="4"/>
      <c r="G1264" s="4"/>
      <c r="H1264" s="10"/>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row>
    <row r="1265" ht="12.75" customHeight="1">
      <c r="A1265" s="4"/>
      <c r="B1265" s="4"/>
      <c r="C1265" s="4"/>
      <c r="D1265" s="4"/>
      <c r="E1265" s="7"/>
      <c r="F1265" s="4"/>
      <c r="G1265" s="4"/>
      <c r="H1265" s="10"/>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row>
    <row r="1266" ht="12.75" customHeight="1">
      <c r="A1266" s="4"/>
      <c r="B1266" s="4"/>
      <c r="C1266" s="4"/>
      <c r="D1266" s="4"/>
      <c r="E1266" s="7"/>
      <c r="F1266" s="4"/>
      <c r="G1266" s="4"/>
      <c r="H1266" s="10"/>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row>
    <row r="1267" ht="12.75" customHeight="1">
      <c r="A1267" s="4"/>
      <c r="B1267" s="4"/>
      <c r="C1267" s="4"/>
      <c r="D1267" s="4"/>
      <c r="E1267" s="7"/>
      <c r="F1267" s="4"/>
      <c r="G1267" s="4"/>
      <c r="H1267" s="10"/>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row>
    <row r="1268" ht="12.75" customHeight="1">
      <c r="A1268" s="4"/>
      <c r="B1268" s="4"/>
      <c r="C1268" s="4"/>
      <c r="D1268" s="4"/>
      <c r="E1268" s="7"/>
      <c r="F1268" s="4"/>
      <c r="G1268" s="4"/>
      <c r="H1268" s="10"/>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row>
    <row r="1269" ht="12.75" customHeight="1">
      <c r="A1269" s="4"/>
      <c r="B1269" s="4"/>
      <c r="C1269" s="4"/>
      <c r="D1269" s="4"/>
      <c r="E1269" s="7"/>
      <c r="F1269" s="4"/>
      <c r="G1269" s="4"/>
      <c r="H1269" s="10"/>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row>
    <row r="1270" ht="12.75" customHeight="1">
      <c r="A1270" s="4"/>
      <c r="B1270" s="4"/>
      <c r="C1270" s="4"/>
      <c r="D1270" s="4"/>
      <c r="E1270" s="7"/>
      <c r="F1270" s="4"/>
      <c r="G1270" s="4"/>
      <c r="H1270" s="10"/>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row>
    <row r="1271" ht="12.75" customHeight="1">
      <c r="A1271" s="4"/>
      <c r="B1271" s="4"/>
      <c r="C1271" s="4"/>
      <c r="D1271" s="4"/>
      <c r="E1271" s="7"/>
      <c r="F1271" s="4"/>
      <c r="G1271" s="4"/>
      <c r="H1271" s="10"/>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row>
    <row r="1272" ht="12.75" customHeight="1">
      <c r="A1272" s="4"/>
      <c r="B1272" s="4"/>
      <c r="C1272" s="4"/>
      <c r="D1272" s="4"/>
      <c r="E1272" s="7"/>
      <c r="F1272" s="4"/>
      <c r="G1272" s="4"/>
      <c r="H1272" s="10"/>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row>
    <row r="1273" ht="12.75" customHeight="1">
      <c r="A1273" s="4"/>
      <c r="B1273" s="4"/>
      <c r="C1273" s="4"/>
      <c r="D1273" s="4"/>
      <c r="E1273" s="7"/>
      <c r="F1273" s="4"/>
      <c r="G1273" s="4"/>
      <c r="H1273" s="10"/>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row>
    <row r="1274" ht="12.75" customHeight="1">
      <c r="A1274" s="4"/>
      <c r="B1274" s="4"/>
      <c r="C1274" s="4"/>
      <c r="D1274" s="4"/>
      <c r="E1274" s="7"/>
      <c r="F1274" s="4"/>
      <c r="G1274" s="4"/>
      <c r="H1274" s="10"/>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row>
    <row r="1275" ht="12.75" customHeight="1">
      <c r="A1275" s="4"/>
      <c r="B1275" s="4"/>
      <c r="C1275" s="4"/>
      <c r="D1275" s="4"/>
      <c r="E1275" s="7"/>
      <c r="F1275" s="4"/>
      <c r="G1275" s="4"/>
      <c r="H1275" s="10"/>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row>
    <row r="1276" ht="12.75" customHeight="1">
      <c r="A1276" s="4"/>
      <c r="B1276" s="4"/>
      <c r="C1276" s="4"/>
      <c r="D1276" s="4"/>
      <c r="E1276" s="7"/>
      <c r="F1276" s="4"/>
      <c r="G1276" s="4"/>
      <c r="H1276" s="10"/>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row>
    <row r="1277" ht="12.75" customHeight="1">
      <c r="A1277" s="4"/>
      <c r="B1277" s="4"/>
      <c r="C1277" s="4"/>
      <c r="D1277" s="4"/>
      <c r="E1277" s="7"/>
      <c r="F1277" s="4"/>
      <c r="G1277" s="4"/>
      <c r="H1277" s="10"/>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row>
    <row r="1278" ht="12.75" customHeight="1">
      <c r="A1278" s="4"/>
      <c r="B1278" s="4"/>
      <c r="C1278" s="4"/>
      <c r="D1278" s="4"/>
      <c r="E1278" s="7"/>
      <c r="F1278" s="4"/>
      <c r="G1278" s="4"/>
      <c r="H1278" s="10"/>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row>
    <row r="1279" ht="12.75" customHeight="1">
      <c r="A1279" s="4"/>
      <c r="B1279" s="4"/>
      <c r="C1279" s="4"/>
      <c r="D1279" s="4"/>
      <c r="E1279" s="7"/>
      <c r="F1279" s="4"/>
      <c r="G1279" s="4"/>
      <c r="H1279" s="10"/>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row>
    <row r="1280" ht="12.75" customHeight="1">
      <c r="A1280" s="4"/>
      <c r="B1280" s="4"/>
      <c r="C1280" s="4"/>
      <c r="D1280" s="4"/>
      <c r="E1280" s="7"/>
      <c r="F1280" s="4"/>
      <c r="G1280" s="4"/>
      <c r="H1280" s="10"/>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row>
    <row r="1281" ht="12.75" customHeight="1">
      <c r="A1281" s="4"/>
      <c r="B1281" s="4"/>
      <c r="C1281" s="4"/>
      <c r="D1281" s="4"/>
      <c r="E1281" s="7"/>
      <c r="F1281" s="4"/>
      <c r="G1281" s="4"/>
      <c r="H1281" s="10"/>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row>
    <row r="1282" ht="12.75" customHeight="1">
      <c r="A1282" s="4"/>
      <c r="B1282" s="4"/>
      <c r="C1282" s="4"/>
      <c r="D1282" s="4"/>
      <c r="E1282" s="7"/>
      <c r="F1282" s="4"/>
      <c r="G1282" s="4"/>
      <c r="H1282" s="10"/>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row>
    <row r="1283" ht="12.75" customHeight="1">
      <c r="A1283" s="4"/>
      <c r="B1283" s="4"/>
      <c r="C1283" s="4"/>
      <c r="D1283" s="4"/>
      <c r="E1283" s="7"/>
      <c r="F1283" s="4"/>
      <c r="G1283" s="4"/>
      <c r="H1283" s="10"/>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row>
    <row r="1284" ht="12.75" customHeight="1">
      <c r="A1284" s="4"/>
      <c r="B1284" s="4"/>
      <c r="C1284" s="4"/>
      <c r="D1284" s="4"/>
      <c r="E1284" s="7"/>
      <c r="F1284" s="4"/>
      <c r="G1284" s="4"/>
      <c r="H1284" s="10"/>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row>
    <row r="1285" ht="12.75" customHeight="1">
      <c r="A1285" s="4"/>
      <c r="B1285" s="4"/>
      <c r="C1285" s="4"/>
      <c r="D1285" s="4"/>
      <c r="E1285" s="7"/>
      <c r="F1285" s="4"/>
      <c r="G1285" s="4"/>
      <c r="H1285" s="10"/>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row>
    <row r="1286" ht="12.75" customHeight="1">
      <c r="A1286" s="4"/>
      <c r="B1286" s="4"/>
      <c r="C1286" s="4"/>
      <c r="D1286" s="4"/>
      <c r="E1286" s="7"/>
      <c r="F1286" s="4"/>
      <c r="G1286" s="4"/>
      <c r="H1286" s="10"/>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row>
    <row r="1287" ht="12.75" customHeight="1">
      <c r="A1287" s="4"/>
      <c r="B1287" s="4"/>
      <c r="C1287" s="4"/>
      <c r="D1287" s="4"/>
      <c r="E1287" s="7"/>
      <c r="F1287" s="4"/>
      <c r="G1287" s="4"/>
      <c r="H1287" s="10"/>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row>
    <row r="1288" ht="12.75" customHeight="1">
      <c r="A1288" s="4"/>
      <c r="B1288" s="4"/>
      <c r="C1288" s="4"/>
      <c r="D1288" s="4"/>
      <c r="E1288" s="7"/>
      <c r="F1288" s="4"/>
      <c r="G1288" s="4"/>
      <c r="H1288" s="10"/>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row>
    <row r="1289" ht="12.75" customHeight="1">
      <c r="A1289" s="4"/>
      <c r="B1289" s="4"/>
      <c r="C1289" s="4"/>
      <c r="D1289" s="4"/>
      <c r="E1289" s="7"/>
      <c r="F1289" s="4"/>
      <c r="G1289" s="4"/>
      <c r="H1289" s="10"/>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row>
    <row r="1290" ht="12.75" customHeight="1">
      <c r="A1290" s="4"/>
      <c r="B1290" s="4"/>
      <c r="C1290" s="4"/>
      <c r="D1290" s="4"/>
      <c r="E1290" s="7"/>
      <c r="F1290" s="4"/>
      <c r="G1290" s="4"/>
      <c r="H1290" s="10"/>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row>
    <row r="1291" ht="12.75" customHeight="1">
      <c r="A1291" s="4"/>
      <c r="B1291" s="4"/>
      <c r="C1291" s="4"/>
      <c r="D1291" s="4"/>
      <c r="E1291" s="7"/>
      <c r="F1291" s="4"/>
      <c r="G1291" s="4"/>
      <c r="H1291" s="10"/>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row>
    <row r="1292" ht="12.75" customHeight="1">
      <c r="A1292" s="4"/>
      <c r="B1292" s="4"/>
      <c r="C1292" s="4"/>
      <c r="D1292" s="4"/>
      <c r="E1292" s="7"/>
      <c r="F1292" s="4"/>
      <c r="G1292" s="4"/>
      <c r="H1292" s="10"/>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row>
    <row r="1293" ht="12.75" customHeight="1">
      <c r="A1293" s="4"/>
      <c r="B1293" s="4"/>
      <c r="C1293" s="4"/>
      <c r="D1293" s="4"/>
      <c r="E1293" s="7"/>
      <c r="F1293" s="4"/>
      <c r="G1293" s="4"/>
      <c r="H1293" s="10"/>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row>
    <row r="1294" ht="12.75" customHeight="1">
      <c r="A1294" s="4"/>
      <c r="B1294" s="4"/>
      <c r="C1294" s="4"/>
      <c r="D1294" s="4"/>
      <c r="E1294" s="7"/>
      <c r="F1294" s="4"/>
      <c r="G1294" s="4"/>
      <c r="H1294" s="10"/>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row>
    <row r="1295" ht="12.75" customHeight="1">
      <c r="A1295" s="4"/>
      <c r="B1295" s="4"/>
      <c r="C1295" s="4"/>
      <c r="D1295" s="4"/>
      <c r="E1295" s="7"/>
      <c r="F1295" s="4"/>
      <c r="G1295" s="4"/>
      <c r="H1295" s="10"/>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row>
    <row r="1296" ht="12.75" customHeight="1">
      <c r="A1296" s="4"/>
      <c r="B1296" s="4"/>
      <c r="C1296" s="4"/>
      <c r="D1296" s="4"/>
      <c r="E1296" s="7"/>
      <c r="F1296" s="4"/>
      <c r="G1296" s="4"/>
      <c r="H1296" s="10"/>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c r="AF1296" s="7"/>
      <c r="AG1296" s="7"/>
      <c r="AH1296" s="7"/>
      <c r="AI1296" s="7"/>
      <c r="AJ1296" s="7"/>
      <c r="AK1296" s="7"/>
      <c r="AL1296" s="7"/>
      <c r="AM1296" s="7"/>
      <c r="AN1296" s="7"/>
    </row>
    <row r="1297" ht="12.75" customHeight="1">
      <c r="A1297" s="4"/>
      <c r="B1297" s="4"/>
      <c r="C1297" s="4"/>
      <c r="D1297" s="4"/>
      <c r="E1297" s="7"/>
      <c r="F1297" s="4"/>
      <c r="G1297" s="4"/>
      <c r="H1297" s="10"/>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c r="AG1297" s="7"/>
      <c r="AH1297" s="7"/>
      <c r="AI1297" s="7"/>
      <c r="AJ1297" s="7"/>
      <c r="AK1297" s="7"/>
      <c r="AL1297" s="7"/>
      <c r="AM1297" s="7"/>
      <c r="AN1297" s="7"/>
    </row>
    <row r="1298" ht="12.75" customHeight="1">
      <c r="A1298" s="4"/>
      <c r="B1298" s="4"/>
      <c r="C1298" s="4"/>
      <c r="D1298" s="4"/>
      <c r="E1298" s="7"/>
      <c r="F1298" s="4"/>
      <c r="G1298" s="4"/>
      <c r="H1298" s="10"/>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c r="AG1298" s="7"/>
      <c r="AH1298" s="7"/>
      <c r="AI1298" s="7"/>
      <c r="AJ1298" s="7"/>
      <c r="AK1298" s="7"/>
      <c r="AL1298" s="7"/>
      <c r="AM1298" s="7"/>
      <c r="AN1298" s="7"/>
    </row>
    <row r="1299" ht="12.75" customHeight="1">
      <c r="A1299" s="4"/>
      <c r="B1299" s="4"/>
      <c r="C1299" s="4"/>
      <c r="D1299" s="4"/>
      <c r="E1299" s="7"/>
      <c r="F1299" s="4"/>
      <c r="G1299" s="4"/>
      <c r="H1299" s="10"/>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c r="AF1299" s="7"/>
      <c r="AG1299" s="7"/>
      <c r="AH1299" s="7"/>
      <c r="AI1299" s="7"/>
      <c r="AJ1299" s="7"/>
      <c r="AK1299" s="7"/>
      <c r="AL1299" s="7"/>
      <c r="AM1299" s="7"/>
      <c r="AN1299" s="7"/>
    </row>
    <row r="1300" ht="12.75" customHeight="1">
      <c r="A1300" s="4"/>
      <c r="B1300" s="4"/>
      <c r="C1300" s="4"/>
      <c r="D1300" s="4"/>
      <c r="E1300" s="7"/>
      <c r="F1300" s="4"/>
      <c r="G1300" s="4"/>
      <c r="H1300" s="10"/>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c r="AG1300" s="7"/>
      <c r="AH1300" s="7"/>
      <c r="AI1300" s="7"/>
      <c r="AJ1300" s="7"/>
      <c r="AK1300" s="7"/>
      <c r="AL1300" s="7"/>
      <c r="AM1300" s="7"/>
      <c r="AN1300" s="7"/>
    </row>
    <row r="1301" ht="12.75" customHeight="1">
      <c r="A1301" s="4"/>
      <c r="B1301" s="4"/>
      <c r="C1301" s="4"/>
      <c r="D1301" s="4"/>
      <c r="E1301" s="7"/>
      <c r="F1301" s="4"/>
      <c r="G1301" s="4"/>
      <c r="H1301" s="10"/>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7"/>
      <c r="AG1301" s="7"/>
      <c r="AH1301" s="7"/>
      <c r="AI1301" s="7"/>
      <c r="AJ1301" s="7"/>
      <c r="AK1301" s="7"/>
      <c r="AL1301" s="7"/>
      <c r="AM1301" s="7"/>
      <c r="AN1301" s="7"/>
    </row>
    <row r="1302" ht="12.75" customHeight="1">
      <c r="A1302" s="4"/>
      <c r="B1302" s="4"/>
      <c r="C1302" s="4"/>
      <c r="D1302" s="4"/>
      <c r="E1302" s="7"/>
      <c r="F1302" s="4"/>
      <c r="G1302" s="4"/>
      <c r="H1302" s="10"/>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7"/>
      <c r="AG1302" s="7"/>
      <c r="AH1302" s="7"/>
      <c r="AI1302" s="7"/>
      <c r="AJ1302" s="7"/>
      <c r="AK1302" s="7"/>
      <c r="AL1302" s="7"/>
      <c r="AM1302" s="7"/>
      <c r="AN1302" s="7"/>
    </row>
    <row r="1303" ht="12.75" customHeight="1">
      <c r="A1303" s="4"/>
      <c r="B1303" s="4"/>
      <c r="C1303" s="4"/>
      <c r="D1303" s="4"/>
      <c r="E1303" s="7"/>
      <c r="F1303" s="4"/>
      <c r="G1303" s="4"/>
      <c r="H1303" s="10"/>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c r="AF1303" s="7"/>
      <c r="AG1303" s="7"/>
      <c r="AH1303" s="7"/>
      <c r="AI1303" s="7"/>
      <c r="AJ1303" s="7"/>
      <c r="AK1303" s="7"/>
      <c r="AL1303" s="7"/>
      <c r="AM1303" s="7"/>
      <c r="AN1303" s="7"/>
    </row>
    <row r="1304" ht="12.75" customHeight="1">
      <c r="A1304" s="4"/>
      <c r="B1304" s="4"/>
      <c r="C1304" s="4"/>
      <c r="D1304" s="4"/>
      <c r="E1304" s="7"/>
      <c r="F1304" s="4"/>
      <c r="G1304" s="4"/>
      <c r="H1304" s="10"/>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row>
    <row r="1305" ht="12.75" customHeight="1">
      <c r="A1305" s="4"/>
      <c r="B1305" s="4"/>
      <c r="C1305" s="4"/>
      <c r="D1305" s="4"/>
      <c r="E1305" s="7"/>
      <c r="F1305" s="4"/>
      <c r="G1305" s="4"/>
      <c r="H1305" s="10"/>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row>
    <row r="1306" ht="12.75" customHeight="1">
      <c r="A1306" s="4"/>
      <c r="B1306" s="4"/>
      <c r="C1306" s="4"/>
      <c r="D1306" s="4"/>
      <c r="E1306" s="7"/>
      <c r="F1306" s="4"/>
      <c r="G1306" s="4"/>
      <c r="H1306" s="10"/>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row>
    <row r="1307" ht="12.75" customHeight="1">
      <c r="A1307" s="4"/>
      <c r="B1307" s="4"/>
      <c r="C1307" s="4"/>
      <c r="D1307" s="4"/>
      <c r="E1307" s="7"/>
      <c r="F1307" s="4"/>
      <c r="G1307" s="4"/>
      <c r="H1307" s="10"/>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row>
    <row r="1308" ht="12.75" customHeight="1">
      <c r="A1308" s="4"/>
      <c r="B1308" s="4"/>
      <c r="C1308" s="4"/>
      <c r="D1308" s="4"/>
      <c r="E1308" s="7"/>
      <c r="F1308" s="4"/>
      <c r="G1308" s="4"/>
      <c r="H1308" s="10"/>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row>
    <row r="1309" ht="12.75" customHeight="1">
      <c r="A1309" s="4"/>
      <c r="B1309" s="4"/>
      <c r="C1309" s="4"/>
      <c r="D1309" s="4"/>
      <c r="E1309" s="7"/>
      <c r="F1309" s="4"/>
      <c r="G1309" s="4"/>
      <c r="H1309" s="10"/>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row>
    <row r="1310" ht="12.75" customHeight="1">
      <c r="A1310" s="4"/>
      <c r="B1310" s="4"/>
      <c r="C1310" s="4"/>
      <c r="D1310" s="4"/>
      <c r="E1310" s="7"/>
      <c r="F1310" s="4"/>
      <c r="G1310" s="4"/>
      <c r="H1310" s="10"/>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row>
    <row r="1311" ht="12.75" customHeight="1">
      <c r="A1311" s="4"/>
      <c r="B1311" s="4"/>
      <c r="C1311" s="4"/>
      <c r="D1311" s="4"/>
      <c r="E1311" s="7"/>
      <c r="F1311" s="4"/>
      <c r="G1311" s="4"/>
      <c r="H1311" s="10"/>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row>
    <row r="1312" ht="12.75" customHeight="1">
      <c r="A1312" s="4"/>
      <c r="B1312" s="4"/>
      <c r="C1312" s="4"/>
      <c r="D1312" s="4"/>
      <c r="E1312" s="7"/>
      <c r="F1312" s="4"/>
      <c r="G1312" s="4"/>
      <c r="H1312" s="10"/>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c r="AF1312" s="7"/>
      <c r="AG1312" s="7"/>
      <c r="AH1312" s="7"/>
      <c r="AI1312" s="7"/>
      <c r="AJ1312" s="7"/>
      <c r="AK1312" s="7"/>
      <c r="AL1312" s="7"/>
      <c r="AM1312" s="7"/>
      <c r="AN1312" s="7"/>
    </row>
    <row r="1313" ht="12.75" customHeight="1">
      <c r="A1313" s="4"/>
      <c r="B1313" s="4"/>
      <c r="C1313" s="4"/>
      <c r="D1313" s="4"/>
      <c r="E1313" s="7"/>
      <c r="F1313" s="4"/>
      <c r="G1313" s="4"/>
      <c r="H1313" s="10"/>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c r="AF1313" s="7"/>
      <c r="AG1313" s="7"/>
      <c r="AH1313" s="7"/>
      <c r="AI1313" s="7"/>
      <c r="AJ1313" s="7"/>
      <c r="AK1313" s="7"/>
      <c r="AL1313" s="7"/>
      <c r="AM1313" s="7"/>
      <c r="AN1313" s="7"/>
    </row>
    <row r="1314" ht="12.75" customHeight="1">
      <c r="A1314" s="4"/>
      <c r="B1314" s="4"/>
      <c r="C1314" s="4"/>
      <c r="D1314" s="4"/>
      <c r="E1314" s="7"/>
      <c r="F1314" s="4"/>
      <c r="G1314" s="4"/>
      <c r="H1314" s="10"/>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row>
    <row r="1315" ht="12.75" customHeight="1">
      <c r="A1315" s="4"/>
      <c r="B1315" s="4"/>
      <c r="C1315" s="4"/>
      <c r="D1315" s="4"/>
      <c r="E1315" s="7"/>
      <c r="F1315" s="4"/>
      <c r="G1315" s="4"/>
      <c r="H1315" s="10"/>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row>
    <row r="1316" ht="12.75" customHeight="1">
      <c r="A1316" s="4"/>
      <c r="B1316" s="4"/>
      <c r="C1316" s="4"/>
      <c r="D1316" s="4"/>
      <c r="E1316" s="7"/>
      <c r="F1316" s="4"/>
      <c r="G1316" s="4"/>
      <c r="H1316" s="10"/>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row>
    <row r="1317" ht="12.75" customHeight="1">
      <c r="A1317" s="4"/>
      <c r="B1317" s="4"/>
      <c r="C1317" s="4"/>
      <c r="D1317" s="4"/>
      <c r="E1317" s="7"/>
      <c r="F1317" s="4"/>
      <c r="G1317" s="4"/>
      <c r="H1317" s="10"/>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row>
    <row r="1318" ht="12.75" customHeight="1">
      <c r="A1318" s="4"/>
      <c r="B1318" s="4"/>
      <c r="C1318" s="4"/>
      <c r="D1318" s="4"/>
      <c r="E1318" s="7"/>
      <c r="F1318" s="4"/>
      <c r="G1318" s="4"/>
      <c r="H1318" s="10"/>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row>
    <row r="1319" ht="12.75" customHeight="1">
      <c r="A1319" s="4"/>
      <c r="B1319" s="4"/>
      <c r="C1319" s="4"/>
      <c r="D1319" s="4"/>
      <c r="E1319" s="7"/>
      <c r="F1319" s="4"/>
      <c r="G1319" s="4"/>
      <c r="H1319" s="10"/>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row>
    <row r="1320" ht="12.75" customHeight="1">
      <c r="A1320" s="4"/>
      <c r="B1320" s="4"/>
      <c r="C1320" s="4"/>
      <c r="D1320" s="4"/>
      <c r="E1320" s="7"/>
      <c r="F1320" s="4"/>
      <c r="G1320" s="4"/>
      <c r="H1320" s="10"/>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c r="AG1320" s="7"/>
      <c r="AH1320" s="7"/>
      <c r="AI1320" s="7"/>
      <c r="AJ1320" s="7"/>
      <c r="AK1320" s="7"/>
      <c r="AL1320" s="7"/>
      <c r="AM1320" s="7"/>
      <c r="AN1320" s="7"/>
    </row>
    <row r="1321" ht="12.75" customHeight="1">
      <c r="A1321" s="4"/>
      <c r="B1321" s="4"/>
      <c r="C1321" s="4"/>
      <c r="D1321" s="4"/>
      <c r="E1321" s="7"/>
      <c r="F1321" s="4"/>
      <c r="G1321" s="4"/>
      <c r="H1321" s="10"/>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row>
    <row r="1322" ht="12.75" customHeight="1">
      <c r="A1322" s="4"/>
      <c r="B1322" s="4"/>
      <c r="C1322" s="4"/>
      <c r="D1322" s="4"/>
      <c r="E1322" s="7"/>
      <c r="F1322" s="4"/>
      <c r="G1322" s="4"/>
      <c r="H1322" s="10"/>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row>
    <row r="1323" ht="12.75" customHeight="1">
      <c r="A1323" s="4"/>
      <c r="B1323" s="4"/>
      <c r="C1323" s="4"/>
      <c r="D1323" s="4"/>
      <c r="E1323" s="7"/>
      <c r="F1323" s="4"/>
      <c r="G1323" s="4"/>
      <c r="H1323" s="10"/>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row>
    <row r="1324" ht="12.75" customHeight="1">
      <c r="A1324" s="4"/>
      <c r="B1324" s="4"/>
      <c r="C1324" s="4"/>
      <c r="D1324" s="4"/>
      <c r="E1324" s="7"/>
      <c r="F1324" s="4"/>
      <c r="G1324" s="4"/>
      <c r="H1324" s="10"/>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row>
    <row r="1325" ht="12.75" customHeight="1">
      <c r="A1325" s="4"/>
      <c r="B1325" s="4"/>
      <c r="C1325" s="4"/>
      <c r="D1325" s="4"/>
      <c r="E1325" s="7"/>
      <c r="F1325" s="4"/>
      <c r="G1325" s="4"/>
      <c r="H1325" s="10"/>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row>
    <row r="1326" ht="12.75" customHeight="1">
      <c r="A1326" s="4"/>
      <c r="B1326" s="4"/>
      <c r="C1326" s="4"/>
      <c r="D1326" s="4"/>
      <c r="E1326" s="7"/>
      <c r="F1326" s="4"/>
      <c r="G1326" s="4"/>
      <c r="H1326" s="10"/>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row>
    <row r="1327" ht="12.75" customHeight="1">
      <c r="A1327" s="4"/>
      <c r="B1327" s="4"/>
      <c r="C1327" s="4"/>
      <c r="D1327" s="4"/>
      <c r="E1327" s="7"/>
      <c r="F1327" s="4"/>
      <c r="G1327" s="4"/>
      <c r="H1327" s="10"/>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c r="AF1327" s="7"/>
      <c r="AG1327" s="7"/>
      <c r="AH1327" s="7"/>
      <c r="AI1327" s="7"/>
      <c r="AJ1327" s="7"/>
      <c r="AK1327" s="7"/>
      <c r="AL1327" s="7"/>
      <c r="AM1327" s="7"/>
      <c r="AN1327" s="7"/>
    </row>
    <row r="1328" ht="12.75" customHeight="1">
      <c r="A1328" s="4"/>
      <c r="B1328" s="4"/>
      <c r="C1328" s="4"/>
      <c r="D1328" s="4"/>
      <c r="E1328" s="7"/>
      <c r="F1328" s="4"/>
      <c r="G1328" s="4"/>
      <c r="H1328" s="10"/>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c r="AF1328" s="7"/>
      <c r="AG1328" s="7"/>
      <c r="AH1328" s="7"/>
      <c r="AI1328" s="7"/>
      <c r="AJ1328" s="7"/>
      <c r="AK1328" s="7"/>
      <c r="AL1328" s="7"/>
      <c r="AM1328" s="7"/>
      <c r="AN1328" s="7"/>
    </row>
    <row r="1329" ht="12.75" customHeight="1">
      <c r="A1329" s="4"/>
      <c r="B1329" s="4"/>
      <c r="C1329" s="4"/>
      <c r="D1329" s="4"/>
      <c r="E1329" s="7"/>
      <c r="F1329" s="4"/>
      <c r="G1329" s="4"/>
      <c r="H1329" s="10"/>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c r="AG1329" s="7"/>
      <c r="AH1329" s="7"/>
      <c r="AI1329" s="7"/>
      <c r="AJ1329" s="7"/>
      <c r="AK1329" s="7"/>
      <c r="AL1329" s="7"/>
      <c r="AM1329" s="7"/>
      <c r="AN1329" s="7"/>
    </row>
    <row r="1330" ht="12.75" customHeight="1">
      <c r="A1330" s="4"/>
      <c r="B1330" s="4"/>
      <c r="C1330" s="4"/>
      <c r="D1330" s="4"/>
      <c r="E1330" s="7"/>
      <c r="F1330" s="4"/>
      <c r="G1330" s="4"/>
      <c r="H1330" s="10"/>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c r="AG1330" s="7"/>
      <c r="AH1330" s="7"/>
      <c r="AI1330" s="7"/>
      <c r="AJ1330" s="7"/>
      <c r="AK1330" s="7"/>
      <c r="AL1330" s="7"/>
      <c r="AM1330" s="7"/>
      <c r="AN1330" s="7"/>
    </row>
    <row r="1331" ht="12.75" customHeight="1">
      <c r="A1331" s="4"/>
      <c r="B1331" s="4"/>
      <c r="C1331" s="4"/>
      <c r="D1331" s="4"/>
      <c r="E1331" s="7"/>
      <c r="F1331" s="4"/>
      <c r="G1331" s="4"/>
      <c r="H1331" s="10"/>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row>
    <row r="1332" ht="12.75" customHeight="1">
      <c r="A1332" s="4"/>
      <c r="B1332" s="4"/>
      <c r="C1332" s="4"/>
      <c r="D1332" s="4"/>
      <c r="E1332" s="7"/>
      <c r="F1332" s="4"/>
      <c r="G1332" s="4"/>
      <c r="H1332" s="10"/>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c r="AF1332" s="7"/>
      <c r="AG1332" s="7"/>
      <c r="AH1332" s="7"/>
      <c r="AI1332" s="7"/>
      <c r="AJ1332" s="7"/>
      <c r="AK1332" s="7"/>
      <c r="AL1332" s="7"/>
      <c r="AM1332" s="7"/>
      <c r="AN1332" s="7"/>
    </row>
    <row r="1333" ht="12.75" customHeight="1">
      <c r="A1333" s="4"/>
      <c r="B1333" s="4"/>
      <c r="C1333" s="4"/>
      <c r="D1333" s="4"/>
      <c r="E1333" s="7"/>
      <c r="F1333" s="4"/>
      <c r="G1333" s="4"/>
      <c r="H1333" s="10"/>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row>
    <row r="1334" ht="12.75" customHeight="1">
      <c r="A1334" s="4"/>
      <c r="B1334" s="4"/>
      <c r="C1334" s="4"/>
      <c r="D1334" s="4"/>
      <c r="E1334" s="7"/>
      <c r="F1334" s="4"/>
      <c r="G1334" s="4"/>
      <c r="H1334" s="10"/>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c r="AF1334" s="7"/>
      <c r="AG1334" s="7"/>
      <c r="AH1334" s="7"/>
      <c r="AI1334" s="7"/>
      <c r="AJ1334" s="7"/>
      <c r="AK1334" s="7"/>
      <c r="AL1334" s="7"/>
      <c r="AM1334" s="7"/>
      <c r="AN1334" s="7"/>
    </row>
    <row r="1335" ht="12.75" customHeight="1">
      <c r="A1335" s="4"/>
      <c r="B1335" s="4"/>
      <c r="C1335" s="4"/>
      <c r="D1335" s="4"/>
      <c r="E1335" s="7"/>
      <c r="F1335" s="4"/>
      <c r="G1335" s="4"/>
      <c r="H1335" s="10"/>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c r="AF1335" s="7"/>
      <c r="AG1335" s="7"/>
      <c r="AH1335" s="7"/>
      <c r="AI1335" s="7"/>
      <c r="AJ1335" s="7"/>
      <c r="AK1335" s="7"/>
      <c r="AL1335" s="7"/>
      <c r="AM1335" s="7"/>
      <c r="AN1335" s="7"/>
    </row>
    <row r="1336" ht="12.75" customHeight="1">
      <c r="A1336" s="4"/>
      <c r="B1336" s="4"/>
      <c r="C1336" s="4"/>
      <c r="D1336" s="4"/>
      <c r="E1336" s="7"/>
      <c r="F1336" s="4"/>
      <c r="G1336" s="4"/>
      <c r="H1336" s="10"/>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row>
    <row r="1337" ht="12.75" customHeight="1">
      <c r="A1337" s="4"/>
      <c r="B1337" s="4"/>
      <c r="C1337" s="4"/>
      <c r="D1337" s="4"/>
      <c r="E1337" s="7"/>
      <c r="F1337" s="4"/>
      <c r="G1337" s="4"/>
      <c r="H1337" s="10"/>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row>
    <row r="1338" ht="12.75" customHeight="1">
      <c r="A1338" s="4"/>
      <c r="B1338" s="4"/>
      <c r="C1338" s="4"/>
      <c r="D1338" s="4"/>
      <c r="E1338" s="7"/>
      <c r="F1338" s="4"/>
      <c r="G1338" s="4"/>
      <c r="H1338" s="10"/>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row>
    <row r="1339" ht="12.75" customHeight="1">
      <c r="A1339" s="4"/>
      <c r="B1339" s="4"/>
      <c r="C1339" s="4"/>
      <c r="D1339" s="4"/>
      <c r="E1339" s="7"/>
      <c r="F1339" s="4"/>
      <c r="G1339" s="4"/>
      <c r="H1339" s="10"/>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row>
    <row r="1340" ht="12.75" customHeight="1">
      <c r="A1340" s="4"/>
      <c r="B1340" s="4"/>
      <c r="C1340" s="4"/>
      <c r="D1340" s="4"/>
      <c r="E1340" s="7"/>
      <c r="F1340" s="4"/>
      <c r="G1340" s="4"/>
      <c r="H1340" s="10"/>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row>
    <row r="1341" ht="12.75" customHeight="1">
      <c r="A1341" s="4"/>
      <c r="B1341" s="4"/>
      <c r="C1341" s="4"/>
      <c r="D1341" s="4"/>
      <c r="E1341" s="7"/>
      <c r="F1341" s="4"/>
      <c r="G1341" s="4"/>
      <c r="H1341" s="10"/>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row>
    <row r="1342" ht="12.75" customHeight="1">
      <c r="A1342" s="4"/>
      <c r="B1342" s="4"/>
      <c r="C1342" s="4"/>
      <c r="D1342" s="4"/>
      <c r="E1342" s="7"/>
      <c r="F1342" s="4"/>
      <c r="G1342" s="4"/>
      <c r="H1342" s="10"/>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row>
    <row r="1343" ht="12.75" customHeight="1">
      <c r="A1343" s="4"/>
      <c r="B1343" s="4"/>
      <c r="C1343" s="4"/>
      <c r="D1343" s="4"/>
      <c r="E1343" s="7"/>
      <c r="F1343" s="4"/>
      <c r="G1343" s="4"/>
      <c r="H1343" s="10"/>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c r="AF1343" s="7"/>
      <c r="AG1343" s="7"/>
      <c r="AH1343" s="7"/>
      <c r="AI1343" s="7"/>
      <c r="AJ1343" s="7"/>
      <c r="AK1343" s="7"/>
      <c r="AL1343" s="7"/>
      <c r="AM1343" s="7"/>
      <c r="AN1343" s="7"/>
    </row>
    <row r="1344" ht="12.75" customHeight="1">
      <c r="A1344" s="4"/>
      <c r="B1344" s="4"/>
      <c r="C1344" s="4"/>
      <c r="D1344" s="4"/>
      <c r="E1344" s="7"/>
      <c r="F1344" s="4"/>
      <c r="G1344" s="4"/>
      <c r="H1344" s="10"/>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row>
    <row r="1345" ht="12.75" customHeight="1">
      <c r="A1345" s="4"/>
      <c r="B1345" s="4"/>
      <c r="C1345" s="4"/>
      <c r="D1345" s="4"/>
      <c r="E1345" s="7"/>
      <c r="F1345" s="4"/>
      <c r="G1345" s="4"/>
      <c r="H1345" s="10"/>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row>
    <row r="1346" ht="12.75" customHeight="1">
      <c r="A1346" s="4"/>
      <c r="B1346" s="4"/>
      <c r="C1346" s="4"/>
      <c r="D1346" s="4"/>
      <c r="E1346" s="7"/>
      <c r="F1346" s="4"/>
      <c r="G1346" s="4"/>
      <c r="H1346" s="10"/>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row>
    <row r="1347" ht="12.75" customHeight="1">
      <c r="A1347" s="4"/>
      <c r="B1347" s="4"/>
      <c r="C1347" s="4"/>
      <c r="D1347" s="4"/>
      <c r="E1347" s="7"/>
      <c r="F1347" s="4"/>
      <c r="G1347" s="4"/>
      <c r="H1347" s="10"/>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row>
    <row r="1348" ht="12.75" customHeight="1">
      <c r="A1348" s="4"/>
      <c r="B1348" s="4"/>
      <c r="C1348" s="4"/>
      <c r="D1348" s="4"/>
      <c r="E1348" s="7"/>
      <c r="F1348" s="4"/>
      <c r="G1348" s="4"/>
      <c r="H1348" s="10"/>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row>
    <row r="1349" ht="12.75" customHeight="1">
      <c r="A1349" s="4"/>
      <c r="B1349" s="4"/>
      <c r="C1349" s="4"/>
      <c r="D1349" s="4"/>
      <c r="E1349" s="7"/>
      <c r="F1349" s="4"/>
      <c r="G1349" s="4"/>
      <c r="H1349" s="10"/>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row>
    <row r="1350" ht="12.75" customHeight="1">
      <c r="A1350" s="4"/>
      <c r="B1350" s="4"/>
      <c r="C1350" s="4"/>
      <c r="D1350" s="4"/>
      <c r="E1350" s="7"/>
      <c r="F1350" s="4"/>
      <c r="G1350" s="4"/>
      <c r="H1350" s="10"/>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row>
    <row r="1351" ht="12.75" customHeight="1">
      <c r="A1351" s="4"/>
      <c r="B1351" s="4"/>
      <c r="C1351" s="4"/>
      <c r="D1351" s="4"/>
      <c r="E1351" s="7"/>
      <c r="F1351" s="4"/>
      <c r="G1351" s="4"/>
      <c r="H1351" s="10"/>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row>
    <row r="1352" ht="12.75" customHeight="1">
      <c r="A1352" s="4"/>
      <c r="B1352" s="4"/>
      <c r="C1352" s="4"/>
      <c r="D1352" s="4"/>
      <c r="E1352" s="7"/>
      <c r="F1352" s="4"/>
      <c r="G1352" s="4"/>
      <c r="H1352" s="10"/>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row>
    <row r="1353" ht="12.75" customHeight="1">
      <c r="A1353" s="4"/>
      <c r="B1353" s="4"/>
      <c r="C1353" s="4"/>
      <c r="D1353" s="4"/>
      <c r="E1353" s="7"/>
      <c r="F1353" s="4"/>
      <c r="G1353" s="4"/>
      <c r="H1353" s="10"/>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row>
    <row r="1354" ht="12.75" customHeight="1">
      <c r="A1354" s="4"/>
      <c r="B1354" s="4"/>
      <c r="C1354" s="4"/>
      <c r="D1354" s="4"/>
      <c r="E1354" s="7"/>
      <c r="F1354" s="4"/>
      <c r="G1354" s="4"/>
      <c r="H1354" s="10"/>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row>
    <row r="1355" ht="12.75" customHeight="1">
      <c r="A1355" s="4"/>
      <c r="B1355" s="4"/>
      <c r="C1355" s="4"/>
      <c r="D1355" s="4"/>
      <c r="E1355" s="7"/>
      <c r="F1355" s="4"/>
      <c r="G1355" s="4"/>
      <c r="H1355" s="10"/>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row>
    <row r="1356" ht="12.75" customHeight="1">
      <c r="A1356" s="4"/>
      <c r="B1356" s="4"/>
      <c r="C1356" s="4"/>
      <c r="D1356" s="4"/>
      <c r="E1356" s="7"/>
      <c r="F1356" s="4"/>
      <c r="G1356" s="4"/>
      <c r="H1356" s="10"/>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row>
    <row r="1357" ht="12.75" customHeight="1">
      <c r="A1357" s="4"/>
      <c r="B1357" s="4"/>
      <c r="C1357" s="4"/>
      <c r="D1357" s="4"/>
      <c r="E1357" s="7"/>
      <c r="F1357" s="4"/>
      <c r="G1357" s="4"/>
      <c r="H1357" s="10"/>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row>
    <row r="1358" ht="12.75" customHeight="1">
      <c r="A1358" s="4"/>
      <c r="B1358" s="4"/>
      <c r="C1358" s="4"/>
      <c r="D1358" s="4"/>
      <c r="E1358" s="7"/>
      <c r="F1358" s="4"/>
      <c r="G1358" s="4"/>
      <c r="H1358" s="10"/>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row>
    <row r="1359" ht="12.75" customHeight="1">
      <c r="A1359" s="4"/>
      <c r="B1359" s="4"/>
      <c r="C1359" s="4"/>
      <c r="D1359" s="4"/>
      <c r="E1359" s="7"/>
      <c r="F1359" s="4"/>
      <c r="G1359" s="4"/>
      <c r="H1359" s="10"/>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row>
    <row r="1360" ht="12.75" customHeight="1">
      <c r="A1360" s="4"/>
      <c r="B1360" s="4"/>
      <c r="C1360" s="4"/>
      <c r="D1360" s="4"/>
      <c r="E1360" s="7"/>
      <c r="F1360" s="4"/>
      <c r="G1360" s="4"/>
      <c r="H1360" s="10"/>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row>
    <row r="1361" ht="12.75" customHeight="1">
      <c r="A1361" s="4"/>
      <c r="B1361" s="4"/>
      <c r="C1361" s="4"/>
      <c r="D1361" s="4"/>
      <c r="E1361" s="7"/>
      <c r="F1361" s="4"/>
      <c r="G1361" s="4"/>
      <c r="H1361" s="10"/>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c r="AF1361" s="7"/>
      <c r="AG1361" s="7"/>
      <c r="AH1361" s="7"/>
      <c r="AI1361" s="7"/>
      <c r="AJ1361" s="7"/>
      <c r="AK1361" s="7"/>
      <c r="AL1361" s="7"/>
      <c r="AM1361" s="7"/>
      <c r="AN1361" s="7"/>
    </row>
    <row r="1362" ht="12.75" customHeight="1">
      <c r="A1362" s="4"/>
      <c r="B1362" s="4"/>
      <c r="C1362" s="4"/>
      <c r="D1362" s="4"/>
      <c r="E1362" s="7"/>
      <c r="F1362" s="4"/>
      <c r="G1362" s="4"/>
      <c r="H1362" s="10"/>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row>
    <row r="1363" ht="12.75" customHeight="1">
      <c r="A1363" s="4"/>
      <c r="B1363" s="4"/>
      <c r="C1363" s="4"/>
      <c r="D1363" s="4"/>
      <c r="E1363" s="7"/>
      <c r="F1363" s="4"/>
      <c r="G1363" s="4"/>
      <c r="H1363" s="10"/>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row>
    <row r="1364" ht="12.75" customHeight="1">
      <c r="A1364" s="4"/>
      <c r="B1364" s="4"/>
      <c r="C1364" s="4"/>
      <c r="D1364" s="4"/>
      <c r="E1364" s="7"/>
      <c r="F1364" s="4"/>
      <c r="G1364" s="4"/>
      <c r="H1364" s="10"/>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row>
    <row r="1365" ht="12.75" customHeight="1">
      <c r="A1365" s="4"/>
      <c r="B1365" s="4"/>
      <c r="C1365" s="4"/>
      <c r="D1365" s="4"/>
      <c r="E1365" s="7"/>
      <c r="F1365" s="4"/>
      <c r="G1365" s="4"/>
      <c r="H1365" s="10"/>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row>
    <row r="1366" ht="12.75" customHeight="1">
      <c r="A1366" s="4"/>
      <c r="B1366" s="4"/>
      <c r="C1366" s="4"/>
      <c r="D1366" s="4"/>
      <c r="E1366" s="7"/>
      <c r="F1366" s="4"/>
      <c r="G1366" s="4"/>
      <c r="H1366" s="10"/>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7"/>
    </row>
    <row r="1367" ht="12.75" customHeight="1">
      <c r="A1367" s="4"/>
      <c r="B1367" s="4"/>
      <c r="C1367" s="4"/>
      <c r="D1367" s="4"/>
      <c r="E1367" s="7"/>
      <c r="F1367" s="4"/>
      <c r="G1367" s="4"/>
      <c r="H1367" s="10"/>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row>
    <row r="1368" ht="12.75" customHeight="1">
      <c r="A1368" s="4"/>
      <c r="B1368" s="4"/>
      <c r="C1368" s="4"/>
      <c r="D1368" s="4"/>
      <c r="E1368" s="7"/>
      <c r="F1368" s="4"/>
      <c r="G1368" s="4"/>
      <c r="H1368" s="10"/>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row>
    <row r="1369" ht="12.75" customHeight="1">
      <c r="A1369" s="4"/>
      <c r="B1369" s="4"/>
      <c r="C1369" s="4"/>
      <c r="D1369" s="4"/>
      <c r="E1369" s="7"/>
      <c r="F1369" s="4"/>
      <c r="G1369" s="4"/>
      <c r="H1369" s="10"/>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row>
    <row r="1370" ht="12.75" customHeight="1">
      <c r="A1370" s="4"/>
      <c r="B1370" s="4"/>
      <c r="C1370" s="4"/>
      <c r="D1370" s="4"/>
      <c r="E1370" s="7"/>
      <c r="F1370" s="4"/>
      <c r="G1370" s="4"/>
      <c r="H1370" s="10"/>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row>
    <row r="1371" ht="12.75" customHeight="1">
      <c r="A1371" s="4"/>
      <c r="B1371" s="4"/>
      <c r="C1371" s="4"/>
      <c r="D1371" s="4"/>
      <c r="E1371" s="7"/>
      <c r="F1371" s="4"/>
      <c r="G1371" s="4"/>
      <c r="H1371" s="10"/>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row>
    <row r="1372" ht="12.75" customHeight="1">
      <c r="A1372" s="4"/>
      <c r="B1372" s="4"/>
      <c r="C1372" s="4"/>
      <c r="D1372" s="4"/>
      <c r="E1372" s="7"/>
      <c r="F1372" s="4"/>
      <c r="G1372" s="4"/>
      <c r="H1372" s="10"/>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row>
    <row r="1373" ht="12.75" customHeight="1">
      <c r="A1373" s="4"/>
      <c r="B1373" s="4"/>
      <c r="C1373" s="4"/>
      <c r="D1373" s="4"/>
      <c r="E1373" s="7"/>
      <c r="F1373" s="4"/>
      <c r="G1373" s="4"/>
      <c r="H1373" s="10"/>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row>
    <row r="1374" ht="12.75" customHeight="1">
      <c r="A1374" s="4"/>
      <c r="B1374" s="4"/>
      <c r="C1374" s="4"/>
      <c r="D1374" s="4"/>
      <c r="E1374" s="7"/>
      <c r="F1374" s="4"/>
      <c r="G1374" s="4"/>
      <c r="H1374" s="10"/>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row>
    <row r="1375" ht="12.75" customHeight="1">
      <c r="A1375" s="4"/>
      <c r="B1375" s="4"/>
      <c r="C1375" s="4"/>
      <c r="D1375" s="4"/>
      <c r="E1375" s="7"/>
      <c r="F1375" s="4"/>
      <c r="G1375" s="4"/>
      <c r="H1375" s="10"/>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row>
    <row r="1376" ht="12.75" customHeight="1">
      <c r="A1376" s="4"/>
      <c r="B1376" s="4"/>
      <c r="C1376" s="4"/>
      <c r="D1376" s="4"/>
      <c r="E1376" s="7"/>
      <c r="F1376" s="4"/>
      <c r="G1376" s="4"/>
      <c r="H1376" s="10"/>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row>
    <row r="1377" ht="12.75" customHeight="1">
      <c r="A1377" s="4"/>
      <c r="B1377" s="4"/>
      <c r="C1377" s="4"/>
      <c r="D1377" s="4"/>
      <c r="E1377" s="7"/>
      <c r="F1377" s="4"/>
      <c r="G1377" s="4"/>
      <c r="H1377" s="10"/>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row>
    <row r="1378" ht="12.75" customHeight="1">
      <c r="A1378" s="4"/>
      <c r="B1378" s="4"/>
      <c r="C1378" s="4"/>
      <c r="D1378" s="4"/>
      <c r="E1378" s="7"/>
      <c r="F1378" s="4"/>
      <c r="G1378" s="4"/>
      <c r="H1378" s="10"/>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row>
    <row r="1379" ht="12.75" customHeight="1">
      <c r="A1379" s="4"/>
      <c r="B1379" s="4"/>
      <c r="C1379" s="4"/>
      <c r="D1379" s="4"/>
      <c r="E1379" s="7"/>
      <c r="F1379" s="4"/>
      <c r="G1379" s="4"/>
      <c r="H1379" s="10"/>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row>
    <row r="1380" ht="12.75" customHeight="1">
      <c r="A1380" s="4"/>
      <c r="B1380" s="4"/>
      <c r="C1380" s="4"/>
      <c r="D1380" s="4"/>
      <c r="E1380" s="7"/>
      <c r="F1380" s="4"/>
      <c r="G1380" s="4"/>
      <c r="H1380" s="10"/>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row>
    <row r="1381" ht="12.75" customHeight="1">
      <c r="A1381" s="4"/>
      <c r="B1381" s="4"/>
      <c r="C1381" s="4"/>
      <c r="D1381" s="4"/>
      <c r="E1381" s="7"/>
      <c r="F1381" s="4"/>
      <c r="G1381" s="4"/>
      <c r="H1381" s="10"/>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c r="AF1381" s="7"/>
      <c r="AG1381" s="7"/>
      <c r="AH1381" s="7"/>
      <c r="AI1381" s="7"/>
      <c r="AJ1381" s="7"/>
      <c r="AK1381" s="7"/>
      <c r="AL1381" s="7"/>
      <c r="AM1381" s="7"/>
      <c r="AN1381" s="7"/>
    </row>
    <row r="1382" ht="12.75" customHeight="1">
      <c r="A1382" s="4"/>
      <c r="B1382" s="4"/>
      <c r="C1382" s="4"/>
      <c r="D1382" s="4"/>
      <c r="E1382" s="7"/>
      <c r="F1382" s="4"/>
      <c r="G1382" s="4"/>
      <c r="H1382" s="10"/>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c r="AG1382" s="7"/>
      <c r="AH1382" s="7"/>
      <c r="AI1382" s="7"/>
      <c r="AJ1382" s="7"/>
      <c r="AK1382" s="7"/>
      <c r="AL1382" s="7"/>
      <c r="AM1382" s="7"/>
      <c r="AN1382" s="7"/>
    </row>
    <row r="1383" ht="12.75" customHeight="1">
      <c r="A1383" s="4"/>
      <c r="B1383" s="4"/>
      <c r="C1383" s="4"/>
      <c r="D1383" s="4"/>
      <c r="E1383" s="7"/>
      <c r="F1383" s="4"/>
      <c r="G1383" s="4"/>
      <c r="H1383" s="10"/>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row>
    <row r="1384" ht="12.75" customHeight="1">
      <c r="A1384" s="4"/>
      <c r="B1384" s="4"/>
      <c r="C1384" s="4"/>
      <c r="D1384" s="4"/>
      <c r="E1384" s="7"/>
      <c r="F1384" s="4"/>
      <c r="G1384" s="4"/>
      <c r="H1384" s="10"/>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row>
    <row r="1385" ht="12.75" customHeight="1">
      <c r="A1385" s="4"/>
      <c r="B1385" s="4"/>
      <c r="C1385" s="4"/>
      <c r="D1385" s="4"/>
      <c r="E1385" s="7"/>
      <c r="F1385" s="4"/>
      <c r="G1385" s="4"/>
      <c r="H1385" s="10"/>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row>
    <row r="1386" ht="12.75" customHeight="1">
      <c r="A1386" s="4"/>
      <c r="B1386" s="4"/>
      <c r="C1386" s="4"/>
      <c r="D1386" s="4"/>
      <c r="E1386" s="7"/>
      <c r="F1386" s="4"/>
      <c r="G1386" s="4"/>
      <c r="H1386" s="10"/>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row>
    <row r="1387" ht="12.75" customHeight="1">
      <c r="A1387" s="4"/>
      <c r="B1387" s="4"/>
      <c r="C1387" s="4"/>
      <c r="D1387" s="4"/>
      <c r="E1387" s="7"/>
      <c r="F1387" s="4"/>
      <c r="G1387" s="4"/>
      <c r="H1387" s="10"/>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row>
    <row r="1388" ht="12.75" customHeight="1">
      <c r="A1388" s="4"/>
      <c r="B1388" s="4"/>
      <c r="C1388" s="4"/>
      <c r="D1388" s="4"/>
      <c r="E1388" s="7"/>
      <c r="F1388" s="4"/>
      <c r="G1388" s="4"/>
      <c r="H1388" s="10"/>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row>
    <row r="1389" ht="12.75" customHeight="1">
      <c r="A1389" s="4"/>
      <c r="B1389" s="4"/>
      <c r="C1389" s="4"/>
      <c r="D1389" s="4"/>
      <c r="E1389" s="7"/>
      <c r="F1389" s="4"/>
      <c r="G1389" s="4"/>
      <c r="H1389" s="10"/>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c r="AF1389" s="7"/>
      <c r="AG1389" s="7"/>
      <c r="AH1389" s="7"/>
      <c r="AI1389" s="7"/>
      <c r="AJ1389" s="7"/>
      <c r="AK1389" s="7"/>
      <c r="AL1389" s="7"/>
      <c r="AM1389" s="7"/>
      <c r="AN1389" s="7"/>
    </row>
    <row r="1390" ht="12.75" customHeight="1">
      <c r="A1390" s="4"/>
      <c r="B1390" s="4"/>
      <c r="C1390" s="4"/>
      <c r="D1390" s="4"/>
      <c r="E1390" s="7"/>
      <c r="F1390" s="4"/>
      <c r="G1390" s="4"/>
      <c r="H1390" s="10"/>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7"/>
      <c r="AG1390" s="7"/>
      <c r="AH1390" s="7"/>
      <c r="AI1390" s="7"/>
      <c r="AJ1390" s="7"/>
      <c r="AK1390" s="7"/>
      <c r="AL1390" s="7"/>
      <c r="AM1390" s="7"/>
      <c r="AN1390" s="7"/>
    </row>
    <row r="1391" ht="12.75" customHeight="1">
      <c r="A1391" s="4"/>
      <c r="B1391" s="4"/>
      <c r="C1391" s="4"/>
      <c r="D1391" s="4"/>
      <c r="E1391" s="7"/>
      <c r="F1391" s="4"/>
      <c r="G1391" s="4"/>
      <c r="H1391" s="10"/>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7"/>
      <c r="AG1391" s="7"/>
      <c r="AH1391" s="7"/>
      <c r="AI1391" s="7"/>
      <c r="AJ1391" s="7"/>
      <c r="AK1391" s="7"/>
      <c r="AL1391" s="7"/>
      <c r="AM1391" s="7"/>
      <c r="AN1391" s="7"/>
    </row>
    <row r="1392" ht="12.75" customHeight="1">
      <c r="A1392" s="4"/>
      <c r="B1392" s="4"/>
      <c r="C1392" s="4"/>
      <c r="D1392" s="4"/>
      <c r="E1392" s="7"/>
      <c r="F1392" s="4"/>
      <c r="G1392" s="4"/>
      <c r="H1392" s="10"/>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c r="AF1392" s="7"/>
      <c r="AG1392" s="7"/>
      <c r="AH1392" s="7"/>
      <c r="AI1392" s="7"/>
      <c r="AJ1392" s="7"/>
      <c r="AK1392" s="7"/>
      <c r="AL1392" s="7"/>
      <c r="AM1392" s="7"/>
      <c r="AN1392" s="7"/>
    </row>
    <row r="1393" ht="12.75" customHeight="1">
      <c r="A1393" s="4"/>
      <c r="B1393" s="4"/>
      <c r="C1393" s="4"/>
      <c r="D1393" s="4"/>
      <c r="E1393" s="7"/>
      <c r="F1393" s="4"/>
      <c r="G1393" s="4"/>
      <c r="H1393" s="10"/>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c r="AF1393" s="7"/>
      <c r="AG1393" s="7"/>
      <c r="AH1393" s="7"/>
      <c r="AI1393" s="7"/>
      <c r="AJ1393" s="7"/>
      <c r="AK1393" s="7"/>
      <c r="AL1393" s="7"/>
      <c r="AM1393" s="7"/>
      <c r="AN1393" s="7"/>
    </row>
    <row r="1394" ht="12.75" customHeight="1">
      <c r="A1394" s="4"/>
      <c r="B1394" s="4"/>
      <c r="C1394" s="4"/>
      <c r="D1394" s="4"/>
      <c r="E1394" s="7"/>
      <c r="F1394" s="4"/>
      <c r="G1394" s="4"/>
      <c r="H1394" s="10"/>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c r="AF1394" s="7"/>
      <c r="AG1394" s="7"/>
      <c r="AH1394" s="7"/>
      <c r="AI1394" s="7"/>
      <c r="AJ1394" s="7"/>
      <c r="AK1394" s="7"/>
      <c r="AL1394" s="7"/>
      <c r="AM1394" s="7"/>
      <c r="AN1394" s="7"/>
    </row>
    <row r="1395" ht="12.75" customHeight="1">
      <c r="A1395" s="4"/>
      <c r="B1395" s="4"/>
      <c r="C1395" s="4"/>
      <c r="D1395" s="4"/>
      <c r="E1395" s="7"/>
      <c r="F1395" s="4"/>
      <c r="G1395" s="4"/>
      <c r="H1395" s="10"/>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row>
    <row r="1396" ht="12.75" customHeight="1">
      <c r="A1396" s="4"/>
      <c r="B1396" s="4"/>
      <c r="C1396" s="4"/>
      <c r="D1396" s="4"/>
      <c r="E1396" s="7"/>
      <c r="F1396" s="4"/>
      <c r="G1396" s="4"/>
      <c r="H1396" s="10"/>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c r="AF1396" s="7"/>
      <c r="AG1396" s="7"/>
      <c r="AH1396" s="7"/>
      <c r="AI1396" s="7"/>
      <c r="AJ1396" s="7"/>
      <c r="AK1396" s="7"/>
      <c r="AL1396" s="7"/>
      <c r="AM1396" s="7"/>
      <c r="AN1396" s="7"/>
    </row>
    <row r="1397" ht="12.75" customHeight="1">
      <c r="A1397" s="4"/>
      <c r="B1397" s="4"/>
      <c r="C1397" s="4"/>
      <c r="D1397" s="4"/>
      <c r="E1397" s="7"/>
      <c r="F1397" s="4"/>
      <c r="G1397" s="4"/>
      <c r="H1397" s="10"/>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c r="AF1397" s="7"/>
      <c r="AG1397" s="7"/>
      <c r="AH1397" s="7"/>
      <c r="AI1397" s="7"/>
      <c r="AJ1397" s="7"/>
      <c r="AK1397" s="7"/>
      <c r="AL1397" s="7"/>
      <c r="AM1397" s="7"/>
      <c r="AN1397" s="7"/>
    </row>
    <row r="1398" ht="12.75" customHeight="1">
      <c r="A1398" s="4"/>
      <c r="B1398" s="4"/>
      <c r="C1398" s="4"/>
      <c r="D1398" s="4"/>
      <c r="E1398" s="7"/>
      <c r="F1398" s="4"/>
      <c r="G1398" s="4"/>
      <c r="H1398" s="10"/>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c r="AF1398" s="7"/>
      <c r="AG1398" s="7"/>
      <c r="AH1398" s="7"/>
      <c r="AI1398" s="7"/>
      <c r="AJ1398" s="7"/>
      <c r="AK1398" s="7"/>
      <c r="AL1398" s="7"/>
      <c r="AM1398" s="7"/>
      <c r="AN1398" s="7"/>
    </row>
    <row r="1399" ht="12.75" customHeight="1">
      <c r="A1399" s="4"/>
      <c r="B1399" s="4"/>
      <c r="C1399" s="4"/>
      <c r="D1399" s="4"/>
      <c r="E1399" s="7"/>
      <c r="F1399" s="4"/>
      <c r="G1399" s="4"/>
      <c r="H1399" s="10"/>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7"/>
      <c r="AG1399" s="7"/>
      <c r="AH1399" s="7"/>
      <c r="AI1399" s="7"/>
      <c r="AJ1399" s="7"/>
      <c r="AK1399" s="7"/>
      <c r="AL1399" s="7"/>
      <c r="AM1399" s="7"/>
      <c r="AN1399" s="7"/>
    </row>
  </sheetData>
  <mergeCells count="3">
    <mergeCell ref="J23:K23"/>
    <mergeCell ref="G25:I25"/>
    <mergeCell ref="G39:I39"/>
  </mergeCells>
  <conditionalFormatting sqref="L23:O23">
    <cfRule type="cellIs" dxfId="131" priority="1" operator="equal">
      <formula>"UNLV"</formula>
    </cfRule>
  </conditionalFormatting>
  <conditionalFormatting sqref="A1:F1399 G1:I37 J1:AN1399 G39:I1399">
    <cfRule type="cellIs" dxfId="0" priority="2" operator="equal">
      <formula>"Wyoming"</formula>
    </cfRule>
  </conditionalFormatting>
  <conditionalFormatting sqref="A1:F1399 G1:I37 J1:AN1399 G39:I1399">
    <cfRule type="cellIs" dxfId="1" priority="3" operator="equal">
      <formula>"Wisconsin"</formula>
    </cfRule>
  </conditionalFormatting>
  <conditionalFormatting sqref="A1:F1399 G1:I37 J1:AN1399 G39:I1399">
    <cfRule type="cellIs" dxfId="2" priority="4" operator="equal">
      <formula>"Western Michigan"</formula>
    </cfRule>
  </conditionalFormatting>
  <conditionalFormatting sqref="A1:F1399 G1:I37 J1:AN1399 G39:I1399">
    <cfRule type="cellIs" dxfId="3" priority="5" operator="equal">
      <formula>"Western Kentucky"</formula>
    </cfRule>
  </conditionalFormatting>
  <conditionalFormatting sqref="A1:F1399 G1:I37 J1:AN1399 G39:I1399">
    <cfRule type="cellIs" dxfId="4" priority="6" operator="equal">
      <formula>"West Virginia"</formula>
    </cfRule>
  </conditionalFormatting>
  <conditionalFormatting sqref="A1:F1399 G1:I37 J1:AN1399 G39:I1399">
    <cfRule type="cellIs" dxfId="5" priority="7" operator="equal">
      <formula>"Washington State"</formula>
    </cfRule>
  </conditionalFormatting>
  <conditionalFormatting sqref="A1:F1399 G1:I37 J1:AN1399 G39:I1399">
    <cfRule type="cellIs" dxfId="6" priority="8" operator="equal">
      <formula>"Washington"</formula>
    </cfRule>
  </conditionalFormatting>
  <conditionalFormatting sqref="A1:F1399 G1:I37 J1:AN1399 G39:I1399">
    <cfRule type="cellIs" dxfId="7" priority="9" operator="equal">
      <formula>"Wake Forest"</formula>
    </cfRule>
  </conditionalFormatting>
  <conditionalFormatting sqref="A1:F1399 G1:I37 J1:AN1399 G39:I1399">
    <cfRule type="cellIs" dxfId="8" priority="10" operator="equal">
      <formula>"Virginia Tech"</formula>
    </cfRule>
  </conditionalFormatting>
  <conditionalFormatting sqref="A1:F1399 G1:I37 J1:AN1399 G39:I1399">
    <cfRule type="cellIs" dxfId="9" priority="11" operator="equal">
      <formula>"Virginia"</formula>
    </cfRule>
  </conditionalFormatting>
  <conditionalFormatting sqref="A1:F1399 G1:I37 J1:AN1399 G39:I1399">
    <cfRule type="cellIs" dxfId="10" priority="12" operator="equal">
      <formula>"Vanderbilt"</formula>
    </cfRule>
  </conditionalFormatting>
  <conditionalFormatting sqref="A1:F1399 G1:I37 J1:AN1399 G39:I1399">
    <cfRule type="cellIs" dxfId="11" priority="13" operator="equal">
      <formula>"UTEP"</formula>
    </cfRule>
  </conditionalFormatting>
  <conditionalFormatting sqref="A1:F1399 G1:I37 J1:AN1399 G39:I1399">
    <cfRule type="cellIs" dxfId="12" priority="14" operator="equal">
      <formula>"Utah State"</formula>
    </cfRule>
  </conditionalFormatting>
  <conditionalFormatting sqref="A1:F1399 G1:I37 J1:AN1399 G39:I1399">
    <cfRule type="cellIs" dxfId="13" priority="15" operator="equal">
      <formula>"Utah"</formula>
    </cfRule>
  </conditionalFormatting>
  <conditionalFormatting sqref="A1:F1399 G1:I37 J1:AN1399 G39:I1399">
    <cfRule type="cellIs" dxfId="14" priority="16" operator="equal">
      <formula>"UNLV"</formula>
    </cfRule>
  </conditionalFormatting>
  <conditionalFormatting sqref="A1:F1399 G1:I37 J1:AN1399 G39:I1399">
    <cfRule type="cellIs" dxfId="15" priority="17" operator="equal">
      <formula>"UL-Monroe"</formula>
    </cfRule>
  </conditionalFormatting>
  <conditionalFormatting sqref="A1:F1399 G1:I37 J1:AN1399 G39:I1399">
    <cfRule type="cellIs" dxfId="16" priority="18" operator="equal">
      <formula>"UL-Lafayette"</formula>
    </cfRule>
  </conditionalFormatting>
  <conditionalFormatting sqref="A1:F1399 G1:I37 J1:AN1399 G39:I1399">
    <cfRule type="cellIs" dxfId="17" priority="19" operator="equal">
      <formula>"UCLA"</formula>
    </cfRule>
  </conditionalFormatting>
  <conditionalFormatting sqref="A1:F1399 G1:I37 J1:AN1399 G39:I1399">
    <cfRule type="cellIs" dxfId="18" priority="20" operator="equal">
      <formula>"UAB"</formula>
    </cfRule>
  </conditionalFormatting>
  <conditionalFormatting sqref="A1:F1399 G1:I37 J1:AN1399 G39:I1399">
    <cfRule type="cellIs" dxfId="19" priority="21" operator="equal">
      <formula>"Tulsa"</formula>
    </cfRule>
  </conditionalFormatting>
  <conditionalFormatting sqref="A1:F1399 G1:I37 J1:AN1399 G39:I1399">
    <cfRule type="cellIs" dxfId="20" priority="22" operator="equal">
      <formula>"Tulane"</formula>
    </cfRule>
  </conditionalFormatting>
  <conditionalFormatting sqref="A1:F1399 G1:I37 J1:AN1399 G39:I1399">
    <cfRule type="cellIs" dxfId="21" priority="23" operator="equal">
      <formula>"Troy"</formula>
    </cfRule>
  </conditionalFormatting>
  <conditionalFormatting sqref="A1:F1399 G1:I37 J1:AN1399 G39:I1399">
    <cfRule type="cellIs" dxfId="22" priority="24" operator="equal">
      <formula>"Toledo"</formula>
    </cfRule>
  </conditionalFormatting>
  <conditionalFormatting sqref="A1:F1399 G1:I37 J1:AN1399 G39:I1399">
    <cfRule type="cellIs" dxfId="23" priority="25" operator="equal">
      <formula>"Texas-San Antonio"</formula>
    </cfRule>
  </conditionalFormatting>
  <conditionalFormatting sqref="A1:F1399 G1:I37 J1:AN1399 G39:I1399">
    <cfRule type="cellIs" dxfId="24" priority="26" operator="equal">
      <formula>"Texas Tech"</formula>
    </cfRule>
  </conditionalFormatting>
  <conditionalFormatting sqref="A1:F1399 G1:I37 J1:AN1399 G39:I1399">
    <cfRule type="cellIs" dxfId="25" priority="27" operator="equal">
      <formula>"Texas State"</formula>
    </cfRule>
  </conditionalFormatting>
  <conditionalFormatting sqref="A1:F1399 G1:I37 J1:AN1399 G39:I1399">
    <cfRule type="cellIs" dxfId="26" priority="28" operator="equal">
      <formula>"Texas A&amp;M"</formula>
    </cfRule>
  </conditionalFormatting>
  <conditionalFormatting sqref="A1:F1399 G1:I37 J1:AN1399 G39:I1399">
    <cfRule type="cellIs" dxfId="27" priority="29" operator="equal">
      <formula>"Texas"</formula>
    </cfRule>
  </conditionalFormatting>
  <conditionalFormatting sqref="A1:F1399 G1:I37 J1:AN1399 G39:I1399">
    <cfRule type="cellIs" dxfId="28" priority="30" operator="equal">
      <formula>"Tennessee"</formula>
    </cfRule>
  </conditionalFormatting>
  <conditionalFormatting sqref="A1:F1399 G1:I37 J1:AN1399 G39:I1399">
    <cfRule type="cellIs" dxfId="29" priority="31" operator="equal">
      <formula>"Temple"</formula>
    </cfRule>
  </conditionalFormatting>
  <conditionalFormatting sqref="A1:F1399 G1:I37 J1:AN1399 G39:I1399">
    <cfRule type="cellIs" dxfId="30" priority="32" operator="equal">
      <formula>"TCU"</formula>
    </cfRule>
  </conditionalFormatting>
  <conditionalFormatting sqref="A1:F1399 G1:I37 J1:AN1399 G39:I1399">
    <cfRule type="cellIs" dxfId="31" priority="33" operator="equal">
      <formula>"Syracuse"</formula>
    </cfRule>
  </conditionalFormatting>
  <conditionalFormatting sqref="A1:F1399 G1:I37 J1:AN1399 G39:I1399">
    <cfRule type="cellIs" dxfId="32" priority="34" operator="equal">
      <formula>"Stanford"</formula>
    </cfRule>
  </conditionalFormatting>
  <conditionalFormatting sqref="A1:F1399 G1:I37 J1:AN1399 G39:I1399">
    <cfRule type="cellIs" dxfId="33" priority="35" operator="equal">
      <formula>"Southern Mississippi"</formula>
    </cfRule>
  </conditionalFormatting>
  <conditionalFormatting sqref="A1:F1399 G1:I37 J1:AN1399 G39:I1399">
    <cfRule type="cellIs" dxfId="34" priority="36" operator="equal">
      <formula>"Southern Methodist"</formula>
    </cfRule>
  </conditionalFormatting>
  <conditionalFormatting sqref="A1:F1399 G1:I37 J1:AN1399 G39:I1399">
    <cfRule type="cellIs" dxfId="35" priority="37" operator="equal">
      <formula>"Southern Cal"</formula>
    </cfRule>
  </conditionalFormatting>
  <conditionalFormatting sqref="A1:F1399 G1:I37 J1:AN1399 G39:I1399">
    <cfRule type="cellIs" dxfId="36" priority="38" operator="equal">
      <formula>"South Florida"</formula>
    </cfRule>
  </conditionalFormatting>
  <conditionalFormatting sqref="A1:F1399 G1:I37 J1:AN1399 G39:I1399">
    <cfRule type="cellIs" dxfId="37" priority="39" operator="equal">
      <formula>"South Carolina"</formula>
    </cfRule>
  </conditionalFormatting>
  <conditionalFormatting sqref="A1:F1399 G1:I37 J1:AN1399 G39:I1399">
    <cfRule type="cellIs" dxfId="38" priority="40" operator="equal">
      <formula>"South Alabama"</formula>
    </cfRule>
  </conditionalFormatting>
  <conditionalFormatting sqref="A1:F1399 G1:I37 J1:AN1399 G39:I1399">
    <cfRule type="cellIs" dxfId="39" priority="41" operator="equal">
      <formula>"San Jose State"</formula>
    </cfRule>
  </conditionalFormatting>
  <conditionalFormatting sqref="A1:F1399 G1:I37 J1:AN1399 G39:I1399">
    <cfRule type="cellIs" dxfId="40" priority="42" operator="equal">
      <formula>"San Diego State"</formula>
    </cfRule>
  </conditionalFormatting>
  <conditionalFormatting sqref="A1:F1399 G1:I37 J1:AN1399 G39:I1399">
    <cfRule type="cellIs" dxfId="41" priority="43" operator="equal">
      <formula>"Rutgers"</formula>
    </cfRule>
  </conditionalFormatting>
  <conditionalFormatting sqref="A1:F1399 G1:I37 J1:AN1399 G39:I1399">
    <cfRule type="cellIs" dxfId="42" priority="44" operator="equal">
      <formula>"Rice"</formula>
    </cfRule>
  </conditionalFormatting>
  <conditionalFormatting sqref="A1:F1399 G1:I37 J1:AN1399 G39:I1399">
    <cfRule type="cellIs" dxfId="43" priority="45" operator="equal">
      <formula>"Purdue"</formula>
    </cfRule>
  </conditionalFormatting>
  <conditionalFormatting sqref="A1:F1399 G1:I37 J1:AN1399 G39:I1399">
    <cfRule type="cellIs" dxfId="44" priority="46" operator="equal">
      <formula>"Pittsburgh"</formula>
    </cfRule>
  </conditionalFormatting>
  <conditionalFormatting sqref="A1:F1399 G1:I37 J1:AN1399 G39:I1399">
    <cfRule type="cellIs" dxfId="45" priority="47" operator="equal">
      <formula>"Penn State"</formula>
    </cfRule>
  </conditionalFormatting>
  <conditionalFormatting sqref="A1:F1399 G1:I37 J1:AN1399 G39:I1399">
    <cfRule type="cellIs" dxfId="46" priority="48" operator="equal">
      <formula>"Oregon State"</formula>
    </cfRule>
  </conditionalFormatting>
  <conditionalFormatting sqref="A1:F1399 G1:I37 J1:AN1399 G39:I1399">
    <cfRule type="cellIs" dxfId="47" priority="49" operator="equal">
      <formula>"Oregon"</formula>
    </cfRule>
  </conditionalFormatting>
  <conditionalFormatting sqref="A1:F1399 G1:I37 J1:AN1399 G39:I1399">
    <cfRule type="cellIs" dxfId="48" priority="50" operator="equal">
      <formula>"Old Dominion"</formula>
    </cfRule>
  </conditionalFormatting>
  <conditionalFormatting sqref="A1:F1399 G1:I37 J1:AN1399 G39:I1399">
    <cfRule type="cellIs" dxfId="49" priority="51" operator="equal">
      <formula>"Oklahoma State"</formula>
    </cfRule>
  </conditionalFormatting>
  <conditionalFormatting sqref="A1:F1399 G1:I37 J1:AN1399 G39:I1399">
    <cfRule type="cellIs" dxfId="50" priority="52" operator="equal">
      <formula>"Oklahoma"</formula>
    </cfRule>
  </conditionalFormatting>
  <conditionalFormatting sqref="A1:F1399 G1:I37 J1:AN1399 G39:I1399">
    <cfRule type="cellIs" dxfId="51" priority="53" operator="equal">
      <formula>"Ohio State"</formula>
    </cfRule>
  </conditionalFormatting>
  <conditionalFormatting sqref="A1:F1399 G1:I37 J1:AN1399 G39:I1399">
    <cfRule type="cellIs" dxfId="52" priority="54" operator="equal">
      <formula>"Ohio"</formula>
    </cfRule>
  </conditionalFormatting>
  <conditionalFormatting sqref="A1:F1399 G1:I37 J1:AN1399 G39:I1399">
    <cfRule type="cellIs" dxfId="53" priority="55" operator="equal">
      <formula>"Notre Dame"</formula>
    </cfRule>
  </conditionalFormatting>
  <conditionalFormatting sqref="A1:F1399 G1:I37 J1:AN1399 G39:I1399">
    <cfRule type="cellIs" dxfId="54" priority="56" operator="equal">
      <formula>"Northwestern"</formula>
    </cfRule>
  </conditionalFormatting>
  <conditionalFormatting sqref="A1:F1399 G1:I37 J1:AN1399 G39:I1399">
    <cfRule type="cellIs" dxfId="55" priority="57" operator="equal">
      <formula>"Northern Illinois"</formula>
    </cfRule>
  </conditionalFormatting>
  <conditionalFormatting sqref="A1:F1399 G1:I37 J1:AN1399 G39:I1399">
    <cfRule type="cellIs" dxfId="56" priority="58" operator="equal">
      <formula>"North Texas"</formula>
    </cfRule>
  </conditionalFormatting>
  <conditionalFormatting sqref="A1:F1399 G1:I37 J1:AN1399 G39:I1399">
    <cfRule type="cellIs" dxfId="57" priority="59" operator="equal">
      <formula>"North Carolina"</formula>
    </cfRule>
  </conditionalFormatting>
  <conditionalFormatting sqref="A1:F1399 G1:I37 J1:AN1399 G39:I1399">
    <cfRule type="cellIs" dxfId="58" priority="60" operator="equal">
      <formula>"New Mexico State"</formula>
    </cfRule>
  </conditionalFormatting>
  <conditionalFormatting sqref="A1:F1399 G1:I37 J1:AN1399 G39:I1399">
    <cfRule type="cellIs" dxfId="59" priority="61" operator="equal">
      <formula>"New Mexico"</formula>
    </cfRule>
  </conditionalFormatting>
  <conditionalFormatting sqref="A1:F1399 G1:I37 J1:AN1399 G39:I1399">
    <cfRule type="cellIs" dxfId="60" priority="62" operator="equal">
      <formula>"Nevada"</formula>
    </cfRule>
  </conditionalFormatting>
  <conditionalFormatting sqref="A1:F1399 G1:I37 J1:AN1399 G39:I1399">
    <cfRule type="cellIs" dxfId="61" priority="63" operator="equal">
      <formula>"Nebraska"</formula>
    </cfRule>
  </conditionalFormatting>
  <conditionalFormatting sqref="A1:F1399 G1:I37 J1:AN1399 G39:I1399">
    <cfRule type="cellIs" dxfId="62" priority="64" operator="equal">
      <formula>"North Carolina State"</formula>
    </cfRule>
  </conditionalFormatting>
  <conditionalFormatting sqref="A1:F1399 G1:I37 J1:AN1399 G39:I1399">
    <cfRule type="cellIs" dxfId="63" priority="65" operator="equal">
      <formula>"Navy"</formula>
    </cfRule>
  </conditionalFormatting>
  <conditionalFormatting sqref="A1:F1399 G1:I37 J1:AN1399 G39:I1399">
    <cfRule type="cellIs" dxfId="64" priority="66" operator="equal">
      <formula>"Missouri"</formula>
    </cfRule>
  </conditionalFormatting>
  <conditionalFormatting sqref="A1:F1399 G1:I37 J1:AN1399 G39:I1399">
    <cfRule type="cellIs" dxfId="65" priority="67" operator="equal">
      <formula>"Mississippi State"</formula>
    </cfRule>
  </conditionalFormatting>
  <conditionalFormatting sqref="A1:F1399 G1:I37 J1:AN1399 G39:I1399">
    <cfRule type="cellIs" dxfId="66" priority="68" operator="equal">
      <formula>"Mississippi"</formula>
    </cfRule>
  </conditionalFormatting>
  <conditionalFormatting sqref="A1:F1399 G1:I37 J1:AN1399 G39:I1399">
    <cfRule type="cellIs" dxfId="67" priority="69" operator="equal">
      <formula>"Minnesota"</formula>
    </cfRule>
  </conditionalFormatting>
  <conditionalFormatting sqref="A1:F1399 G1:I37 J1:AN1399 G39:I1399">
    <cfRule type="cellIs" dxfId="68" priority="70" operator="equal">
      <formula>"Middle Tennessee"</formula>
    </cfRule>
  </conditionalFormatting>
  <conditionalFormatting sqref="A1:F1399 G1:I37 J1:AN1399 G39:I1399">
    <cfRule type="cellIs" dxfId="69" priority="71" operator="equal">
      <formula>"Michigan State"</formula>
    </cfRule>
  </conditionalFormatting>
  <conditionalFormatting sqref="A1:F1399 G1:I37 J1:AN1399 G39:I1399">
    <cfRule type="cellIs" dxfId="70" priority="72" operator="equal">
      <formula>"Michigan"</formula>
    </cfRule>
  </conditionalFormatting>
  <conditionalFormatting sqref="A1:F1399 G1:I37 J1:AN1399 G39:I1399">
    <cfRule type="cellIs" dxfId="71" priority="73" operator="equal">
      <formula>"Miami (OH)"</formula>
    </cfRule>
  </conditionalFormatting>
  <conditionalFormatting sqref="A1:F1399 G1:I37 J1:AN1399 G39:I1399">
    <cfRule type="cellIs" dxfId="72" priority="74" operator="equal">
      <formula>"Miami"</formula>
    </cfRule>
  </conditionalFormatting>
  <conditionalFormatting sqref="A1:F1399 G1:I37 J1:AN1399 G39:I1399">
    <cfRule type="cellIs" dxfId="73" priority="75" operator="equal">
      <formula>"Memphis"</formula>
    </cfRule>
  </conditionalFormatting>
  <conditionalFormatting sqref="A1:F1399 G1:I37 J1:AN1399 G39:I1399">
    <cfRule type="cellIs" dxfId="74" priority="76" operator="equal">
      <formula>"Massachusetts"</formula>
    </cfRule>
  </conditionalFormatting>
  <conditionalFormatting sqref="A1:F1399 G1:I37 J1:AN1399 G39:I1399">
    <cfRule type="cellIs" dxfId="75" priority="77" operator="equal">
      <formula>"Maryland"</formula>
    </cfRule>
  </conditionalFormatting>
  <conditionalFormatting sqref="A1:F1399 G1:I37 J1:AN1399 G39:I1399">
    <cfRule type="cellIs" dxfId="76" priority="78" operator="equal">
      <formula>"Marshall"</formula>
    </cfRule>
  </conditionalFormatting>
  <conditionalFormatting sqref="A1:F1399 G1:I37 J1:AN1399 G39:I1399">
    <cfRule type="cellIs" dxfId="77" priority="79" operator="equal">
      <formula>"LSU"</formula>
    </cfRule>
  </conditionalFormatting>
  <conditionalFormatting sqref="A1:F1399 G1:I37 J1:AN1399 G39:I1399">
    <cfRule type="cellIs" dxfId="78" priority="80" operator="equal">
      <formula>"Louisville"</formula>
    </cfRule>
  </conditionalFormatting>
  <conditionalFormatting sqref="A1:F1399 G1:I37 J1:AN1399 G39:I1399">
    <cfRule type="cellIs" dxfId="79" priority="81" operator="equal">
      <formula>"Louisiana Tech"</formula>
    </cfRule>
  </conditionalFormatting>
  <conditionalFormatting sqref="A1:F1399 G1:I37 J1:AN1399 G39:I1399">
    <cfRule type="cellIs" dxfId="80" priority="82" operator="equal">
      <formula>"Liberty"</formula>
    </cfRule>
  </conditionalFormatting>
  <conditionalFormatting sqref="A1:F1399 G1:I37 J1:AN1399 G39:I1399">
    <cfRule type="cellIs" dxfId="81" priority="83" operator="equal">
      <formula>"Kentucky"</formula>
    </cfRule>
  </conditionalFormatting>
  <conditionalFormatting sqref="A1:F1399 G1:I37 J1:AN1399 G39:I1399">
    <cfRule type="cellIs" dxfId="82" priority="84" operator="equal">
      <formula>"Kent State"</formula>
    </cfRule>
  </conditionalFormatting>
  <conditionalFormatting sqref="A1:F1399 G1:I37 J1:AN1399 G39:I1399">
    <cfRule type="cellIs" dxfId="83" priority="85" operator="equal">
      <formula>"Kansas State"</formula>
    </cfRule>
  </conditionalFormatting>
  <conditionalFormatting sqref="A1:F1399 G1:I37 J1:AN1399 G39:I1399">
    <cfRule type="cellIs" dxfId="84" priority="86" operator="equal">
      <formula>"Kansas"</formula>
    </cfRule>
  </conditionalFormatting>
  <conditionalFormatting sqref="A1:F1399 G1:I37 J1:AN1399 G39:I1399">
    <cfRule type="cellIs" dxfId="85" priority="87" operator="equal">
      <formula>"Iowa State"</formula>
    </cfRule>
  </conditionalFormatting>
  <conditionalFormatting sqref="A1:F1399 G1:I37 J1:AN1399 G39:I1399">
    <cfRule type="cellIs" dxfId="86" priority="88" operator="equal">
      <formula>"Iowa"</formula>
    </cfRule>
  </conditionalFormatting>
  <conditionalFormatting sqref="A1:F1399 G1:I37 J1:AN1399 G39:I1399">
    <cfRule type="cellIs" dxfId="87" priority="89" operator="equal">
      <formula>"Indiana"</formula>
    </cfRule>
  </conditionalFormatting>
  <conditionalFormatting sqref="A1:F1399 G1:I37 J1:AN1399 G39:I1399">
    <cfRule type="cellIs" dxfId="88" priority="90" operator="equal">
      <formula>"Illinois"</formula>
    </cfRule>
  </conditionalFormatting>
  <conditionalFormatting sqref="A1:F1399 G1:I37 J1:AN1399 G39:I1399">
    <cfRule type="cellIs" dxfId="89" priority="91" operator="equal">
      <formula>"Idaho"</formula>
    </cfRule>
  </conditionalFormatting>
  <conditionalFormatting sqref="A1:F1399 G1:I37 J1:AN1399 G39:I1399">
    <cfRule type="cellIs" dxfId="90" priority="92" operator="equal">
      <formula>"Houston"</formula>
    </cfRule>
  </conditionalFormatting>
  <conditionalFormatting sqref="A1:F1399 G1:I37 J1:AN1399 G39:I1399">
    <cfRule type="cellIs" dxfId="91" priority="93" operator="equal">
      <formula>"Hawaii"</formula>
    </cfRule>
  </conditionalFormatting>
  <conditionalFormatting sqref="A1:F1399 G1:I37 J1:AN1399 G39:I1399">
    <cfRule type="cellIs" dxfId="92" priority="94" operator="equal">
      <formula>"Georgia Tech"</formula>
    </cfRule>
  </conditionalFormatting>
  <conditionalFormatting sqref="A1:F1399 G1:I37 J1:AN1399 G39:I1399">
    <cfRule type="cellIs" dxfId="93" priority="95" operator="equal">
      <formula>"Georgia State"</formula>
    </cfRule>
  </conditionalFormatting>
  <conditionalFormatting sqref="A1:F1399 G1:I37 J1:AN1399 G39:I1399">
    <cfRule type="cellIs" dxfId="94" priority="96" operator="equal">
      <formula>"Georgia Southern"</formula>
    </cfRule>
  </conditionalFormatting>
  <conditionalFormatting sqref="A1:F1399 G1:I37 J1:AN1399 G39:I1399">
    <cfRule type="cellIs" dxfId="95" priority="97" operator="equal">
      <formula>"Georgia"</formula>
    </cfRule>
  </conditionalFormatting>
  <conditionalFormatting sqref="A1:F1399 G1:I37 J1:AN1399 G39:I1399">
    <cfRule type="cellIs" dxfId="96" priority="98" operator="equal">
      <formula>"Fresno State"</formula>
    </cfRule>
  </conditionalFormatting>
  <conditionalFormatting sqref="A1:F1399 G1:I37 J1:AN1399 G39:I1399">
    <cfRule type="cellIs" dxfId="97" priority="99" operator="equal">
      <formula>"Florida State"</formula>
    </cfRule>
  </conditionalFormatting>
  <conditionalFormatting sqref="A1:F1399 G1:I37 J1:AN1399 G39:I1399">
    <cfRule type="cellIs" dxfId="98" priority="100" operator="equal">
      <formula>"Florida International"</formula>
    </cfRule>
  </conditionalFormatting>
  <conditionalFormatting sqref="A1:F1399 G1:I37 J1:AN1399 G39:I1399">
    <cfRule type="cellIs" dxfId="99" priority="101" operator="equal">
      <formula>"Florida Atlantic"</formula>
    </cfRule>
  </conditionalFormatting>
  <conditionalFormatting sqref="A1:F1399 G1:I37 J1:AN1399 G39:I1399">
    <cfRule type="cellIs" dxfId="100" priority="102" operator="equal">
      <formula>"Florida"</formula>
    </cfRule>
  </conditionalFormatting>
  <conditionalFormatting sqref="A1:F1399 G1:I37 J1:AN1399 G39:I1399">
    <cfRule type="cellIs" dxfId="101" priority="103" operator="equal">
      <formula>"Eastern Michigan"</formula>
    </cfRule>
  </conditionalFormatting>
  <conditionalFormatting sqref="A1:F1399 G1:I37 J1:AN1399 G39:I1399">
    <cfRule type="cellIs" dxfId="102" priority="104" operator="equal">
      <formula>"East Carolina"</formula>
    </cfRule>
  </conditionalFormatting>
  <conditionalFormatting sqref="A1:F1399 G1:I37 J1:AN1399 G39:I1399">
    <cfRule type="cellIs" dxfId="103" priority="105" operator="equal">
      <formula>"Duke"</formula>
    </cfRule>
  </conditionalFormatting>
  <conditionalFormatting sqref="A1:F1399 G1:I37 J1:AN1399 G39:I1399">
    <cfRule type="cellIs" dxfId="104" priority="106" operator="equal">
      <formula>"Connecticut"</formula>
    </cfRule>
  </conditionalFormatting>
  <conditionalFormatting sqref="A1:F1399 G1:I37 J1:AN1399 G39:I1399">
    <cfRule type="cellIs" dxfId="105" priority="107" operator="equal">
      <formula>"Colorado State"</formula>
    </cfRule>
  </conditionalFormatting>
  <conditionalFormatting sqref="A1:F1399 G1:I37 J1:AN1399 G39:I1399">
    <cfRule type="cellIs" dxfId="106" priority="108" operator="equal">
      <formula>"Colorado"</formula>
    </cfRule>
  </conditionalFormatting>
  <conditionalFormatting sqref="A1:F1399 G1:I37 J1:AN1399 G39:I1399">
    <cfRule type="cellIs" dxfId="107" priority="109" operator="equal">
      <formula>"Coastal Carolina"</formula>
    </cfRule>
  </conditionalFormatting>
  <conditionalFormatting sqref="A1:F1399 G1:I37 J1:AN1399 G39:I1399">
    <cfRule type="cellIs" dxfId="108" priority="110" operator="equal">
      <formula>"Clemson"</formula>
    </cfRule>
  </conditionalFormatting>
  <conditionalFormatting sqref="A1:F1399 G1:I37 J1:AN1399 G39:I1399">
    <cfRule type="cellIs" dxfId="109" priority="111" operator="equal">
      <formula>"Cincinnati"</formula>
    </cfRule>
  </conditionalFormatting>
  <conditionalFormatting sqref="A1:F1399 G1:I37 J1:AN1399 G39:I1399">
    <cfRule type="cellIs" dxfId="110" priority="112" operator="equal">
      <formula>"Charlotte"</formula>
    </cfRule>
  </conditionalFormatting>
  <conditionalFormatting sqref="A1:F1399 G1:I37 J1:AN1399 G39:I1399">
    <cfRule type="cellIs" dxfId="111" priority="113" operator="equal">
      <formula>"Central Michigan"</formula>
    </cfRule>
  </conditionalFormatting>
  <conditionalFormatting sqref="A1:F1399 G1:I37 J1:AN1399 G39:I1399">
    <cfRule type="cellIs" dxfId="112" priority="114" operator="equal">
      <formula>"Central Florida"</formula>
    </cfRule>
  </conditionalFormatting>
  <conditionalFormatting sqref="A1:F1399 G1:I37 J1:AN1399 G39:I1399">
    <cfRule type="cellIs" dxfId="113" priority="115" operator="equal">
      <formula>"California"</formula>
    </cfRule>
  </conditionalFormatting>
  <conditionalFormatting sqref="A1:F1399 G1:I37 J1:AN1399 G39:I1399">
    <cfRule type="cellIs" dxfId="114" priority="116" operator="equal">
      <formula>"BYU"</formula>
    </cfRule>
  </conditionalFormatting>
  <conditionalFormatting sqref="A1:F1399 G1:I37 J1:AN1399 G39:I1399">
    <cfRule type="cellIs" dxfId="115" priority="117" operator="equal">
      <formula>"Buffalo"</formula>
    </cfRule>
  </conditionalFormatting>
  <conditionalFormatting sqref="A1:F1399 G1:I37 J1:AN1399 G39:I1399">
    <cfRule type="cellIs" dxfId="116" priority="118" operator="equal">
      <formula>"Bowling Green"</formula>
    </cfRule>
  </conditionalFormatting>
  <conditionalFormatting sqref="A1:F1399 G1:I37 J1:AN1399 G39:I1399">
    <cfRule type="cellIs" dxfId="117" priority="119" operator="equal">
      <formula>"Boston College"</formula>
    </cfRule>
  </conditionalFormatting>
  <conditionalFormatting sqref="A1:F1399 G1:I37 J1:AN1399 G39:I1399">
    <cfRule type="cellIs" dxfId="118" priority="120" operator="equal">
      <formula>"Boise State"</formula>
    </cfRule>
  </conditionalFormatting>
  <conditionalFormatting sqref="A1:F1399 G1:I37 J1:AN1399 G39:I1399">
    <cfRule type="cellIs" dxfId="119" priority="121" operator="equal">
      <formula>"Baylor"</formula>
    </cfRule>
  </conditionalFormatting>
  <conditionalFormatting sqref="A1:F1399 G1:I37 J1:AN1399 G39:I1399">
    <cfRule type="cellIs" dxfId="120" priority="122" operator="equal">
      <formula>"Ball State"</formula>
    </cfRule>
  </conditionalFormatting>
  <conditionalFormatting sqref="A1:F1399 G1:I37 J1:AN1399 G39:I1399">
    <cfRule type="cellIs" dxfId="121" priority="123" operator="equal">
      <formula>"Auburn"</formula>
    </cfRule>
  </conditionalFormatting>
  <conditionalFormatting sqref="A1:F1399 G1:I37 J1:AN1399 G39:I1399">
    <cfRule type="cellIs" dxfId="122" priority="124" operator="equal">
      <formula>"Army"</formula>
    </cfRule>
  </conditionalFormatting>
  <conditionalFormatting sqref="A1:F1399 G1:I37 J1:AN1399 G39:I1399">
    <cfRule type="cellIs" dxfId="123" priority="125" operator="equal">
      <formula>"Arkansas State"</formula>
    </cfRule>
  </conditionalFormatting>
  <conditionalFormatting sqref="A1:F1399 G1:I37 J1:AN1399 G39:I1399">
    <cfRule type="cellIs" dxfId="124" priority="126" operator="equal">
      <formula>"Arkansas"</formula>
    </cfRule>
  </conditionalFormatting>
  <conditionalFormatting sqref="A1:F1399 G1:I37 J1:AN1399 G39:I1399">
    <cfRule type="cellIs" dxfId="125" priority="127" operator="equal">
      <formula>"Arizona State"</formula>
    </cfRule>
  </conditionalFormatting>
  <conditionalFormatting sqref="A1:F1399 G1:I37 J1:AN1399 G39:I1399">
    <cfRule type="cellIs" dxfId="126" priority="128" operator="equal">
      <formula>"Arizona"</formula>
    </cfRule>
  </conditionalFormatting>
  <conditionalFormatting sqref="A1:F1399 G1:I37 J1:AN1399 G39:I1399">
    <cfRule type="cellIs" dxfId="127" priority="129" operator="equal">
      <formula>"Appalachian State"</formula>
    </cfRule>
  </conditionalFormatting>
  <conditionalFormatting sqref="A1:F1399 G1:I37 J1:AN1399 G39:I1399">
    <cfRule type="cellIs" dxfId="128" priority="130" operator="equal">
      <formula>"Alabama"</formula>
    </cfRule>
  </conditionalFormatting>
  <conditionalFormatting sqref="A1:F1399 G1:I37 J1:AN1399 G39:I1399">
    <cfRule type="cellIs" dxfId="129" priority="131" operator="equal">
      <formula>"Akron"</formula>
    </cfRule>
  </conditionalFormatting>
  <conditionalFormatting sqref="A1:F1399 G1:I37 J1:AN1399 G39:I1399">
    <cfRule type="cellIs" dxfId="130" priority="132" operator="equal">
      <formula>"Air Force"</formula>
    </cfRule>
  </conditionalFormatting>
  <conditionalFormatting sqref="C3:C132">
    <cfRule type="colorScale" priority="133">
      <colorScale>
        <cfvo type="min"/>
        <cfvo type="percentile" val="50"/>
        <cfvo type="max"/>
        <color rgb="FFC00000"/>
        <color rgb="FFFFEB84"/>
        <color rgb="FF92D050"/>
      </colorScale>
    </cfRule>
  </conditionalFormatting>
  <conditionalFormatting sqref="H27:H37">
    <cfRule type="colorScale" priority="134">
      <colorScale>
        <cfvo type="min"/>
        <cfvo type="percentile" val="50"/>
        <cfvo type="max"/>
        <color rgb="FFE67C73"/>
        <color rgb="FFFFD666"/>
        <color rgb="FF57BB8A"/>
      </colorScale>
    </cfRule>
  </conditionalFormatting>
  <conditionalFormatting sqref="I41:I51">
    <cfRule type="colorScale" priority="135">
      <colorScale>
        <cfvo type="min"/>
        <cfvo type="percentile" val="50"/>
        <cfvo type="max"/>
        <color rgb="FF57BB8A"/>
        <color rgb="FFFFD666"/>
        <color rgb="FFE67C73"/>
      </colorScale>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20.86"/>
    <col customWidth="1" min="2" max="2" width="9.43"/>
    <col customWidth="1" min="3" max="3" width="8.71"/>
    <col customWidth="1" min="4" max="4" width="9.14"/>
    <col customWidth="1" min="5" max="5" width="20.86"/>
    <col customWidth="1" min="6" max="6" width="9.43"/>
    <col customWidth="1" min="7" max="7" width="8.71"/>
    <col customWidth="1" min="8" max="8" width="9.14"/>
    <col customWidth="1" min="9" max="9" width="20.86"/>
    <col customWidth="1" min="10" max="10" width="9.43"/>
    <col customWidth="1" min="11" max="11" width="8.71"/>
    <col customWidth="1" min="12" max="12" width="9.14"/>
    <col customWidth="1" min="13" max="13" width="20.86"/>
    <col customWidth="1" min="14" max="14" width="9.43"/>
    <col customWidth="1" min="15" max="15" width="8.71"/>
    <col customWidth="1" min="16" max="16" width="9.14"/>
    <col customWidth="1" min="17" max="17" width="20.86"/>
    <col customWidth="1" min="18" max="18" width="9.43"/>
    <col customWidth="1" min="19" max="19" width="8.71"/>
    <col customWidth="1" min="20" max="23" width="9.14"/>
    <col customWidth="1" min="24" max="26" width="8.71"/>
  </cols>
  <sheetData>
    <row r="1" ht="12.75" customHeight="1">
      <c r="A1" s="1" t="s">
        <v>0</v>
      </c>
      <c r="B1" s="3">
        <v>1.0</v>
      </c>
      <c r="C1" s="4">
        <v>2020.0</v>
      </c>
      <c r="D1" s="4"/>
      <c r="E1" s="1" t="s">
        <v>0</v>
      </c>
      <c r="F1" s="3">
        <v>2.0</v>
      </c>
      <c r="G1" s="4">
        <v>2020.0</v>
      </c>
      <c r="H1" s="4"/>
      <c r="I1" s="1" t="s">
        <v>0</v>
      </c>
      <c r="J1" s="3">
        <v>3.0</v>
      </c>
      <c r="K1" s="4">
        <v>2020.0</v>
      </c>
      <c r="L1" s="4"/>
      <c r="M1" s="1" t="s">
        <v>0</v>
      </c>
      <c r="N1" s="3">
        <v>4.0</v>
      </c>
      <c r="O1" s="4">
        <v>2020.0</v>
      </c>
      <c r="P1" s="4"/>
      <c r="Q1" s="1" t="s">
        <v>0</v>
      </c>
      <c r="R1" s="3">
        <v>5.0</v>
      </c>
      <c r="S1" s="4">
        <v>2020.0</v>
      </c>
      <c r="T1" s="4"/>
      <c r="U1" s="4"/>
      <c r="V1" s="4"/>
      <c r="W1" s="4"/>
      <c r="X1" s="4"/>
      <c r="Y1" s="4"/>
      <c r="Z1" s="4"/>
    </row>
    <row r="2" ht="12.75" customHeight="1">
      <c r="A2" s="8" t="s">
        <v>8</v>
      </c>
      <c r="B2" s="8" t="s">
        <v>9</v>
      </c>
      <c r="C2" s="8" t="s">
        <v>10</v>
      </c>
      <c r="D2" s="4"/>
      <c r="E2" s="8" t="s">
        <v>8</v>
      </c>
      <c r="F2" s="8" t="s">
        <v>9</v>
      </c>
      <c r="G2" s="8" t="s">
        <v>10</v>
      </c>
      <c r="H2" s="4"/>
      <c r="I2" s="8" t="s">
        <v>8</v>
      </c>
      <c r="J2" s="8" t="s">
        <v>9</v>
      </c>
      <c r="K2" s="8" t="s">
        <v>10</v>
      </c>
      <c r="L2" s="4"/>
      <c r="M2" s="8" t="s">
        <v>8</v>
      </c>
      <c r="N2" s="8" t="s">
        <v>9</v>
      </c>
      <c r="O2" s="8" t="s">
        <v>10</v>
      </c>
      <c r="P2" s="4"/>
      <c r="Q2" s="8" t="s">
        <v>8</v>
      </c>
      <c r="R2" s="8" t="s">
        <v>9</v>
      </c>
      <c r="S2" s="8" t="s">
        <v>10</v>
      </c>
      <c r="T2" s="4"/>
      <c r="U2" s="4"/>
      <c r="V2" s="4"/>
      <c r="W2" s="4"/>
      <c r="X2" s="4"/>
      <c r="Y2" s="4"/>
      <c r="Z2" s="4"/>
    </row>
    <row r="3" ht="12.75" customHeight="1">
      <c r="A3" s="3" t="s">
        <v>18</v>
      </c>
      <c r="B3" s="3">
        <v>45.8</v>
      </c>
      <c r="C3" s="3">
        <v>1.0</v>
      </c>
      <c r="D3" s="4"/>
      <c r="E3" s="3" t="s">
        <v>18</v>
      </c>
      <c r="F3" s="3">
        <v>85.78</v>
      </c>
      <c r="G3" s="3">
        <v>1.0</v>
      </c>
      <c r="H3" s="4"/>
      <c r="I3" s="3" t="s">
        <v>18</v>
      </c>
      <c r="J3" s="3">
        <v>91.33</v>
      </c>
      <c r="K3" s="3">
        <v>1.0</v>
      </c>
      <c r="L3" s="4"/>
      <c r="M3" s="3" t="s">
        <v>18</v>
      </c>
      <c r="N3" s="3">
        <v>88.54</v>
      </c>
      <c r="O3" s="3">
        <v>1.0</v>
      </c>
      <c r="P3" s="4"/>
      <c r="Q3" s="3" t="s">
        <v>23</v>
      </c>
      <c r="R3" s="3">
        <v>91.15</v>
      </c>
      <c r="S3" s="3">
        <v>1.0</v>
      </c>
      <c r="T3" s="4"/>
      <c r="U3" s="4"/>
      <c r="V3" s="4"/>
      <c r="W3" s="4"/>
      <c r="X3" s="4"/>
      <c r="Y3" s="4"/>
      <c r="Z3" s="4"/>
    </row>
    <row r="4" ht="12.75" customHeight="1">
      <c r="A4" s="3" t="s">
        <v>26</v>
      </c>
      <c r="B4" s="3">
        <v>45.32</v>
      </c>
      <c r="C4" s="3">
        <v>2.0</v>
      </c>
      <c r="D4" s="4"/>
      <c r="E4" s="3" t="s">
        <v>28</v>
      </c>
      <c r="F4" s="3">
        <v>75.57</v>
      </c>
      <c r="G4" s="3">
        <v>2.0</v>
      </c>
      <c r="H4" s="4"/>
      <c r="I4" s="3" t="s">
        <v>28</v>
      </c>
      <c r="J4" s="3">
        <v>81.45</v>
      </c>
      <c r="K4" s="3">
        <v>2.0</v>
      </c>
      <c r="L4" s="4"/>
      <c r="M4" s="3" t="s">
        <v>23</v>
      </c>
      <c r="N4" s="3">
        <v>83.91</v>
      </c>
      <c r="O4" s="3">
        <v>2.0</v>
      </c>
      <c r="P4" s="4"/>
      <c r="Q4" s="3" t="s">
        <v>33</v>
      </c>
      <c r="R4" s="3">
        <v>90.69</v>
      </c>
      <c r="S4" s="3">
        <v>2.0</v>
      </c>
      <c r="T4" s="4"/>
      <c r="U4" s="4"/>
      <c r="V4" s="4"/>
      <c r="W4" s="4"/>
      <c r="X4" s="4"/>
      <c r="Y4" s="4"/>
      <c r="Z4" s="4"/>
    </row>
    <row r="5" ht="12.75" customHeight="1">
      <c r="A5" s="3" t="s">
        <v>23</v>
      </c>
      <c r="B5" s="3">
        <v>44.18</v>
      </c>
      <c r="C5" s="3">
        <v>3.0</v>
      </c>
      <c r="D5" s="4"/>
      <c r="E5" s="3" t="s">
        <v>38</v>
      </c>
      <c r="F5" s="3">
        <v>73.99</v>
      </c>
      <c r="G5" s="3">
        <v>3.0</v>
      </c>
      <c r="H5" s="4"/>
      <c r="I5" s="3" t="s">
        <v>40</v>
      </c>
      <c r="J5" s="3">
        <v>80.21</v>
      </c>
      <c r="K5" s="3">
        <v>3.0</v>
      </c>
      <c r="L5" s="4"/>
      <c r="M5" s="3" t="s">
        <v>40</v>
      </c>
      <c r="N5" s="3">
        <v>83.87</v>
      </c>
      <c r="O5" s="3">
        <v>3.0</v>
      </c>
      <c r="P5" s="4"/>
      <c r="Q5" s="3" t="s">
        <v>18</v>
      </c>
      <c r="R5" s="3">
        <v>89.43</v>
      </c>
      <c r="S5" s="3">
        <v>3.0</v>
      </c>
      <c r="T5" s="4"/>
      <c r="U5" s="4"/>
      <c r="V5" s="4"/>
      <c r="W5" s="4"/>
      <c r="X5" s="4"/>
      <c r="Y5" s="4"/>
      <c r="Z5" s="4"/>
    </row>
    <row r="6" ht="12.75" customHeight="1">
      <c r="A6" s="3" t="s">
        <v>33</v>
      </c>
      <c r="B6" s="3">
        <v>41.94</v>
      </c>
      <c r="C6" s="3">
        <v>4.0</v>
      </c>
      <c r="D6" s="4"/>
      <c r="E6" s="3" t="s">
        <v>46</v>
      </c>
      <c r="F6" s="3">
        <v>68.26</v>
      </c>
      <c r="G6" s="3">
        <v>4.0</v>
      </c>
      <c r="H6" s="4"/>
      <c r="I6" s="3" t="s">
        <v>47</v>
      </c>
      <c r="J6" s="3">
        <v>78.85</v>
      </c>
      <c r="K6" s="3">
        <v>4.0</v>
      </c>
      <c r="L6" s="4"/>
      <c r="M6" s="3" t="s">
        <v>33</v>
      </c>
      <c r="N6" s="3">
        <v>82.44</v>
      </c>
      <c r="O6" s="3">
        <v>4.0</v>
      </c>
      <c r="P6" s="4"/>
      <c r="Q6" s="3" t="s">
        <v>48</v>
      </c>
      <c r="R6" s="3">
        <v>85.72</v>
      </c>
      <c r="S6" s="3">
        <v>4.0</v>
      </c>
      <c r="T6" s="4"/>
      <c r="U6" s="4"/>
      <c r="V6" s="4"/>
      <c r="W6" s="4"/>
      <c r="X6" s="4"/>
      <c r="Y6" s="4"/>
      <c r="Z6" s="4"/>
    </row>
    <row r="7" ht="12.75" customHeight="1">
      <c r="A7" s="3" t="s">
        <v>51</v>
      </c>
      <c r="B7" s="3">
        <v>41.52</v>
      </c>
      <c r="C7" s="3">
        <v>5.0</v>
      </c>
      <c r="D7" s="4"/>
      <c r="E7" s="3" t="s">
        <v>51</v>
      </c>
      <c r="F7" s="3">
        <v>67.55</v>
      </c>
      <c r="G7" s="3">
        <v>5.0</v>
      </c>
      <c r="H7" s="4"/>
      <c r="I7" s="3" t="s">
        <v>38</v>
      </c>
      <c r="J7" s="3">
        <v>76.93</v>
      </c>
      <c r="K7" s="3">
        <v>5.0</v>
      </c>
      <c r="L7" s="4"/>
      <c r="M7" s="3" t="s">
        <v>48</v>
      </c>
      <c r="N7" s="3">
        <v>80.89</v>
      </c>
      <c r="O7" s="3">
        <v>5.0</v>
      </c>
      <c r="P7" s="4"/>
      <c r="Q7" s="3" t="s">
        <v>40</v>
      </c>
      <c r="R7" s="3">
        <v>85.49</v>
      </c>
      <c r="S7" s="3">
        <v>5.0</v>
      </c>
      <c r="T7" s="4"/>
      <c r="U7" s="4"/>
      <c r="V7" s="4"/>
      <c r="W7" s="4"/>
      <c r="X7" s="4"/>
      <c r="Y7" s="4"/>
      <c r="Z7" s="4"/>
    </row>
    <row r="8" ht="12.75" customHeight="1">
      <c r="A8" s="3" t="s">
        <v>53</v>
      </c>
      <c r="B8" s="3">
        <v>41.03</v>
      </c>
      <c r="C8" s="3">
        <v>6.0</v>
      </c>
      <c r="D8" s="4"/>
      <c r="E8" s="3" t="s">
        <v>23</v>
      </c>
      <c r="F8" s="3">
        <v>65.08</v>
      </c>
      <c r="G8" s="3">
        <v>6.0</v>
      </c>
      <c r="H8" s="4"/>
      <c r="I8" s="3" t="s">
        <v>46</v>
      </c>
      <c r="J8" s="3">
        <v>72.16</v>
      </c>
      <c r="K8" s="3">
        <v>6.0</v>
      </c>
      <c r="L8" s="4"/>
      <c r="M8" s="3" t="s">
        <v>28</v>
      </c>
      <c r="N8" s="3">
        <v>80.79</v>
      </c>
      <c r="O8" s="3">
        <v>6.0</v>
      </c>
      <c r="P8" s="4"/>
      <c r="Q8" s="3" t="s">
        <v>55</v>
      </c>
      <c r="R8" s="3">
        <v>80.53</v>
      </c>
      <c r="S8" s="3">
        <v>6.0</v>
      </c>
      <c r="T8" s="4"/>
      <c r="U8" s="4"/>
      <c r="V8" s="4"/>
      <c r="W8" s="4"/>
      <c r="X8" s="4"/>
      <c r="Y8" s="4"/>
      <c r="Z8" s="4"/>
    </row>
    <row r="9" ht="12.75" customHeight="1">
      <c r="A9" s="3" t="s">
        <v>57</v>
      </c>
      <c r="B9" s="3">
        <v>39.65</v>
      </c>
      <c r="C9" s="3">
        <v>7.0</v>
      </c>
      <c r="D9" s="4"/>
      <c r="E9" s="3" t="s">
        <v>58</v>
      </c>
      <c r="F9" s="3">
        <v>64.7</v>
      </c>
      <c r="G9" s="3">
        <v>7.0</v>
      </c>
      <c r="H9" s="4"/>
      <c r="I9" s="3" t="s">
        <v>51</v>
      </c>
      <c r="J9" s="3">
        <v>71.06</v>
      </c>
      <c r="K9" s="3">
        <v>7.0</v>
      </c>
      <c r="L9" s="4"/>
      <c r="M9" s="3" t="s">
        <v>46</v>
      </c>
      <c r="N9" s="3">
        <v>78.34</v>
      </c>
      <c r="O9" s="3">
        <v>7.0</v>
      </c>
      <c r="P9" s="4"/>
      <c r="Q9" s="3" t="s">
        <v>28</v>
      </c>
      <c r="R9" s="3">
        <v>80.23</v>
      </c>
      <c r="S9" s="3">
        <v>7.0</v>
      </c>
      <c r="T9" s="4"/>
      <c r="U9" s="4"/>
      <c r="V9" s="4"/>
      <c r="W9" s="4"/>
      <c r="X9" s="4"/>
      <c r="Y9" s="4"/>
      <c r="Z9" s="4"/>
    </row>
    <row r="10" ht="12.75" customHeight="1">
      <c r="A10" s="3" t="s">
        <v>48</v>
      </c>
      <c r="B10" s="3">
        <v>39.2</v>
      </c>
      <c r="C10" s="3">
        <v>8.0</v>
      </c>
      <c r="D10" s="4"/>
      <c r="E10" s="3" t="s">
        <v>60</v>
      </c>
      <c r="F10" s="3">
        <v>64.52</v>
      </c>
      <c r="G10" s="3">
        <v>8.0</v>
      </c>
      <c r="H10" s="4"/>
      <c r="I10" s="3" t="s">
        <v>23</v>
      </c>
      <c r="J10" s="3">
        <v>68.86</v>
      </c>
      <c r="K10" s="3">
        <v>8.0</v>
      </c>
      <c r="L10" s="4"/>
      <c r="M10" s="3" t="s">
        <v>47</v>
      </c>
      <c r="N10" s="3">
        <v>77.93</v>
      </c>
      <c r="O10" s="3">
        <v>8.0</v>
      </c>
      <c r="P10" s="4"/>
      <c r="Q10" s="3" t="s">
        <v>38</v>
      </c>
      <c r="R10" s="3">
        <v>79.29</v>
      </c>
      <c r="S10" s="3">
        <v>8.0</v>
      </c>
      <c r="T10" s="4"/>
      <c r="U10" s="4"/>
      <c r="V10" s="4"/>
      <c r="W10" s="4"/>
      <c r="X10" s="4"/>
      <c r="Y10" s="4"/>
      <c r="Z10" s="4"/>
    </row>
    <row r="11" ht="12.75" customHeight="1">
      <c r="A11" s="3" t="s">
        <v>62</v>
      </c>
      <c r="B11" s="3">
        <v>38.94</v>
      </c>
      <c r="C11" s="3">
        <v>9.0</v>
      </c>
      <c r="D11" s="4"/>
      <c r="E11" s="3" t="s">
        <v>33</v>
      </c>
      <c r="F11" s="3">
        <v>63.47</v>
      </c>
      <c r="G11" s="3">
        <v>9.0</v>
      </c>
      <c r="H11" s="4"/>
      <c r="I11" s="3" t="s">
        <v>58</v>
      </c>
      <c r="J11" s="3">
        <v>67.68</v>
      </c>
      <c r="K11" s="3">
        <v>9.0</v>
      </c>
      <c r="L11" s="4"/>
      <c r="M11" s="3" t="s">
        <v>64</v>
      </c>
      <c r="N11" s="3">
        <v>77.21</v>
      </c>
      <c r="O11" s="3">
        <v>9.0</v>
      </c>
      <c r="P11" s="4"/>
      <c r="Q11" s="3" t="s">
        <v>65</v>
      </c>
      <c r="R11" s="3">
        <v>73.45</v>
      </c>
      <c r="S11" s="3">
        <v>9.0</v>
      </c>
      <c r="T11" s="4"/>
      <c r="U11" s="4"/>
      <c r="V11" s="4"/>
      <c r="W11" s="4"/>
      <c r="X11" s="4"/>
      <c r="Y11" s="4"/>
      <c r="Z11" s="4"/>
    </row>
    <row r="12" ht="12.75" customHeight="1">
      <c r="A12" s="3" t="s">
        <v>28</v>
      </c>
      <c r="B12" s="3">
        <v>36.88</v>
      </c>
      <c r="C12" s="3">
        <v>10.0</v>
      </c>
      <c r="D12" s="4"/>
      <c r="E12" s="3" t="s">
        <v>53</v>
      </c>
      <c r="F12" s="3">
        <v>61.75</v>
      </c>
      <c r="G12" s="3">
        <v>10.0</v>
      </c>
      <c r="H12" s="4"/>
      <c r="I12" s="3" t="s">
        <v>33</v>
      </c>
      <c r="J12" s="3">
        <v>66.76</v>
      </c>
      <c r="K12" s="3">
        <v>10.0</v>
      </c>
      <c r="L12" s="4"/>
      <c r="M12" s="3" t="s">
        <v>38</v>
      </c>
      <c r="N12" s="3">
        <v>75.92</v>
      </c>
      <c r="O12" s="3">
        <v>10.0</v>
      </c>
      <c r="P12" s="4"/>
      <c r="Q12" s="3" t="s">
        <v>69</v>
      </c>
      <c r="R12" s="3">
        <v>71.88</v>
      </c>
      <c r="S12" s="3">
        <v>10.0</v>
      </c>
      <c r="T12" s="4"/>
      <c r="U12" s="4"/>
      <c r="V12" s="4"/>
      <c r="W12" s="4"/>
      <c r="X12" s="4"/>
      <c r="Y12" s="4"/>
      <c r="Z12" s="4"/>
    </row>
    <row r="13" ht="12.75" customHeight="1">
      <c r="A13" s="3" t="s">
        <v>64</v>
      </c>
      <c r="B13" s="3">
        <v>34.95</v>
      </c>
      <c r="C13" s="3">
        <v>11.0</v>
      </c>
      <c r="D13" s="4"/>
      <c r="E13" s="3" t="s">
        <v>48</v>
      </c>
      <c r="F13" s="3">
        <v>61.6</v>
      </c>
      <c r="G13" s="3">
        <v>11.0</v>
      </c>
      <c r="H13" s="4"/>
      <c r="I13" s="3" t="s">
        <v>60</v>
      </c>
      <c r="J13" s="3">
        <v>66.39</v>
      </c>
      <c r="K13" s="3">
        <v>11.0</v>
      </c>
      <c r="L13" s="4"/>
      <c r="M13" s="3" t="s">
        <v>69</v>
      </c>
      <c r="N13" s="3">
        <v>69.04</v>
      </c>
      <c r="O13" s="3">
        <v>11.0</v>
      </c>
      <c r="P13" s="4"/>
      <c r="Q13" s="3" t="s">
        <v>73</v>
      </c>
      <c r="R13" s="3">
        <v>71.53</v>
      </c>
      <c r="S13" s="3">
        <v>11.0</v>
      </c>
      <c r="T13" s="4"/>
      <c r="U13" s="4"/>
      <c r="V13" s="4"/>
      <c r="W13" s="4"/>
      <c r="X13" s="4"/>
      <c r="Y13" s="4"/>
      <c r="Z13" s="4"/>
    </row>
    <row r="14" ht="12.75" customHeight="1">
      <c r="A14" s="3" t="s">
        <v>74</v>
      </c>
      <c r="B14" s="3">
        <v>34.65</v>
      </c>
      <c r="C14" s="3">
        <v>12.0</v>
      </c>
      <c r="D14" s="4"/>
      <c r="E14" s="3" t="s">
        <v>40</v>
      </c>
      <c r="F14" s="3">
        <v>58.98</v>
      </c>
      <c r="G14" s="3">
        <v>12.0</v>
      </c>
      <c r="H14" s="4"/>
      <c r="I14" s="3" t="s">
        <v>73</v>
      </c>
      <c r="J14" s="3">
        <v>66.13</v>
      </c>
      <c r="K14" s="3">
        <v>12.0</v>
      </c>
      <c r="L14" s="4"/>
      <c r="M14" s="3" t="s">
        <v>55</v>
      </c>
      <c r="N14" s="3">
        <v>67.72</v>
      </c>
      <c r="O14" s="3">
        <v>12.0</v>
      </c>
      <c r="P14" s="4"/>
      <c r="Q14" s="3" t="s">
        <v>58</v>
      </c>
      <c r="R14" s="3">
        <v>70.26</v>
      </c>
      <c r="S14" s="3">
        <v>12.0</v>
      </c>
      <c r="T14" s="4"/>
      <c r="U14" s="4"/>
      <c r="V14" s="4"/>
      <c r="W14" s="4"/>
      <c r="X14" s="4"/>
      <c r="Y14" s="4"/>
      <c r="Z14" s="4"/>
    </row>
    <row r="15" ht="12.75" customHeight="1">
      <c r="A15" s="3" t="s">
        <v>79</v>
      </c>
      <c r="B15" s="3">
        <v>33.42</v>
      </c>
      <c r="C15" s="3">
        <v>13.0</v>
      </c>
      <c r="D15" s="4"/>
      <c r="E15" s="3" t="s">
        <v>64</v>
      </c>
      <c r="F15" s="3">
        <v>58.22</v>
      </c>
      <c r="G15" s="3">
        <v>13.0</v>
      </c>
      <c r="H15" s="4"/>
      <c r="I15" s="3" t="s">
        <v>53</v>
      </c>
      <c r="J15" s="3">
        <v>65.26</v>
      </c>
      <c r="K15" s="3">
        <v>13.0</v>
      </c>
      <c r="L15" s="4"/>
      <c r="M15" s="3" t="s">
        <v>81</v>
      </c>
      <c r="N15" s="3">
        <v>67.57</v>
      </c>
      <c r="O15" s="3">
        <v>13.0</v>
      </c>
      <c r="P15" s="4"/>
      <c r="Q15" s="3" t="s">
        <v>82</v>
      </c>
      <c r="R15" s="3">
        <v>69.62</v>
      </c>
      <c r="S15" s="3">
        <v>13.0</v>
      </c>
      <c r="T15" s="4"/>
      <c r="U15" s="4"/>
      <c r="V15" s="4"/>
      <c r="W15" s="4"/>
      <c r="X15" s="4"/>
      <c r="Y15" s="4"/>
      <c r="Z15" s="4"/>
    </row>
    <row r="16" ht="12.75" customHeight="1">
      <c r="A16" s="3" t="s">
        <v>46</v>
      </c>
      <c r="B16" s="3">
        <v>32.14</v>
      </c>
      <c r="C16" s="3">
        <v>14.0</v>
      </c>
      <c r="D16" s="4"/>
      <c r="E16" s="3" t="s">
        <v>73</v>
      </c>
      <c r="F16" s="3">
        <v>57.96</v>
      </c>
      <c r="G16" s="3">
        <v>14.0</v>
      </c>
      <c r="H16" s="4"/>
      <c r="I16" s="3" t="s">
        <v>48</v>
      </c>
      <c r="J16" s="3">
        <v>64.82</v>
      </c>
      <c r="K16" s="3">
        <v>14.0</v>
      </c>
      <c r="L16" s="4"/>
      <c r="M16" s="3" t="s">
        <v>73</v>
      </c>
      <c r="N16" s="3">
        <v>67.35</v>
      </c>
      <c r="O16" s="3">
        <v>14.0</v>
      </c>
      <c r="P16" s="4"/>
      <c r="Q16" s="3" t="s">
        <v>86</v>
      </c>
      <c r="R16" s="3">
        <v>65.93</v>
      </c>
      <c r="S16" s="3">
        <v>14.0</v>
      </c>
      <c r="T16" s="4"/>
      <c r="U16" s="4"/>
      <c r="V16" s="4"/>
      <c r="W16" s="4"/>
      <c r="X16" s="4"/>
      <c r="Y16" s="4"/>
      <c r="Z16" s="4"/>
    </row>
    <row r="17" ht="12.75" customHeight="1">
      <c r="A17" s="3" t="s">
        <v>87</v>
      </c>
      <c r="B17" s="3">
        <v>31.17</v>
      </c>
      <c r="C17" s="3">
        <v>15.0</v>
      </c>
      <c r="D17" s="4"/>
      <c r="E17" s="3" t="s">
        <v>79</v>
      </c>
      <c r="F17" s="3">
        <v>57.71</v>
      </c>
      <c r="G17" s="3">
        <v>15.0</v>
      </c>
      <c r="H17" s="4"/>
      <c r="I17" s="3" t="s">
        <v>55</v>
      </c>
      <c r="J17" s="3">
        <v>64.06</v>
      </c>
      <c r="K17" s="3">
        <v>15.0</v>
      </c>
      <c r="L17" s="4"/>
      <c r="M17" s="3" t="s">
        <v>79</v>
      </c>
      <c r="N17" s="3">
        <v>67.2</v>
      </c>
      <c r="O17" s="3">
        <v>15.0</v>
      </c>
      <c r="P17" s="4"/>
      <c r="Q17" s="3" t="s">
        <v>64</v>
      </c>
      <c r="R17" s="3">
        <v>65.79</v>
      </c>
      <c r="S17" s="3">
        <v>15.0</v>
      </c>
      <c r="T17" s="4"/>
      <c r="U17" s="4"/>
      <c r="V17" s="4"/>
      <c r="W17" s="4"/>
      <c r="X17" s="4"/>
      <c r="Y17" s="4"/>
      <c r="Z17" s="4"/>
    </row>
    <row r="18" ht="12.75" customHeight="1">
      <c r="A18" s="3" t="s">
        <v>55</v>
      </c>
      <c r="B18" s="3">
        <v>30.49</v>
      </c>
      <c r="C18" s="3">
        <v>16.0</v>
      </c>
      <c r="D18" s="4"/>
      <c r="E18" s="3" t="s">
        <v>88</v>
      </c>
      <c r="F18" s="3">
        <v>57.39</v>
      </c>
      <c r="G18" s="3">
        <v>16.0</v>
      </c>
      <c r="H18" s="4"/>
      <c r="I18" s="3" t="s">
        <v>64</v>
      </c>
      <c r="J18" s="3">
        <v>61.83</v>
      </c>
      <c r="K18" s="3">
        <v>16.0</v>
      </c>
      <c r="L18" s="4"/>
      <c r="M18" s="3" t="s">
        <v>89</v>
      </c>
      <c r="N18" s="3">
        <v>64.95</v>
      </c>
      <c r="O18" s="3">
        <v>16.0</v>
      </c>
      <c r="P18" s="4"/>
      <c r="Q18" s="3" t="s">
        <v>26</v>
      </c>
      <c r="R18" s="3">
        <v>63.63</v>
      </c>
      <c r="S18" s="3">
        <v>16.0</v>
      </c>
      <c r="T18" s="4"/>
      <c r="U18" s="4"/>
      <c r="V18" s="4"/>
      <c r="W18" s="4"/>
      <c r="X18" s="4"/>
      <c r="Y18" s="4"/>
      <c r="Z18" s="4"/>
    </row>
    <row r="19" ht="12.75" customHeight="1">
      <c r="A19" s="3" t="s">
        <v>90</v>
      </c>
      <c r="B19" s="3">
        <v>29.28</v>
      </c>
      <c r="C19" s="3">
        <v>17.0</v>
      </c>
      <c r="D19" s="4"/>
      <c r="E19" s="3" t="s">
        <v>55</v>
      </c>
      <c r="F19" s="3">
        <v>55.56</v>
      </c>
      <c r="G19" s="3">
        <v>17.0</v>
      </c>
      <c r="H19" s="4"/>
      <c r="I19" s="3" t="s">
        <v>69</v>
      </c>
      <c r="J19" s="3">
        <v>60.17</v>
      </c>
      <c r="K19" s="3">
        <v>17.0</v>
      </c>
      <c r="L19" s="4"/>
      <c r="M19" s="3" t="s">
        <v>26</v>
      </c>
      <c r="N19" s="3">
        <v>64.11</v>
      </c>
      <c r="O19" s="3">
        <v>17.0</v>
      </c>
      <c r="P19" s="4"/>
      <c r="Q19" s="3" t="s">
        <v>53</v>
      </c>
      <c r="R19" s="3">
        <v>62.99</v>
      </c>
      <c r="S19" s="3">
        <v>17.0</v>
      </c>
      <c r="T19" s="4"/>
      <c r="U19" s="4"/>
      <c r="V19" s="4"/>
      <c r="W19" s="4"/>
      <c r="X19" s="4"/>
      <c r="Y19" s="4"/>
      <c r="Z19" s="4"/>
    </row>
    <row r="20" ht="12.75" customHeight="1">
      <c r="A20" s="3" t="s">
        <v>91</v>
      </c>
      <c r="B20" s="3">
        <v>28.3</v>
      </c>
      <c r="C20" s="3">
        <v>18.0</v>
      </c>
      <c r="D20" s="4"/>
      <c r="E20" s="3" t="s">
        <v>47</v>
      </c>
      <c r="F20" s="3">
        <v>51.7</v>
      </c>
      <c r="G20" s="3">
        <v>18.0</v>
      </c>
      <c r="H20" s="4"/>
      <c r="I20" s="3" t="s">
        <v>79</v>
      </c>
      <c r="J20" s="3">
        <v>59.99</v>
      </c>
      <c r="K20" s="3">
        <v>18.0</v>
      </c>
      <c r="L20" s="4"/>
      <c r="M20" s="3" t="s">
        <v>60</v>
      </c>
      <c r="N20" s="3">
        <v>63.01</v>
      </c>
      <c r="O20" s="3">
        <v>18.0</v>
      </c>
      <c r="P20" s="4"/>
      <c r="Q20" s="3" t="s">
        <v>57</v>
      </c>
      <c r="R20" s="3">
        <v>60.19</v>
      </c>
      <c r="S20" s="3">
        <v>18.0</v>
      </c>
      <c r="T20" s="4"/>
      <c r="U20" s="4"/>
      <c r="V20" s="4"/>
      <c r="W20" s="4"/>
      <c r="X20" s="4"/>
      <c r="Y20" s="4"/>
      <c r="Z20" s="4"/>
    </row>
    <row r="21" ht="12.75" customHeight="1">
      <c r="A21" s="3" t="s">
        <v>38</v>
      </c>
      <c r="B21" s="3">
        <v>28.08</v>
      </c>
      <c r="C21" s="3">
        <v>19.0</v>
      </c>
      <c r="D21" s="4"/>
      <c r="E21" s="3" t="s">
        <v>69</v>
      </c>
      <c r="F21" s="3">
        <v>51.69</v>
      </c>
      <c r="G21" s="3">
        <v>19.0</v>
      </c>
      <c r="H21" s="4"/>
      <c r="I21" s="3" t="s">
        <v>89</v>
      </c>
      <c r="J21" s="3">
        <v>57.08</v>
      </c>
      <c r="K21" s="3">
        <v>19.0</v>
      </c>
      <c r="L21" s="4"/>
      <c r="M21" s="3" t="s">
        <v>65</v>
      </c>
      <c r="N21" s="3">
        <v>61.83</v>
      </c>
      <c r="O21" s="3">
        <v>19.0</v>
      </c>
      <c r="P21" s="4"/>
      <c r="Q21" s="3" t="s">
        <v>92</v>
      </c>
      <c r="R21" s="3">
        <v>58.34</v>
      </c>
      <c r="S21" s="3">
        <v>19.0</v>
      </c>
      <c r="T21" s="4"/>
      <c r="U21" s="4"/>
      <c r="V21" s="4"/>
      <c r="W21" s="4"/>
      <c r="X21" s="4"/>
      <c r="Y21" s="4"/>
      <c r="Z21" s="4"/>
    </row>
    <row r="22" ht="12.75" customHeight="1">
      <c r="A22" s="3" t="s">
        <v>69</v>
      </c>
      <c r="B22" s="3">
        <v>24.6</v>
      </c>
      <c r="C22" s="3">
        <v>20.0</v>
      </c>
      <c r="D22" s="4"/>
      <c r="E22" s="3" t="s">
        <v>65</v>
      </c>
      <c r="F22" s="3">
        <v>49.5</v>
      </c>
      <c r="G22" s="3">
        <v>20.0</v>
      </c>
      <c r="H22" s="4"/>
      <c r="I22" s="3" t="s">
        <v>88</v>
      </c>
      <c r="J22" s="3">
        <v>53.84</v>
      </c>
      <c r="K22" s="3">
        <v>20.0</v>
      </c>
      <c r="L22" s="4"/>
      <c r="M22" s="3" t="s">
        <v>82</v>
      </c>
      <c r="N22" s="3">
        <v>59.34</v>
      </c>
      <c r="O22" s="3">
        <v>20.0</v>
      </c>
      <c r="P22" s="4"/>
      <c r="Q22" s="3" t="s">
        <v>79</v>
      </c>
      <c r="R22" s="3">
        <v>55.71</v>
      </c>
      <c r="S22" s="3">
        <v>20.0</v>
      </c>
      <c r="T22" s="4"/>
      <c r="U22" s="4"/>
      <c r="V22" s="4"/>
      <c r="W22" s="4"/>
      <c r="X22" s="4"/>
      <c r="Y22" s="4"/>
      <c r="Z22" s="4"/>
    </row>
    <row r="23" ht="12.75" customHeight="1">
      <c r="A23" s="3" t="s">
        <v>47</v>
      </c>
      <c r="B23" s="3">
        <v>24.59</v>
      </c>
      <c r="C23" s="3">
        <v>21.0</v>
      </c>
      <c r="D23" s="4"/>
      <c r="E23" s="3" t="s">
        <v>94</v>
      </c>
      <c r="F23" s="3">
        <v>48.5</v>
      </c>
      <c r="G23" s="3">
        <v>21.0</v>
      </c>
      <c r="H23" s="4"/>
      <c r="I23" s="3" t="s">
        <v>95</v>
      </c>
      <c r="J23" s="3">
        <v>53.32</v>
      </c>
      <c r="K23" s="3">
        <v>21.0</v>
      </c>
      <c r="L23" s="4"/>
      <c r="M23" s="3" t="s">
        <v>57</v>
      </c>
      <c r="N23" s="3">
        <v>58.51</v>
      </c>
      <c r="O23" s="3">
        <v>21.0</v>
      </c>
      <c r="P23" s="4"/>
      <c r="Q23" s="3" t="s">
        <v>62</v>
      </c>
      <c r="R23" s="3">
        <v>54.86</v>
      </c>
      <c r="S23" s="3">
        <v>21.0</v>
      </c>
      <c r="T23" s="4"/>
      <c r="U23" s="4"/>
      <c r="V23" s="4"/>
      <c r="W23" s="4"/>
      <c r="X23" s="4"/>
      <c r="Y23" s="4"/>
      <c r="Z23" s="4"/>
    </row>
    <row r="24" ht="12.75" customHeight="1">
      <c r="A24" s="3" t="s">
        <v>96</v>
      </c>
      <c r="B24" s="3">
        <v>24.52</v>
      </c>
      <c r="C24" s="3">
        <v>22.0</v>
      </c>
      <c r="D24" s="4"/>
      <c r="E24" s="3" t="s">
        <v>82</v>
      </c>
      <c r="F24" s="3">
        <v>47.28</v>
      </c>
      <c r="G24" s="3">
        <v>22.0</v>
      </c>
      <c r="H24" s="4"/>
      <c r="I24" s="3" t="s">
        <v>65</v>
      </c>
      <c r="J24" s="3">
        <v>52.25</v>
      </c>
      <c r="K24" s="3">
        <v>22.0</v>
      </c>
      <c r="L24" s="4"/>
      <c r="M24" s="3" t="s">
        <v>74</v>
      </c>
      <c r="N24" s="3">
        <v>53.67</v>
      </c>
      <c r="O24" s="3">
        <v>22.0</v>
      </c>
      <c r="P24" s="4"/>
      <c r="Q24" s="3" t="s">
        <v>74</v>
      </c>
      <c r="R24" s="3">
        <v>54.84</v>
      </c>
      <c r="S24" s="3">
        <v>22.0</v>
      </c>
      <c r="T24" s="4"/>
      <c r="U24" s="4"/>
      <c r="V24" s="4"/>
      <c r="W24" s="4"/>
      <c r="X24" s="4"/>
      <c r="Y24" s="4"/>
      <c r="Z24" s="4"/>
    </row>
    <row r="25" ht="12.75" customHeight="1">
      <c r="A25" s="3" t="s">
        <v>97</v>
      </c>
      <c r="B25" s="3">
        <v>23.38</v>
      </c>
      <c r="C25" s="3">
        <v>23.0</v>
      </c>
      <c r="D25" s="4"/>
      <c r="E25" s="3" t="s">
        <v>98</v>
      </c>
      <c r="F25" s="3">
        <v>46.64</v>
      </c>
      <c r="G25" s="3">
        <v>23.0</v>
      </c>
      <c r="H25" s="4"/>
      <c r="I25" s="3" t="s">
        <v>82</v>
      </c>
      <c r="J25" s="3">
        <v>49.6</v>
      </c>
      <c r="K25" s="3">
        <v>23.0</v>
      </c>
      <c r="L25" s="4"/>
      <c r="M25" s="3" t="s">
        <v>58</v>
      </c>
      <c r="N25" s="3">
        <v>53.19</v>
      </c>
      <c r="O25" s="3">
        <v>23.0</v>
      </c>
      <c r="P25" s="4"/>
      <c r="Q25" s="3" t="s">
        <v>46</v>
      </c>
      <c r="R25" s="3">
        <v>53.09</v>
      </c>
      <c r="S25" s="3">
        <v>23.0</v>
      </c>
      <c r="T25" s="4"/>
      <c r="U25" s="4"/>
      <c r="V25" s="4"/>
      <c r="W25" s="4"/>
      <c r="X25" s="4"/>
      <c r="Y25" s="4"/>
      <c r="Z25" s="4"/>
    </row>
    <row r="26" ht="12.75" customHeight="1">
      <c r="A26" s="3" t="s">
        <v>92</v>
      </c>
      <c r="B26" s="3">
        <v>23.3</v>
      </c>
      <c r="C26" s="3">
        <v>24.0</v>
      </c>
      <c r="D26" s="4"/>
      <c r="E26" s="3" t="s">
        <v>99</v>
      </c>
      <c r="F26" s="3">
        <v>45.73</v>
      </c>
      <c r="G26" s="3">
        <v>24.0</v>
      </c>
      <c r="H26" s="4"/>
      <c r="I26" s="3" t="s">
        <v>100</v>
      </c>
      <c r="J26" s="3">
        <v>49.42</v>
      </c>
      <c r="K26" s="3">
        <v>24.0</v>
      </c>
      <c r="L26" s="4"/>
      <c r="M26" s="3" t="s">
        <v>101</v>
      </c>
      <c r="N26" s="3">
        <v>50.08</v>
      </c>
      <c r="O26" s="3">
        <v>24.0</v>
      </c>
      <c r="P26" s="4"/>
      <c r="Q26" s="3" t="s">
        <v>87</v>
      </c>
      <c r="R26" s="3">
        <v>50.5</v>
      </c>
      <c r="S26" s="3">
        <v>24.0</v>
      </c>
      <c r="T26" s="4"/>
      <c r="U26" s="4"/>
      <c r="V26" s="4"/>
      <c r="W26" s="4"/>
      <c r="X26" s="4"/>
      <c r="Y26" s="4"/>
      <c r="Z26" s="4"/>
    </row>
    <row r="27" ht="12.75" customHeight="1">
      <c r="A27" s="3" t="s">
        <v>102</v>
      </c>
      <c r="B27" s="3">
        <v>19.65</v>
      </c>
      <c r="C27" s="3">
        <v>25.0</v>
      </c>
      <c r="D27" s="4"/>
      <c r="E27" s="3" t="s">
        <v>100</v>
      </c>
      <c r="F27" s="3">
        <v>44.51</v>
      </c>
      <c r="G27" s="3">
        <v>25.0</v>
      </c>
      <c r="H27" s="4"/>
      <c r="I27" s="3" t="s">
        <v>101</v>
      </c>
      <c r="J27" s="3">
        <v>49.13</v>
      </c>
      <c r="K27" s="3">
        <v>25.0</v>
      </c>
      <c r="L27" s="4"/>
      <c r="M27" s="3" t="s">
        <v>87</v>
      </c>
      <c r="N27" s="3">
        <v>50.03</v>
      </c>
      <c r="O27" s="3">
        <v>25.0</v>
      </c>
      <c r="P27" s="4"/>
      <c r="Q27" s="3" t="s">
        <v>100</v>
      </c>
      <c r="R27" s="3">
        <v>49.22</v>
      </c>
      <c r="S27" s="3">
        <v>25.0</v>
      </c>
      <c r="T27" s="4"/>
      <c r="U27" s="4"/>
      <c r="V27" s="4"/>
      <c r="W27" s="4"/>
      <c r="X27" s="4"/>
      <c r="Y27" s="4"/>
      <c r="Z27" s="4"/>
    </row>
    <row r="28" ht="12.75" customHeight="1">
      <c r="A28" s="3" t="s">
        <v>86</v>
      </c>
      <c r="B28" s="3">
        <v>19.52</v>
      </c>
      <c r="C28" s="3">
        <v>26.0</v>
      </c>
      <c r="D28" s="4"/>
      <c r="E28" s="3" t="s">
        <v>103</v>
      </c>
      <c r="F28" s="3">
        <v>42.47</v>
      </c>
      <c r="G28" s="3">
        <v>26.0</v>
      </c>
      <c r="H28" s="4"/>
      <c r="I28" s="3" t="s">
        <v>86</v>
      </c>
      <c r="J28" s="3">
        <v>46.61</v>
      </c>
      <c r="K28" s="3">
        <v>26.0</v>
      </c>
      <c r="L28" s="4"/>
      <c r="M28" s="3" t="s">
        <v>104</v>
      </c>
      <c r="N28" s="3">
        <v>48.93</v>
      </c>
      <c r="O28" s="3">
        <v>26.0</v>
      </c>
      <c r="P28" s="4"/>
      <c r="Q28" s="3" t="s">
        <v>47</v>
      </c>
      <c r="R28" s="3">
        <v>47.42</v>
      </c>
      <c r="S28" s="3">
        <v>26.0</v>
      </c>
      <c r="T28" s="4"/>
      <c r="U28" s="4"/>
      <c r="V28" s="4"/>
      <c r="W28" s="4"/>
      <c r="X28" s="4"/>
      <c r="Y28" s="4"/>
      <c r="Z28" s="4"/>
    </row>
    <row r="29" ht="12.75" customHeight="1">
      <c r="A29" s="3" t="s">
        <v>88</v>
      </c>
      <c r="B29" s="3">
        <v>19.13</v>
      </c>
      <c r="C29" s="3">
        <v>27.0</v>
      </c>
      <c r="D29" s="4"/>
      <c r="E29" s="3" t="s">
        <v>86</v>
      </c>
      <c r="F29" s="3">
        <v>39.81</v>
      </c>
      <c r="G29" s="3">
        <v>27.0</v>
      </c>
      <c r="H29" s="4"/>
      <c r="I29" s="3" t="s">
        <v>105</v>
      </c>
      <c r="J29" s="3">
        <v>46.47</v>
      </c>
      <c r="K29" s="3">
        <v>27.0</v>
      </c>
      <c r="L29" s="4"/>
      <c r="M29" s="3" t="s">
        <v>100</v>
      </c>
      <c r="N29" s="3">
        <v>47.99</v>
      </c>
      <c r="O29" s="3">
        <v>27.0</v>
      </c>
      <c r="P29" s="4"/>
      <c r="Q29" s="3" t="s">
        <v>106</v>
      </c>
      <c r="R29" s="3">
        <v>44.97</v>
      </c>
      <c r="S29" s="3">
        <v>27.0</v>
      </c>
      <c r="T29" s="4"/>
      <c r="U29" s="4"/>
      <c r="V29" s="4"/>
      <c r="W29" s="4"/>
      <c r="X29" s="4"/>
      <c r="Y29" s="4"/>
      <c r="Z29" s="4"/>
    </row>
    <row r="30" ht="12.75" customHeight="1">
      <c r="A30" s="3" t="s">
        <v>60</v>
      </c>
      <c r="B30" s="3">
        <v>18.85</v>
      </c>
      <c r="C30" s="3">
        <v>28.0</v>
      </c>
      <c r="D30" s="4"/>
      <c r="E30" s="3" t="s">
        <v>105</v>
      </c>
      <c r="F30" s="3">
        <v>39.57</v>
      </c>
      <c r="G30" s="3">
        <v>28.0</v>
      </c>
      <c r="H30" s="4"/>
      <c r="I30" s="3" t="s">
        <v>26</v>
      </c>
      <c r="J30" s="3">
        <v>45.85</v>
      </c>
      <c r="K30" s="3">
        <v>28.0</v>
      </c>
      <c r="L30" s="4"/>
      <c r="M30" s="3" t="s">
        <v>51</v>
      </c>
      <c r="N30" s="3">
        <v>47.36</v>
      </c>
      <c r="O30" s="3">
        <v>28.0</v>
      </c>
      <c r="P30" s="4"/>
      <c r="Q30" s="3" t="s">
        <v>107</v>
      </c>
      <c r="R30" s="3">
        <v>43.19</v>
      </c>
      <c r="S30" s="3">
        <v>28.0</v>
      </c>
      <c r="T30" s="4"/>
      <c r="U30" s="4"/>
      <c r="V30" s="4"/>
      <c r="W30" s="4"/>
      <c r="X30" s="4"/>
      <c r="Y30" s="4"/>
      <c r="Z30" s="4"/>
    </row>
    <row r="31" ht="12.75" customHeight="1">
      <c r="A31" s="3" t="s">
        <v>82</v>
      </c>
      <c r="B31" s="3">
        <v>14.79</v>
      </c>
      <c r="C31" s="3">
        <v>29.0</v>
      </c>
      <c r="D31" s="4"/>
      <c r="E31" s="3" t="s">
        <v>108</v>
      </c>
      <c r="F31" s="3">
        <v>39.42</v>
      </c>
      <c r="G31" s="3">
        <v>29.0</v>
      </c>
      <c r="H31" s="4"/>
      <c r="I31" s="3" t="s">
        <v>109</v>
      </c>
      <c r="J31" s="3">
        <v>44.16</v>
      </c>
      <c r="K31" s="3">
        <v>29.0</v>
      </c>
      <c r="L31" s="4"/>
      <c r="M31" s="3" t="s">
        <v>53</v>
      </c>
      <c r="N31" s="3">
        <v>47.08</v>
      </c>
      <c r="O31" s="3">
        <v>29.0</v>
      </c>
      <c r="P31" s="4"/>
      <c r="Q31" s="3" t="s">
        <v>95</v>
      </c>
      <c r="R31" s="3">
        <v>42.04</v>
      </c>
      <c r="S31" s="3">
        <v>29.0</v>
      </c>
      <c r="T31" s="4"/>
      <c r="U31" s="4"/>
      <c r="V31" s="4"/>
      <c r="W31" s="4"/>
      <c r="X31" s="4"/>
      <c r="Y31" s="4"/>
      <c r="Z31" s="4"/>
    </row>
    <row r="32" ht="12.75" customHeight="1">
      <c r="A32" s="3" t="s">
        <v>65</v>
      </c>
      <c r="B32" s="3">
        <v>14.7</v>
      </c>
      <c r="C32" s="3">
        <v>30.0</v>
      </c>
      <c r="D32" s="4"/>
      <c r="E32" s="3" t="s">
        <v>110</v>
      </c>
      <c r="F32" s="3">
        <v>37.11</v>
      </c>
      <c r="G32" s="3">
        <v>30.0</v>
      </c>
      <c r="H32" s="4"/>
      <c r="I32" s="3" t="s">
        <v>57</v>
      </c>
      <c r="J32" s="3">
        <v>43.78</v>
      </c>
      <c r="K32" s="3">
        <v>30.0</v>
      </c>
      <c r="L32" s="4"/>
      <c r="M32" s="3" t="s">
        <v>86</v>
      </c>
      <c r="N32" s="3">
        <v>46.96</v>
      </c>
      <c r="O32" s="3">
        <v>30.0</v>
      </c>
      <c r="P32" s="4"/>
      <c r="Q32" s="3" t="s">
        <v>101</v>
      </c>
      <c r="R32" s="3">
        <v>41.86</v>
      </c>
      <c r="S32" s="3">
        <v>30.0</v>
      </c>
      <c r="T32" s="4"/>
      <c r="U32" s="4"/>
      <c r="V32" s="4"/>
      <c r="W32" s="4"/>
      <c r="X32" s="4"/>
      <c r="Y32" s="4"/>
      <c r="Z32" s="4"/>
    </row>
    <row r="33" ht="12.75" customHeight="1">
      <c r="A33" s="3" t="s">
        <v>95</v>
      </c>
      <c r="B33" s="3">
        <v>12.61</v>
      </c>
      <c r="C33" s="3">
        <v>31.0</v>
      </c>
      <c r="D33" s="4"/>
      <c r="E33" s="3" t="s">
        <v>104</v>
      </c>
      <c r="F33" s="3">
        <v>35.93</v>
      </c>
      <c r="G33" s="3">
        <v>31.0</v>
      </c>
      <c r="H33" s="4"/>
      <c r="I33" s="3" t="s">
        <v>111</v>
      </c>
      <c r="J33" s="3">
        <v>43.55</v>
      </c>
      <c r="K33" s="3">
        <v>31.0</v>
      </c>
      <c r="L33" s="4"/>
      <c r="M33" s="3" t="s">
        <v>112</v>
      </c>
      <c r="N33" s="3">
        <v>46.81</v>
      </c>
      <c r="O33" s="3">
        <v>31.0</v>
      </c>
      <c r="P33" s="4"/>
      <c r="Q33" s="3" t="s">
        <v>113</v>
      </c>
      <c r="R33" s="3">
        <v>40.69</v>
      </c>
      <c r="S33" s="3">
        <v>31.0</v>
      </c>
      <c r="T33" s="4"/>
      <c r="U33" s="4"/>
      <c r="V33" s="4"/>
      <c r="W33" s="4"/>
      <c r="X33" s="4"/>
      <c r="Y33" s="4"/>
      <c r="Z33" s="4"/>
    </row>
    <row r="34" ht="12.75" customHeight="1">
      <c r="A34" s="3" t="s">
        <v>114</v>
      </c>
      <c r="B34" s="3">
        <v>12.61</v>
      </c>
      <c r="C34" s="3">
        <v>31.0</v>
      </c>
      <c r="D34" s="4"/>
      <c r="E34" s="3" t="s">
        <v>115</v>
      </c>
      <c r="F34" s="3">
        <v>34.09</v>
      </c>
      <c r="G34" s="3">
        <v>32.0</v>
      </c>
      <c r="H34" s="4"/>
      <c r="I34" s="3" t="s">
        <v>74</v>
      </c>
      <c r="J34" s="3">
        <v>42.38</v>
      </c>
      <c r="K34" s="3">
        <v>32.0</v>
      </c>
      <c r="L34" s="4"/>
      <c r="M34" s="3" t="s">
        <v>105</v>
      </c>
      <c r="N34" s="3">
        <v>46.03</v>
      </c>
      <c r="O34" s="3">
        <v>32.0</v>
      </c>
      <c r="P34" s="4"/>
      <c r="Q34" s="3" t="s">
        <v>116</v>
      </c>
      <c r="R34" s="3">
        <v>40.63</v>
      </c>
      <c r="S34" s="3">
        <v>32.0</v>
      </c>
      <c r="T34" s="4"/>
      <c r="U34" s="4"/>
      <c r="V34" s="4"/>
      <c r="W34" s="4"/>
      <c r="X34" s="4"/>
      <c r="Y34" s="4"/>
      <c r="Z34" s="4"/>
    </row>
    <row r="35" ht="12.75" customHeight="1">
      <c r="A35" s="3" t="s">
        <v>43</v>
      </c>
      <c r="B35" s="3">
        <v>12.23</v>
      </c>
      <c r="C35" s="3">
        <v>33.0</v>
      </c>
      <c r="D35" s="4"/>
      <c r="E35" s="3" t="s">
        <v>117</v>
      </c>
      <c r="F35" s="3">
        <v>31.38</v>
      </c>
      <c r="G35" s="3">
        <v>33.0</v>
      </c>
      <c r="H35" s="4"/>
      <c r="I35" s="3" t="s">
        <v>106</v>
      </c>
      <c r="J35" s="3">
        <v>42.1</v>
      </c>
      <c r="K35" s="3">
        <v>33.0</v>
      </c>
      <c r="L35" s="4"/>
      <c r="M35" s="3" t="s">
        <v>95</v>
      </c>
      <c r="N35" s="3">
        <v>44.14</v>
      </c>
      <c r="O35" s="3">
        <v>33.0</v>
      </c>
      <c r="P35" s="4"/>
      <c r="Q35" s="3" t="s">
        <v>118</v>
      </c>
      <c r="R35" s="3">
        <v>40.51</v>
      </c>
      <c r="S35" s="3">
        <v>33.0</v>
      </c>
      <c r="T35" s="4"/>
      <c r="U35" s="4"/>
      <c r="V35" s="4"/>
      <c r="W35" s="4"/>
      <c r="X35" s="4"/>
      <c r="Y35" s="4"/>
      <c r="Z35" s="4"/>
    </row>
    <row r="36" ht="12.75" customHeight="1">
      <c r="A36" s="3" t="s">
        <v>119</v>
      </c>
      <c r="B36" s="3">
        <v>12.23</v>
      </c>
      <c r="C36" s="3">
        <v>33.0</v>
      </c>
      <c r="D36" s="4"/>
      <c r="E36" s="3" t="s">
        <v>89</v>
      </c>
      <c r="F36" s="3">
        <v>31.38</v>
      </c>
      <c r="G36" s="3">
        <v>33.0</v>
      </c>
      <c r="H36" s="4"/>
      <c r="I36" s="3" t="s">
        <v>110</v>
      </c>
      <c r="J36" s="3">
        <v>41.9</v>
      </c>
      <c r="K36" s="3">
        <v>34.0</v>
      </c>
      <c r="L36" s="4"/>
      <c r="M36" s="3" t="s">
        <v>110</v>
      </c>
      <c r="N36" s="3">
        <v>43.79</v>
      </c>
      <c r="O36" s="3">
        <v>34.0</v>
      </c>
      <c r="P36" s="4"/>
      <c r="Q36" s="3" t="s">
        <v>109</v>
      </c>
      <c r="R36" s="3">
        <v>39.82</v>
      </c>
      <c r="S36" s="3">
        <v>34.0</v>
      </c>
      <c r="T36" s="4"/>
      <c r="U36" s="4"/>
      <c r="V36" s="4"/>
      <c r="W36" s="4"/>
      <c r="X36" s="4"/>
      <c r="Y36" s="4"/>
      <c r="Z36" s="4"/>
    </row>
    <row r="37" ht="12.75" customHeight="1">
      <c r="A37" s="3" t="s">
        <v>116</v>
      </c>
      <c r="B37" s="3">
        <v>6.67</v>
      </c>
      <c r="C37" s="3">
        <v>35.0</v>
      </c>
      <c r="D37" s="4"/>
      <c r="E37" s="3" t="s">
        <v>95</v>
      </c>
      <c r="F37" s="3">
        <v>31.38</v>
      </c>
      <c r="G37" s="3">
        <v>33.0</v>
      </c>
      <c r="H37" s="4"/>
      <c r="I37" s="3" t="s">
        <v>94</v>
      </c>
      <c r="J37" s="3">
        <v>41.46</v>
      </c>
      <c r="K37" s="3">
        <v>35.0</v>
      </c>
      <c r="L37" s="4"/>
      <c r="M37" s="3" t="s">
        <v>62</v>
      </c>
      <c r="N37" s="3">
        <v>43.46</v>
      </c>
      <c r="O37" s="3">
        <v>35.0</v>
      </c>
      <c r="P37" s="4"/>
      <c r="Q37" s="3" t="s">
        <v>112</v>
      </c>
      <c r="R37" s="3">
        <v>39.74</v>
      </c>
      <c r="S37" s="3">
        <v>35.0</v>
      </c>
      <c r="T37" s="4"/>
      <c r="U37" s="4"/>
      <c r="V37" s="4"/>
      <c r="W37" s="4"/>
      <c r="X37" s="4"/>
      <c r="Y37" s="4"/>
      <c r="Z37" s="4"/>
    </row>
    <row r="38" ht="12.75" customHeight="1">
      <c r="A38" s="3" t="s">
        <v>122</v>
      </c>
      <c r="B38" s="3">
        <v>6.67</v>
      </c>
      <c r="C38" s="3">
        <v>35.0</v>
      </c>
      <c r="D38" s="4"/>
      <c r="E38" s="3" t="s">
        <v>123</v>
      </c>
      <c r="F38" s="3">
        <v>31.38</v>
      </c>
      <c r="G38" s="3">
        <v>33.0</v>
      </c>
      <c r="H38" s="4"/>
      <c r="I38" s="3" t="s">
        <v>87</v>
      </c>
      <c r="J38" s="3">
        <v>41.11</v>
      </c>
      <c r="K38" s="3">
        <v>36.0</v>
      </c>
      <c r="L38" s="4"/>
      <c r="M38" s="3" t="s">
        <v>106</v>
      </c>
      <c r="N38" s="3">
        <v>43.39</v>
      </c>
      <c r="O38" s="3">
        <v>36.0</v>
      </c>
      <c r="P38" s="4"/>
      <c r="Q38" s="3" t="s">
        <v>124</v>
      </c>
      <c r="R38" s="3">
        <v>39.73</v>
      </c>
      <c r="S38" s="3">
        <v>36.0</v>
      </c>
      <c r="T38" s="4"/>
      <c r="U38" s="4"/>
      <c r="V38" s="4"/>
      <c r="W38" s="4"/>
      <c r="X38" s="4"/>
      <c r="Y38" s="4"/>
      <c r="Z38" s="4"/>
    </row>
    <row r="39" ht="12.75" customHeight="1">
      <c r="A39" s="3" t="s">
        <v>125</v>
      </c>
      <c r="B39" s="3">
        <v>6.67</v>
      </c>
      <c r="C39" s="3">
        <v>35.0</v>
      </c>
      <c r="D39" s="4"/>
      <c r="E39" s="3" t="s">
        <v>114</v>
      </c>
      <c r="F39" s="3">
        <v>31.38</v>
      </c>
      <c r="G39" s="3">
        <v>33.0</v>
      </c>
      <c r="H39" s="4"/>
      <c r="I39" s="3" t="s">
        <v>91</v>
      </c>
      <c r="J39" s="3">
        <v>39.92</v>
      </c>
      <c r="K39" s="3">
        <v>37.0</v>
      </c>
      <c r="L39" s="4"/>
      <c r="M39" s="3" t="s">
        <v>115</v>
      </c>
      <c r="N39" s="3">
        <v>40.21</v>
      </c>
      <c r="O39" s="3">
        <v>37.0</v>
      </c>
      <c r="P39" s="4"/>
      <c r="Q39" s="3" t="s">
        <v>91</v>
      </c>
      <c r="R39" s="3">
        <v>38.33</v>
      </c>
      <c r="S39" s="3">
        <v>37.0</v>
      </c>
      <c r="T39" s="4"/>
      <c r="U39" s="4"/>
      <c r="V39" s="4"/>
      <c r="W39" s="4"/>
      <c r="X39" s="4"/>
      <c r="Y39" s="4"/>
      <c r="Z39" s="4"/>
    </row>
    <row r="40" ht="12.75" customHeight="1">
      <c r="A40" s="3" t="s">
        <v>126</v>
      </c>
      <c r="B40" s="3">
        <v>6.67</v>
      </c>
      <c r="C40" s="3">
        <v>35.0</v>
      </c>
      <c r="D40" s="4"/>
      <c r="E40" s="3" t="s">
        <v>127</v>
      </c>
      <c r="F40" s="3">
        <v>30.24</v>
      </c>
      <c r="G40" s="3">
        <v>38.0</v>
      </c>
      <c r="H40" s="4"/>
      <c r="I40" s="3" t="s">
        <v>99</v>
      </c>
      <c r="J40" s="3">
        <v>39.88</v>
      </c>
      <c r="K40" s="3">
        <v>38.0</v>
      </c>
      <c r="L40" s="4"/>
      <c r="M40" s="3" t="s">
        <v>128</v>
      </c>
      <c r="N40" s="3">
        <v>38.05</v>
      </c>
      <c r="O40" s="3">
        <v>38.0</v>
      </c>
      <c r="P40" s="4"/>
      <c r="Q40" s="3" t="s">
        <v>129</v>
      </c>
      <c r="R40" s="3">
        <v>38.28</v>
      </c>
      <c r="S40" s="3">
        <v>38.0</v>
      </c>
      <c r="T40" s="4"/>
      <c r="U40" s="4"/>
      <c r="V40" s="4"/>
      <c r="W40" s="4"/>
      <c r="X40" s="4"/>
      <c r="Y40" s="4"/>
      <c r="Z40" s="4"/>
    </row>
    <row r="41" ht="12.75" customHeight="1">
      <c r="A41" s="3" t="s">
        <v>130</v>
      </c>
      <c r="B41" s="3">
        <v>6.67</v>
      </c>
      <c r="C41" s="3">
        <v>35.0</v>
      </c>
      <c r="D41" s="4"/>
      <c r="E41" s="3" t="s">
        <v>131</v>
      </c>
      <c r="F41" s="3">
        <v>30.18</v>
      </c>
      <c r="G41" s="3">
        <v>39.0</v>
      </c>
      <c r="H41" s="4"/>
      <c r="I41" s="3" t="s">
        <v>130</v>
      </c>
      <c r="J41" s="3">
        <v>37.36</v>
      </c>
      <c r="K41" s="3">
        <v>39.0</v>
      </c>
      <c r="L41" s="4"/>
      <c r="M41" s="3" t="s">
        <v>92</v>
      </c>
      <c r="N41" s="3">
        <v>37.87</v>
      </c>
      <c r="O41" s="3">
        <v>39.0</v>
      </c>
      <c r="P41" s="4"/>
      <c r="Q41" s="3" t="s">
        <v>117</v>
      </c>
      <c r="R41" s="3">
        <v>38.25</v>
      </c>
      <c r="S41" s="3">
        <v>39.0</v>
      </c>
      <c r="T41" s="4"/>
      <c r="U41" s="4"/>
      <c r="V41" s="4"/>
      <c r="W41" s="4"/>
      <c r="X41" s="4"/>
      <c r="Y41" s="4"/>
      <c r="Z41" s="4"/>
    </row>
    <row r="42" ht="12.75" customHeight="1">
      <c r="A42" s="3" t="s">
        <v>132</v>
      </c>
      <c r="B42" s="3">
        <v>6.67</v>
      </c>
      <c r="C42" s="3">
        <v>35.0</v>
      </c>
      <c r="D42" s="4"/>
      <c r="E42" s="3" t="s">
        <v>102</v>
      </c>
      <c r="F42" s="3">
        <v>28.55</v>
      </c>
      <c r="G42" s="3">
        <v>40.0</v>
      </c>
      <c r="H42" s="4"/>
      <c r="I42" s="3" t="s">
        <v>115</v>
      </c>
      <c r="J42" s="3">
        <v>37.22</v>
      </c>
      <c r="K42" s="3">
        <v>40.0</v>
      </c>
      <c r="L42" s="4"/>
      <c r="M42" s="3" t="s">
        <v>116</v>
      </c>
      <c r="N42" s="3">
        <v>37.23</v>
      </c>
      <c r="O42" s="3">
        <v>40.0</v>
      </c>
      <c r="P42" s="4"/>
      <c r="Q42" s="3" t="s">
        <v>132</v>
      </c>
      <c r="R42" s="3">
        <v>38.17</v>
      </c>
      <c r="S42" s="3">
        <v>40.0</v>
      </c>
      <c r="T42" s="4"/>
      <c r="U42" s="4"/>
      <c r="V42" s="4"/>
      <c r="W42" s="4"/>
      <c r="X42" s="4"/>
      <c r="Y42" s="4"/>
      <c r="Z42" s="4"/>
    </row>
    <row r="43" ht="12.75" customHeight="1">
      <c r="A43" s="3" t="s">
        <v>133</v>
      </c>
      <c r="B43" s="3">
        <v>6.67</v>
      </c>
      <c r="C43" s="3">
        <v>35.0</v>
      </c>
      <c r="D43" s="4"/>
      <c r="E43" s="3" t="s">
        <v>134</v>
      </c>
      <c r="F43" s="3">
        <v>27.07</v>
      </c>
      <c r="G43" s="3">
        <v>41.0</v>
      </c>
      <c r="H43" s="4"/>
      <c r="I43" s="3" t="s">
        <v>117</v>
      </c>
      <c r="J43" s="3">
        <v>36.59</v>
      </c>
      <c r="K43" s="3">
        <v>41.0</v>
      </c>
      <c r="L43" s="4"/>
      <c r="M43" s="3" t="s">
        <v>130</v>
      </c>
      <c r="N43" s="3">
        <v>36.67</v>
      </c>
      <c r="O43" s="3">
        <v>41.0</v>
      </c>
      <c r="P43" s="4"/>
      <c r="Q43" s="3" t="s">
        <v>119</v>
      </c>
      <c r="R43" s="3">
        <v>38.12</v>
      </c>
      <c r="S43" s="3">
        <v>41.0</v>
      </c>
      <c r="T43" s="4"/>
      <c r="U43" s="4"/>
      <c r="V43" s="4"/>
      <c r="W43" s="4"/>
      <c r="X43" s="4"/>
      <c r="Y43" s="4"/>
      <c r="Z43" s="4"/>
    </row>
    <row r="44" ht="12.75" customHeight="1">
      <c r="A44" s="3" t="s">
        <v>108</v>
      </c>
      <c r="B44" s="3">
        <v>6.67</v>
      </c>
      <c r="C44" s="3">
        <v>35.0</v>
      </c>
      <c r="D44" s="4"/>
      <c r="E44" s="3" t="s">
        <v>96</v>
      </c>
      <c r="F44" s="3">
        <v>27.07</v>
      </c>
      <c r="G44" s="3">
        <v>41.0</v>
      </c>
      <c r="H44" s="23"/>
      <c r="I44" s="3" t="s">
        <v>131</v>
      </c>
      <c r="J44" s="3">
        <v>35.78</v>
      </c>
      <c r="K44" s="3">
        <v>42.0</v>
      </c>
      <c r="L44" s="6"/>
      <c r="M44" s="3" t="s">
        <v>119</v>
      </c>
      <c r="N44" s="3">
        <v>35.74</v>
      </c>
      <c r="O44" s="3">
        <v>42.0</v>
      </c>
      <c r="P44" s="6"/>
      <c r="Q44" s="3" t="s">
        <v>136</v>
      </c>
      <c r="R44" s="3">
        <v>37.51</v>
      </c>
      <c r="S44" s="3">
        <v>42.0</v>
      </c>
      <c r="T44" s="6"/>
      <c r="U44" s="6"/>
      <c r="V44" s="6"/>
      <c r="W44" s="6"/>
      <c r="X44" s="4"/>
      <c r="Y44" s="4"/>
      <c r="Z44" s="4"/>
    </row>
    <row r="45" ht="12.75" customHeight="1">
      <c r="A45" s="3" t="s">
        <v>137</v>
      </c>
      <c r="B45" s="3">
        <v>6.67</v>
      </c>
      <c r="C45" s="3">
        <v>35.0</v>
      </c>
      <c r="D45" s="4"/>
      <c r="E45" s="3" t="s">
        <v>138</v>
      </c>
      <c r="F45" s="3">
        <v>27.07</v>
      </c>
      <c r="G45" s="3">
        <v>41.0</v>
      </c>
      <c r="H45" s="24"/>
      <c r="I45" s="3" t="s">
        <v>139</v>
      </c>
      <c r="J45" s="3">
        <v>34.67</v>
      </c>
      <c r="K45" s="3">
        <v>43.0</v>
      </c>
      <c r="L45" s="4"/>
      <c r="M45" s="3" t="s">
        <v>88</v>
      </c>
      <c r="N45" s="3">
        <v>35.07</v>
      </c>
      <c r="O45" s="3">
        <v>43.0</v>
      </c>
      <c r="P45" s="4"/>
      <c r="Q45" s="3" t="s">
        <v>128</v>
      </c>
      <c r="R45" s="3">
        <v>36.53</v>
      </c>
      <c r="S45" s="3">
        <v>43.0</v>
      </c>
      <c r="T45" s="4"/>
      <c r="U45" s="4"/>
      <c r="V45" s="4"/>
      <c r="W45" s="4"/>
      <c r="X45" s="4"/>
      <c r="Y45" s="4"/>
      <c r="Z45" s="4"/>
    </row>
    <row r="46" ht="12.75" customHeight="1">
      <c r="A46" s="3" t="s">
        <v>140</v>
      </c>
      <c r="B46" s="3">
        <v>6.67</v>
      </c>
      <c r="C46" s="3">
        <v>35.0</v>
      </c>
      <c r="D46" s="4"/>
      <c r="E46" s="3" t="s">
        <v>141</v>
      </c>
      <c r="F46" s="3">
        <v>27.07</v>
      </c>
      <c r="G46" s="3">
        <v>41.0</v>
      </c>
      <c r="H46" s="24"/>
      <c r="I46" s="3" t="s">
        <v>108</v>
      </c>
      <c r="J46" s="3">
        <v>34.53</v>
      </c>
      <c r="K46" s="3">
        <v>44.0</v>
      </c>
      <c r="L46" s="4"/>
      <c r="M46" s="3" t="s">
        <v>111</v>
      </c>
      <c r="N46" s="3">
        <v>34.1</v>
      </c>
      <c r="O46" s="3">
        <v>44.0</v>
      </c>
      <c r="P46" s="4"/>
      <c r="Q46" s="3" t="s">
        <v>88</v>
      </c>
      <c r="R46" s="3">
        <v>36.2</v>
      </c>
      <c r="S46" s="3">
        <v>44.0</v>
      </c>
      <c r="T46" s="4"/>
      <c r="U46" s="4"/>
      <c r="V46" s="4"/>
      <c r="W46" s="4"/>
      <c r="X46" s="4"/>
      <c r="Y46" s="4"/>
      <c r="Z46" s="4"/>
    </row>
    <row r="47" ht="12.75" customHeight="1">
      <c r="A47" s="3" t="s">
        <v>142</v>
      </c>
      <c r="B47" s="3">
        <v>6.67</v>
      </c>
      <c r="C47" s="3">
        <v>35.0</v>
      </c>
      <c r="D47" s="4"/>
      <c r="E47" s="3" t="s">
        <v>143</v>
      </c>
      <c r="F47" s="3">
        <v>27.07</v>
      </c>
      <c r="G47" s="3">
        <v>41.0</v>
      </c>
      <c r="H47" s="24"/>
      <c r="I47" s="3" t="s">
        <v>127</v>
      </c>
      <c r="J47" s="3">
        <v>34.15</v>
      </c>
      <c r="K47" s="3">
        <v>45.0</v>
      </c>
      <c r="L47" s="4"/>
      <c r="M47" s="3" t="s">
        <v>136</v>
      </c>
      <c r="N47" s="3">
        <v>34.05</v>
      </c>
      <c r="O47" s="3">
        <v>45.0</v>
      </c>
      <c r="P47" s="4"/>
      <c r="Q47" s="3" t="s">
        <v>60</v>
      </c>
      <c r="R47" s="3">
        <v>36.12</v>
      </c>
      <c r="S47" s="3">
        <v>45.0</v>
      </c>
      <c r="T47" s="4"/>
      <c r="U47" s="4"/>
      <c r="V47" s="4"/>
      <c r="W47" s="4"/>
      <c r="X47" s="4"/>
      <c r="Y47" s="4"/>
      <c r="Z47" s="4"/>
    </row>
    <row r="48" ht="12.75" customHeight="1">
      <c r="A48" s="3" t="s">
        <v>100</v>
      </c>
      <c r="B48" s="3">
        <v>6.67</v>
      </c>
      <c r="C48" s="3">
        <v>35.0</v>
      </c>
      <c r="D48" s="4"/>
      <c r="E48" s="3" t="s">
        <v>87</v>
      </c>
      <c r="F48" s="3">
        <v>27.07</v>
      </c>
      <c r="G48" s="3">
        <v>41.0</v>
      </c>
      <c r="H48" s="24"/>
      <c r="I48" s="3" t="s">
        <v>102</v>
      </c>
      <c r="J48" s="3">
        <v>34.08</v>
      </c>
      <c r="K48" s="3">
        <v>46.0</v>
      </c>
      <c r="L48" s="4"/>
      <c r="M48" s="3" t="s">
        <v>109</v>
      </c>
      <c r="N48" s="3">
        <v>33.94</v>
      </c>
      <c r="O48" s="3">
        <v>46.0</v>
      </c>
      <c r="P48" s="4"/>
      <c r="Q48" s="3" t="s">
        <v>115</v>
      </c>
      <c r="R48" s="3">
        <v>35.33</v>
      </c>
      <c r="S48" s="3">
        <v>46.0</v>
      </c>
      <c r="T48" s="4"/>
      <c r="U48" s="4"/>
      <c r="V48" s="4"/>
      <c r="W48" s="4"/>
      <c r="X48" s="4"/>
      <c r="Y48" s="4"/>
      <c r="Z48" s="4"/>
    </row>
    <row r="49" ht="12.75" customHeight="1">
      <c r="A49" s="3" t="s">
        <v>144</v>
      </c>
      <c r="B49" s="3">
        <v>6.67</v>
      </c>
      <c r="C49" s="3">
        <v>35.0</v>
      </c>
      <c r="D49" s="4"/>
      <c r="E49" s="3" t="s">
        <v>145</v>
      </c>
      <c r="F49" s="3">
        <v>27.07</v>
      </c>
      <c r="G49" s="3">
        <v>41.0</v>
      </c>
      <c r="H49" s="24"/>
      <c r="I49" s="3" t="s">
        <v>136</v>
      </c>
      <c r="J49" s="3">
        <v>32.7</v>
      </c>
      <c r="K49" s="3">
        <v>47.0</v>
      </c>
      <c r="L49" s="4"/>
      <c r="M49" s="3" t="s">
        <v>131</v>
      </c>
      <c r="N49" s="3">
        <v>33.52</v>
      </c>
      <c r="O49" s="3">
        <v>47.0</v>
      </c>
      <c r="P49" s="4"/>
      <c r="Q49" s="3" t="s">
        <v>81</v>
      </c>
      <c r="R49" s="3">
        <v>35.03</v>
      </c>
      <c r="S49" s="3">
        <v>47.0</v>
      </c>
      <c r="T49" s="4"/>
      <c r="U49" s="4"/>
      <c r="V49" s="4"/>
      <c r="W49" s="4"/>
      <c r="X49" s="4"/>
      <c r="Y49" s="4"/>
      <c r="Z49" s="4"/>
    </row>
    <row r="50" ht="12.75" customHeight="1">
      <c r="A50" s="3" t="s">
        <v>131</v>
      </c>
      <c r="B50" s="3">
        <v>6.67</v>
      </c>
      <c r="C50" s="3">
        <v>35.0</v>
      </c>
      <c r="D50" s="4"/>
      <c r="E50" s="3" t="s">
        <v>137</v>
      </c>
      <c r="F50" s="3">
        <v>27.07</v>
      </c>
      <c r="G50" s="3">
        <v>41.0</v>
      </c>
      <c r="H50" s="24"/>
      <c r="I50" s="3" t="s">
        <v>114</v>
      </c>
      <c r="J50" s="3">
        <v>32.47</v>
      </c>
      <c r="K50" s="3">
        <v>48.0</v>
      </c>
      <c r="L50" s="4"/>
      <c r="M50" s="3" t="s">
        <v>141</v>
      </c>
      <c r="N50" s="3">
        <v>33.49</v>
      </c>
      <c r="O50" s="3">
        <v>48.0</v>
      </c>
      <c r="P50" s="4"/>
      <c r="Q50" s="3" t="s">
        <v>104</v>
      </c>
      <c r="R50" s="3">
        <v>34.96</v>
      </c>
      <c r="S50" s="3">
        <v>48.0</v>
      </c>
      <c r="T50" s="4"/>
      <c r="U50" s="4"/>
      <c r="V50" s="4"/>
      <c r="W50" s="4"/>
      <c r="X50" s="4"/>
      <c r="Y50" s="4"/>
      <c r="Z50" s="4"/>
    </row>
    <row r="51" ht="12.75" customHeight="1">
      <c r="A51" s="3" t="s">
        <v>138</v>
      </c>
      <c r="B51" s="3">
        <v>6.67</v>
      </c>
      <c r="C51" s="3">
        <v>35.0</v>
      </c>
      <c r="D51" s="4"/>
      <c r="E51" s="3" t="s">
        <v>146</v>
      </c>
      <c r="F51" s="3">
        <v>27.07</v>
      </c>
      <c r="G51" s="3">
        <v>41.0</v>
      </c>
      <c r="H51" s="24"/>
      <c r="I51" s="3" t="s">
        <v>119</v>
      </c>
      <c r="J51" s="3">
        <v>31.45</v>
      </c>
      <c r="K51" s="3">
        <v>49.0</v>
      </c>
      <c r="L51" s="4"/>
      <c r="M51" s="3" t="s">
        <v>94</v>
      </c>
      <c r="N51" s="3">
        <v>33.25</v>
      </c>
      <c r="O51" s="3">
        <v>49.0</v>
      </c>
      <c r="P51" s="4"/>
      <c r="Q51" s="3" t="s">
        <v>131</v>
      </c>
      <c r="R51" s="3">
        <v>34.85</v>
      </c>
      <c r="S51" s="3">
        <v>49.0</v>
      </c>
      <c r="T51" s="4"/>
      <c r="U51" s="4"/>
      <c r="V51" s="4"/>
      <c r="W51" s="4"/>
      <c r="X51" s="4"/>
      <c r="Y51" s="4"/>
      <c r="Z51" s="4"/>
    </row>
    <row r="52" ht="12.75" customHeight="1">
      <c r="A52" s="3" t="s">
        <v>103</v>
      </c>
      <c r="B52" s="3">
        <v>6.67</v>
      </c>
      <c r="C52" s="3">
        <v>35.0</v>
      </c>
      <c r="D52" s="4"/>
      <c r="E52" s="3" t="s">
        <v>118</v>
      </c>
      <c r="F52" s="3">
        <v>27.07</v>
      </c>
      <c r="G52" s="3">
        <v>41.0</v>
      </c>
      <c r="H52" s="24"/>
      <c r="I52" s="3" t="s">
        <v>147</v>
      </c>
      <c r="J52" s="3">
        <v>31.14</v>
      </c>
      <c r="K52" s="3">
        <v>50.0</v>
      </c>
      <c r="L52" s="4"/>
      <c r="M52" s="3" t="s">
        <v>148</v>
      </c>
      <c r="N52" s="3">
        <v>33.2</v>
      </c>
      <c r="O52" s="3">
        <v>50.0</v>
      </c>
      <c r="P52" s="4"/>
      <c r="Q52" s="3" t="s">
        <v>89</v>
      </c>
      <c r="R52" s="3">
        <v>34.79</v>
      </c>
      <c r="S52" s="3">
        <v>50.0</v>
      </c>
      <c r="T52" s="4"/>
      <c r="U52" s="4"/>
      <c r="V52" s="4"/>
      <c r="W52" s="4"/>
      <c r="X52" s="4"/>
      <c r="Y52" s="4"/>
      <c r="Z52" s="4"/>
    </row>
    <row r="53" ht="12.75" customHeight="1">
      <c r="A53" s="3" t="s">
        <v>107</v>
      </c>
      <c r="B53" s="3">
        <v>6.67</v>
      </c>
      <c r="C53" s="3">
        <v>35.0</v>
      </c>
      <c r="D53" s="4"/>
      <c r="E53" s="3" t="s">
        <v>91</v>
      </c>
      <c r="F53" s="3">
        <v>27.07</v>
      </c>
      <c r="G53" s="3">
        <v>41.0</v>
      </c>
      <c r="H53" s="24"/>
      <c r="I53" s="3" t="s">
        <v>97</v>
      </c>
      <c r="J53" s="3">
        <v>31.02</v>
      </c>
      <c r="K53" s="3">
        <v>51.0</v>
      </c>
      <c r="L53" s="4"/>
      <c r="M53" s="3" t="s">
        <v>98</v>
      </c>
      <c r="N53" s="3">
        <v>33.2</v>
      </c>
      <c r="O53" s="3">
        <v>50.0</v>
      </c>
      <c r="P53" s="4"/>
      <c r="Q53" s="3" t="s">
        <v>110</v>
      </c>
      <c r="R53" s="3">
        <v>34.6</v>
      </c>
      <c r="S53" s="3">
        <v>51.0</v>
      </c>
      <c r="T53" s="4"/>
      <c r="U53" s="4"/>
      <c r="V53" s="4"/>
      <c r="W53" s="4"/>
      <c r="X53" s="4"/>
      <c r="Y53" s="4"/>
      <c r="Z53" s="4"/>
    </row>
    <row r="54" ht="12.75" customHeight="1">
      <c r="A54" s="3" t="s">
        <v>149</v>
      </c>
      <c r="B54" s="3">
        <v>6.67</v>
      </c>
      <c r="C54" s="3">
        <v>35.0</v>
      </c>
      <c r="D54" s="4"/>
      <c r="E54" s="3" t="s">
        <v>150</v>
      </c>
      <c r="F54" s="3">
        <v>27.07</v>
      </c>
      <c r="G54" s="3">
        <v>41.0</v>
      </c>
      <c r="H54" s="24"/>
      <c r="I54" s="3" t="s">
        <v>118</v>
      </c>
      <c r="J54" s="3">
        <v>31.02</v>
      </c>
      <c r="K54" s="3">
        <v>51.0</v>
      </c>
      <c r="L54" s="4"/>
      <c r="M54" s="3" t="s">
        <v>103</v>
      </c>
      <c r="N54" s="3">
        <v>32.22</v>
      </c>
      <c r="O54" s="3">
        <v>52.0</v>
      </c>
      <c r="P54" s="4"/>
      <c r="Q54" s="3" t="s">
        <v>111</v>
      </c>
      <c r="R54" s="3">
        <v>34.04</v>
      </c>
      <c r="S54" s="3">
        <v>52.0</v>
      </c>
      <c r="T54" s="4"/>
      <c r="U54" s="4"/>
      <c r="V54" s="4"/>
      <c r="W54" s="4"/>
      <c r="X54" s="4"/>
      <c r="Y54" s="4"/>
      <c r="Z54" s="4"/>
    </row>
    <row r="55" ht="12.75" customHeight="1">
      <c r="A55" s="3" t="s">
        <v>129</v>
      </c>
      <c r="B55" s="3">
        <v>6.67</v>
      </c>
      <c r="C55" s="3">
        <v>35.0</v>
      </c>
      <c r="D55" s="4"/>
      <c r="E55" s="3" t="s">
        <v>151</v>
      </c>
      <c r="F55" s="3">
        <v>27.07</v>
      </c>
      <c r="G55" s="3">
        <v>41.0</v>
      </c>
      <c r="H55" s="24"/>
      <c r="I55" s="3" t="s">
        <v>152</v>
      </c>
      <c r="J55" s="3">
        <v>31.02</v>
      </c>
      <c r="K55" s="3">
        <v>51.0</v>
      </c>
      <c r="L55" s="4"/>
      <c r="M55" s="3" t="s">
        <v>102</v>
      </c>
      <c r="N55" s="3">
        <v>32.17</v>
      </c>
      <c r="O55" s="3">
        <v>53.0</v>
      </c>
      <c r="P55" s="4"/>
      <c r="Q55" s="3" t="s">
        <v>98</v>
      </c>
      <c r="R55" s="3">
        <v>33.64</v>
      </c>
      <c r="S55" s="3">
        <v>53.0</v>
      </c>
      <c r="T55" s="4"/>
      <c r="U55" s="4"/>
      <c r="V55" s="4"/>
      <c r="W55" s="4"/>
      <c r="X55" s="4"/>
      <c r="Y55" s="4"/>
      <c r="Z55" s="4"/>
    </row>
    <row r="56" ht="12.75" customHeight="1">
      <c r="A56" s="3" t="s">
        <v>143</v>
      </c>
      <c r="B56" s="3">
        <v>6.67</v>
      </c>
      <c r="C56" s="3">
        <v>35.0</v>
      </c>
      <c r="D56" s="4"/>
      <c r="E56" s="3" t="s">
        <v>153</v>
      </c>
      <c r="F56" s="3">
        <v>27.07</v>
      </c>
      <c r="G56" s="3">
        <v>41.0</v>
      </c>
      <c r="H56" s="24"/>
      <c r="I56" s="3" t="s">
        <v>154</v>
      </c>
      <c r="J56" s="3">
        <v>31.02</v>
      </c>
      <c r="K56" s="3">
        <v>51.0</v>
      </c>
      <c r="L56" s="4"/>
      <c r="M56" s="3" t="s">
        <v>114</v>
      </c>
      <c r="N56" s="3">
        <v>32.04</v>
      </c>
      <c r="O56" s="3">
        <v>54.0</v>
      </c>
      <c r="P56" s="4"/>
      <c r="Q56" s="3" t="s">
        <v>141</v>
      </c>
      <c r="R56" s="3">
        <v>33.48</v>
      </c>
      <c r="S56" s="3">
        <v>54.0</v>
      </c>
      <c r="T56" s="4"/>
      <c r="U56" s="4"/>
      <c r="V56" s="4"/>
      <c r="W56" s="4"/>
      <c r="X56" s="4"/>
      <c r="Y56" s="4"/>
      <c r="Z56" s="4"/>
    </row>
    <row r="57" ht="12.75" customHeight="1">
      <c r="A57" s="3" t="s">
        <v>155</v>
      </c>
      <c r="B57" s="3">
        <v>6.67</v>
      </c>
      <c r="C57" s="3">
        <v>35.0</v>
      </c>
      <c r="D57" s="4"/>
      <c r="E57" s="3" t="s">
        <v>156</v>
      </c>
      <c r="F57" s="3">
        <v>27.07</v>
      </c>
      <c r="G57" s="3">
        <v>41.0</v>
      </c>
      <c r="H57" s="24"/>
      <c r="I57" s="3" t="s">
        <v>157</v>
      </c>
      <c r="J57" s="3">
        <v>31.02</v>
      </c>
      <c r="K57" s="3">
        <v>51.0</v>
      </c>
      <c r="L57" s="4"/>
      <c r="M57" s="3" t="s">
        <v>132</v>
      </c>
      <c r="N57" s="3">
        <v>31.88</v>
      </c>
      <c r="O57" s="3">
        <v>55.0</v>
      </c>
      <c r="P57" s="4"/>
      <c r="Q57" s="3" t="s">
        <v>94</v>
      </c>
      <c r="R57" s="3">
        <v>33.34</v>
      </c>
      <c r="S57" s="3">
        <v>55.0</v>
      </c>
      <c r="T57" s="4"/>
      <c r="U57" s="4"/>
      <c r="V57" s="4"/>
      <c r="W57" s="4"/>
      <c r="X57" s="4"/>
      <c r="Y57" s="4"/>
      <c r="Z57" s="4"/>
    </row>
    <row r="58" ht="12.75" customHeight="1">
      <c r="A58" s="3" t="s">
        <v>158</v>
      </c>
      <c r="B58" s="3">
        <v>6.67</v>
      </c>
      <c r="C58" s="3">
        <v>35.0</v>
      </c>
      <c r="D58" s="4"/>
      <c r="E58" s="3" t="s">
        <v>148</v>
      </c>
      <c r="F58" s="3">
        <v>27.07</v>
      </c>
      <c r="G58" s="3">
        <v>41.0</v>
      </c>
      <c r="H58" s="24"/>
      <c r="I58" s="3" t="s">
        <v>145</v>
      </c>
      <c r="J58" s="3">
        <v>31.02</v>
      </c>
      <c r="K58" s="3">
        <v>51.0</v>
      </c>
      <c r="L58" s="4"/>
      <c r="M58" s="3" t="s">
        <v>139</v>
      </c>
      <c r="N58" s="3">
        <v>31.48</v>
      </c>
      <c r="O58" s="3">
        <v>56.0</v>
      </c>
      <c r="P58" s="4"/>
      <c r="Q58" s="3" t="s">
        <v>102</v>
      </c>
      <c r="R58" s="3">
        <v>32.65</v>
      </c>
      <c r="S58" s="3">
        <v>56.0</v>
      </c>
      <c r="T58" s="4"/>
      <c r="U58" s="4"/>
      <c r="V58" s="4"/>
      <c r="W58" s="4"/>
      <c r="X58" s="4"/>
      <c r="Y58" s="4"/>
      <c r="Z58" s="4"/>
    </row>
    <row r="59" ht="12.75" customHeight="1">
      <c r="A59" s="3" t="s">
        <v>160</v>
      </c>
      <c r="B59" s="3">
        <v>6.67</v>
      </c>
      <c r="C59" s="3">
        <v>35.0</v>
      </c>
      <c r="D59" s="4"/>
      <c r="E59" s="3" t="s">
        <v>161</v>
      </c>
      <c r="F59" s="3">
        <v>27.07</v>
      </c>
      <c r="G59" s="3">
        <v>41.0</v>
      </c>
      <c r="H59" s="24"/>
      <c r="I59" s="3" t="s">
        <v>149</v>
      </c>
      <c r="J59" s="3">
        <v>31.02</v>
      </c>
      <c r="K59" s="3">
        <v>51.0</v>
      </c>
      <c r="L59" s="4"/>
      <c r="M59" s="3" t="s">
        <v>127</v>
      </c>
      <c r="N59" s="3">
        <v>31.27</v>
      </c>
      <c r="O59" s="3">
        <v>57.0</v>
      </c>
      <c r="P59" s="4"/>
      <c r="Q59" s="3" t="s">
        <v>161</v>
      </c>
      <c r="R59" s="3">
        <v>32.01</v>
      </c>
      <c r="S59" s="3">
        <v>57.0</v>
      </c>
      <c r="T59" s="4"/>
      <c r="U59" s="4"/>
      <c r="V59" s="4"/>
      <c r="W59" s="4"/>
      <c r="X59" s="4"/>
      <c r="Y59" s="4"/>
      <c r="Z59" s="4"/>
    </row>
    <row r="60" ht="12.75" customHeight="1">
      <c r="A60" s="3" t="s">
        <v>128</v>
      </c>
      <c r="B60" s="3">
        <v>6.67</v>
      </c>
      <c r="C60" s="3">
        <v>35.0</v>
      </c>
      <c r="D60" s="4"/>
      <c r="E60" s="3" t="s">
        <v>26</v>
      </c>
      <c r="F60" s="3">
        <v>27.07</v>
      </c>
      <c r="G60" s="3">
        <v>41.0</v>
      </c>
      <c r="H60" s="24"/>
      <c r="I60" s="3" t="s">
        <v>124</v>
      </c>
      <c r="J60" s="3">
        <v>31.02</v>
      </c>
      <c r="K60" s="3">
        <v>51.0</v>
      </c>
      <c r="L60" s="4"/>
      <c r="M60" s="3" t="s">
        <v>162</v>
      </c>
      <c r="N60" s="3">
        <v>31.05</v>
      </c>
      <c r="O60" s="3">
        <v>58.0</v>
      </c>
      <c r="P60" s="4"/>
      <c r="Q60" s="3" t="s">
        <v>103</v>
      </c>
      <c r="R60" s="3">
        <v>31.77</v>
      </c>
      <c r="S60" s="3">
        <v>58.0</v>
      </c>
      <c r="T60" s="4"/>
      <c r="U60" s="4"/>
      <c r="V60" s="4"/>
      <c r="W60" s="4"/>
      <c r="X60" s="4"/>
      <c r="Y60" s="4"/>
      <c r="Z60" s="4"/>
    </row>
    <row r="61" ht="12.75" customHeight="1">
      <c r="A61" s="3" t="s">
        <v>141</v>
      </c>
      <c r="B61" s="3">
        <v>6.67</v>
      </c>
      <c r="C61" s="3">
        <v>35.0</v>
      </c>
      <c r="D61" s="4"/>
      <c r="E61" s="3" t="s">
        <v>57</v>
      </c>
      <c r="F61" s="3">
        <v>27.07</v>
      </c>
      <c r="G61" s="3">
        <v>41.0</v>
      </c>
      <c r="H61" s="24"/>
      <c r="I61" s="3" t="s">
        <v>144</v>
      </c>
      <c r="J61" s="3">
        <v>31.02</v>
      </c>
      <c r="K61" s="3">
        <v>51.0</v>
      </c>
      <c r="L61" s="4"/>
      <c r="M61" s="3" t="s">
        <v>155</v>
      </c>
      <c r="N61" s="3">
        <v>31.05</v>
      </c>
      <c r="O61" s="3">
        <v>58.0</v>
      </c>
      <c r="P61" s="4"/>
      <c r="Q61" s="3" t="s">
        <v>130</v>
      </c>
      <c r="R61" s="3">
        <v>31.62</v>
      </c>
      <c r="S61" s="3">
        <v>59.0</v>
      </c>
      <c r="T61" s="4"/>
      <c r="U61" s="4"/>
      <c r="V61" s="4"/>
      <c r="W61" s="4"/>
      <c r="X61" s="4"/>
      <c r="Y61" s="4"/>
      <c r="Z61" s="4"/>
    </row>
    <row r="62" ht="12.75" customHeight="1">
      <c r="A62" s="3" t="s">
        <v>153</v>
      </c>
      <c r="B62" s="3">
        <v>6.67</v>
      </c>
      <c r="C62" s="3">
        <v>35.0</v>
      </c>
      <c r="D62" s="4"/>
      <c r="E62" s="3" t="s">
        <v>97</v>
      </c>
      <c r="F62" s="3">
        <v>27.07</v>
      </c>
      <c r="G62" s="3">
        <v>41.0</v>
      </c>
      <c r="H62" s="24"/>
      <c r="I62" s="3" t="s">
        <v>164</v>
      </c>
      <c r="J62" s="3">
        <v>31.02</v>
      </c>
      <c r="K62" s="3">
        <v>51.0</v>
      </c>
      <c r="L62" s="4"/>
      <c r="M62" s="3" t="s">
        <v>107</v>
      </c>
      <c r="N62" s="3">
        <v>31.05</v>
      </c>
      <c r="O62" s="3">
        <v>58.0</v>
      </c>
      <c r="P62" s="4"/>
      <c r="Q62" s="3" t="s">
        <v>105</v>
      </c>
      <c r="R62" s="3">
        <v>31.24</v>
      </c>
      <c r="S62" s="3">
        <v>60.0</v>
      </c>
      <c r="T62" s="4"/>
      <c r="U62" s="4"/>
      <c r="V62" s="4"/>
      <c r="W62" s="4"/>
      <c r="X62" s="4"/>
      <c r="Y62" s="4"/>
      <c r="Z62" s="4"/>
    </row>
    <row r="63" ht="12.75" customHeight="1">
      <c r="A63" s="3" t="s">
        <v>58</v>
      </c>
      <c r="B63" s="3">
        <v>6.67</v>
      </c>
      <c r="C63" s="3">
        <v>35.0</v>
      </c>
      <c r="D63" s="4"/>
      <c r="E63" s="3" t="s">
        <v>109</v>
      </c>
      <c r="F63" s="3">
        <v>27.07</v>
      </c>
      <c r="G63" s="3">
        <v>41.0</v>
      </c>
      <c r="H63" s="24"/>
      <c r="I63" s="3" t="s">
        <v>166</v>
      </c>
      <c r="J63" s="3">
        <v>31.02</v>
      </c>
      <c r="K63" s="3">
        <v>51.0</v>
      </c>
      <c r="L63" s="4"/>
      <c r="M63" s="3" t="s">
        <v>167</v>
      </c>
      <c r="N63" s="3">
        <v>31.05</v>
      </c>
      <c r="O63" s="3">
        <v>58.0</v>
      </c>
      <c r="P63" s="4"/>
      <c r="Q63" s="3" t="s">
        <v>139</v>
      </c>
      <c r="R63" s="3">
        <v>31.04</v>
      </c>
      <c r="S63" s="3">
        <v>61.0</v>
      </c>
      <c r="T63" s="4"/>
      <c r="U63" s="4"/>
      <c r="V63" s="4"/>
      <c r="W63" s="4"/>
      <c r="X63" s="4"/>
      <c r="Y63" s="4"/>
      <c r="Z63" s="4"/>
    </row>
    <row r="64" ht="12.75" customHeight="1">
      <c r="A64" s="3" t="s">
        <v>167</v>
      </c>
      <c r="B64" s="3">
        <v>6.67</v>
      </c>
      <c r="C64" s="3">
        <v>35.0</v>
      </c>
      <c r="D64" s="4"/>
      <c r="E64" s="3" t="s">
        <v>168</v>
      </c>
      <c r="F64" s="3">
        <v>27.07</v>
      </c>
      <c r="G64" s="3">
        <v>41.0</v>
      </c>
      <c r="H64" s="24"/>
      <c r="I64" s="3" t="s">
        <v>169</v>
      </c>
      <c r="J64" s="3">
        <v>31.02</v>
      </c>
      <c r="K64" s="3">
        <v>51.0</v>
      </c>
      <c r="L64" s="4"/>
      <c r="M64" s="3" t="s">
        <v>150</v>
      </c>
      <c r="N64" s="3">
        <v>31.05</v>
      </c>
      <c r="O64" s="3">
        <v>58.0</v>
      </c>
      <c r="P64" s="4"/>
      <c r="Q64" s="3" t="s">
        <v>170</v>
      </c>
      <c r="R64" s="3">
        <v>30.95</v>
      </c>
      <c r="S64" s="3">
        <v>62.0</v>
      </c>
      <c r="T64" s="4"/>
      <c r="U64" s="4"/>
      <c r="V64" s="4"/>
      <c r="W64" s="4"/>
      <c r="X64" s="4"/>
      <c r="Y64" s="4"/>
      <c r="Z64" s="4"/>
    </row>
    <row r="65" ht="12.75" customHeight="1">
      <c r="A65" s="3" t="s">
        <v>161</v>
      </c>
      <c r="B65" s="3">
        <v>6.67</v>
      </c>
      <c r="C65" s="3">
        <v>35.0</v>
      </c>
      <c r="D65" s="4"/>
      <c r="E65" s="3" t="s">
        <v>112</v>
      </c>
      <c r="F65" s="3">
        <v>27.07</v>
      </c>
      <c r="G65" s="3">
        <v>41.0</v>
      </c>
      <c r="H65" s="24"/>
      <c r="I65" s="3" t="s">
        <v>137</v>
      </c>
      <c r="J65" s="3">
        <v>31.02</v>
      </c>
      <c r="K65" s="3">
        <v>51.0</v>
      </c>
      <c r="L65" s="4"/>
      <c r="M65" s="3" t="s">
        <v>152</v>
      </c>
      <c r="N65" s="3">
        <v>31.05</v>
      </c>
      <c r="O65" s="3">
        <v>58.0</v>
      </c>
      <c r="P65" s="4"/>
      <c r="Q65" s="3" t="s">
        <v>156</v>
      </c>
      <c r="R65" s="3">
        <v>30.22</v>
      </c>
      <c r="S65" s="3">
        <v>63.0</v>
      </c>
      <c r="T65" s="4"/>
      <c r="U65" s="4"/>
      <c r="V65" s="4"/>
      <c r="W65" s="4"/>
      <c r="X65" s="4"/>
      <c r="Y65" s="4"/>
      <c r="Z65" s="4"/>
    </row>
    <row r="66" ht="12.75" customHeight="1">
      <c r="A66" s="3" t="s">
        <v>117</v>
      </c>
      <c r="B66" s="3">
        <v>6.67</v>
      </c>
      <c r="C66" s="3">
        <v>35.0</v>
      </c>
      <c r="D66" s="4"/>
      <c r="E66" s="3" t="s">
        <v>132</v>
      </c>
      <c r="F66" s="3">
        <v>27.07</v>
      </c>
      <c r="G66" s="3">
        <v>41.0</v>
      </c>
      <c r="H66" s="24"/>
      <c r="I66" s="3" t="s">
        <v>62</v>
      </c>
      <c r="J66" s="3">
        <v>31.02</v>
      </c>
      <c r="K66" s="3">
        <v>51.0</v>
      </c>
      <c r="L66" s="4"/>
      <c r="M66" s="3" t="s">
        <v>144</v>
      </c>
      <c r="N66" s="3">
        <v>31.05</v>
      </c>
      <c r="O66" s="3">
        <v>58.0</v>
      </c>
      <c r="P66" s="4"/>
      <c r="Q66" s="3" t="s">
        <v>150</v>
      </c>
      <c r="R66" s="3">
        <v>30.22</v>
      </c>
      <c r="S66" s="3">
        <v>63.0</v>
      </c>
      <c r="T66" s="4"/>
      <c r="U66" s="4"/>
      <c r="V66" s="4"/>
      <c r="W66" s="4"/>
      <c r="X66" s="4"/>
      <c r="Y66" s="4"/>
      <c r="Z66" s="4"/>
    </row>
    <row r="67" ht="12.75" customHeight="1">
      <c r="A67" s="3" t="s">
        <v>136</v>
      </c>
      <c r="B67" s="3">
        <v>6.67</v>
      </c>
      <c r="C67" s="3">
        <v>35.0</v>
      </c>
      <c r="D67" s="4"/>
      <c r="E67" s="3" t="s">
        <v>125</v>
      </c>
      <c r="F67" s="3">
        <v>27.07</v>
      </c>
      <c r="G67" s="3">
        <v>41.0</v>
      </c>
      <c r="H67" s="24"/>
      <c r="I67" s="3" t="s">
        <v>150</v>
      </c>
      <c r="J67" s="3">
        <v>31.02</v>
      </c>
      <c r="K67" s="3">
        <v>51.0</v>
      </c>
      <c r="L67" s="4"/>
      <c r="M67" s="3" t="s">
        <v>171</v>
      </c>
      <c r="N67" s="3">
        <v>31.05</v>
      </c>
      <c r="O67" s="3">
        <v>58.0</v>
      </c>
      <c r="P67" s="4"/>
      <c r="Q67" s="3" t="s">
        <v>155</v>
      </c>
      <c r="R67" s="3">
        <v>30.22</v>
      </c>
      <c r="S67" s="3">
        <v>63.0</v>
      </c>
      <c r="T67" s="4"/>
      <c r="U67" s="4"/>
      <c r="V67" s="4"/>
      <c r="W67" s="4"/>
      <c r="X67" s="4"/>
      <c r="Y67" s="4"/>
      <c r="Z67" s="4"/>
    </row>
    <row r="68" ht="12.75" customHeight="1">
      <c r="A68" s="3" t="s">
        <v>124</v>
      </c>
      <c r="B68" s="3">
        <v>6.67</v>
      </c>
      <c r="C68" s="3">
        <v>35.0</v>
      </c>
      <c r="D68" s="4"/>
      <c r="E68" s="3" t="s">
        <v>167</v>
      </c>
      <c r="F68" s="3">
        <v>27.07</v>
      </c>
      <c r="G68" s="3">
        <v>41.0</v>
      </c>
      <c r="H68" s="24"/>
      <c r="I68" s="3" t="s">
        <v>126</v>
      </c>
      <c r="J68" s="3">
        <v>31.02</v>
      </c>
      <c r="K68" s="3">
        <v>51.0</v>
      </c>
      <c r="L68" s="4"/>
      <c r="M68" s="3" t="s">
        <v>172</v>
      </c>
      <c r="N68" s="3">
        <v>31.05</v>
      </c>
      <c r="O68" s="3">
        <v>58.0</v>
      </c>
      <c r="P68" s="4"/>
      <c r="Q68" s="3" t="s">
        <v>162</v>
      </c>
      <c r="R68" s="3">
        <v>30.22</v>
      </c>
      <c r="S68" s="3">
        <v>63.0</v>
      </c>
      <c r="T68" s="4"/>
      <c r="U68" s="4"/>
      <c r="V68" s="4"/>
      <c r="W68" s="4"/>
      <c r="X68" s="4"/>
      <c r="Y68" s="4"/>
      <c r="Z68" s="4"/>
    </row>
    <row r="69" ht="12.75" customHeight="1">
      <c r="A69" s="3" t="s">
        <v>173</v>
      </c>
      <c r="B69" s="3">
        <v>6.67</v>
      </c>
      <c r="C69" s="3">
        <v>35.0</v>
      </c>
      <c r="D69" s="4"/>
      <c r="E69" s="3" t="s">
        <v>149</v>
      </c>
      <c r="F69" s="3">
        <v>27.07</v>
      </c>
      <c r="G69" s="3">
        <v>41.0</v>
      </c>
      <c r="H69" s="24"/>
      <c r="I69" s="3" t="s">
        <v>174</v>
      </c>
      <c r="J69" s="3">
        <v>31.02</v>
      </c>
      <c r="K69" s="3">
        <v>51.0</v>
      </c>
      <c r="L69" s="4"/>
      <c r="M69" s="3" t="s">
        <v>96</v>
      </c>
      <c r="N69" s="3">
        <v>31.05</v>
      </c>
      <c r="O69" s="3">
        <v>58.0</v>
      </c>
      <c r="P69" s="4"/>
      <c r="Q69" s="3" t="s">
        <v>90</v>
      </c>
      <c r="R69" s="3">
        <v>30.22</v>
      </c>
      <c r="S69" s="3">
        <v>63.0</v>
      </c>
      <c r="T69" s="4"/>
      <c r="U69" s="4"/>
      <c r="V69" s="4"/>
      <c r="W69" s="4"/>
      <c r="X69" s="4"/>
      <c r="Y69" s="4"/>
      <c r="Z69" s="4"/>
    </row>
    <row r="70" ht="12.75" customHeight="1">
      <c r="A70" s="3" t="s">
        <v>171</v>
      </c>
      <c r="B70" s="3">
        <v>6.67</v>
      </c>
      <c r="C70" s="3">
        <v>35.0</v>
      </c>
      <c r="D70" s="4"/>
      <c r="E70" s="3" t="s">
        <v>113</v>
      </c>
      <c r="F70" s="3">
        <v>27.07</v>
      </c>
      <c r="G70" s="3">
        <v>41.0</v>
      </c>
      <c r="H70" s="24"/>
      <c r="I70" s="3" t="s">
        <v>146</v>
      </c>
      <c r="J70" s="3">
        <v>31.02</v>
      </c>
      <c r="K70" s="3">
        <v>51.0</v>
      </c>
      <c r="L70" s="4"/>
      <c r="M70" s="3" t="s">
        <v>175</v>
      </c>
      <c r="N70" s="3">
        <v>31.05</v>
      </c>
      <c r="O70" s="3">
        <v>58.0</v>
      </c>
      <c r="P70" s="4"/>
      <c r="Q70" s="3" t="s">
        <v>166</v>
      </c>
      <c r="R70" s="3">
        <v>30.22</v>
      </c>
      <c r="S70" s="3">
        <v>63.0</v>
      </c>
      <c r="T70" s="4"/>
      <c r="U70" s="4"/>
      <c r="V70" s="4"/>
      <c r="W70" s="4"/>
      <c r="X70" s="4"/>
      <c r="Y70" s="4"/>
      <c r="Z70" s="4"/>
    </row>
    <row r="71" ht="12.75" customHeight="1">
      <c r="A71" s="3" t="s">
        <v>105</v>
      </c>
      <c r="B71" s="3">
        <v>6.67</v>
      </c>
      <c r="C71" s="3">
        <v>35.0</v>
      </c>
      <c r="D71" s="4"/>
      <c r="E71" s="3" t="s">
        <v>158</v>
      </c>
      <c r="F71" s="3">
        <v>27.07</v>
      </c>
      <c r="G71" s="3">
        <v>41.0</v>
      </c>
      <c r="H71" s="24"/>
      <c r="I71" s="3" t="s">
        <v>125</v>
      </c>
      <c r="J71" s="3">
        <v>31.02</v>
      </c>
      <c r="K71" s="3">
        <v>51.0</v>
      </c>
      <c r="L71" s="4"/>
      <c r="M71" s="3" t="s">
        <v>176</v>
      </c>
      <c r="N71" s="3">
        <v>31.05</v>
      </c>
      <c r="O71" s="3">
        <v>58.0</v>
      </c>
      <c r="P71" s="4"/>
      <c r="Q71" s="3" t="s">
        <v>178</v>
      </c>
      <c r="R71" s="3">
        <v>30.22</v>
      </c>
      <c r="S71" s="3">
        <v>63.0</v>
      </c>
      <c r="T71" s="4"/>
      <c r="U71" s="4"/>
      <c r="V71" s="4"/>
      <c r="W71" s="4"/>
      <c r="X71" s="4"/>
      <c r="Y71" s="4"/>
      <c r="Z71" s="4"/>
    </row>
    <row r="72" ht="12.75" customHeight="1">
      <c r="A72" s="3" t="s">
        <v>146</v>
      </c>
      <c r="B72" s="3">
        <v>6.67</v>
      </c>
      <c r="C72" s="3">
        <v>35.0</v>
      </c>
      <c r="D72" s="4"/>
      <c r="E72" s="3" t="s">
        <v>179</v>
      </c>
      <c r="F72" s="3">
        <v>27.07</v>
      </c>
      <c r="G72" s="3">
        <v>41.0</v>
      </c>
      <c r="H72" s="24"/>
      <c r="I72" s="3" t="s">
        <v>173</v>
      </c>
      <c r="J72" s="3">
        <v>31.02</v>
      </c>
      <c r="K72" s="3">
        <v>51.0</v>
      </c>
      <c r="L72" s="4"/>
      <c r="M72" s="3" t="s">
        <v>180</v>
      </c>
      <c r="N72" s="3">
        <v>31.05</v>
      </c>
      <c r="O72" s="3">
        <v>58.0</v>
      </c>
      <c r="P72" s="4"/>
      <c r="Q72" s="3" t="s">
        <v>175</v>
      </c>
      <c r="R72" s="3">
        <v>30.22</v>
      </c>
      <c r="S72" s="3">
        <v>63.0</v>
      </c>
      <c r="T72" s="4"/>
      <c r="U72" s="4"/>
      <c r="V72" s="4"/>
      <c r="W72" s="4"/>
      <c r="X72" s="4"/>
      <c r="Y72" s="4"/>
      <c r="Z72" s="4"/>
    </row>
    <row r="73" ht="12.75" customHeight="1">
      <c r="A73" s="3" t="s">
        <v>175</v>
      </c>
      <c r="B73" s="3">
        <v>6.67</v>
      </c>
      <c r="C73" s="3">
        <v>35.0</v>
      </c>
      <c r="D73" s="4"/>
      <c r="E73" s="3" t="s">
        <v>111</v>
      </c>
      <c r="F73" s="3">
        <v>27.07</v>
      </c>
      <c r="G73" s="3">
        <v>41.0</v>
      </c>
      <c r="H73" s="24"/>
      <c r="I73" s="3" t="s">
        <v>96</v>
      </c>
      <c r="J73" s="3">
        <v>31.02</v>
      </c>
      <c r="K73" s="3">
        <v>51.0</v>
      </c>
      <c r="L73" s="4"/>
      <c r="M73" s="3" t="s">
        <v>178</v>
      </c>
      <c r="N73" s="3">
        <v>31.05</v>
      </c>
      <c r="O73" s="3">
        <v>58.0</v>
      </c>
      <c r="P73" s="4"/>
      <c r="Q73" s="3" t="s">
        <v>158</v>
      </c>
      <c r="R73" s="3">
        <v>30.22</v>
      </c>
      <c r="S73" s="3">
        <v>63.0</v>
      </c>
      <c r="T73" s="4"/>
      <c r="U73" s="4"/>
      <c r="V73" s="4"/>
      <c r="W73" s="4"/>
      <c r="X73" s="4"/>
      <c r="Y73" s="4"/>
      <c r="Z73" s="4"/>
    </row>
    <row r="74" ht="12.75" customHeight="1">
      <c r="A74" s="3" t="s">
        <v>176</v>
      </c>
      <c r="B74" s="3">
        <v>6.67</v>
      </c>
      <c r="C74" s="3">
        <v>35.0</v>
      </c>
      <c r="D74" s="4"/>
      <c r="E74" s="3" t="s">
        <v>154</v>
      </c>
      <c r="F74" s="3">
        <v>27.07</v>
      </c>
      <c r="G74" s="3">
        <v>41.0</v>
      </c>
      <c r="H74" s="24"/>
      <c r="I74" s="3" t="s">
        <v>181</v>
      </c>
      <c r="J74" s="3">
        <v>31.02</v>
      </c>
      <c r="K74" s="3">
        <v>51.0</v>
      </c>
      <c r="L74" s="4"/>
      <c r="M74" s="3" t="s">
        <v>174</v>
      </c>
      <c r="N74" s="3">
        <v>31.05</v>
      </c>
      <c r="O74" s="3">
        <v>58.0</v>
      </c>
      <c r="P74" s="4"/>
      <c r="Q74" s="3" t="s">
        <v>176</v>
      </c>
      <c r="R74" s="3">
        <v>30.22</v>
      </c>
      <c r="S74" s="3">
        <v>63.0</v>
      </c>
      <c r="T74" s="4"/>
      <c r="U74" s="4"/>
      <c r="V74" s="4"/>
      <c r="W74" s="4"/>
      <c r="X74" s="4"/>
      <c r="Y74" s="4"/>
      <c r="Z74" s="4"/>
    </row>
    <row r="75" ht="12.75" customHeight="1">
      <c r="A75" s="3" t="s">
        <v>151</v>
      </c>
      <c r="B75" s="3">
        <v>6.67</v>
      </c>
      <c r="C75" s="3">
        <v>35.0</v>
      </c>
      <c r="D75" s="4"/>
      <c r="E75" s="3" t="s">
        <v>182</v>
      </c>
      <c r="F75" s="3">
        <v>27.07</v>
      </c>
      <c r="G75" s="3">
        <v>41.0</v>
      </c>
      <c r="H75" s="24"/>
      <c r="I75" s="3" t="s">
        <v>138</v>
      </c>
      <c r="J75" s="3">
        <v>31.02</v>
      </c>
      <c r="K75" s="3">
        <v>51.0</v>
      </c>
      <c r="L75" s="4"/>
      <c r="M75" s="3" t="s">
        <v>153</v>
      </c>
      <c r="N75" s="3">
        <v>31.05</v>
      </c>
      <c r="O75" s="3">
        <v>58.0</v>
      </c>
      <c r="P75" s="4"/>
      <c r="Q75" s="3" t="s">
        <v>171</v>
      </c>
      <c r="R75" s="3">
        <v>30.22</v>
      </c>
      <c r="S75" s="3">
        <v>63.0</v>
      </c>
      <c r="T75" s="4"/>
      <c r="U75" s="4"/>
      <c r="V75" s="4"/>
      <c r="W75" s="4"/>
      <c r="X75" s="4"/>
      <c r="Y75" s="4"/>
      <c r="Z75" s="4"/>
    </row>
    <row r="76" ht="12.75" customHeight="1">
      <c r="A76" s="3" t="s">
        <v>118</v>
      </c>
      <c r="B76" s="3">
        <v>6.67</v>
      </c>
      <c r="C76" s="3">
        <v>35.0</v>
      </c>
      <c r="D76" s="4"/>
      <c r="E76" s="3" t="s">
        <v>164</v>
      </c>
      <c r="F76" s="3">
        <v>27.07</v>
      </c>
      <c r="G76" s="3">
        <v>41.0</v>
      </c>
      <c r="H76" s="24"/>
      <c r="I76" s="3" t="s">
        <v>112</v>
      </c>
      <c r="J76" s="3">
        <v>31.02</v>
      </c>
      <c r="K76" s="3">
        <v>51.0</v>
      </c>
      <c r="L76" s="4"/>
      <c r="M76" s="3" t="s">
        <v>137</v>
      </c>
      <c r="N76" s="3">
        <v>31.05</v>
      </c>
      <c r="O76" s="3">
        <v>58.0</v>
      </c>
      <c r="P76" s="4"/>
      <c r="Q76" s="3" t="s">
        <v>97</v>
      </c>
      <c r="R76" s="3">
        <v>30.22</v>
      </c>
      <c r="S76" s="3">
        <v>63.0</v>
      </c>
      <c r="T76" s="4"/>
      <c r="U76" s="4"/>
      <c r="V76" s="4"/>
      <c r="W76" s="4"/>
      <c r="X76" s="4"/>
      <c r="Y76" s="4"/>
      <c r="Z76" s="4"/>
    </row>
    <row r="77" ht="12.75" customHeight="1">
      <c r="A77" s="3" t="s">
        <v>134</v>
      </c>
      <c r="B77" s="3">
        <v>6.67</v>
      </c>
      <c r="C77" s="3">
        <v>35.0</v>
      </c>
      <c r="D77" s="4"/>
      <c r="E77" s="3" t="s">
        <v>184</v>
      </c>
      <c r="F77" s="3">
        <v>27.07</v>
      </c>
      <c r="G77" s="3">
        <v>41.0</v>
      </c>
      <c r="H77" s="24"/>
      <c r="I77" s="3" t="s">
        <v>185</v>
      </c>
      <c r="J77" s="3">
        <v>31.02</v>
      </c>
      <c r="K77" s="3">
        <v>51.0</v>
      </c>
      <c r="L77" s="4"/>
      <c r="M77" s="3" t="s">
        <v>182</v>
      </c>
      <c r="N77" s="3">
        <v>31.05</v>
      </c>
      <c r="O77" s="3">
        <v>58.0</v>
      </c>
      <c r="P77" s="4"/>
      <c r="Q77" s="3" t="s">
        <v>186</v>
      </c>
      <c r="R77" s="3">
        <v>30.22</v>
      </c>
      <c r="S77" s="3">
        <v>63.0</v>
      </c>
      <c r="T77" s="4"/>
      <c r="U77" s="4"/>
      <c r="V77" s="4"/>
      <c r="W77" s="4"/>
      <c r="X77" s="4"/>
      <c r="Y77" s="4"/>
      <c r="Z77" s="4"/>
    </row>
    <row r="78" ht="12.75" customHeight="1">
      <c r="A78" s="3" t="s">
        <v>187</v>
      </c>
      <c r="B78" s="3">
        <v>6.67</v>
      </c>
      <c r="C78" s="3">
        <v>35.0</v>
      </c>
      <c r="D78" s="4"/>
      <c r="E78" s="3" t="s">
        <v>188</v>
      </c>
      <c r="F78" s="3">
        <v>27.07</v>
      </c>
      <c r="G78" s="3">
        <v>41.0</v>
      </c>
      <c r="H78" s="24"/>
      <c r="I78" s="3" t="s">
        <v>141</v>
      </c>
      <c r="J78" s="3">
        <v>31.02</v>
      </c>
      <c r="K78" s="3">
        <v>51.0</v>
      </c>
      <c r="L78" s="4"/>
      <c r="M78" s="3" t="s">
        <v>184</v>
      </c>
      <c r="N78" s="3">
        <v>31.05</v>
      </c>
      <c r="O78" s="3">
        <v>58.0</v>
      </c>
      <c r="P78" s="4"/>
      <c r="Q78" s="3" t="s">
        <v>157</v>
      </c>
      <c r="R78" s="3">
        <v>30.22</v>
      </c>
      <c r="S78" s="3">
        <v>63.0</v>
      </c>
      <c r="T78" s="4"/>
      <c r="U78" s="4"/>
      <c r="V78" s="4"/>
      <c r="W78" s="4"/>
      <c r="X78" s="4"/>
      <c r="Y78" s="4"/>
      <c r="Z78" s="4"/>
    </row>
    <row r="79" ht="12.75" customHeight="1">
      <c r="A79" s="3" t="s">
        <v>177</v>
      </c>
      <c r="B79" s="3">
        <v>6.67</v>
      </c>
      <c r="C79" s="3">
        <v>35.0</v>
      </c>
      <c r="D79" s="4"/>
      <c r="E79" s="3" t="s">
        <v>181</v>
      </c>
      <c r="F79" s="3">
        <v>27.07</v>
      </c>
      <c r="G79" s="3">
        <v>41.0</v>
      </c>
      <c r="H79" s="24"/>
      <c r="I79" s="3" t="s">
        <v>158</v>
      </c>
      <c r="J79" s="3">
        <v>31.02</v>
      </c>
      <c r="K79" s="3">
        <v>51.0</v>
      </c>
      <c r="L79" s="4"/>
      <c r="M79" s="3" t="s">
        <v>90</v>
      </c>
      <c r="N79" s="3">
        <v>31.05</v>
      </c>
      <c r="O79" s="3">
        <v>58.0</v>
      </c>
      <c r="P79" s="4"/>
      <c r="Q79" s="3" t="s">
        <v>143</v>
      </c>
      <c r="R79" s="3">
        <v>30.22</v>
      </c>
      <c r="S79" s="3">
        <v>63.0</v>
      </c>
      <c r="T79" s="4"/>
      <c r="U79" s="4"/>
      <c r="V79" s="4"/>
      <c r="W79" s="4"/>
      <c r="X79" s="4"/>
      <c r="Y79" s="4"/>
      <c r="Z79" s="4"/>
    </row>
    <row r="80" ht="12.75" customHeight="1">
      <c r="A80" s="3" t="s">
        <v>189</v>
      </c>
      <c r="B80" s="3">
        <v>6.67</v>
      </c>
      <c r="C80" s="3">
        <v>35.0</v>
      </c>
      <c r="D80" s="4"/>
      <c r="E80" s="3" t="s">
        <v>129</v>
      </c>
      <c r="F80" s="3">
        <v>27.07</v>
      </c>
      <c r="G80" s="3">
        <v>41.0</v>
      </c>
      <c r="H80" s="24"/>
      <c r="I80" s="3" t="s">
        <v>104</v>
      </c>
      <c r="J80" s="3">
        <v>31.02</v>
      </c>
      <c r="K80" s="3">
        <v>51.0</v>
      </c>
      <c r="L80" s="4"/>
      <c r="M80" s="3" t="s">
        <v>143</v>
      </c>
      <c r="N80" s="3">
        <v>31.05</v>
      </c>
      <c r="O80" s="3">
        <v>58.0</v>
      </c>
      <c r="P80" s="4"/>
      <c r="Q80" s="3" t="s">
        <v>190</v>
      </c>
      <c r="R80" s="3">
        <v>30.22</v>
      </c>
      <c r="S80" s="3">
        <v>63.0</v>
      </c>
      <c r="T80" s="4"/>
      <c r="U80" s="4"/>
      <c r="V80" s="4"/>
      <c r="W80" s="4"/>
      <c r="X80" s="4"/>
      <c r="Y80" s="4"/>
      <c r="Z80" s="4"/>
    </row>
    <row r="81" ht="12.75" customHeight="1">
      <c r="A81" s="3" t="s">
        <v>188</v>
      </c>
      <c r="B81" s="3">
        <v>6.67</v>
      </c>
      <c r="C81" s="3">
        <v>35.0</v>
      </c>
      <c r="D81" s="4"/>
      <c r="E81" s="3" t="s">
        <v>172</v>
      </c>
      <c r="F81" s="3">
        <v>27.07</v>
      </c>
      <c r="G81" s="3">
        <v>41.0</v>
      </c>
      <c r="H81" s="24"/>
      <c r="I81" s="3" t="s">
        <v>186</v>
      </c>
      <c r="J81" s="3">
        <v>31.02</v>
      </c>
      <c r="K81" s="3">
        <v>51.0</v>
      </c>
      <c r="L81" s="4"/>
      <c r="M81" s="3" t="s">
        <v>191</v>
      </c>
      <c r="N81" s="3">
        <v>31.05</v>
      </c>
      <c r="O81" s="3">
        <v>58.0</v>
      </c>
      <c r="P81" s="4"/>
      <c r="Q81" s="3" t="s">
        <v>138</v>
      </c>
      <c r="R81" s="3">
        <v>30.22</v>
      </c>
      <c r="S81" s="3">
        <v>63.0</v>
      </c>
      <c r="T81" s="4"/>
      <c r="U81" s="4"/>
      <c r="V81" s="4"/>
      <c r="W81" s="4"/>
      <c r="X81" s="4"/>
      <c r="Y81" s="4"/>
      <c r="Z81" s="4"/>
    </row>
    <row r="82" ht="12.75" customHeight="1">
      <c r="A82" s="3" t="s">
        <v>192</v>
      </c>
      <c r="B82" s="3">
        <v>6.67</v>
      </c>
      <c r="C82" s="3">
        <v>35.0</v>
      </c>
      <c r="D82" s="4"/>
      <c r="E82" s="3" t="s">
        <v>166</v>
      </c>
      <c r="F82" s="3">
        <v>27.07</v>
      </c>
      <c r="G82" s="3">
        <v>41.0</v>
      </c>
      <c r="H82" s="24"/>
      <c r="I82" s="3" t="s">
        <v>188</v>
      </c>
      <c r="J82" s="3">
        <v>31.02</v>
      </c>
      <c r="K82" s="3">
        <v>51.0</v>
      </c>
      <c r="L82" s="4"/>
      <c r="M82" s="3" t="s">
        <v>156</v>
      </c>
      <c r="N82" s="3">
        <v>31.05</v>
      </c>
      <c r="O82" s="3">
        <v>58.0</v>
      </c>
      <c r="P82" s="4"/>
      <c r="Q82" s="3" t="s">
        <v>152</v>
      </c>
      <c r="R82" s="3">
        <v>30.22</v>
      </c>
      <c r="S82" s="3">
        <v>63.0</v>
      </c>
      <c r="T82" s="4"/>
      <c r="U82" s="4"/>
      <c r="V82" s="4"/>
      <c r="W82" s="4"/>
      <c r="X82" s="4"/>
      <c r="Y82" s="4"/>
      <c r="Z82" s="4"/>
    </row>
    <row r="83" ht="12.75" customHeight="1">
      <c r="A83" s="3" t="s">
        <v>179</v>
      </c>
      <c r="B83" s="3">
        <v>6.67</v>
      </c>
      <c r="C83" s="3">
        <v>35.0</v>
      </c>
      <c r="D83" s="4"/>
      <c r="E83" s="3" t="s">
        <v>186</v>
      </c>
      <c r="F83" s="3">
        <v>27.07</v>
      </c>
      <c r="G83" s="3">
        <v>41.0</v>
      </c>
      <c r="H83" s="24"/>
      <c r="I83" s="3" t="s">
        <v>142</v>
      </c>
      <c r="J83" s="3">
        <v>31.02</v>
      </c>
      <c r="K83" s="3">
        <v>51.0</v>
      </c>
      <c r="L83" s="4"/>
      <c r="M83" s="3" t="s">
        <v>154</v>
      </c>
      <c r="N83" s="3">
        <v>31.05</v>
      </c>
      <c r="O83" s="3">
        <v>58.0</v>
      </c>
      <c r="P83" s="4"/>
      <c r="Q83" s="3" t="s">
        <v>172</v>
      </c>
      <c r="R83" s="3">
        <v>30.22</v>
      </c>
      <c r="S83" s="3">
        <v>63.0</v>
      </c>
      <c r="T83" s="4"/>
      <c r="U83" s="4"/>
      <c r="V83" s="4"/>
      <c r="W83" s="4"/>
      <c r="X83" s="4"/>
      <c r="Y83" s="4"/>
      <c r="Z83" s="4"/>
    </row>
    <row r="84" ht="12.75" customHeight="1">
      <c r="A84" s="3" t="s">
        <v>73</v>
      </c>
      <c r="B84" s="3">
        <v>6.67</v>
      </c>
      <c r="C84" s="3">
        <v>35.0</v>
      </c>
      <c r="D84" s="4"/>
      <c r="E84" s="3" t="s">
        <v>124</v>
      </c>
      <c r="F84" s="3">
        <v>27.07</v>
      </c>
      <c r="G84" s="3">
        <v>41.0</v>
      </c>
      <c r="H84" s="24"/>
      <c r="I84" s="3" t="s">
        <v>176</v>
      </c>
      <c r="J84" s="3">
        <v>31.02</v>
      </c>
      <c r="K84" s="3">
        <v>51.0</v>
      </c>
      <c r="L84" s="4"/>
      <c r="M84" s="3" t="s">
        <v>145</v>
      </c>
      <c r="N84" s="3">
        <v>31.05</v>
      </c>
      <c r="O84" s="3">
        <v>58.0</v>
      </c>
      <c r="P84" s="4"/>
      <c r="Q84" s="3" t="s">
        <v>177</v>
      </c>
      <c r="R84" s="3">
        <v>30.22</v>
      </c>
      <c r="S84" s="3">
        <v>63.0</v>
      </c>
      <c r="T84" s="4"/>
      <c r="U84" s="4"/>
      <c r="V84" s="4"/>
      <c r="W84" s="4"/>
      <c r="X84" s="4"/>
      <c r="Y84" s="4"/>
      <c r="Z84" s="4"/>
    </row>
    <row r="85" ht="12.75" customHeight="1">
      <c r="A85" s="3" t="s">
        <v>193</v>
      </c>
      <c r="B85" s="3">
        <v>6.67</v>
      </c>
      <c r="C85" s="3">
        <v>35.0</v>
      </c>
      <c r="D85" s="4"/>
      <c r="E85" s="3" t="s">
        <v>178</v>
      </c>
      <c r="F85" s="3">
        <v>27.07</v>
      </c>
      <c r="G85" s="3">
        <v>41.0</v>
      </c>
      <c r="H85" s="24"/>
      <c r="I85" s="3" t="s">
        <v>189</v>
      </c>
      <c r="J85" s="3">
        <v>31.02</v>
      </c>
      <c r="K85" s="3">
        <v>51.0</v>
      </c>
      <c r="L85" s="4"/>
      <c r="M85" s="3" t="s">
        <v>151</v>
      </c>
      <c r="N85" s="3">
        <v>31.05</v>
      </c>
      <c r="O85" s="3">
        <v>58.0</v>
      </c>
      <c r="P85" s="4"/>
      <c r="Q85" s="3" t="s">
        <v>174</v>
      </c>
      <c r="R85" s="3">
        <v>30.22</v>
      </c>
      <c r="S85" s="3">
        <v>63.0</v>
      </c>
      <c r="T85" s="4"/>
      <c r="U85" s="4"/>
      <c r="V85" s="4"/>
      <c r="W85" s="4"/>
      <c r="X85" s="4"/>
      <c r="Y85" s="4"/>
      <c r="Z85" s="4"/>
    </row>
    <row r="86" ht="12.75" customHeight="1">
      <c r="A86" s="3" t="s">
        <v>145</v>
      </c>
      <c r="B86" s="3">
        <v>6.67</v>
      </c>
      <c r="C86" s="3">
        <v>35.0</v>
      </c>
      <c r="D86" s="4"/>
      <c r="E86" s="3" t="s">
        <v>174</v>
      </c>
      <c r="F86" s="3">
        <v>27.07</v>
      </c>
      <c r="G86" s="3">
        <v>41.0</v>
      </c>
      <c r="H86" s="24"/>
      <c r="I86" s="3" t="s">
        <v>162</v>
      </c>
      <c r="J86" s="3">
        <v>31.02</v>
      </c>
      <c r="K86" s="3">
        <v>51.0</v>
      </c>
      <c r="L86" s="4"/>
      <c r="M86" s="3" t="s">
        <v>146</v>
      </c>
      <c r="N86" s="3">
        <v>31.05</v>
      </c>
      <c r="O86" s="3">
        <v>58.0</v>
      </c>
      <c r="P86" s="4"/>
      <c r="Q86" s="3" t="s">
        <v>96</v>
      </c>
      <c r="R86" s="3">
        <v>30.22</v>
      </c>
      <c r="S86" s="3">
        <v>63.0</v>
      </c>
      <c r="T86" s="4"/>
      <c r="U86" s="4"/>
      <c r="V86" s="4"/>
      <c r="W86" s="4"/>
      <c r="X86" s="4"/>
      <c r="Y86" s="4"/>
      <c r="Z86" s="4"/>
    </row>
    <row r="87" ht="12.75" customHeight="1">
      <c r="A87" s="3" t="s">
        <v>147</v>
      </c>
      <c r="B87" s="3">
        <v>6.67</v>
      </c>
      <c r="C87" s="3">
        <v>35.0</v>
      </c>
      <c r="D87" s="4"/>
      <c r="E87" s="3" t="s">
        <v>194</v>
      </c>
      <c r="F87" s="3">
        <v>27.07</v>
      </c>
      <c r="G87" s="3">
        <v>41.0</v>
      </c>
      <c r="H87" s="24"/>
      <c r="I87" s="3" t="s">
        <v>167</v>
      </c>
      <c r="J87" s="3">
        <v>31.02</v>
      </c>
      <c r="K87" s="3">
        <v>51.0</v>
      </c>
      <c r="L87" s="4"/>
      <c r="M87" s="3" t="s">
        <v>166</v>
      </c>
      <c r="N87" s="3">
        <v>31.05</v>
      </c>
      <c r="O87" s="3">
        <v>58.0</v>
      </c>
      <c r="P87" s="4"/>
      <c r="Q87" s="3" t="s">
        <v>169</v>
      </c>
      <c r="R87" s="3">
        <v>30.22</v>
      </c>
      <c r="S87" s="3">
        <v>63.0</v>
      </c>
      <c r="T87" s="4"/>
      <c r="U87" s="4"/>
      <c r="V87" s="4"/>
      <c r="W87" s="4"/>
      <c r="X87" s="4"/>
      <c r="Y87" s="4"/>
      <c r="Z87" s="4"/>
    </row>
    <row r="88" ht="12.75" customHeight="1">
      <c r="A88" s="3" t="s">
        <v>104</v>
      </c>
      <c r="B88" s="3">
        <v>6.67</v>
      </c>
      <c r="C88" s="3">
        <v>35.0</v>
      </c>
      <c r="D88" s="4"/>
      <c r="E88" s="3" t="s">
        <v>126</v>
      </c>
      <c r="F88" s="3">
        <v>27.07</v>
      </c>
      <c r="G88" s="3">
        <v>41.0</v>
      </c>
      <c r="H88" s="24"/>
      <c r="I88" s="3" t="s">
        <v>153</v>
      </c>
      <c r="J88" s="3">
        <v>31.02</v>
      </c>
      <c r="K88" s="3">
        <v>51.0</v>
      </c>
      <c r="L88" s="4"/>
      <c r="M88" s="3" t="s">
        <v>185</v>
      </c>
      <c r="N88" s="3">
        <v>31.05</v>
      </c>
      <c r="O88" s="3">
        <v>58.0</v>
      </c>
      <c r="P88" s="4"/>
      <c r="Q88" s="3" t="s">
        <v>126</v>
      </c>
      <c r="R88" s="3">
        <v>30.22</v>
      </c>
      <c r="S88" s="3">
        <v>63.0</v>
      </c>
      <c r="T88" s="4"/>
      <c r="U88" s="4"/>
      <c r="V88" s="4"/>
      <c r="W88" s="4"/>
      <c r="X88" s="4"/>
      <c r="Y88" s="4"/>
      <c r="Z88" s="4"/>
    </row>
    <row r="89" ht="12.75" customHeight="1">
      <c r="A89" s="3" t="s">
        <v>174</v>
      </c>
      <c r="B89" s="3">
        <v>6.67</v>
      </c>
      <c r="C89" s="3">
        <v>35.0</v>
      </c>
      <c r="D89" s="4"/>
      <c r="E89" s="3" t="s">
        <v>74</v>
      </c>
      <c r="F89" s="3">
        <v>27.07</v>
      </c>
      <c r="G89" s="3">
        <v>41.0</v>
      </c>
      <c r="H89" s="24"/>
      <c r="I89" s="3" t="s">
        <v>161</v>
      </c>
      <c r="J89" s="3">
        <v>31.02</v>
      </c>
      <c r="K89" s="3">
        <v>51.0</v>
      </c>
      <c r="L89" s="4"/>
      <c r="M89" s="3" t="s">
        <v>189</v>
      </c>
      <c r="N89" s="3">
        <v>31.05</v>
      </c>
      <c r="O89" s="3">
        <v>58.0</v>
      </c>
      <c r="P89" s="4"/>
      <c r="Q89" s="3" t="s">
        <v>173</v>
      </c>
      <c r="R89" s="3">
        <v>30.22</v>
      </c>
      <c r="S89" s="3">
        <v>63.0</v>
      </c>
      <c r="T89" s="4"/>
      <c r="U89" s="4"/>
      <c r="V89" s="4"/>
      <c r="W89" s="4"/>
      <c r="X89" s="4"/>
      <c r="Y89" s="4"/>
      <c r="Z89" s="4"/>
    </row>
    <row r="90" ht="12.75" customHeight="1">
      <c r="A90" s="3" t="s">
        <v>182</v>
      </c>
      <c r="B90" s="3">
        <v>6.67</v>
      </c>
      <c r="C90" s="3">
        <v>35.0</v>
      </c>
      <c r="D90" s="4"/>
      <c r="E90" s="3" t="s">
        <v>189</v>
      </c>
      <c r="F90" s="3">
        <v>27.07</v>
      </c>
      <c r="G90" s="3">
        <v>41.0</v>
      </c>
      <c r="H90" s="24"/>
      <c r="I90" s="3" t="s">
        <v>171</v>
      </c>
      <c r="J90" s="3">
        <v>31.02</v>
      </c>
      <c r="K90" s="3">
        <v>51.0</v>
      </c>
      <c r="L90" s="4"/>
      <c r="M90" s="3" t="s">
        <v>179</v>
      </c>
      <c r="N90" s="3">
        <v>31.05</v>
      </c>
      <c r="O90" s="3">
        <v>58.0</v>
      </c>
      <c r="P90" s="4"/>
      <c r="Q90" s="3" t="s">
        <v>144</v>
      </c>
      <c r="R90" s="3">
        <v>30.22</v>
      </c>
      <c r="S90" s="3">
        <v>63.0</v>
      </c>
      <c r="T90" s="4"/>
      <c r="U90" s="4"/>
      <c r="V90" s="4"/>
      <c r="W90" s="4"/>
      <c r="X90" s="4"/>
      <c r="Y90" s="4"/>
      <c r="Z90" s="4"/>
    </row>
    <row r="91" ht="12.75" customHeight="1">
      <c r="A91" s="3" t="s">
        <v>185</v>
      </c>
      <c r="B91" s="3">
        <v>6.67</v>
      </c>
      <c r="C91" s="3">
        <v>35.0</v>
      </c>
      <c r="D91" s="4"/>
      <c r="E91" s="3" t="s">
        <v>176</v>
      </c>
      <c r="F91" s="3">
        <v>27.07</v>
      </c>
      <c r="G91" s="3">
        <v>41.0</v>
      </c>
      <c r="H91" s="24"/>
      <c r="I91" s="3" t="s">
        <v>155</v>
      </c>
      <c r="J91" s="3">
        <v>31.02</v>
      </c>
      <c r="K91" s="3">
        <v>51.0</v>
      </c>
      <c r="L91" s="4"/>
      <c r="M91" s="3" t="s">
        <v>177</v>
      </c>
      <c r="N91" s="3">
        <v>31.05</v>
      </c>
      <c r="O91" s="3">
        <v>58.0</v>
      </c>
      <c r="P91" s="4"/>
      <c r="Q91" s="3" t="s">
        <v>160</v>
      </c>
      <c r="R91" s="3">
        <v>30.22</v>
      </c>
      <c r="S91" s="3">
        <v>63.0</v>
      </c>
      <c r="T91" s="4"/>
      <c r="U91" s="4"/>
      <c r="V91" s="4"/>
      <c r="W91" s="4"/>
      <c r="X91" s="4"/>
      <c r="Y91" s="4"/>
      <c r="Z91" s="4"/>
    </row>
    <row r="92" ht="12.75" customHeight="1">
      <c r="A92" s="3" t="s">
        <v>152</v>
      </c>
      <c r="B92" s="3">
        <v>6.67</v>
      </c>
      <c r="C92" s="3">
        <v>35.0</v>
      </c>
      <c r="D92" s="4"/>
      <c r="E92" s="3" t="s">
        <v>171</v>
      </c>
      <c r="F92" s="3">
        <v>27.07</v>
      </c>
      <c r="G92" s="3">
        <v>41.0</v>
      </c>
      <c r="H92" s="24"/>
      <c r="I92" s="3" t="s">
        <v>180</v>
      </c>
      <c r="J92" s="3">
        <v>31.02</v>
      </c>
      <c r="K92" s="3">
        <v>51.0</v>
      </c>
      <c r="L92" s="4"/>
      <c r="M92" s="3" t="s">
        <v>126</v>
      </c>
      <c r="N92" s="3">
        <v>31.05</v>
      </c>
      <c r="O92" s="3">
        <v>58.0</v>
      </c>
      <c r="P92" s="4"/>
      <c r="Q92" s="3" t="s">
        <v>151</v>
      </c>
      <c r="R92" s="3">
        <v>30.22</v>
      </c>
      <c r="S92" s="3">
        <v>63.0</v>
      </c>
      <c r="T92" s="4"/>
      <c r="U92" s="4"/>
      <c r="V92" s="4"/>
      <c r="W92" s="4"/>
      <c r="X92" s="4"/>
      <c r="Y92" s="4"/>
      <c r="Z92" s="4"/>
    </row>
    <row r="93" ht="12.75" customHeight="1">
      <c r="A93" s="3" t="s">
        <v>154</v>
      </c>
      <c r="B93" s="3">
        <v>6.67</v>
      </c>
      <c r="C93" s="3">
        <v>35.0</v>
      </c>
      <c r="D93" s="4"/>
      <c r="E93" s="3" t="s">
        <v>160</v>
      </c>
      <c r="F93" s="3">
        <v>27.07</v>
      </c>
      <c r="G93" s="3">
        <v>41.0</v>
      </c>
      <c r="H93" s="24"/>
      <c r="I93" s="3" t="s">
        <v>179</v>
      </c>
      <c r="J93" s="3">
        <v>31.02</v>
      </c>
      <c r="K93" s="3">
        <v>51.0</v>
      </c>
      <c r="L93" s="4"/>
      <c r="M93" s="3" t="s">
        <v>91</v>
      </c>
      <c r="N93" s="3">
        <v>31.05</v>
      </c>
      <c r="O93" s="3">
        <v>58.0</v>
      </c>
      <c r="P93" s="4"/>
      <c r="Q93" s="3" t="s">
        <v>125</v>
      </c>
      <c r="R93" s="3">
        <v>30.22</v>
      </c>
      <c r="S93" s="3">
        <v>63.0</v>
      </c>
      <c r="T93" s="4"/>
      <c r="U93" s="4"/>
      <c r="V93" s="4"/>
      <c r="W93" s="4"/>
      <c r="X93" s="4"/>
      <c r="Y93" s="4"/>
      <c r="Z93" s="4"/>
    </row>
    <row r="94" ht="12.75" customHeight="1">
      <c r="A94" s="3" t="s">
        <v>178</v>
      </c>
      <c r="B94" s="3">
        <v>6.67</v>
      </c>
      <c r="C94" s="3">
        <v>35.0</v>
      </c>
      <c r="D94" s="4"/>
      <c r="E94" s="3" t="s">
        <v>155</v>
      </c>
      <c r="F94" s="3">
        <v>27.07</v>
      </c>
      <c r="G94" s="3">
        <v>41.0</v>
      </c>
      <c r="H94" s="24"/>
      <c r="I94" s="3" t="s">
        <v>168</v>
      </c>
      <c r="J94" s="3">
        <v>31.02</v>
      </c>
      <c r="K94" s="3">
        <v>51.0</v>
      </c>
      <c r="L94" s="4"/>
      <c r="M94" s="3" t="s">
        <v>194</v>
      </c>
      <c r="N94" s="3">
        <v>31.05</v>
      </c>
      <c r="O94" s="3">
        <v>58.0</v>
      </c>
      <c r="P94" s="4"/>
      <c r="Q94" s="3" t="s">
        <v>134</v>
      </c>
      <c r="R94" s="3">
        <v>30.22</v>
      </c>
      <c r="S94" s="3">
        <v>63.0</v>
      </c>
      <c r="T94" s="4"/>
      <c r="U94" s="4"/>
      <c r="V94" s="4"/>
      <c r="W94" s="4"/>
      <c r="X94" s="4"/>
      <c r="Y94" s="4"/>
      <c r="Z94" s="4"/>
    </row>
    <row r="95" ht="12.75" customHeight="1">
      <c r="A95" s="3" t="s">
        <v>94</v>
      </c>
      <c r="B95" s="3">
        <v>6.67</v>
      </c>
      <c r="C95" s="3">
        <v>35.0</v>
      </c>
      <c r="D95" s="4"/>
      <c r="E95" s="3" t="s">
        <v>106</v>
      </c>
      <c r="F95" s="3">
        <v>27.07</v>
      </c>
      <c r="G95" s="3">
        <v>41.0</v>
      </c>
      <c r="H95" s="24"/>
      <c r="I95" s="3" t="s">
        <v>196</v>
      </c>
      <c r="J95" s="3">
        <v>31.02</v>
      </c>
      <c r="K95" s="3">
        <v>51.0</v>
      </c>
      <c r="L95" s="4"/>
      <c r="M95" s="3" t="s">
        <v>173</v>
      </c>
      <c r="N95" s="3">
        <v>31.05</v>
      </c>
      <c r="O95" s="3">
        <v>58.0</v>
      </c>
      <c r="P95" s="4"/>
      <c r="Q95" s="3" t="s">
        <v>191</v>
      </c>
      <c r="R95" s="3">
        <v>30.22</v>
      </c>
      <c r="S95" s="3">
        <v>63.0</v>
      </c>
      <c r="T95" s="4"/>
      <c r="U95" s="4"/>
      <c r="V95" s="4"/>
      <c r="W95" s="4"/>
      <c r="X95" s="4"/>
      <c r="Y95" s="4"/>
      <c r="Z95" s="4"/>
    </row>
    <row r="96" ht="12.75" customHeight="1">
      <c r="A96" s="3" t="s">
        <v>172</v>
      </c>
      <c r="B96" s="3">
        <v>6.67</v>
      </c>
      <c r="C96" s="3">
        <v>35.0</v>
      </c>
      <c r="D96" s="4"/>
      <c r="E96" s="3" t="s">
        <v>180</v>
      </c>
      <c r="F96" s="3">
        <v>27.07</v>
      </c>
      <c r="G96" s="3">
        <v>41.0</v>
      </c>
      <c r="H96" s="24"/>
      <c r="I96" s="3" t="s">
        <v>90</v>
      </c>
      <c r="J96" s="3">
        <v>31.02</v>
      </c>
      <c r="K96" s="3">
        <v>51.0</v>
      </c>
      <c r="L96" s="4"/>
      <c r="M96" s="3" t="s">
        <v>168</v>
      </c>
      <c r="N96" s="3">
        <v>31.05</v>
      </c>
      <c r="O96" s="3">
        <v>58.0</v>
      </c>
      <c r="P96" s="4"/>
      <c r="Q96" s="3" t="s">
        <v>188</v>
      </c>
      <c r="R96" s="3">
        <v>30.22</v>
      </c>
      <c r="S96" s="3">
        <v>63.0</v>
      </c>
      <c r="T96" s="4"/>
      <c r="U96" s="4"/>
      <c r="V96" s="4"/>
      <c r="W96" s="4"/>
      <c r="X96" s="4"/>
      <c r="Y96" s="4"/>
      <c r="Z96" s="4"/>
    </row>
    <row r="97" ht="12.75" customHeight="1">
      <c r="A97" s="3" t="s">
        <v>190</v>
      </c>
      <c r="B97" s="3">
        <v>6.67</v>
      </c>
      <c r="C97" s="3">
        <v>35.0</v>
      </c>
      <c r="D97" s="4"/>
      <c r="E97" s="3" t="s">
        <v>136</v>
      </c>
      <c r="F97" s="3">
        <v>27.07</v>
      </c>
      <c r="G97" s="3">
        <v>41.0</v>
      </c>
      <c r="H97" s="24"/>
      <c r="I97" s="3" t="s">
        <v>178</v>
      </c>
      <c r="J97" s="3">
        <v>31.02</v>
      </c>
      <c r="K97" s="3">
        <v>51.0</v>
      </c>
      <c r="L97" s="4"/>
      <c r="M97" s="3" t="s">
        <v>186</v>
      </c>
      <c r="N97" s="3">
        <v>31.05</v>
      </c>
      <c r="O97" s="3">
        <v>58.0</v>
      </c>
      <c r="P97" s="4"/>
      <c r="Q97" s="3" t="s">
        <v>185</v>
      </c>
      <c r="R97" s="3">
        <v>30.22</v>
      </c>
      <c r="S97" s="3">
        <v>63.0</v>
      </c>
      <c r="T97" s="4"/>
      <c r="U97" s="4"/>
      <c r="V97" s="4"/>
      <c r="W97" s="4"/>
      <c r="X97" s="4"/>
      <c r="Y97" s="4"/>
      <c r="Z97" s="4"/>
    </row>
    <row r="98" ht="12.75" customHeight="1">
      <c r="A98" s="3" t="s">
        <v>106</v>
      </c>
      <c r="B98" s="3">
        <v>6.67</v>
      </c>
      <c r="C98" s="3">
        <v>35.0</v>
      </c>
      <c r="D98" s="4"/>
      <c r="E98" s="3" t="s">
        <v>191</v>
      </c>
      <c r="F98" s="3">
        <v>27.07</v>
      </c>
      <c r="G98" s="3">
        <v>41.0</v>
      </c>
      <c r="H98" s="24"/>
      <c r="I98" s="3" t="s">
        <v>107</v>
      </c>
      <c r="J98" s="3">
        <v>31.02</v>
      </c>
      <c r="K98" s="3">
        <v>51.0</v>
      </c>
      <c r="L98" s="4"/>
      <c r="M98" s="3" t="s">
        <v>188</v>
      </c>
      <c r="N98" s="3">
        <v>31.05</v>
      </c>
      <c r="O98" s="3">
        <v>58.0</v>
      </c>
      <c r="P98" s="4"/>
      <c r="Q98" s="3" t="s">
        <v>133</v>
      </c>
      <c r="R98" s="3">
        <v>30.22</v>
      </c>
      <c r="S98" s="3">
        <v>63.0</v>
      </c>
      <c r="T98" s="4"/>
      <c r="U98" s="4"/>
      <c r="V98" s="4"/>
      <c r="W98" s="4"/>
      <c r="X98" s="4"/>
      <c r="Y98" s="4"/>
      <c r="Z98" s="4"/>
    </row>
    <row r="99" ht="12.75" customHeight="1">
      <c r="A99" s="3" t="s">
        <v>157</v>
      </c>
      <c r="B99" s="3">
        <v>6.67</v>
      </c>
      <c r="C99" s="3">
        <v>35.0</v>
      </c>
      <c r="D99" s="4"/>
      <c r="E99" s="3" t="s">
        <v>173</v>
      </c>
      <c r="F99" s="3">
        <v>27.07</v>
      </c>
      <c r="G99" s="3">
        <v>41.0</v>
      </c>
      <c r="H99" s="24"/>
      <c r="I99" s="3" t="s">
        <v>190</v>
      </c>
      <c r="J99" s="3">
        <v>31.02</v>
      </c>
      <c r="K99" s="3">
        <v>51.0</v>
      </c>
      <c r="L99" s="4"/>
      <c r="M99" s="3" t="s">
        <v>157</v>
      </c>
      <c r="N99" s="3">
        <v>31.05</v>
      </c>
      <c r="O99" s="3">
        <v>58.0</v>
      </c>
      <c r="P99" s="4"/>
      <c r="Q99" s="3" t="s">
        <v>154</v>
      </c>
      <c r="R99" s="3">
        <v>30.22</v>
      </c>
      <c r="S99" s="3">
        <v>63.0</v>
      </c>
      <c r="T99" s="4"/>
      <c r="U99" s="4"/>
      <c r="V99" s="4"/>
      <c r="W99" s="4"/>
      <c r="X99" s="4"/>
      <c r="Y99" s="4"/>
      <c r="Z99" s="4"/>
    </row>
    <row r="100" ht="12.75" customHeight="1">
      <c r="A100" s="3" t="s">
        <v>113</v>
      </c>
      <c r="B100" s="3">
        <v>6.67</v>
      </c>
      <c r="C100" s="3">
        <v>35.0</v>
      </c>
      <c r="D100" s="4"/>
      <c r="E100" s="3" t="s">
        <v>81</v>
      </c>
      <c r="F100" s="3">
        <v>27.07</v>
      </c>
      <c r="G100" s="3">
        <v>41.0</v>
      </c>
      <c r="H100" s="24"/>
      <c r="I100" s="3" t="s">
        <v>133</v>
      </c>
      <c r="J100" s="3">
        <v>31.02</v>
      </c>
      <c r="K100" s="3">
        <v>51.0</v>
      </c>
      <c r="L100" s="4"/>
      <c r="M100" s="3" t="s">
        <v>158</v>
      </c>
      <c r="N100" s="3">
        <v>31.05</v>
      </c>
      <c r="O100" s="3">
        <v>58.0</v>
      </c>
      <c r="P100" s="4"/>
      <c r="Q100" s="3" t="s">
        <v>168</v>
      </c>
      <c r="R100" s="3">
        <v>30.22</v>
      </c>
      <c r="S100" s="3">
        <v>63.0</v>
      </c>
      <c r="T100" s="4"/>
      <c r="U100" s="4"/>
      <c r="V100" s="4"/>
      <c r="W100" s="4"/>
      <c r="X100" s="4"/>
      <c r="Y100" s="4"/>
      <c r="Z100" s="4"/>
    </row>
    <row r="101" ht="12.75" customHeight="1">
      <c r="A101" s="3" t="s">
        <v>196</v>
      </c>
      <c r="B101" s="3">
        <v>6.67</v>
      </c>
      <c r="C101" s="3">
        <v>35.0</v>
      </c>
      <c r="D101" s="4"/>
      <c r="E101" s="3" t="s">
        <v>142</v>
      </c>
      <c r="F101" s="3">
        <v>27.07</v>
      </c>
      <c r="G101" s="3">
        <v>41.0</v>
      </c>
      <c r="H101" s="24"/>
      <c r="I101" s="3" t="s">
        <v>175</v>
      </c>
      <c r="J101" s="3">
        <v>31.02</v>
      </c>
      <c r="K101" s="3">
        <v>51.0</v>
      </c>
      <c r="L101" s="4"/>
      <c r="M101" s="3" t="s">
        <v>124</v>
      </c>
      <c r="N101" s="3">
        <v>31.05</v>
      </c>
      <c r="O101" s="3">
        <v>58.0</v>
      </c>
      <c r="P101" s="4"/>
      <c r="Q101" s="3" t="s">
        <v>196</v>
      </c>
      <c r="R101" s="3">
        <v>30.22</v>
      </c>
      <c r="S101" s="3">
        <v>63.0</v>
      </c>
      <c r="T101" s="4"/>
      <c r="U101" s="4"/>
      <c r="V101" s="4"/>
      <c r="W101" s="4"/>
      <c r="X101" s="4"/>
      <c r="Y101" s="4"/>
      <c r="Z101" s="4"/>
    </row>
    <row r="102" ht="12.75" customHeight="1">
      <c r="A102" s="3" t="s">
        <v>93</v>
      </c>
      <c r="B102" s="3">
        <v>6.67</v>
      </c>
      <c r="C102" s="3">
        <v>35.0</v>
      </c>
      <c r="D102" s="4"/>
      <c r="E102" s="3" t="s">
        <v>62</v>
      </c>
      <c r="F102" s="3">
        <v>27.07</v>
      </c>
      <c r="G102" s="3">
        <v>41.0</v>
      </c>
      <c r="H102" s="24"/>
      <c r="I102" s="3" t="s">
        <v>194</v>
      </c>
      <c r="J102" s="3">
        <v>31.02</v>
      </c>
      <c r="K102" s="3">
        <v>51.0</v>
      </c>
      <c r="L102" s="4"/>
      <c r="M102" s="3" t="s">
        <v>138</v>
      </c>
      <c r="N102" s="3">
        <v>31.05</v>
      </c>
      <c r="O102" s="3">
        <v>58.0</v>
      </c>
      <c r="P102" s="4"/>
      <c r="Q102" s="3" t="s">
        <v>145</v>
      </c>
      <c r="R102" s="3">
        <v>30.22</v>
      </c>
      <c r="S102" s="3">
        <v>63.0</v>
      </c>
      <c r="T102" s="4"/>
      <c r="U102" s="4"/>
      <c r="V102" s="4"/>
      <c r="W102" s="4"/>
      <c r="X102" s="4"/>
      <c r="Y102" s="4"/>
      <c r="Z102" s="4"/>
    </row>
    <row r="103" ht="12.75" customHeight="1">
      <c r="A103" s="3" t="s">
        <v>112</v>
      </c>
      <c r="B103" s="3">
        <v>6.67</v>
      </c>
      <c r="C103" s="3">
        <v>35.0</v>
      </c>
      <c r="D103" s="4"/>
      <c r="E103" s="3" t="s">
        <v>133</v>
      </c>
      <c r="F103" s="3">
        <v>27.07</v>
      </c>
      <c r="G103" s="3">
        <v>41.0</v>
      </c>
      <c r="H103" s="24"/>
      <c r="I103" s="3" t="s">
        <v>172</v>
      </c>
      <c r="J103" s="3">
        <v>31.02</v>
      </c>
      <c r="K103" s="3">
        <v>51.0</v>
      </c>
      <c r="L103" s="4"/>
      <c r="M103" s="3" t="s">
        <v>190</v>
      </c>
      <c r="N103" s="3">
        <v>31.05</v>
      </c>
      <c r="O103" s="3">
        <v>58.0</v>
      </c>
      <c r="P103" s="4"/>
      <c r="Q103" s="3" t="s">
        <v>167</v>
      </c>
      <c r="R103" s="3">
        <v>30.22</v>
      </c>
      <c r="S103" s="3">
        <v>63.0</v>
      </c>
      <c r="T103" s="4"/>
      <c r="U103" s="4"/>
      <c r="V103" s="4"/>
      <c r="W103" s="4"/>
      <c r="X103" s="4"/>
      <c r="Y103" s="4"/>
      <c r="Z103" s="4"/>
    </row>
    <row r="104" ht="12.75" customHeight="1">
      <c r="A104" s="3" t="s">
        <v>194</v>
      </c>
      <c r="B104" s="3">
        <v>6.67</v>
      </c>
      <c r="C104" s="3">
        <v>35.0</v>
      </c>
      <c r="D104" s="4"/>
      <c r="E104" s="3" t="s">
        <v>162</v>
      </c>
      <c r="F104" s="3">
        <v>27.07</v>
      </c>
      <c r="G104" s="3">
        <v>41.0</v>
      </c>
      <c r="H104" s="24"/>
      <c r="I104" s="3" t="s">
        <v>182</v>
      </c>
      <c r="J104" s="3">
        <v>31.02</v>
      </c>
      <c r="K104" s="3">
        <v>51.0</v>
      </c>
      <c r="L104" s="4"/>
      <c r="M104" s="3" t="s">
        <v>97</v>
      </c>
      <c r="N104" s="3">
        <v>31.05</v>
      </c>
      <c r="O104" s="3">
        <v>58.0</v>
      </c>
      <c r="P104" s="4"/>
      <c r="Q104" s="3" t="s">
        <v>194</v>
      </c>
      <c r="R104" s="3">
        <v>30.22</v>
      </c>
      <c r="S104" s="3">
        <v>63.0</v>
      </c>
      <c r="T104" s="4"/>
      <c r="U104" s="4"/>
      <c r="V104" s="4"/>
      <c r="W104" s="4"/>
      <c r="X104" s="4"/>
      <c r="Y104" s="4"/>
      <c r="Z104" s="4"/>
    </row>
    <row r="105" ht="12.75" customHeight="1">
      <c r="A105" s="3" t="s">
        <v>89</v>
      </c>
      <c r="B105" s="3">
        <v>6.67</v>
      </c>
      <c r="C105" s="3">
        <v>35.0</v>
      </c>
      <c r="D105" s="4"/>
      <c r="E105" s="3" t="s">
        <v>90</v>
      </c>
      <c r="F105" s="3">
        <v>27.07</v>
      </c>
      <c r="G105" s="3">
        <v>41.0</v>
      </c>
      <c r="H105" s="24"/>
      <c r="I105" s="3" t="s">
        <v>160</v>
      </c>
      <c r="J105" s="3">
        <v>31.02</v>
      </c>
      <c r="K105" s="3">
        <v>51.0</v>
      </c>
      <c r="L105" s="4"/>
      <c r="M105" s="3" t="s">
        <v>169</v>
      </c>
      <c r="N105" s="3">
        <v>31.05</v>
      </c>
      <c r="O105" s="3">
        <v>58.0</v>
      </c>
      <c r="P105" s="4"/>
      <c r="Q105" s="3" t="s">
        <v>189</v>
      </c>
      <c r="R105" s="3">
        <v>30.22</v>
      </c>
      <c r="S105" s="3">
        <v>63.0</v>
      </c>
      <c r="T105" s="4"/>
      <c r="U105" s="4"/>
      <c r="V105" s="4"/>
      <c r="W105" s="4"/>
      <c r="X105" s="4"/>
      <c r="Y105" s="4"/>
      <c r="Z105" s="4"/>
    </row>
    <row r="106" ht="12.75" customHeight="1">
      <c r="A106" s="3" t="s">
        <v>156</v>
      </c>
      <c r="B106" s="3">
        <v>6.67</v>
      </c>
      <c r="C106" s="3">
        <v>35.0</v>
      </c>
      <c r="D106" s="4"/>
      <c r="E106" s="3" t="s">
        <v>196</v>
      </c>
      <c r="F106" s="3">
        <v>27.07</v>
      </c>
      <c r="G106" s="3">
        <v>41.0</v>
      </c>
      <c r="H106" s="24"/>
      <c r="I106" s="3" t="s">
        <v>151</v>
      </c>
      <c r="J106" s="3">
        <v>31.02</v>
      </c>
      <c r="K106" s="3">
        <v>51.0</v>
      </c>
      <c r="L106" s="4"/>
      <c r="M106" s="3" t="s">
        <v>196</v>
      </c>
      <c r="N106" s="3">
        <v>31.05</v>
      </c>
      <c r="O106" s="3">
        <v>58.0</v>
      </c>
      <c r="P106" s="4"/>
      <c r="Q106" s="3" t="s">
        <v>164</v>
      </c>
      <c r="R106" s="3">
        <v>30.22</v>
      </c>
      <c r="S106" s="3">
        <v>63.0</v>
      </c>
      <c r="T106" s="4"/>
      <c r="U106" s="4"/>
      <c r="V106" s="4"/>
      <c r="W106" s="4"/>
      <c r="X106" s="4"/>
      <c r="Y106" s="4"/>
      <c r="Z106" s="4"/>
    </row>
    <row r="107" ht="12.75" customHeight="1">
      <c r="A107" s="3" t="s">
        <v>168</v>
      </c>
      <c r="B107" s="3">
        <v>6.67</v>
      </c>
      <c r="C107" s="3">
        <v>35.0</v>
      </c>
      <c r="D107" s="4"/>
      <c r="E107" s="3" t="s">
        <v>144</v>
      </c>
      <c r="F107" s="3">
        <v>27.07</v>
      </c>
      <c r="G107" s="3">
        <v>41.0</v>
      </c>
      <c r="H107" s="24"/>
      <c r="I107" s="3" t="s">
        <v>177</v>
      </c>
      <c r="J107" s="3">
        <v>31.02</v>
      </c>
      <c r="K107" s="3">
        <v>51.0</v>
      </c>
      <c r="L107" s="4"/>
      <c r="M107" s="3" t="s">
        <v>133</v>
      </c>
      <c r="N107" s="3">
        <v>31.05</v>
      </c>
      <c r="O107" s="3">
        <v>58.0</v>
      </c>
      <c r="P107" s="4"/>
      <c r="Q107" s="3" t="s">
        <v>137</v>
      </c>
      <c r="R107" s="3">
        <v>30.22</v>
      </c>
      <c r="S107" s="3">
        <v>63.0</v>
      </c>
      <c r="T107" s="4"/>
      <c r="U107" s="4"/>
      <c r="V107" s="4"/>
      <c r="W107" s="4"/>
      <c r="X107" s="4"/>
      <c r="Y107" s="4"/>
      <c r="Z107" s="4"/>
    </row>
    <row r="108" ht="12.75" customHeight="1">
      <c r="A108" s="3" t="s">
        <v>166</v>
      </c>
      <c r="B108" s="3">
        <v>6.67</v>
      </c>
      <c r="C108" s="3">
        <v>35.0</v>
      </c>
      <c r="D108" s="4"/>
      <c r="E108" s="3" t="s">
        <v>101</v>
      </c>
      <c r="F108" s="3">
        <v>27.07</v>
      </c>
      <c r="G108" s="3">
        <v>41.0</v>
      </c>
      <c r="H108" s="24"/>
      <c r="I108" s="3" t="s">
        <v>143</v>
      </c>
      <c r="J108" s="3">
        <v>31.02</v>
      </c>
      <c r="K108" s="3">
        <v>51.0</v>
      </c>
      <c r="L108" s="4"/>
      <c r="M108" s="3" t="s">
        <v>160</v>
      </c>
      <c r="N108" s="3">
        <v>31.05</v>
      </c>
      <c r="O108" s="3">
        <v>58.0</v>
      </c>
      <c r="P108" s="4"/>
      <c r="Q108" s="3" t="s">
        <v>146</v>
      </c>
      <c r="R108" s="3">
        <v>30.22</v>
      </c>
      <c r="S108" s="3">
        <v>63.0</v>
      </c>
      <c r="T108" s="4"/>
      <c r="U108" s="4"/>
      <c r="V108" s="4"/>
      <c r="W108" s="4"/>
      <c r="X108" s="4"/>
      <c r="Y108" s="4"/>
      <c r="Z108" s="4"/>
    </row>
    <row r="109" ht="12.75" customHeight="1">
      <c r="A109" s="3" t="s">
        <v>184</v>
      </c>
      <c r="B109" s="3">
        <v>6.67</v>
      </c>
      <c r="C109" s="3">
        <v>35.0</v>
      </c>
      <c r="D109" s="4"/>
      <c r="E109" s="3" t="s">
        <v>169</v>
      </c>
      <c r="F109" s="3">
        <v>27.07</v>
      </c>
      <c r="G109" s="3">
        <v>41.0</v>
      </c>
      <c r="H109" s="24"/>
      <c r="I109" s="3" t="s">
        <v>156</v>
      </c>
      <c r="J109" s="3">
        <v>31.02</v>
      </c>
      <c r="K109" s="3">
        <v>51.0</v>
      </c>
      <c r="L109" s="4"/>
      <c r="M109" s="3" t="s">
        <v>142</v>
      </c>
      <c r="N109" s="3">
        <v>31.05</v>
      </c>
      <c r="O109" s="3">
        <v>58.0</v>
      </c>
      <c r="P109" s="4"/>
      <c r="Q109" s="3" t="s">
        <v>179</v>
      </c>
      <c r="R109" s="3">
        <v>30.22</v>
      </c>
      <c r="S109" s="3">
        <v>63.0</v>
      </c>
      <c r="T109" s="4"/>
      <c r="U109" s="4"/>
      <c r="V109" s="4"/>
      <c r="W109" s="4"/>
      <c r="X109" s="4"/>
      <c r="Y109" s="4"/>
      <c r="Z109" s="4"/>
    </row>
    <row r="110" ht="12.75" customHeight="1">
      <c r="A110" s="3" t="s">
        <v>123</v>
      </c>
      <c r="B110" s="3">
        <v>6.67</v>
      </c>
      <c r="C110" s="3">
        <v>35.0</v>
      </c>
      <c r="D110" s="4"/>
      <c r="E110" s="3" t="s">
        <v>152</v>
      </c>
      <c r="F110" s="3">
        <v>27.07</v>
      </c>
      <c r="G110" s="3">
        <v>41.0</v>
      </c>
      <c r="H110" s="24"/>
      <c r="I110" s="3" t="s">
        <v>191</v>
      </c>
      <c r="J110" s="3">
        <v>31.02</v>
      </c>
      <c r="K110" s="3">
        <v>51.0</v>
      </c>
      <c r="L110" s="4"/>
      <c r="M110" s="3" t="s">
        <v>125</v>
      </c>
      <c r="N110" s="3">
        <v>31.05</v>
      </c>
      <c r="O110" s="3">
        <v>58.0</v>
      </c>
      <c r="P110" s="4"/>
      <c r="Q110" s="3" t="s">
        <v>184</v>
      </c>
      <c r="R110" s="3">
        <v>30.22</v>
      </c>
      <c r="S110" s="3">
        <v>63.0</v>
      </c>
      <c r="T110" s="4"/>
      <c r="U110" s="4"/>
      <c r="V110" s="4"/>
      <c r="W110" s="4"/>
      <c r="X110" s="4"/>
      <c r="Y110" s="4"/>
      <c r="Z110" s="4"/>
    </row>
    <row r="111" ht="12.75" customHeight="1">
      <c r="A111" s="3" t="s">
        <v>110</v>
      </c>
      <c r="B111" s="3">
        <v>6.67</v>
      </c>
      <c r="C111" s="3">
        <v>35.0</v>
      </c>
      <c r="D111" s="4"/>
      <c r="E111" s="3" t="s">
        <v>175</v>
      </c>
      <c r="F111" s="3">
        <v>27.07</v>
      </c>
      <c r="G111" s="3">
        <v>41.0</v>
      </c>
      <c r="H111" s="24"/>
      <c r="I111" s="3" t="s">
        <v>81</v>
      </c>
      <c r="J111" s="3">
        <v>31.02</v>
      </c>
      <c r="K111" s="3">
        <v>51.0</v>
      </c>
      <c r="L111" s="4"/>
      <c r="M111" s="3" t="s">
        <v>134</v>
      </c>
      <c r="N111" s="3">
        <v>31.05</v>
      </c>
      <c r="O111" s="3">
        <v>58.0</v>
      </c>
      <c r="P111" s="4"/>
      <c r="Q111" s="3" t="s">
        <v>142</v>
      </c>
      <c r="R111" s="3">
        <v>30.22</v>
      </c>
      <c r="S111" s="3">
        <v>63.0</v>
      </c>
      <c r="T111" s="4"/>
      <c r="U111" s="4"/>
      <c r="V111" s="4"/>
      <c r="W111" s="4"/>
      <c r="X111" s="4"/>
      <c r="Y111" s="4"/>
      <c r="Z111" s="4"/>
    </row>
    <row r="112" ht="12.75" customHeight="1">
      <c r="A112" s="3" t="s">
        <v>164</v>
      </c>
      <c r="B112" s="3">
        <v>6.67</v>
      </c>
      <c r="C112" s="3">
        <v>35.0</v>
      </c>
      <c r="D112" s="4"/>
      <c r="E112" s="3" t="s">
        <v>177</v>
      </c>
      <c r="F112" s="3">
        <v>27.07</v>
      </c>
      <c r="G112" s="3">
        <v>41.0</v>
      </c>
      <c r="H112" s="24"/>
      <c r="I112" s="3" t="s">
        <v>129</v>
      </c>
      <c r="J112" s="3">
        <v>31.02</v>
      </c>
      <c r="K112" s="3">
        <v>51.0</v>
      </c>
      <c r="L112" s="4"/>
      <c r="M112" s="3" t="s">
        <v>164</v>
      </c>
      <c r="N112" s="3">
        <v>31.05</v>
      </c>
      <c r="O112" s="3">
        <v>58.0</v>
      </c>
      <c r="P112" s="4"/>
      <c r="Q112" s="3" t="s">
        <v>182</v>
      </c>
      <c r="R112" s="3">
        <v>30.22</v>
      </c>
      <c r="S112" s="3">
        <v>63.0</v>
      </c>
      <c r="T112" s="4"/>
      <c r="U112" s="4"/>
      <c r="V112" s="4"/>
      <c r="W112" s="4"/>
      <c r="X112" s="4"/>
      <c r="Y112" s="4"/>
      <c r="Z112" s="4"/>
    </row>
    <row r="113" ht="12.75" customHeight="1">
      <c r="A113" s="3" t="s">
        <v>191</v>
      </c>
      <c r="B113" s="3">
        <v>6.67</v>
      </c>
      <c r="C113" s="3">
        <v>35.0</v>
      </c>
      <c r="D113" s="4"/>
      <c r="E113" s="3" t="s">
        <v>107</v>
      </c>
      <c r="F113" s="3">
        <v>27.07</v>
      </c>
      <c r="G113" s="3">
        <v>41.0</v>
      </c>
      <c r="H113" s="24"/>
      <c r="I113" s="3" t="s">
        <v>148</v>
      </c>
      <c r="J113" s="3">
        <v>31.02</v>
      </c>
      <c r="K113" s="3">
        <v>51.0</v>
      </c>
      <c r="L113" s="4"/>
      <c r="M113" s="3" t="s">
        <v>113</v>
      </c>
      <c r="N113" s="3">
        <v>30.84</v>
      </c>
      <c r="O113" s="3">
        <v>111.0</v>
      </c>
      <c r="P113" s="4"/>
      <c r="Q113" s="3" t="s">
        <v>153</v>
      </c>
      <c r="R113" s="3">
        <v>30.22</v>
      </c>
      <c r="S113" s="3">
        <v>63.0</v>
      </c>
      <c r="T113" s="4"/>
      <c r="U113" s="4"/>
      <c r="V113" s="4"/>
      <c r="W113" s="4"/>
      <c r="X113" s="4"/>
      <c r="Y113" s="4"/>
      <c r="Z113" s="4"/>
    </row>
    <row r="114" ht="12.75" customHeight="1">
      <c r="A114" s="3" t="s">
        <v>111</v>
      </c>
      <c r="B114" s="3">
        <v>6.67</v>
      </c>
      <c r="C114" s="3">
        <v>35.0</v>
      </c>
      <c r="D114" s="4"/>
      <c r="E114" s="3" t="s">
        <v>185</v>
      </c>
      <c r="F114" s="3">
        <v>27.07</v>
      </c>
      <c r="G114" s="3">
        <v>41.0</v>
      </c>
      <c r="H114" s="24"/>
      <c r="I114" s="3" t="s">
        <v>113</v>
      </c>
      <c r="J114" s="3">
        <v>31.02</v>
      </c>
      <c r="K114" s="3">
        <v>51.0</v>
      </c>
      <c r="L114" s="4"/>
      <c r="M114" s="3" t="s">
        <v>117</v>
      </c>
      <c r="N114" s="3">
        <v>30.43</v>
      </c>
      <c r="O114" s="3">
        <v>112.0</v>
      </c>
      <c r="P114" s="4"/>
      <c r="Q114" s="3" t="s">
        <v>180</v>
      </c>
      <c r="R114" s="3">
        <v>30.22</v>
      </c>
      <c r="S114" s="3">
        <v>63.0</v>
      </c>
      <c r="T114" s="4"/>
      <c r="U114" s="4"/>
      <c r="V114" s="4"/>
      <c r="W114" s="4"/>
      <c r="X114" s="4"/>
      <c r="Y114" s="4"/>
      <c r="Z114" s="4"/>
    </row>
    <row r="115" ht="12.75" customHeight="1">
      <c r="A115" s="3" t="s">
        <v>81</v>
      </c>
      <c r="B115" s="3">
        <v>6.67</v>
      </c>
      <c r="C115" s="3">
        <v>35.0</v>
      </c>
      <c r="D115" s="4"/>
      <c r="E115" s="3" t="s">
        <v>190</v>
      </c>
      <c r="F115" s="3">
        <v>27.07</v>
      </c>
      <c r="G115" s="3">
        <v>41.0</v>
      </c>
      <c r="H115" s="24"/>
      <c r="I115" s="3" t="s">
        <v>134</v>
      </c>
      <c r="J115" s="3">
        <v>31.02</v>
      </c>
      <c r="K115" s="3">
        <v>51.0</v>
      </c>
      <c r="L115" s="4"/>
      <c r="M115" s="3" t="s">
        <v>140</v>
      </c>
      <c r="N115" s="3">
        <v>29.49</v>
      </c>
      <c r="O115" s="3">
        <v>113.0</v>
      </c>
      <c r="P115" s="4"/>
      <c r="Q115" s="3" t="s">
        <v>93</v>
      </c>
      <c r="R115" s="3">
        <v>29.83</v>
      </c>
      <c r="S115" s="3">
        <v>113.0</v>
      </c>
      <c r="T115" s="4"/>
      <c r="U115" s="4"/>
      <c r="V115" s="4"/>
      <c r="W115" s="4"/>
      <c r="X115" s="4"/>
      <c r="Y115" s="4"/>
      <c r="Z115" s="4"/>
    </row>
    <row r="116" ht="12.75" customHeight="1">
      <c r="A116" s="3" t="s">
        <v>98</v>
      </c>
      <c r="B116" s="3">
        <v>6.67</v>
      </c>
      <c r="C116" s="3">
        <v>35.0</v>
      </c>
      <c r="D116" s="4"/>
      <c r="E116" s="3" t="s">
        <v>157</v>
      </c>
      <c r="F116" s="3">
        <v>27.07</v>
      </c>
      <c r="G116" s="3">
        <v>41.0</v>
      </c>
      <c r="H116" s="24"/>
      <c r="I116" s="3" t="s">
        <v>184</v>
      </c>
      <c r="J116" s="3">
        <v>31.02</v>
      </c>
      <c r="K116" s="3">
        <v>51.0</v>
      </c>
      <c r="L116" s="4"/>
      <c r="M116" s="3" t="s">
        <v>181</v>
      </c>
      <c r="N116" s="3">
        <v>29.42</v>
      </c>
      <c r="O116" s="3">
        <v>114.0</v>
      </c>
      <c r="P116" s="4"/>
      <c r="Q116" s="3" t="s">
        <v>193</v>
      </c>
      <c r="R116" s="3">
        <v>29.8</v>
      </c>
      <c r="S116" s="3">
        <v>114.0</v>
      </c>
      <c r="T116" s="4"/>
      <c r="U116" s="4"/>
      <c r="V116" s="4"/>
      <c r="W116" s="4"/>
      <c r="X116" s="4"/>
      <c r="Y116" s="4"/>
      <c r="Z116" s="4"/>
    </row>
    <row r="117" ht="12.75" customHeight="1">
      <c r="A117" s="3" t="s">
        <v>150</v>
      </c>
      <c r="B117" s="3">
        <v>6.67</v>
      </c>
      <c r="C117" s="3">
        <v>35.0</v>
      </c>
      <c r="D117" s="4"/>
      <c r="E117" s="3" t="s">
        <v>147</v>
      </c>
      <c r="F117" s="3">
        <v>25.56</v>
      </c>
      <c r="G117" s="3">
        <v>115.0</v>
      </c>
      <c r="H117" s="24"/>
      <c r="I117" s="3" t="s">
        <v>98</v>
      </c>
      <c r="J117" s="3">
        <v>30.39</v>
      </c>
      <c r="K117" s="3">
        <v>115.0</v>
      </c>
      <c r="L117" s="4"/>
      <c r="M117" s="3" t="s">
        <v>161</v>
      </c>
      <c r="N117" s="3">
        <v>29.35</v>
      </c>
      <c r="O117" s="3">
        <v>115.0</v>
      </c>
      <c r="P117" s="4"/>
      <c r="Q117" s="3" t="s">
        <v>127</v>
      </c>
      <c r="R117" s="3">
        <v>29.59</v>
      </c>
      <c r="S117" s="3">
        <v>115.0</v>
      </c>
      <c r="T117" s="4"/>
      <c r="U117" s="4"/>
      <c r="V117" s="4"/>
      <c r="W117" s="4"/>
      <c r="X117" s="4"/>
      <c r="Y117" s="4"/>
      <c r="Z117" s="4"/>
    </row>
    <row r="118" ht="12.75" customHeight="1">
      <c r="A118" s="3" t="s">
        <v>162</v>
      </c>
      <c r="B118" s="3">
        <v>6.67</v>
      </c>
      <c r="C118" s="3">
        <v>35.0</v>
      </c>
      <c r="D118" s="4"/>
      <c r="E118" s="3" t="s">
        <v>122</v>
      </c>
      <c r="F118" s="3">
        <v>25.5</v>
      </c>
      <c r="G118" s="3">
        <v>116.0</v>
      </c>
      <c r="H118" s="24"/>
      <c r="I118" s="3" t="s">
        <v>116</v>
      </c>
      <c r="J118" s="3">
        <v>30.34</v>
      </c>
      <c r="K118" s="3">
        <v>116.0</v>
      </c>
      <c r="L118" s="4"/>
      <c r="M118" s="3" t="s">
        <v>200</v>
      </c>
      <c r="N118" s="3">
        <v>28.08</v>
      </c>
      <c r="O118" s="3">
        <v>116.0</v>
      </c>
      <c r="P118" s="4"/>
      <c r="Q118" s="3" t="s">
        <v>99</v>
      </c>
      <c r="R118" s="3">
        <v>28.77</v>
      </c>
      <c r="S118" s="3">
        <v>116.0</v>
      </c>
      <c r="T118" s="4"/>
      <c r="U118" s="4"/>
      <c r="V118" s="4"/>
      <c r="W118" s="4"/>
      <c r="X118" s="4"/>
      <c r="Y118" s="4"/>
      <c r="Z118" s="4"/>
    </row>
    <row r="119" ht="12.75" customHeight="1">
      <c r="A119" s="3" t="s">
        <v>181</v>
      </c>
      <c r="B119" s="3">
        <v>6.67</v>
      </c>
      <c r="C119" s="3">
        <v>35.0</v>
      </c>
      <c r="D119" s="4"/>
      <c r="E119" s="3" t="s">
        <v>116</v>
      </c>
      <c r="F119" s="3">
        <v>25.23</v>
      </c>
      <c r="G119" s="3">
        <v>117.0</v>
      </c>
      <c r="H119" s="24"/>
      <c r="I119" s="3" t="s">
        <v>140</v>
      </c>
      <c r="J119" s="3">
        <v>30.26</v>
      </c>
      <c r="K119" s="3">
        <v>117.0</v>
      </c>
      <c r="L119" s="4"/>
      <c r="M119" s="3" t="s">
        <v>187</v>
      </c>
      <c r="N119" s="3">
        <v>27.57</v>
      </c>
      <c r="O119" s="3">
        <v>117.0</v>
      </c>
      <c r="P119" s="4"/>
      <c r="Q119" s="3" t="s">
        <v>148</v>
      </c>
      <c r="R119" s="3">
        <v>28.57</v>
      </c>
      <c r="S119" s="3">
        <v>117.0</v>
      </c>
      <c r="T119" s="4"/>
      <c r="U119" s="4"/>
      <c r="V119" s="4"/>
      <c r="W119" s="4"/>
      <c r="X119" s="4"/>
      <c r="Y119" s="4"/>
      <c r="Z119" s="4"/>
    </row>
    <row r="120" ht="12.75" customHeight="1">
      <c r="A120" s="3" t="s">
        <v>99</v>
      </c>
      <c r="B120" s="3">
        <v>6.67</v>
      </c>
      <c r="C120" s="3">
        <v>35.0</v>
      </c>
      <c r="D120" s="4"/>
      <c r="E120" s="3" t="s">
        <v>200</v>
      </c>
      <c r="F120" s="3">
        <v>24.57</v>
      </c>
      <c r="G120" s="3">
        <v>118.0</v>
      </c>
      <c r="H120" s="24"/>
      <c r="I120" s="3" t="s">
        <v>92</v>
      </c>
      <c r="J120" s="3">
        <v>29.65</v>
      </c>
      <c r="K120" s="3">
        <v>118.0</v>
      </c>
      <c r="L120" s="4"/>
      <c r="M120" s="3" t="s">
        <v>193</v>
      </c>
      <c r="N120" s="3">
        <v>27.42</v>
      </c>
      <c r="O120" s="3">
        <v>118.0</v>
      </c>
      <c r="P120" s="4"/>
      <c r="Q120" s="3" t="s">
        <v>140</v>
      </c>
      <c r="R120" s="3">
        <v>28.4</v>
      </c>
      <c r="S120" s="3">
        <v>118.0</v>
      </c>
      <c r="T120" s="4"/>
      <c r="U120" s="4"/>
      <c r="V120" s="4"/>
      <c r="W120" s="4"/>
      <c r="X120" s="4"/>
      <c r="Y120" s="4"/>
      <c r="Z120" s="4"/>
    </row>
    <row r="121" ht="12.75" customHeight="1">
      <c r="A121" s="3" t="s">
        <v>109</v>
      </c>
      <c r="B121" s="3">
        <v>6.67</v>
      </c>
      <c r="C121" s="3">
        <v>35.0</v>
      </c>
      <c r="D121" s="4"/>
      <c r="E121" s="3" t="s">
        <v>170</v>
      </c>
      <c r="F121" s="3">
        <v>24.16</v>
      </c>
      <c r="G121" s="3">
        <v>119.0</v>
      </c>
      <c r="H121" s="24"/>
      <c r="I121" s="3" t="s">
        <v>103</v>
      </c>
      <c r="J121" s="3">
        <v>28.72</v>
      </c>
      <c r="K121" s="3">
        <v>119.0</v>
      </c>
      <c r="L121" s="4"/>
      <c r="M121" s="3" t="s">
        <v>170</v>
      </c>
      <c r="N121" s="3">
        <v>27.39</v>
      </c>
      <c r="O121" s="3">
        <v>119.0</v>
      </c>
      <c r="P121" s="4"/>
      <c r="Q121" s="3" t="s">
        <v>149</v>
      </c>
      <c r="R121" s="3">
        <v>28.32</v>
      </c>
      <c r="S121" s="3">
        <v>119.0</v>
      </c>
      <c r="T121" s="4"/>
      <c r="U121" s="4"/>
      <c r="V121" s="4"/>
      <c r="W121" s="4"/>
      <c r="X121" s="4"/>
      <c r="Y121" s="4"/>
      <c r="Z121" s="4"/>
    </row>
    <row r="122" ht="12.75" customHeight="1">
      <c r="A122" s="3" t="s">
        <v>101</v>
      </c>
      <c r="B122" s="3">
        <v>6.67</v>
      </c>
      <c r="C122" s="3">
        <v>35.0</v>
      </c>
      <c r="D122" s="4"/>
      <c r="E122" s="3" t="s">
        <v>119</v>
      </c>
      <c r="F122" s="3">
        <v>23.27</v>
      </c>
      <c r="G122" s="3">
        <v>120.0</v>
      </c>
      <c r="H122" s="24"/>
      <c r="I122" s="3" t="s">
        <v>187</v>
      </c>
      <c r="J122" s="3">
        <v>27.8</v>
      </c>
      <c r="K122" s="3">
        <v>120.0</v>
      </c>
      <c r="L122" s="4"/>
      <c r="M122" s="3" t="s">
        <v>108</v>
      </c>
      <c r="N122" s="3">
        <v>27.37</v>
      </c>
      <c r="O122" s="3">
        <v>120.0</v>
      </c>
      <c r="P122" s="4"/>
      <c r="Q122" s="3" t="s">
        <v>108</v>
      </c>
      <c r="R122" s="3">
        <v>27.04</v>
      </c>
      <c r="S122" s="3">
        <v>120.0</v>
      </c>
      <c r="T122" s="4"/>
      <c r="U122" s="4"/>
      <c r="V122" s="4"/>
      <c r="W122" s="4"/>
      <c r="X122" s="4"/>
      <c r="Y122" s="4"/>
      <c r="Z122" s="4"/>
    </row>
    <row r="123" ht="12.75" customHeight="1">
      <c r="A123" s="3" t="s">
        <v>127</v>
      </c>
      <c r="B123" s="3">
        <v>6.67</v>
      </c>
      <c r="C123" s="3">
        <v>35.0</v>
      </c>
      <c r="D123" s="4"/>
      <c r="E123" s="3" t="s">
        <v>187</v>
      </c>
      <c r="F123" s="3">
        <v>22.97</v>
      </c>
      <c r="G123" s="3">
        <v>121.0</v>
      </c>
      <c r="H123" s="24"/>
      <c r="I123" s="3" t="s">
        <v>192</v>
      </c>
      <c r="J123" s="3">
        <v>27.68</v>
      </c>
      <c r="K123" s="3">
        <v>121.0</v>
      </c>
      <c r="L123" s="4"/>
      <c r="M123" s="3" t="s">
        <v>122</v>
      </c>
      <c r="N123" s="3">
        <v>26.58</v>
      </c>
      <c r="O123" s="3">
        <v>121.0</v>
      </c>
      <c r="P123" s="4"/>
      <c r="Q123" s="3" t="s">
        <v>200</v>
      </c>
      <c r="R123" s="3">
        <v>26.68</v>
      </c>
      <c r="S123" s="3">
        <v>121.0</v>
      </c>
      <c r="T123" s="4"/>
      <c r="U123" s="4"/>
      <c r="V123" s="4"/>
      <c r="W123" s="4"/>
      <c r="X123" s="4"/>
      <c r="Y123" s="4"/>
      <c r="Z123" s="4"/>
    </row>
    <row r="124" ht="12.75" customHeight="1">
      <c r="A124" s="3" t="s">
        <v>169</v>
      </c>
      <c r="B124" s="3">
        <v>6.67</v>
      </c>
      <c r="C124" s="3">
        <v>35.0</v>
      </c>
      <c r="D124" s="4"/>
      <c r="E124" s="3" t="s">
        <v>140</v>
      </c>
      <c r="F124" s="3">
        <v>22.74</v>
      </c>
      <c r="G124" s="3">
        <v>122.0</v>
      </c>
      <c r="H124" s="24"/>
      <c r="I124" s="3" t="s">
        <v>132</v>
      </c>
      <c r="J124" s="3">
        <v>27.57</v>
      </c>
      <c r="K124" s="3">
        <v>122.0</v>
      </c>
      <c r="L124" s="4"/>
      <c r="M124" s="3" t="s">
        <v>99</v>
      </c>
      <c r="N124" s="3">
        <v>25.93</v>
      </c>
      <c r="O124" s="3">
        <v>122.0</v>
      </c>
      <c r="P124" s="4"/>
      <c r="Q124" s="3" t="s">
        <v>147</v>
      </c>
      <c r="R124" s="3">
        <v>26.67</v>
      </c>
      <c r="S124" s="3">
        <v>122.0</v>
      </c>
      <c r="T124" s="4"/>
      <c r="U124" s="4"/>
      <c r="V124" s="4"/>
      <c r="W124" s="4"/>
      <c r="X124" s="4"/>
      <c r="Y124" s="4"/>
      <c r="Z124" s="4"/>
    </row>
    <row r="125" ht="12.75" customHeight="1">
      <c r="A125" s="3" t="s">
        <v>148</v>
      </c>
      <c r="B125" s="3">
        <v>6.67</v>
      </c>
      <c r="C125" s="3">
        <v>35.0</v>
      </c>
      <c r="D125" s="4"/>
      <c r="E125" s="3" t="s">
        <v>193</v>
      </c>
      <c r="F125" s="3">
        <v>22.24</v>
      </c>
      <c r="G125" s="3">
        <v>123.0</v>
      </c>
      <c r="H125" s="24"/>
      <c r="I125" s="3" t="s">
        <v>170</v>
      </c>
      <c r="J125" s="3">
        <v>27.15</v>
      </c>
      <c r="K125" s="3">
        <v>123.0</v>
      </c>
      <c r="L125" s="4"/>
      <c r="M125" s="3" t="s">
        <v>93</v>
      </c>
      <c r="N125" s="3">
        <v>25.71</v>
      </c>
      <c r="O125" s="3">
        <v>123.0</v>
      </c>
      <c r="P125" s="4"/>
      <c r="Q125" s="3" t="s">
        <v>187</v>
      </c>
      <c r="R125" s="3">
        <v>26.66</v>
      </c>
      <c r="S125" s="3">
        <v>123.0</v>
      </c>
      <c r="T125" s="4"/>
      <c r="U125" s="4"/>
      <c r="V125" s="4"/>
      <c r="W125" s="4"/>
      <c r="X125" s="4"/>
      <c r="Y125" s="4"/>
      <c r="Z125" s="4"/>
    </row>
    <row r="126" ht="12.75" customHeight="1">
      <c r="A126" s="3" t="s">
        <v>40</v>
      </c>
      <c r="B126" s="3">
        <v>6.67</v>
      </c>
      <c r="C126" s="3">
        <v>35.0</v>
      </c>
      <c r="D126" s="4"/>
      <c r="E126" s="3" t="s">
        <v>192</v>
      </c>
      <c r="F126" s="3">
        <v>21.75</v>
      </c>
      <c r="G126" s="3">
        <v>124.0</v>
      </c>
      <c r="H126" s="24"/>
      <c r="I126" s="3" t="s">
        <v>200</v>
      </c>
      <c r="J126" s="3">
        <v>26.43</v>
      </c>
      <c r="K126" s="3">
        <v>124.0</v>
      </c>
      <c r="L126" s="4"/>
      <c r="M126" s="3" t="s">
        <v>129</v>
      </c>
      <c r="N126" s="3">
        <v>25.55</v>
      </c>
      <c r="O126" s="3">
        <v>124.0</v>
      </c>
      <c r="P126" s="4"/>
      <c r="Q126" s="3" t="s">
        <v>122</v>
      </c>
      <c r="R126" s="3">
        <v>25.36</v>
      </c>
      <c r="S126" s="3">
        <v>124.0</v>
      </c>
      <c r="T126" s="4"/>
      <c r="U126" s="4"/>
      <c r="V126" s="4"/>
      <c r="W126" s="4"/>
      <c r="X126" s="4"/>
      <c r="Y126" s="4"/>
      <c r="Z126" s="4"/>
    </row>
    <row r="127" ht="12.75" customHeight="1">
      <c r="A127" s="3" t="s">
        <v>186</v>
      </c>
      <c r="B127" s="3">
        <v>6.67</v>
      </c>
      <c r="C127" s="3">
        <v>35.0</v>
      </c>
      <c r="D127" s="4"/>
      <c r="E127" s="3" t="s">
        <v>139</v>
      </c>
      <c r="F127" s="3">
        <v>21.55</v>
      </c>
      <c r="G127" s="3">
        <v>125.0</v>
      </c>
      <c r="H127" s="24"/>
      <c r="I127" s="3" t="s">
        <v>122</v>
      </c>
      <c r="J127" s="3">
        <v>26.09</v>
      </c>
      <c r="K127" s="3">
        <v>125.0</v>
      </c>
      <c r="L127" s="4"/>
      <c r="M127" s="3" t="s">
        <v>43</v>
      </c>
      <c r="N127" s="3">
        <v>25.48</v>
      </c>
      <c r="O127" s="3">
        <v>125.0</v>
      </c>
      <c r="P127" s="4"/>
      <c r="Q127" s="3" t="s">
        <v>181</v>
      </c>
      <c r="R127" s="3">
        <v>25.34</v>
      </c>
      <c r="S127" s="3">
        <v>125.0</v>
      </c>
      <c r="T127" s="4"/>
      <c r="U127" s="4"/>
      <c r="V127" s="4"/>
      <c r="W127" s="4"/>
      <c r="X127" s="4"/>
      <c r="Y127" s="4"/>
      <c r="Z127" s="4"/>
    </row>
    <row r="128" ht="12.75" customHeight="1">
      <c r="A128" s="3" t="s">
        <v>180</v>
      </c>
      <c r="B128" s="3">
        <v>6.67</v>
      </c>
      <c r="C128" s="3">
        <v>35.0</v>
      </c>
      <c r="D128" s="4"/>
      <c r="E128" s="3" t="s">
        <v>130</v>
      </c>
      <c r="F128" s="3">
        <v>20.24</v>
      </c>
      <c r="G128" s="3">
        <v>126.0</v>
      </c>
      <c r="H128" s="24"/>
      <c r="I128" s="3" t="s">
        <v>93</v>
      </c>
      <c r="J128" s="3">
        <v>25.54</v>
      </c>
      <c r="K128" s="3">
        <v>126.0</v>
      </c>
      <c r="L128" s="4"/>
      <c r="M128" s="3" t="s">
        <v>149</v>
      </c>
      <c r="N128" s="3">
        <v>24.83</v>
      </c>
      <c r="O128" s="3">
        <v>126.0</v>
      </c>
      <c r="P128" s="4"/>
      <c r="Q128" s="3" t="s">
        <v>114</v>
      </c>
      <c r="R128" s="3">
        <v>24.56</v>
      </c>
      <c r="S128" s="3">
        <v>126.0</v>
      </c>
      <c r="T128" s="4"/>
      <c r="U128" s="4"/>
      <c r="V128" s="4"/>
      <c r="W128" s="4"/>
      <c r="X128" s="4"/>
      <c r="Y128" s="4"/>
      <c r="Z128" s="4"/>
    </row>
    <row r="129" ht="12.75" customHeight="1">
      <c r="A129" s="3" t="s">
        <v>115</v>
      </c>
      <c r="B129" s="3">
        <v>4.02</v>
      </c>
      <c r="C129" s="3">
        <v>127.0</v>
      </c>
      <c r="D129" s="4"/>
      <c r="E129" s="3" t="s">
        <v>92</v>
      </c>
      <c r="F129" s="3">
        <v>19.93</v>
      </c>
      <c r="G129" s="3">
        <v>127.0</v>
      </c>
      <c r="H129" s="24"/>
      <c r="I129" s="3" t="s">
        <v>193</v>
      </c>
      <c r="J129" s="3">
        <v>24.9</v>
      </c>
      <c r="K129" s="3">
        <v>127.0</v>
      </c>
      <c r="L129" s="4"/>
      <c r="M129" s="3" t="s">
        <v>147</v>
      </c>
      <c r="N129" s="3">
        <v>24.68</v>
      </c>
      <c r="O129" s="3">
        <v>127.0</v>
      </c>
      <c r="P129" s="4"/>
      <c r="Q129" s="3" t="s">
        <v>51</v>
      </c>
      <c r="R129" s="3">
        <v>24.51</v>
      </c>
      <c r="S129" s="3">
        <v>127.0</v>
      </c>
      <c r="T129" s="4"/>
      <c r="U129" s="4"/>
      <c r="V129" s="4"/>
      <c r="W129" s="4"/>
      <c r="X129" s="4"/>
      <c r="Y129" s="4"/>
      <c r="Z129" s="4"/>
    </row>
    <row r="130" ht="12.75" customHeight="1">
      <c r="A130" s="3" t="s">
        <v>139</v>
      </c>
      <c r="B130" s="3">
        <v>3.67</v>
      </c>
      <c r="C130" s="3">
        <v>128.0</v>
      </c>
      <c r="D130" s="4"/>
      <c r="E130" s="3" t="s">
        <v>93</v>
      </c>
      <c r="F130" s="3">
        <v>19.41</v>
      </c>
      <c r="G130" s="3">
        <v>128.0</v>
      </c>
      <c r="H130" s="24"/>
      <c r="I130" s="3" t="s">
        <v>128</v>
      </c>
      <c r="J130" s="3">
        <v>24.46</v>
      </c>
      <c r="K130" s="3">
        <v>128.0</v>
      </c>
      <c r="L130" s="4"/>
      <c r="M130" s="3" t="s">
        <v>118</v>
      </c>
      <c r="N130" s="3">
        <v>22.36</v>
      </c>
      <c r="O130" s="3">
        <v>128.0</v>
      </c>
      <c r="P130" s="4"/>
      <c r="Q130" s="3" t="s">
        <v>43</v>
      </c>
      <c r="R130" s="3">
        <v>24.01</v>
      </c>
      <c r="S130" s="3">
        <v>128.0</v>
      </c>
      <c r="T130" s="4"/>
      <c r="U130" s="4"/>
      <c r="V130" s="4"/>
      <c r="W130" s="4"/>
      <c r="X130" s="4"/>
      <c r="Y130" s="4"/>
      <c r="Z130" s="4"/>
    </row>
    <row r="131" ht="12.75" customHeight="1">
      <c r="A131" s="3" t="s">
        <v>170</v>
      </c>
      <c r="B131" s="3">
        <v>1.42</v>
      </c>
      <c r="C131" s="3">
        <v>129.0</v>
      </c>
      <c r="D131" s="4"/>
      <c r="E131" s="3" t="s">
        <v>128</v>
      </c>
      <c r="F131" s="3">
        <v>18.47</v>
      </c>
      <c r="G131" s="3">
        <v>129.0</v>
      </c>
      <c r="H131" s="24"/>
      <c r="I131" s="3" t="s">
        <v>123</v>
      </c>
      <c r="J131" s="3">
        <v>18.85</v>
      </c>
      <c r="K131" s="3">
        <v>129.0</v>
      </c>
      <c r="L131" s="4"/>
      <c r="M131" s="3" t="s">
        <v>192</v>
      </c>
      <c r="N131" s="3">
        <v>19.44</v>
      </c>
      <c r="O131" s="3">
        <v>129.0</v>
      </c>
      <c r="P131" s="4"/>
      <c r="Q131" s="3" t="s">
        <v>192</v>
      </c>
      <c r="R131" s="3">
        <v>19.06</v>
      </c>
      <c r="S131" s="3">
        <v>129.0</v>
      </c>
      <c r="T131" s="4"/>
      <c r="U131" s="4"/>
      <c r="V131" s="4"/>
      <c r="W131" s="4"/>
      <c r="X131" s="4"/>
      <c r="Y131" s="4"/>
      <c r="Z131" s="4"/>
    </row>
    <row r="132" ht="12.75" customHeight="1">
      <c r="A132" s="3" t="s">
        <v>200</v>
      </c>
      <c r="B132" s="3">
        <v>0.87</v>
      </c>
      <c r="C132" s="3">
        <v>130.0</v>
      </c>
      <c r="D132" s="4"/>
      <c r="E132" s="3" t="s">
        <v>43</v>
      </c>
      <c r="F132" s="3">
        <v>10.12</v>
      </c>
      <c r="G132" s="3">
        <v>130.0</v>
      </c>
      <c r="H132" s="24"/>
      <c r="I132" s="3" t="s">
        <v>43</v>
      </c>
      <c r="J132" s="3">
        <v>18.38</v>
      </c>
      <c r="K132" s="3">
        <v>130.0</v>
      </c>
      <c r="L132" s="4"/>
      <c r="M132" s="3" t="s">
        <v>123</v>
      </c>
      <c r="N132" s="3">
        <v>18.3</v>
      </c>
      <c r="O132" s="3">
        <v>130.0</v>
      </c>
      <c r="P132" s="4"/>
      <c r="Q132" s="3" t="s">
        <v>123</v>
      </c>
      <c r="R132" s="3">
        <v>19.01</v>
      </c>
      <c r="S132" s="3">
        <v>130.0</v>
      </c>
      <c r="T132" s="4"/>
      <c r="U132" s="4"/>
      <c r="V132" s="4"/>
      <c r="W132" s="4"/>
      <c r="X132" s="4"/>
      <c r="Y132" s="4"/>
      <c r="Z132" s="4"/>
    </row>
    <row r="133" ht="12.75" customHeight="1">
      <c r="A133" s="4"/>
      <c r="B133" s="4"/>
      <c r="C133" s="4"/>
      <c r="D133" s="4"/>
      <c r="E133" s="4"/>
      <c r="F133" s="4"/>
      <c r="G133" s="4"/>
      <c r="H133" s="24"/>
      <c r="I133" s="4"/>
      <c r="J133" s="4"/>
      <c r="K133" s="4"/>
      <c r="L133" s="4"/>
      <c r="M133" s="4"/>
      <c r="N133" s="4"/>
      <c r="O133" s="4"/>
      <c r="P133" s="4"/>
      <c r="Q133" s="4"/>
      <c r="R133" s="4"/>
      <c r="S133" s="4"/>
      <c r="T133" s="4"/>
      <c r="U133" s="4"/>
      <c r="V133" s="4"/>
      <c r="W133" s="4"/>
      <c r="X133" s="4"/>
      <c r="Y133" s="4"/>
      <c r="Z133" s="4"/>
    </row>
    <row r="134" ht="12.75" customHeight="1">
      <c r="A134" s="1" t="s">
        <v>0</v>
      </c>
      <c r="B134" s="3">
        <v>6.0</v>
      </c>
      <c r="C134" s="4">
        <v>2020.0</v>
      </c>
      <c r="D134" s="4"/>
      <c r="E134" s="26" t="s">
        <v>0</v>
      </c>
      <c r="F134" s="27">
        <v>7.0</v>
      </c>
      <c r="G134" s="28">
        <v>2020.0</v>
      </c>
      <c r="H134" s="24"/>
      <c r="I134" s="26" t="s">
        <v>0</v>
      </c>
      <c r="J134" s="27">
        <v>8.0</v>
      </c>
      <c r="K134" s="28">
        <v>2020.0</v>
      </c>
      <c r="L134" s="4"/>
      <c r="M134" s="26" t="s">
        <v>0</v>
      </c>
      <c r="N134" s="27">
        <v>9.0</v>
      </c>
      <c r="O134" s="28">
        <v>2020.0</v>
      </c>
      <c r="P134" s="4"/>
      <c r="Q134" s="26" t="s">
        <v>0</v>
      </c>
      <c r="R134" s="27">
        <v>10.0</v>
      </c>
      <c r="S134" s="28">
        <v>2020.0</v>
      </c>
      <c r="T134" s="4"/>
      <c r="U134" s="4"/>
      <c r="V134" s="4"/>
      <c r="W134" s="4"/>
      <c r="X134" s="4"/>
      <c r="Y134" s="4"/>
      <c r="Z134" s="4"/>
    </row>
    <row r="135" ht="12.75" customHeight="1">
      <c r="A135" s="8" t="s">
        <v>8</v>
      </c>
      <c r="B135" s="8" t="s">
        <v>9</v>
      </c>
      <c r="C135" s="8" t="s">
        <v>10</v>
      </c>
      <c r="D135" s="4"/>
      <c r="E135" s="29" t="s">
        <v>8</v>
      </c>
      <c r="F135" s="29" t="s">
        <v>9</v>
      </c>
      <c r="G135" s="29" t="s">
        <v>10</v>
      </c>
      <c r="H135" s="24"/>
      <c r="I135" s="29" t="s">
        <v>8</v>
      </c>
      <c r="J135" s="29" t="s">
        <v>9</v>
      </c>
      <c r="K135" s="29" t="s">
        <v>10</v>
      </c>
      <c r="L135" s="4"/>
      <c r="M135" s="29" t="s">
        <v>8</v>
      </c>
      <c r="N135" s="29" t="s">
        <v>9</v>
      </c>
      <c r="O135" s="29" t="s">
        <v>10</v>
      </c>
      <c r="P135" s="4"/>
      <c r="Q135" s="29" t="s">
        <v>8</v>
      </c>
      <c r="R135" s="29" t="s">
        <v>9</v>
      </c>
      <c r="S135" s="29" t="s">
        <v>10</v>
      </c>
      <c r="T135" s="4"/>
      <c r="U135" s="4"/>
      <c r="V135" s="4"/>
      <c r="W135" s="4"/>
      <c r="X135" s="4"/>
      <c r="Y135" s="4"/>
      <c r="Z135" s="4"/>
    </row>
    <row r="136" ht="12.75" customHeight="1">
      <c r="A136" s="3" t="s">
        <v>18</v>
      </c>
      <c r="B136" s="3">
        <v>93.16</v>
      </c>
      <c r="C136" s="3">
        <v>1.0</v>
      </c>
      <c r="D136" s="4"/>
      <c r="E136" s="3" t="s">
        <v>18</v>
      </c>
      <c r="F136" s="3">
        <v>95.81</v>
      </c>
      <c r="G136" s="3">
        <v>1.0</v>
      </c>
      <c r="H136" s="24"/>
      <c r="I136" s="3" t="s">
        <v>18</v>
      </c>
      <c r="J136" s="3">
        <v>94.65</v>
      </c>
      <c r="K136" s="3">
        <v>1.0</v>
      </c>
      <c r="L136" s="4"/>
      <c r="M136" s="3" t="s">
        <v>18</v>
      </c>
      <c r="N136" s="3">
        <v>94.26</v>
      </c>
      <c r="O136" s="3">
        <v>1.0</v>
      </c>
      <c r="P136" s="4"/>
      <c r="Q136" s="3" t="s">
        <v>23</v>
      </c>
      <c r="R136" s="3">
        <v>93.82</v>
      </c>
      <c r="S136" s="27">
        <v>1.0</v>
      </c>
      <c r="T136" s="4"/>
      <c r="U136" s="4"/>
      <c r="V136" s="4"/>
      <c r="W136" s="4"/>
      <c r="X136" s="4"/>
      <c r="Y136" s="4"/>
      <c r="Z136" s="4"/>
    </row>
    <row r="137" ht="12.75" customHeight="1">
      <c r="A137" s="3" t="s">
        <v>23</v>
      </c>
      <c r="B137" s="3">
        <v>92.3</v>
      </c>
      <c r="C137" s="3">
        <v>2.0</v>
      </c>
      <c r="D137" s="4"/>
      <c r="E137" s="3" t="s">
        <v>23</v>
      </c>
      <c r="F137" s="3">
        <v>93.43</v>
      </c>
      <c r="G137" s="3">
        <v>2.0</v>
      </c>
      <c r="H137" s="24"/>
      <c r="I137" s="3" t="s">
        <v>23</v>
      </c>
      <c r="J137" s="3">
        <v>92.87</v>
      </c>
      <c r="K137" s="3">
        <v>2.0</v>
      </c>
      <c r="L137" s="4"/>
      <c r="M137" s="3" t="s">
        <v>23</v>
      </c>
      <c r="N137" s="3">
        <v>93.88</v>
      </c>
      <c r="O137" s="3">
        <v>2.0</v>
      </c>
      <c r="P137" s="4"/>
      <c r="Q137" s="3" t="s">
        <v>28</v>
      </c>
      <c r="R137" s="3">
        <v>89.06</v>
      </c>
      <c r="S137" s="27">
        <v>2.0</v>
      </c>
      <c r="T137" s="4"/>
      <c r="U137" s="4"/>
      <c r="V137" s="4"/>
      <c r="W137" s="4"/>
      <c r="X137" s="4"/>
      <c r="Y137" s="4"/>
      <c r="Z137" s="4"/>
    </row>
    <row r="138" ht="12.75" customHeight="1">
      <c r="A138" s="3" t="s">
        <v>33</v>
      </c>
      <c r="B138" s="3">
        <v>92.11</v>
      </c>
      <c r="C138" s="3">
        <v>3.0</v>
      </c>
      <c r="D138" s="4"/>
      <c r="E138" s="3" t="s">
        <v>55</v>
      </c>
      <c r="F138" s="3">
        <v>84.95</v>
      </c>
      <c r="G138" s="3">
        <v>3.0</v>
      </c>
      <c r="H138" s="24"/>
      <c r="I138" s="3" t="s">
        <v>28</v>
      </c>
      <c r="J138" s="3">
        <v>86.13</v>
      </c>
      <c r="K138" s="3">
        <v>3.0</v>
      </c>
      <c r="L138" s="4"/>
      <c r="M138" s="3" t="s">
        <v>28</v>
      </c>
      <c r="N138" s="3">
        <v>86.91</v>
      </c>
      <c r="O138" s="3">
        <v>3.0</v>
      </c>
      <c r="P138" s="4"/>
      <c r="Q138" s="3" t="s">
        <v>26</v>
      </c>
      <c r="R138" s="3">
        <v>87.41</v>
      </c>
      <c r="S138" s="27">
        <v>3.0</v>
      </c>
      <c r="T138" s="4"/>
      <c r="U138" s="4"/>
      <c r="V138" s="4"/>
      <c r="W138" s="4"/>
      <c r="X138" s="4"/>
      <c r="Y138" s="4"/>
      <c r="Z138" s="4"/>
    </row>
    <row r="139" ht="12.75" customHeight="1">
      <c r="A139" s="3" t="s">
        <v>38</v>
      </c>
      <c r="B139" s="3">
        <v>84.52</v>
      </c>
      <c r="C139" s="3">
        <v>4.0</v>
      </c>
      <c r="D139" s="4"/>
      <c r="E139" s="3" t="s">
        <v>28</v>
      </c>
      <c r="F139" s="3">
        <v>83.7</v>
      </c>
      <c r="G139" s="3">
        <v>4.0</v>
      </c>
      <c r="H139" s="24"/>
      <c r="I139" s="3" t="s">
        <v>26</v>
      </c>
      <c r="J139" s="3">
        <v>83.94</v>
      </c>
      <c r="K139" s="3">
        <v>4.0</v>
      </c>
      <c r="L139" s="4"/>
      <c r="M139" s="3" t="s">
        <v>26</v>
      </c>
      <c r="N139" s="3">
        <v>86.13</v>
      </c>
      <c r="O139" s="3">
        <v>4.0</v>
      </c>
      <c r="P139" s="4"/>
      <c r="Q139" s="3" t="s">
        <v>18</v>
      </c>
      <c r="R139" s="3">
        <v>83.7</v>
      </c>
      <c r="S139" s="27">
        <v>4.0</v>
      </c>
      <c r="T139" s="4"/>
      <c r="U139" s="4"/>
      <c r="V139" s="4"/>
      <c r="W139" s="4"/>
      <c r="X139" s="4"/>
      <c r="Y139" s="4"/>
      <c r="Z139" s="4"/>
    </row>
    <row r="140" ht="12.75" customHeight="1">
      <c r="A140" s="3" t="s">
        <v>55</v>
      </c>
      <c r="B140" s="3">
        <v>83.55</v>
      </c>
      <c r="C140" s="3">
        <v>5.0</v>
      </c>
      <c r="D140" s="4"/>
      <c r="E140" s="3" t="s">
        <v>33</v>
      </c>
      <c r="F140" s="3">
        <v>82.53</v>
      </c>
      <c r="G140" s="3">
        <v>5.0</v>
      </c>
      <c r="H140" s="24"/>
      <c r="I140" s="3" t="s">
        <v>55</v>
      </c>
      <c r="J140" s="3">
        <v>83.92</v>
      </c>
      <c r="K140" s="3">
        <v>5.0</v>
      </c>
      <c r="L140" s="4"/>
      <c r="M140" s="3" t="s">
        <v>33</v>
      </c>
      <c r="N140" s="3">
        <v>83.04</v>
      </c>
      <c r="O140" s="3">
        <v>5.0</v>
      </c>
      <c r="P140" s="4"/>
      <c r="Q140" s="3" t="s">
        <v>69</v>
      </c>
      <c r="R140" s="3">
        <v>80.98</v>
      </c>
      <c r="S140" s="27">
        <v>5.0</v>
      </c>
      <c r="T140" s="4"/>
      <c r="U140" s="4"/>
      <c r="V140" s="4"/>
      <c r="W140" s="4"/>
      <c r="X140" s="4"/>
      <c r="Y140" s="4"/>
      <c r="Z140" s="4"/>
    </row>
    <row r="141" ht="12.75" customHeight="1">
      <c r="A141" s="3" t="s">
        <v>28</v>
      </c>
      <c r="B141" s="3">
        <v>83.02</v>
      </c>
      <c r="C141" s="3">
        <v>6.0</v>
      </c>
      <c r="D141" s="4"/>
      <c r="E141" s="3" t="s">
        <v>73</v>
      </c>
      <c r="F141" s="3">
        <v>77.19</v>
      </c>
      <c r="G141" s="3">
        <v>6.0</v>
      </c>
      <c r="H141" s="24"/>
      <c r="I141" s="3" t="s">
        <v>33</v>
      </c>
      <c r="J141" s="3">
        <v>81.26</v>
      </c>
      <c r="K141" s="3">
        <v>6.0</v>
      </c>
      <c r="L141" s="4"/>
      <c r="M141" s="3" t="s">
        <v>69</v>
      </c>
      <c r="N141" s="3">
        <v>80.87</v>
      </c>
      <c r="O141" s="3">
        <v>6.0</v>
      </c>
      <c r="P141" s="4"/>
      <c r="Q141" s="3" t="s">
        <v>79</v>
      </c>
      <c r="R141" s="3">
        <v>80.61</v>
      </c>
      <c r="S141" s="27">
        <v>6.0</v>
      </c>
      <c r="T141" s="4"/>
      <c r="U141" s="4"/>
      <c r="V141" s="4"/>
      <c r="W141" s="4"/>
      <c r="X141" s="4"/>
      <c r="Y141" s="4"/>
      <c r="Z141" s="4"/>
    </row>
    <row r="142" ht="12.75" customHeight="1">
      <c r="A142" s="3" t="s">
        <v>73</v>
      </c>
      <c r="B142" s="3">
        <v>73.86</v>
      </c>
      <c r="C142" s="3">
        <v>7.0</v>
      </c>
      <c r="D142" s="4"/>
      <c r="E142" s="3" t="s">
        <v>79</v>
      </c>
      <c r="F142" s="3">
        <v>75.32</v>
      </c>
      <c r="G142" s="3">
        <v>7.0</v>
      </c>
      <c r="H142" s="24"/>
      <c r="I142" s="3" t="s">
        <v>69</v>
      </c>
      <c r="J142" s="3">
        <v>78.48</v>
      </c>
      <c r="K142" s="3">
        <v>7.0</v>
      </c>
      <c r="L142" s="4"/>
      <c r="M142" s="3" t="s">
        <v>74</v>
      </c>
      <c r="N142" s="3">
        <v>78.92</v>
      </c>
      <c r="O142" s="3">
        <v>7.0</v>
      </c>
      <c r="P142" s="4"/>
      <c r="Q142" s="3" t="s">
        <v>73</v>
      </c>
      <c r="R142" s="3">
        <v>79.34</v>
      </c>
      <c r="S142" s="27">
        <v>7.0</v>
      </c>
      <c r="T142" s="4"/>
      <c r="U142" s="4"/>
      <c r="V142" s="4"/>
      <c r="W142" s="4"/>
      <c r="X142" s="4"/>
      <c r="Y142" s="4"/>
      <c r="Z142" s="4"/>
    </row>
    <row r="143" ht="12.75" customHeight="1">
      <c r="A143" s="3" t="s">
        <v>69</v>
      </c>
      <c r="B143" s="3">
        <v>73.07</v>
      </c>
      <c r="C143" s="3">
        <v>8.0</v>
      </c>
      <c r="D143" s="4"/>
      <c r="E143" s="3" t="s">
        <v>69</v>
      </c>
      <c r="F143" s="3">
        <v>74.26</v>
      </c>
      <c r="G143" s="3">
        <v>8.0</v>
      </c>
      <c r="H143" s="24"/>
      <c r="I143" s="3" t="s">
        <v>74</v>
      </c>
      <c r="J143" s="3">
        <v>76.88</v>
      </c>
      <c r="K143" s="3">
        <v>8.0</v>
      </c>
      <c r="L143" s="4"/>
      <c r="M143" s="3" t="s">
        <v>73</v>
      </c>
      <c r="N143" s="3">
        <v>77.89</v>
      </c>
      <c r="O143" s="3">
        <v>8.0</v>
      </c>
      <c r="P143" s="4"/>
      <c r="Q143" s="3" t="s">
        <v>48</v>
      </c>
      <c r="R143" s="3">
        <v>79.04</v>
      </c>
      <c r="S143" s="27">
        <v>8.0</v>
      </c>
      <c r="T143" s="4"/>
      <c r="U143" s="4"/>
      <c r="V143" s="4"/>
      <c r="W143" s="4"/>
      <c r="X143" s="4"/>
      <c r="Y143" s="4"/>
      <c r="Z143" s="4"/>
    </row>
    <row r="144" ht="12.75" customHeight="1">
      <c r="A144" s="3" t="s">
        <v>58</v>
      </c>
      <c r="B144" s="3">
        <v>72.23</v>
      </c>
      <c r="C144" s="3">
        <v>9.0</v>
      </c>
      <c r="D144" s="4"/>
      <c r="E144" s="3" t="s">
        <v>40</v>
      </c>
      <c r="F144" s="3">
        <v>74.07</v>
      </c>
      <c r="G144" s="3">
        <v>9.0</v>
      </c>
      <c r="H144" s="24"/>
      <c r="I144" s="3" t="s">
        <v>73</v>
      </c>
      <c r="J144" s="3">
        <v>76.58</v>
      </c>
      <c r="K144" s="3">
        <v>9.0</v>
      </c>
      <c r="L144" s="4"/>
      <c r="M144" s="3" t="s">
        <v>79</v>
      </c>
      <c r="N144" s="3">
        <v>77.48</v>
      </c>
      <c r="O144" s="3">
        <v>9.0</v>
      </c>
      <c r="P144" s="4"/>
      <c r="Q144" s="3" t="s">
        <v>174</v>
      </c>
      <c r="R144" s="3">
        <v>76.68</v>
      </c>
      <c r="S144" s="27">
        <v>9.0</v>
      </c>
      <c r="T144" s="4"/>
      <c r="U144" s="4"/>
      <c r="V144" s="4"/>
      <c r="W144" s="4"/>
      <c r="X144" s="4"/>
      <c r="Y144" s="4"/>
      <c r="Z144" s="4"/>
    </row>
    <row r="145" ht="12.75" customHeight="1">
      <c r="A145" s="3" t="s">
        <v>48</v>
      </c>
      <c r="B145" s="3">
        <v>70.7</v>
      </c>
      <c r="C145" s="3">
        <v>10.0</v>
      </c>
      <c r="D145" s="4"/>
      <c r="E145" s="3" t="s">
        <v>48</v>
      </c>
      <c r="F145" s="3">
        <v>72.77</v>
      </c>
      <c r="G145" s="3">
        <v>10.0</v>
      </c>
      <c r="H145" s="24"/>
      <c r="I145" s="3" t="s">
        <v>79</v>
      </c>
      <c r="J145" s="3">
        <v>74.99</v>
      </c>
      <c r="K145" s="3">
        <v>10.0</v>
      </c>
      <c r="L145" s="4"/>
      <c r="M145" s="3" t="s">
        <v>48</v>
      </c>
      <c r="N145" s="3">
        <v>75.4</v>
      </c>
      <c r="O145" s="3">
        <v>10.0</v>
      </c>
      <c r="P145" s="4"/>
      <c r="Q145" s="3" t="s">
        <v>74</v>
      </c>
      <c r="R145" s="3">
        <v>75.78</v>
      </c>
      <c r="S145" s="27">
        <v>10.0</v>
      </c>
      <c r="T145" s="4"/>
      <c r="U145" s="4"/>
      <c r="V145" s="4"/>
      <c r="W145" s="4"/>
      <c r="X145" s="4"/>
      <c r="Y145" s="4"/>
      <c r="Z145" s="4"/>
    </row>
    <row r="146" ht="12.75" customHeight="1">
      <c r="A146" s="3" t="s">
        <v>40</v>
      </c>
      <c r="B146" s="3">
        <v>70.01</v>
      </c>
      <c r="C146" s="3">
        <v>11.0</v>
      </c>
      <c r="D146" s="4"/>
      <c r="E146" s="3" t="s">
        <v>86</v>
      </c>
      <c r="F146" s="3">
        <v>71.45</v>
      </c>
      <c r="G146" s="3">
        <v>11.0</v>
      </c>
      <c r="H146" s="24"/>
      <c r="I146" s="3" t="s">
        <v>87</v>
      </c>
      <c r="J146" s="3">
        <v>73.56</v>
      </c>
      <c r="K146" s="3">
        <v>11.0</v>
      </c>
      <c r="L146" s="4"/>
      <c r="M146" s="3" t="s">
        <v>40</v>
      </c>
      <c r="N146" s="3">
        <v>74.23</v>
      </c>
      <c r="O146" s="3">
        <v>11.0</v>
      </c>
      <c r="P146" s="4"/>
      <c r="Q146" s="3" t="s">
        <v>40</v>
      </c>
      <c r="R146" s="3">
        <v>75.25</v>
      </c>
      <c r="S146" s="27">
        <v>11.0</v>
      </c>
      <c r="T146" s="4"/>
      <c r="U146" s="4"/>
      <c r="V146" s="4"/>
      <c r="W146" s="4"/>
      <c r="X146" s="4"/>
      <c r="Y146" s="4"/>
      <c r="Z146" s="4"/>
    </row>
    <row r="147" ht="12.75" customHeight="1">
      <c r="A147" s="3" t="s">
        <v>79</v>
      </c>
      <c r="B147" s="3">
        <v>68.39</v>
      </c>
      <c r="C147" s="3">
        <v>12.0</v>
      </c>
      <c r="D147" s="4"/>
      <c r="E147" s="3" t="s">
        <v>100</v>
      </c>
      <c r="F147" s="3">
        <v>68.02</v>
      </c>
      <c r="G147" s="3">
        <v>12.0</v>
      </c>
      <c r="H147" s="24"/>
      <c r="I147" s="3" t="s">
        <v>40</v>
      </c>
      <c r="J147" s="3">
        <v>73.25</v>
      </c>
      <c r="K147" s="3">
        <v>12.0</v>
      </c>
      <c r="L147" s="4"/>
      <c r="M147" s="3" t="s">
        <v>100</v>
      </c>
      <c r="N147" s="3">
        <v>73.88</v>
      </c>
      <c r="O147" s="3">
        <v>12.0</v>
      </c>
      <c r="P147" s="4"/>
      <c r="Q147" s="3" t="s">
        <v>100</v>
      </c>
      <c r="R147" s="3">
        <v>74.54</v>
      </c>
      <c r="S147" s="27">
        <v>12.0</v>
      </c>
      <c r="T147" s="4"/>
      <c r="U147" s="4"/>
      <c r="V147" s="4"/>
      <c r="W147" s="4"/>
      <c r="X147" s="4"/>
      <c r="Y147" s="4"/>
      <c r="Z147" s="4"/>
    </row>
    <row r="148" ht="12.75" customHeight="1">
      <c r="A148" s="3" t="s">
        <v>86</v>
      </c>
      <c r="B148" s="3">
        <v>68.01</v>
      </c>
      <c r="C148" s="3">
        <v>13.0</v>
      </c>
      <c r="D148" s="4"/>
      <c r="E148" s="3" t="s">
        <v>38</v>
      </c>
      <c r="F148" s="3">
        <v>67.91</v>
      </c>
      <c r="G148" s="3">
        <v>13.0</v>
      </c>
      <c r="H148" s="24"/>
      <c r="I148" s="3" t="s">
        <v>48</v>
      </c>
      <c r="J148" s="3">
        <v>71.38</v>
      </c>
      <c r="K148" s="3">
        <v>13.0</v>
      </c>
      <c r="L148" s="4"/>
      <c r="M148" s="3" t="s">
        <v>174</v>
      </c>
      <c r="N148" s="3">
        <v>73.53</v>
      </c>
      <c r="O148" s="3">
        <v>13.0</v>
      </c>
      <c r="P148" s="4"/>
      <c r="Q148" s="3" t="s">
        <v>62</v>
      </c>
      <c r="R148" s="3">
        <v>73.92</v>
      </c>
      <c r="S148" s="27">
        <v>13.0</v>
      </c>
      <c r="T148" s="4"/>
      <c r="U148" s="4"/>
      <c r="V148" s="4"/>
      <c r="W148" s="4"/>
      <c r="X148" s="4"/>
      <c r="Y148" s="4"/>
      <c r="Z148" s="4"/>
    </row>
    <row r="149" ht="12.75" customHeight="1">
      <c r="A149" s="3" t="s">
        <v>64</v>
      </c>
      <c r="B149" s="3">
        <v>67.63</v>
      </c>
      <c r="C149" s="3">
        <v>14.0</v>
      </c>
      <c r="D149" s="4"/>
      <c r="E149" s="3" t="s">
        <v>82</v>
      </c>
      <c r="F149" s="3">
        <v>67.6</v>
      </c>
      <c r="G149" s="3">
        <v>14.0</v>
      </c>
      <c r="H149" s="24"/>
      <c r="I149" s="3" t="s">
        <v>116</v>
      </c>
      <c r="J149" s="3">
        <v>69.75</v>
      </c>
      <c r="K149" s="3">
        <v>14.0</v>
      </c>
      <c r="L149" s="4"/>
      <c r="M149" s="3" t="s">
        <v>55</v>
      </c>
      <c r="N149" s="3">
        <v>68.96</v>
      </c>
      <c r="O149" s="3">
        <v>14.0</v>
      </c>
      <c r="P149" s="4"/>
      <c r="Q149" s="3" t="s">
        <v>33</v>
      </c>
      <c r="R149" s="3">
        <v>69.99</v>
      </c>
      <c r="S149" s="27">
        <v>14.0</v>
      </c>
      <c r="T149" s="4"/>
      <c r="U149" s="4"/>
      <c r="V149" s="4"/>
      <c r="W149" s="4"/>
      <c r="X149" s="4"/>
      <c r="Y149" s="4"/>
      <c r="Z149" s="4"/>
    </row>
    <row r="150" ht="12.75" customHeight="1">
      <c r="A150" s="3" t="s">
        <v>65</v>
      </c>
      <c r="B150" s="3">
        <v>64.28</v>
      </c>
      <c r="C150" s="3">
        <v>15.0</v>
      </c>
      <c r="D150" s="4"/>
      <c r="E150" s="3" t="s">
        <v>92</v>
      </c>
      <c r="F150" s="3">
        <v>66.38</v>
      </c>
      <c r="G150" s="3">
        <v>15.0</v>
      </c>
      <c r="H150" s="24"/>
      <c r="I150" s="3" t="s">
        <v>100</v>
      </c>
      <c r="J150" s="3">
        <v>69.49</v>
      </c>
      <c r="K150" s="3">
        <v>15.0</v>
      </c>
      <c r="L150" s="4"/>
      <c r="M150" s="3" t="s">
        <v>95</v>
      </c>
      <c r="N150" s="3">
        <v>68.41</v>
      </c>
      <c r="O150" s="3">
        <v>15.0</v>
      </c>
      <c r="P150" s="4"/>
      <c r="Q150" s="3" t="s">
        <v>55</v>
      </c>
      <c r="R150" s="3">
        <v>69.37</v>
      </c>
      <c r="S150" s="27">
        <v>15.0</v>
      </c>
      <c r="T150" s="4"/>
      <c r="U150" s="4"/>
      <c r="V150" s="4"/>
      <c r="W150" s="4"/>
      <c r="X150" s="4"/>
      <c r="Y150" s="4"/>
      <c r="Z150" s="4"/>
    </row>
    <row r="151" ht="12.75" customHeight="1">
      <c r="A151" s="3" t="s">
        <v>92</v>
      </c>
      <c r="B151" s="3">
        <v>63.8</v>
      </c>
      <c r="C151" s="3">
        <v>16.0</v>
      </c>
      <c r="D151" s="4"/>
      <c r="E151" s="3" t="s">
        <v>26</v>
      </c>
      <c r="F151" s="3">
        <v>65.08</v>
      </c>
      <c r="G151" s="3">
        <v>16.0</v>
      </c>
      <c r="H151" s="24"/>
      <c r="I151" s="3" t="s">
        <v>38</v>
      </c>
      <c r="J151" s="3">
        <v>69.38</v>
      </c>
      <c r="K151" s="3">
        <v>16.0</v>
      </c>
      <c r="L151" s="4"/>
      <c r="M151" s="3" t="s">
        <v>92</v>
      </c>
      <c r="N151" s="3">
        <v>63.45</v>
      </c>
      <c r="O151" s="3">
        <v>16.0</v>
      </c>
      <c r="P151" s="4"/>
      <c r="Q151" s="3" t="s">
        <v>95</v>
      </c>
      <c r="R151" s="3">
        <v>68.98</v>
      </c>
      <c r="S151" s="27">
        <v>16.0</v>
      </c>
      <c r="T151" s="4"/>
      <c r="U151" s="4"/>
      <c r="V151" s="4"/>
      <c r="W151" s="4"/>
      <c r="X151" s="4"/>
      <c r="Y151" s="4"/>
      <c r="Z151" s="4"/>
    </row>
    <row r="152" ht="12.75" customHeight="1">
      <c r="A152" s="3" t="s">
        <v>26</v>
      </c>
      <c r="B152" s="3">
        <v>63.63</v>
      </c>
      <c r="C152" s="3">
        <v>17.0</v>
      </c>
      <c r="D152" s="4"/>
      <c r="E152" s="3" t="s">
        <v>116</v>
      </c>
      <c r="F152" s="3">
        <v>64.83</v>
      </c>
      <c r="G152" s="3">
        <v>17.0</v>
      </c>
      <c r="H152" s="24"/>
      <c r="I152" s="3" t="s">
        <v>95</v>
      </c>
      <c r="J152" s="3">
        <v>66.12</v>
      </c>
      <c r="K152" s="3">
        <v>17.0</v>
      </c>
      <c r="L152" s="4"/>
      <c r="M152" s="3" t="s">
        <v>176</v>
      </c>
      <c r="N152" s="3">
        <v>62.5</v>
      </c>
      <c r="O152" s="3">
        <v>17.0</v>
      </c>
      <c r="P152" s="4"/>
      <c r="Q152" s="3" t="s">
        <v>106</v>
      </c>
      <c r="R152" s="3">
        <v>67.02</v>
      </c>
      <c r="S152" s="27">
        <v>17.0</v>
      </c>
      <c r="T152" s="4"/>
      <c r="U152" s="4"/>
      <c r="V152" s="4"/>
      <c r="W152" s="4"/>
      <c r="X152" s="4"/>
      <c r="Y152" s="4"/>
      <c r="Z152" s="4"/>
    </row>
    <row r="153" ht="12.75" customHeight="1">
      <c r="A153" s="3" t="s">
        <v>116</v>
      </c>
      <c r="B153" s="3">
        <v>62.65</v>
      </c>
      <c r="C153" s="3">
        <v>18.0</v>
      </c>
      <c r="D153" s="4"/>
      <c r="E153" s="3" t="s">
        <v>95</v>
      </c>
      <c r="F153" s="3">
        <v>63.22</v>
      </c>
      <c r="G153" s="3">
        <v>18.0</v>
      </c>
      <c r="H153" s="24"/>
      <c r="I153" s="3" t="s">
        <v>174</v>
      </c>
      <c r="J153" s="3">
        <v>60.23</v>
      </c>
      <c r="K153" s="3">
        <v>18.0</v>
      </c>
      <c r="L153" s="4"/>
      <c r="M153" s="3" t="s">
        <v>51</v>
      </c>
      <c r="N153" s="3">
        <v>60.84</v>
      </c>
      <c r="O153" s="3">
        <v>18.0</v>
      </c>
      <c r="P153" s="4"/>
      <c r="Q153" s="3" t="s">
        <v>189</v>
      </c>
      <c r="R153" s="3">
        <v>66.24</v>
      </c>
      <c r="S153" s="27">
        <v>18.0</v>
      </c>
      <c r="T153" s="4"/>
      <c r="U153" s="4"/>
      <c r="V153" s="4"/>
      <c r="W153" s="4"/>
      <c r="X153" s="4"/>
      <c r="Y153" s="4"/>
      <c r="Z153" s="4"/>
    </row>
    <row r="154" ht="12.75" customHeight="1">
      <c r="A154" s="3" t="s">
        <v>57</v>
      </c>
      <c r="B154" s="3">
        <v>60.62</v>
      </c>
      <c r="C154" s="3">
        <v>19.0</v>
      </c>
      <c r="D154" s="4"/>
      <c r="E154" s="3" t="s">
        <v>57</v>
      </c>
      <c r="F154" s="3">
        <v>62.03</v>
      </c>
      <c r="G154" s="3">
        <v>19.0</v>
      </c>
      <c r="H154" s="24"/>
      <c r="I154" s="3" t="s">
        <v>92</v>
      </c>
      <c r="J154" s="3">
        <v>57.22</v>
      </c>
      <c r="K154" s="3">
        <v>19.0</v>
      </c>
      <c r="L154" s="4"/>
      <c r="M154" s="3" t="s">
        <v>86</v>
      </c>
      <c r="N154" s="3">
        <v>60.66</v>
      </c>
      <c r="O154" s="3">
        <v>19.0</v>
      </c>
      <c r="P154" s="4"/>
      <c r="Q154" s="3" t="s">
        <v>92</v>
      </c>
      <c r="R154" s="3">
        <v>65.28</v>
      </c>
      <c r="S154" s="27">
        <v>19.0</v>
      </c>
      <c r="T154" s="4"/>
      <c r="U154" s="4"/>
      <c r="V154" s="4"/>
      <c r="W154" s="4"/>
      <c r="X154" s="4"/>
      <c r="Y154" s="4"/>
      <c r="Z154" s="4"/>
    </row>
    <row r="155" ht="12.75" customHeight="1">
      <c r="A155" s="3" t="s">
        <v>82</v>
      </c>
      <c r="B155" s="3">
        <v>60.46</v>
      </c>
      <c r="C155" s="3">
        <v>20.0</v>
      </c>
      <c r="D155" s="4"/>
      <c r="E155" s="3" t="s">
        <v>109</v>
      </c>
      <c r="F155" s="3">
        <v>61.89</v>
      </c>
      <c r="G155" s="3">
        <v>20.0</v>
      </c>
      <c r="H155" s="24"/>
      <c r="I155" s="3" t="s">
        <v>62</v>
      </c>
      <c r="J155" s="3">
        <v>56.62</v>
      </c>
      <c r="K155" s="3">
        <v>20.0</v>
      </c>
      <c r="L155" s="4"/>
      <c r="M155" s="3" t="s">
        <v>106</v>
      </c>
      <c r="N155" s="3">
        <v>57.96</v>
      </c>
      <c r="O155" s="3">
        <v>20.0</v>
      </c>
      <c r="P155" s="4"/>
      <c r="Q155" s="3" t="s">
        <v>51</v>
      </c>
      <c r="R155" s="3">
        <v>63.62</v>
      </c>
      <c r="S155" s="27">
        <v>20.0</v>
      </c>
      <c r="T155" s="4"/>
      <c r="U155" s="4"/>
      <c r="V155" s="4"/>
      <c r="W155" s="4"/>
      <c r="X155" s="4"/>
      <c r="Y155" s="4"/>
      <c r="Z155" s="4"/>
    </row>
    <row r="156" ht="12.75" customHeight="1">
      <c r="A156" s="3" t="s">
        <v>62</v>
      </c>
      <c r="B156" s="3">
        <v>56.27</v>
      </c>
      <c r="C156" s="3">
        <v>21.0</v>
      </c>
      <c r="D156" s="4"/>
      <c r="E156" s="3" t="s">
        <v>62</v>
      </c>
      <c r="F156" s="3">
        <v>57.14</v>
      </c>
      <c r="G156" s="3">
        <v>21.0</v>
      </c>
      <c r="H156" s="24"/>
      <c r="I156" s="3" t="s">
        <v>86</v>
      </c>
      <c r="J156" s="3">
        <v>56.24</v>
      </c>
      <c r="K156" s="3">
        <v>21.0</v>
      </c>
      <c r="L156" s="4"/>
      <c r="M156" s="3" t="s">
        <v>62</v>
      </c>
      <c r="N156" s="3">
        <v>57.51</v>
      </c>
      <c r="O156" s="3">
        <v>21.0</v>
      </c>
      <c r="P156" s="4"/>
      <c r="Q156" s="3" t="s">
        <v>86</v>
      </c>
      <c r="R156" s="3">
        <v>61.95</v>
      </c>
      <c r="S156" s="27">
        <v>21.0</v>
      </c>
      <c r="T156" s="4"/>
      <c r="U156" s="4"/>
      <c r="V156" s="4"/>
      <c r="W156" s="4"/>
      <c r="X156" s="4"/>
      <c r="Y156" s="4"/>
      <c r="Z156" s="4"/>
    </row>
    <row r="157" ht="12.75" customHeight="1">
      <c r="A157" s="3" t="s">
        <v>74</v>
      </c>
      <c r="B157" s="3">
        <v>55.06</v>
      </c>
      <c r="C157" s="3">
        <v>22.0</v>
      </c>
      <c r="D157" s="4"/>
      <c r="E157" s="3" t="s">
        <v>74</v>
      </c>
      <c r="F157" s="3">
        <v>56.09</v>
      </c>
      <c r="G157" s="3">
        <v>22.0</v>
      </c>
      <c r="H157" s="24"/>
      <c r="I157" s="3" t="s">
        <v>51</v>
      </c>
      <c r="J157" s="3">
        <v>53.32</v>
      </c>
      <c r="K157" s="3">
        <v>22.0</v>
      </c>
      <c r="L157" s="4"/>
      <c r="M157" s="3" t="s">
        <v>64</v>
      </c>
      <c r="N157" s="3">
        <v>56.93</v>
      </c>
      <c r="O157" s="3">
        <v>22.0</v>
      </c>
      <c r="P157" s="4"/>
      <c r="Q157" s="3" t="s">
        <v>90</v>
      </c>
      <c r="R157" s="3">
        <v>59.56</v>
      </c>
      <c r="S157" s="27">
        <v>22.0</v>
      </c>
      <c r="T157" s="4"/>
      <c r="U157" s="4"/>
      <c r="V157" s="4"/>
      <c r="W157" s="4"/>
      <c r="X157" s="4"/>
      <c r="Y157" s="4"/>
      <c r="Z157" s="4"/>
    </row>
    <row r="158" ht="12.75" customHeight="1">
      <c r="A158" s="3" t="s">
        <v>87</v>
      </c>
      <c r="B158" s="3">
        <v>51.43</v>
      </c>
      <c r="C158" s="3">
        <v>23.0</v>
      </c>
      <c r="D158" s="4"/>
      <c r="E158" s="3" t="s">
        <v>87</v>
      </c>
      <c r="F158" s="3">
        <v>52.95</v>
      </c>
      <c r="G158" s="3">
        <v>23.0</v>
      </c>
      <c r="H158" s="24"/>
      <c r="I158" s="3" t="s">
        <v>57</v>
      </c>
      <c r="J158" s="3">
        <v>50.78</v>
      </c>
      <c r="K158" s="3">
        <v>23.0</v>
      </c>
      <c r="L158" s="4"/>
      <c r="M158" s="3" t="s">
        <v>87</v>
      </c>
      <c r="N158" s="3">
        <v>53.31</v>
      </c>
      <c r="O158" s="3">
        <v>23.0</v>
      </c>
      <c r="P158" s="4"/>
      <c r="Q158" s="3" t="s">
        <v>64</v>
      </c>
      <c r="R158" s="3">
        <v>57.51</v>
      </c>
      <c r="S158" s="27">
        <v>23.0</v>
      </c>
      <c r="T158" s="4"/>
      <c r="U158" s="4"/>
      <c r="V158" s="4"/>
      <c r="W158" s="4"/>
      <c r="X158" s="4"/>
      <c r="Y158" s="4"/>
      <c r="Z158" s="4"/>
    </row>
    <row r="159" ht="12.75" customHeight="1">
      <c r="A159" s="3" t="s">
        <v>100</v>
      </c>
      <c r="B159" s="3">
        <v>48.97</v>
      </c>
      <c r="C159" s="3">
        <v>24.0</v>
      </c>
      <c r="D159" s="4"/>
      <c r="E159" s="3" t="s">
        <v>106</v>
      </c>
      <c r="F159" s="3">
        <v>51.04</v>
      </c>
      <c r="G159" s="3">
        <v>24.0</v>
      </c>
      <c r="H159" s="24"/>
      <c r="I159" s="3" t="s">
        <v>106</v>
      </c>
      <c r="J159" s="3">
        <v>50.62</v>
      </c>
      <c r="K159" s="3">
        <v>24.0</v>
      </c>
      <c r="L159" s="4"/>
      <c r="M159" s="3" t="s">
        <v>90</v>
      </c>
      <c r="N159" s="3">
        <v>50.58</v>
      </c>
      <c r="O159" s="3">
        <v>24.0</v>
      </c>
      <c r="P159" s="4"/>
      <c r="Q159" s="3" t="s">
        <v>46</v>
      </c>
      <c r="R159" s="3">
        <v>55.79</v>
      </c>
      <c r="S159" s="27">
        <v>24.0</v>
      </c>
      <c r="T159" s="4"/>
      <c r="U159" s="4"/>
      <c r="V159" s="4"/>
      <c r="W159" s="4"/>
      <c r="X159" s="4"/>
      <c r="Y159" s="4"/>
      <c r="Z159" s="4"/>
    </row>
    <row r="160" ht="12.75" customHeight="1">
      <c r="A160" s="3" t="s">
        <v>91</v>
      </c>
      <c r="B160" s="3">
        <v>46.83</v>
      </c>
      <c r="C160" s="3">
        <v>25.0</v>
      </c>
      <c r="D160" s="4"/>
      <c r="E160" s="3" t="s">
        <v>91</v>
      </c>
      <c r="F160" s="3">
        <v>48.58</v>
      </c>
      <c r="G160" s="3">
        <v>25.0</v>
      </c>
      <c r="H160" s="24"/>
      <c r="I160" s="3" t="s">
        <v>90</v>
      </c>
      <c r="J160" s="3">
        <v>49.15</v>
      </c>
      <c r="K160" s="3">
        <v>25.0</v>
      </c>
      <c r="L160" s="4"/>
      <c r="M160" s="3" t="s">
        <v>88</v>
      </c>
      <c r="N160" s="3">
        <v>49.02</v>
      </c>
      <c r="O160" s="3">
        <v>25.0</v>
      </c>
      <c r="P160" s="4"/>
      <c r="Q160" s="3" t="s">
        <v>58</v>
      </c>
      <c r="R160" s="3">
        <v>53.59</v>
      </c>
      <c r="S160" s="27">
        <v>25.0</v>
      </c>
      <c r="T160" s="4"/>
      <c r="U160" s="4"/>
      <c r="V160" s="4"/>
      <c r="W160" s="4"/>
      <c r="X160" s="4"/>
      <c r="Y160" s="4"/>
      <c r="Z160" s="4"/>
    </row>
    <row r="161" ht="12.75" customHeight="1">
      <c r="A161" s="3" t="s">
        <v>90</v>
      </c>
      <c r="B161" s="3">
        <v>46.47</v>
      </c>
      <c r="C161" s="3">
        <v>26.0</v>
      </c>
      <c r="D161" s="4"/>
      <c r="E161" s="3" t="s">
        <v>90</v>
      </c>
      <c r="F161" s="3">
        <v>47.78</v>
      </c>
      <c r="G161" s="3">
        <v>26.0</v>
      </c>
      <c r="H161" s="24"/>
      <c r="I161" s="3" t="s">
        <v>88</v>
      </c>
      <c r="J161" s="3">
        <v>48.82</v>
      </c>
      <c r="K161" s="3">
        <v>26.0</v>
      </c>
      <c r="L161" s="4"/>
      <c r="M161" s="3" t="s">
        <v>189</v>
      </c>
      <c r="N161" s="3">
        <v>48.3</v>
      </c>
      <c r="O161" s="3">
        <v>26.0</v>
      </c>
      <c r="P161" s="4"/>
      <c r="Q161" s="3" t="s">
        <v>88</v>
      </c>
      <c r="R161" s="3">
        <v>48.44</v>
      </c>
      <c r="S161" s="27">
        <v>26.0</v>
      </c>
      <c r="T161" s="4"/>
      <c r="U161" s="4"/>
      <c r="V161" s="4"/>
      <c r="W161" s="4"/>
      <c r="X161" s="4"/>
      <c r="Y161" s="4"/>
      <c r="Z161" s="4"/>
    </row>
    <row r="162" ht="12.75" customHeight="1">
      <c r="A162" s="3" t="s">
        <v>106</v>
      </c>
      <c r="B162" s="3">
        <v>45.02</v>
      </c>
      <c r="C162" s="3">
        <v>27.0</v>
      </c>
      <c r="D162" s="4"/>
      <c r="E162" s="3" t="s">
        <v>107</v>
      </c>
      <c r="F162" s="3">
        <v>44.62</v>
      </c>
      <c r="G162" s="3">
        <v>27.0</v>
      </c>
      <c r="H162" s="24"/>
      <c r="I162" s="3" t="s">
        <v>189</v>
      </c>
      <c r="J162" s="3">
        <v>47.64</v>
      </c>
      <c r="K162" s="3">
        <v>27.0</v>
      </c>
      <c r="L162" s="4"/>
      <c r="M162" s="3" t="s">
        <v>46</v>
      </c>
      <c r="N162" s="3">
        <v>45.9</v>
      </c>
      <c r="O162" s="3">
        <v>27.0</v>
      </c>
      <c r="P162" s="4"/>
      <c r="Q162" s="3" t="s">
        <v>152</v>
      </c>
      <c r="R162" s="3">
        <v>44.63</v>
      </c>
      <c r="S162" s="27">
        <v>27.0</v>
      </c>
      <c r="T162" s="4"/>
      <c r="U162" s="4"/>
      <c r="V162" s="4"/>
      <c r="W162" s="4"/>
      <c r="X162" s="4"/>
      <c r="Y162" s="4"/>
      <c r="Z162" s="4"/>
    </row>
    <row r="163" ht="12.75" customHeight="1">
      <c r="A163" s="3" t="s">
        <v>95</v>
      </c>
      <c r="B163" s="3">
        <v>44.86</v>
      </c>
      <c r="C163" s="3">
        <v>28.0</v>
      </c>
      <c r="D163" s="4"/>
      <c r="E163" s="3" t="s">
        <v>99</v>
      </c>
      <c r="F163" s="3">
        <v>44.03</v>
      </c>
      <c r="G163" s="3">
        <v>28.0</v>
      </c>
      <c r="H163" s="24"/>
      <c r="I163" s="3" t="s">
        <v>176</v>
      </c>
      <c r="J163" s="3">
        <v>47.49</v>
      </c>
      <c r="K163" s="3">
        <v>28.0</v>
      </c>
      <c r="L163" s="4"/>
      <c r="M163" s="3" t="s">
        <v>38</v>
      </c>
      <c r="N163" s="3">
        <v>45.18</v>
      </c>
      <c r="O163" s="3">
        <v>28.0</v>
      </c>
      <c r="P163" s="4"/>
      <c r="Q163" s="3" t="s">
        <v>182</v>
      </c>
      <c r="R163" s="3">
        <v>43.64</v>
      </c>
      <c r="S163" s="27">
        <v>28.0</v>
      </c>
      <c r="T163" s="4"/>
      <c r="U163" s="4"/>
      <c r="V163" s="4"/>
      <c r="W163" s="4"/>
      <c r="X163" s="4"/>
      <c r="Y163" s="4"/>
      <c r="Z163" s="4"/>
    </row>
    <row r="164" ht="12.75" customHeight="1">
      <c r="A164" s="3" t="s">
        <v>107</v>
      </c>
      <c r="B164" s="3">
        <v>43.7</v>
      </c>
      <c r="C164" s="3">
        <v>29.0</v>
      </c>
      <c r="D164" s="4"/>
      <c r="E164" s="3" t="s">
        <v>58</v>
      </c>
      <c r="F164" s="3">
        <v>43.63</v>
      </c>
      <c r="G164" s="3">
        <v>29.0</v>
      </c>
      <c r="H164" s="24"/>
      <c r="I164" s="3" t="s">
        <v>173</v>
      </c>
      <c r="J164" s="3">
        <v>44.26</v>
      </c>
      <c r="K164" s="3">
        <v>29.0</v>
      </c>
      <c r="L164" s="4"/>
      <c r="M164" s="3" t="s">
        <v>58</v>
      </c>
      <c r="N164" s="3">
        <v>44.65</v>
      </c>
      <c r="O164" s="3">
        <v>29.0</v>
      </c>
      <c r="P164" s="4"/>
      <c r="Q164" s="3" t="s">
        <v>164</v>
      </c>
      <c r="R164" s="3">
        <v>43.43</v>
      </c>
      <c r="S164" s="27">
        <v>29.0</v>
      </c>
      <c r="T164" s="4"/>
      <c r="U164" s="4"/>
      <c r="V164" s="4"/>
      <c r="W164" s="4"/>
      <c r="X164" s="4"/>
      <c r="Y164" s="4"/>
      <c r="Z164" s="4"/>
    </row>
    <row r="165" ht="12.75" customHeight="1">
      <c r="A165" s="3" t="s">
        <v>101</v>
      </c>
      <c r="B165" s="3">
        <v>43.45</v>
      </c>
      <c r="C165" s="3">
        <v>30.0</v>
      </c>
      <c r="D165" s="4"/>
      <c r="E165" s="3" t="s">
        <v>161</v>
      </c>
      <c r="F165" s="3">
        <v>43.17</v>
      </c>
      <c r="G165" s="3">
        <v>30.0</v>
      </c>
      <c r="H165" s="24"/>
      <c r="I165" s="3" t="s">
        <v>58</v>
      </c>
      <c r="J165" s="3">
        <v>43.98</v>
      </c>
      <c r="K165" s="3">
        <v>30.0</v>
      </c>
      <c r="L165" s="4"/>
      <c r="M165" s="3" t="s">
        <v>152</v>
      </c>
      <c r="N165" s="3">
        <v>44.27</v>
      </c>
      <c r="O165" s="3">
        <v>30.0</v>
      </c>
      <c r="P165" s="4"/>
      <c r="Q165" s="3" t="s">
        <v>93</v>
      </c>
      <c r="R165" s="3">
        <v>43.24</v>
      </c>
      <c r="S165" s="27">
        <v>30.0</v>
      </c>
      <c r="T165" s="4"/>
      <c r="U165" s="4"/>
      <c r="V165" s="4"/>
      <c r="W165" s="4"/>
      <c r="X165" s="4"/>
      <c r="Y165" s="4"/>
      <c r="Z165" s="4"/>
    </row>
    <row r="166" ht="12.75" customHeight="1">
      <c r="A166" s="3" t="s">
        <v>196</v>
      </c>
      <c r="B166" s="3">
        <v>43.06</v>
      </c>
      <c r="C166" s="3">
        <v>31.0</v>
      </c>
      <c r="D166" s="4"/>
      <c r="E166" s="3" t="s">
        <v>124</v>
      </c>
      <c r="F166" s="3">
        <v>42.32</v>
      </c>
      <c r="G166" s="3">
        <v>31.0</v>
      </c>
      <c r="H166" s="24"/>
      <c r="I166" s="3" t="s">
        <v>166</v>
      </c>
      <c r="J166" s="3">
        <v>42.88</v>
      </c>
      <c r="K166" s="3">
        <v>31.0</v>
      </c>
      <c r="L166" s="4"/>
      <c r="M166" s="3" t="s">
        <v>164</v>
      </c>
      <c r="N166" s="3">
        <v>44.18</v>
      </c>
      <c r="O166" s="3">
        <v>31.0</v>
      </c>
      <c r="P166" s="4"/>
      <c r="Q166" s="3" t="s">
        <v>158</v>
      </c>
      <c r="R166" s="3">
        <v>42.61</v>
      </c>
      <c r="S166" s="27">
        <v>31.0</v>
      </c>
      <c r="T166" s="4"/>
      <c r="U166" s="4"/>
      <c r="V166" s="4"/>
      <c r="W166" s="4"/>
      <c r="X166" s="4"/>
      <c r="Y166" s="4"/>
      <c r="Z166" s="4"/>
    </row>
    <row r="167" ht="12.75" customHeight="1">
      <c r="A167" s="3" t="s">
        <v>109</v>
      </c>
      <c r="B167" s="3">
        <v>42.85</v>
      </c>
      <c r="C167" s="3">
        <v>32.0</v>
      </c>
      <c r="D167" s="4"/>
      <c r="E167" s="3" t="s">
        <v>117</v>
      </c>
      <c r="F167" s="3">
        <v>42.24</v>
      </c>
      <c r="G167" s="3">
        <v>32.0</v>
      </c>
      <c r="H167" s="24"/>
      <c r="I167" s="3" t="s">
        <v>93</v>
      </c>
      <c r="J167" s="3">
        <v>41.05</v>
      </c>
      <c r="K167" s="3">
        <v>32.0</v>
      </c>
      <c r="L167" s="4"/>
      <c r="M167" s="3" t="s">
        <v>93</v>
      </c>
      <c r="N167" s="3">
        <v>43.65</v>
      </c>
      <c r="O167" s="3">
        <v>32.0</v>
      </c>
      <c r="P167" s="4"/>
      <c r="Q167" s="3" t="s">
        <v>47</v>
      </c>
      <c r="R167" s="3">
        <v>42.05</v>
      </c>
      <c r="S167" s="27">
        <v>32.0</v>
      </c>
      <c r="T167" s="4"/>
      <c r="U167" s="4"/>
      <c r="V167" s="4"/>
      <c r="W167" s="4"/>
      <c r="X167" s="4"/>
      <c r="Y167" s="4"/>
      <c r="Z167" s="4"/>
    </row>
    <row r="168" ht="12.75" customHeight="1">
      <c r="A168" s="3" t="s">
        <v>47</v>
      </c>
      <c r="B168" s="3">
        <v>42.39</v>
      </c>
      <c r="C168" s="3">
        <v>33.0</v>
      </c>
      <c r="D168" s="4"/>
      <c r="E168" s="3" t="s">
        <v>118</v>
      </c>
      <c r="F168" s="3">
        <v>40.63</v>
      </c>
      <c r="G168" s="3">
        <v>33.0</v>
      </c>
      <c r="H168" s="24"/>
      <c r="I168" s="3" t="s">
        <v>152</v>
      </c>
      <c r="J168" s="3">
        <v>40.38</v>
      </c>
      <c r="K168" s="3">
        <v>33.0</v>
      </c>
      <c r="L168" s="4"/>
      <c r="M168" s="3" t="s">
        <v>173</v>
      </c>
      <c r="N168" s="3">
        <v>42.15</v>
      </c>
      <c r="O168" s="3">
        <v>33.0</v>
      </c>
      <c r="P168" s="4"/>
      <c r="Q168" s="3" t="s">
        <v>97</v>
      </c>
      <c r="R168" s="3">
        <v>41.53</v>
      </c>
      <c r="S168" s="27">
        <v>33.0</v>
      </c>
      <c r="T168" s="4"/>
      <c r="U168" s="4"/>
      <c r="V168" s="4"/>
      <c r="W168" s="4"/>
      <c r="X168" s="4"/>
      <c r="Y168" s="4"/>
      <c r="Z168" s="4"/>
    </row>
    <row r="169" ht="12.75" customHeight="1">
      <c r="A169" s="3" t="s">
        <v>124</v>
      </c>
      <c r="B169" s="3">
        <v>41.49</v>
      </c>
      <c r="C169" s="3">
        <v>34.0</v>
      </c>
      <c r="D169" s="4"/>
      <c r="E169" s="3" t="s">
        <v>88</v>
      </c>
      <c r="F169" s="3">
        <v>40.43</v>
      </c>
      <c r="G169" s="3">
        <v>34.0</v>
      </c>
      <c r="H169" s="24"/>
      <c r="I169" s="3" t="s">
        <v>47</v>
      </c>
      <c r="J169" s="3">
        <v>40.16</v>
      </c>
      <c r="K169" s="3">
        <v>34.0</v>
      </c>
      <c r="L169" s="4"/>
      <c r="M169" s="3" t="s">
        <v>47</v>
      </c>
      <c r="N169" s="3">
        <v>42.0</v>
      </c>
      <c r="O169" s="3">
        <v>34.0</v>
      </c>
      <c r="P169" s="4"/>
      <c r="Q169" s="3" t="s">
        <v>180</v>
      </c>
      <c r="R169" s="3">
        <v>41.48</v>
      </c>
      <c r="S169" s="27">
        <v>34.0</v>
      </c>
      <c r="T169" s="4"/>
      <c r="U169" s="4"/>
      <c r="V169" s="4"/>
      <c r="W169" s="4"/>
      <c r="X169" s="4"/>
      <c r="Y169" s="4"/>
      <c r="Z169" s="4"/>
    </row>
    <row r="170" ht="12.75" customHeight="1">
      <c r="A170" s="3" t="s">
        <v>161</v>
      </c>
      <c r="B170" s="3">
        <v>40.36</v>
      </c>
      <c r="C170" s="3">
        <v>35.0</v>
      </c>
      <c r="D170" s="4"/>
      <c r="E170" s="3" t="s">
        <v>93</v>
      </c>
      <c r="F170" s="3">
        <v>40.36</v>
      </c>
      <c r="G170" s="3">
        <v>35.0</v>
      </c>
      <c r="H170" s="24"/>
      <c r="I170" s="3" t="s">
        <v>60</v>
      </c>
      <c r="J170" s="3">
        <v>39.96</v>
      </c>
      <c r="K170" s="3">
        <v>35.0</v>
      </c>
      <c r="L170" s="4"/>
      <c r="M170" s="3" t="s">
        <v>182</v>
      </c>
      <c r="N170" s="3">
        <v>41.65</v>
      </c>
      <c r="O170" s="3">
        <v>35.0</v>
      </c>
      <c r="P170" s="4"/>
      <c r="Q170" s="3" t="s">
        <v>118</v>
      </c>
      <c r="R170" s="3">
        <v>41.18</v>
      </c>
      <c r="S170" s="27">
        <v>35.0</v>
      </c>
      <c r="T170" s="4"/>
      <c r="U170" s="4"/>
      <c r="V170" s="4"/>
      <c r="W170" s="4"/>
      <c r="X170" s="4"/>
      <c r="Y170" s="4"/>
      <c r="Z170" s="4"/>
    </row>
    <row r="171" ht="12.75" customHeight="1">
      <c r="A171" s="3" t="s">
        <v>99</v>
      </c>
      <c r="B171" s="3">
        <v>38.81</v>
      </c>
      <c r="C171" s="3">
        <v>36.0</v>
      </c>
      <c r="D171" s="4"/>
      <c r="E171" s="3" t="s">
        <v>60</v>
      </c>
      <c r="F171" s="3">
        <v>39.94</v>
      </c>
      <c r="G171" s="3">
        <v>36.0</v>
      </c>
      <c r="H171" s="24"/>
      <c r="I171" s="3" t="s">
        <v>118</v>
      </c>
      <c r="J171" s="3">
        <v>39.75</v>
      </c>
      <c r="K171" s="3">
        <v>36.0</v>
      </c>
      <c r="L171" s="4"/>
      <c r="M171" s="3" t="s">
        <v>132</v>
      </c>
      <c r="N171" s="3">
        <v>40.1</v>
      </c>
      <c r="O171" s="3">
        <v>36.0</v>
      </c>
      <c r="P171" s="4"/>
      <c r="Q171" s="3" t="s">
        <v>113</v>
      </c>
      <c r="R171" s="3">
        <v>40.08</v>
      </c>
      <c r="S171" s="27">
        <v>36.0</v>
      </c>
      <c r="T171" s="4"/>
      <c r="U171" s="4"/>
      <c r="V171" s="4"/>
      <c r="W171" s="4"/>
      <c r="X171" s="4"/>
      <c r="Y171" s="4"/>
      <c r="Z171" s="4"/>
    </row>
    <row r="172" ht="12.75" customHeight="1">
      <c r="A172" s="3" t="s">
        <v>132</v>
      </c>
      <c r="B172" s="3">
        <v>38.63</v>
      </c>
      <c r="C172" s="3">
        <v>37.0</v>
      </c>
      <c r="D172" s="4"/>
      <c r="E172" s="3" t="s">
        <v>115</v>
      </c>
      <c r="F172" s="3">
        <v>39.76</v>
      </c>
      <c r="G172" s="3">
        <v>37.0</v>
      </c>
      <c r="H172" s="24"/>
      <c r="I172" s="3" t="s">
        <v>186</v>
      </c>
      <c r="J172" s="3">
        <v>39.69</v>
      </c>
      <c r="K172" s="3">
        <v>37.0</v>
      </c>
      <c r="L172" s="4"/>
      <c r="M172" s="3" t="s">
        <v>166</v>
      </c>
      <c r="N172" s="3">
        <v>39.8</v>
      </c>
      <c r="O172" s="3">
        <v>37.0</v>
      </c>
      <c r="P172" s="4"/>
      <c r="Q172" s="3" t="s">
        <v>132</v>
      </c>
      <c r="R172" s="3">
        <v>39.94</v>
      </c>
      <c r="S172" s="27">
        <v>37.0</v>
      </c>
      <c r="T172" s="4"/>
      <c r="U172" s="4"/>
      <c r="V172" s="4"/>
      <c r="W172" s="4"/>
      <c r="X172" s="4"/>
      <c r="Y172" s="4"/>
      <c r="Z172" s="4"/>
    </row>
    <row r="173" ht="12.75" customHeight="1">
      <c r="A173" s="3" t="s">
        <v>117</v>
      </c>
      <c r="B173" s="3">
        <v>38.41</v>
      </c>
      <c r="C173" s="3">
        <v>38.0</v>
      </c>
      <c r="D173" s="4"/>
      <c r="E173" s="3" t="s">
        <v>119</v>
      </c>
      <c r="F173" s="3">
        <v>39.32</v>
      </c>
      <c r="G173" s="3">
        <v>38.0</v>
      </c>
      <c r="H173" s="24"/>
      <c r="I173" s="3" t="s">
        <v>182</v>
      </c>
      <c r="J173" s="3">
        <v>39.61</v>
      </c>
      <c r="K173" s="3">
        <v>38.0</v>
      </c>
      <c r="L173" s="4"/>
      <c r="M173" s="3" t="s">
        <v>82</v>
      </c>
      <c r="N173" s="3">
        <v>39.77</v>
      </c>
      <c r="O173" s="3">
        <v>38.0</v>
      </c>
      <c r="P173" s="4"/>
      <c r="Q173" s="3" t="s">
        <v>151</v>
      </c>
      <c r="R173" s="3">
        <v>39.59</v>
      </c>
      <c r="S173" s="27">
        <v>38.0</v>
      </c>
      <c r="T173" s="4"/>
      <c r="U173" s="4"/>
      <c r="V173" s="4"/>
      <c r="W173" s="4"/>
      <c r="X173" s="4"/>
      <c r="Y173" s="4"/>
      <c r="Z173" s="4"/>
    </row>
    <row r="174" ht="12.75" customHeight="1">
      <c r="A174" s="3" t="s">
        <v>118</v>
      </c>
      <c r="B174" s="3">
        <v>38.38</v>
      </c>
      <c r="C174" s="3">
        <v>39.0</v>
      </c>
      <c r="D174" s="4"/>
      <c r="E174" s="3" t="s">
        <v>47</v>
      </c>
      <c r="F174" s="3">
        <v>38.98</v>
      </c>
      <c r="G174" s="3">
        <v>39.0</v>
      </c>
      <c r="H174" s="24"/>
      <c r="I174" s="3" t="s">
        <v>149</v>
      </c>
      <c r="J174" s="3">
        <v>39.32</v>
      </c>
      <c r="K174" s="3">
        <v>39.0</v>
      </c>
      <c r="L174" s="4"/>
      <c r="M174" s="3" t="s">
        <v>118</v>
      </c>
      <c r="N174" s="3">
        <v>39.63</v>
      </c>
      <c r="O174" s="3">
        <v>39.0</v>
      </c>
      <c r="P174" s="4"/>
      <c r="Q174" s="3" t="s">
        <v>162</v>
      </c>
      <c r="R174" s="3">
        <v>39.53</v>
      </c>
      <c r="S174" s="27">
        <v>39.0</v>
      </c>
      <c r="T174" s="4"/>
      <c r="U174" s="4"/>
      <c r="V174" s="4"/>
      <c r="W174" s="4"/>
      <c r="X174" s="4"/>
      <c r="Y174" s="4"/>
      <c r="Z174" s="4"/>
    </row>
    <row r="175" ht="12.75" customHeight="1">
      <c r="A175" s="3" t="s">
        <v>136</v>
      </c>
      <c r="B175" s="3">
        <v>37.96</v>
      </c>
      <c r="C175" s="3">
        <v>40.0</v>
      </c>
      <c r="D175" s="4"/>
      <c r="E175" s="3" t="s">
        <v>104</v>
      </c>
      <c r="F175" s="3">
        <v>38.58</v>
      </c>
      <c r="G175" s="3">
        <v>40.0</v>
      </c>
      <c r="H175" s="24"/>
      <c r="I175" s="3" t="s">
        <v>164</v>
      </c>
      <c r="J175" s="3">
        <v>38.98</v>
      </c>
      <c r="K175" s="3">
        <v>40.0</v>
      </c>
      <c r="L175" s="4"/>
      <c r="M175" s="3" t="s">
        <v>129</v>
      </c>
      <c r="N175" s="3">
        <v>38.67</v>
      </c>
      <c r="O175" s="3">
        <v>40.0</v>
      </c>
      <c r="P175" s="4"/>
      <c r="Q175" s="3" t="s">
        <v>126</v>
      </c>
      <c r="R175" s="3">
        <v>39.38</v>
      </c>
      <c r="S175" s="27">
        <v>40.0</v>
      </c>
      <c r="T175" s="4"/>
      <c r="U175" s="4"/>
      <c r="V175" s="4"/>
      <c r="W175" s="4"/>
      <c r="X175" s="4"/>
      <c r="Y175" s="4"/>
      <c r="Z175" s="4"/>
    </row>
    <row r="176" ht="12.75" customHeight="1">
      <c r="A176" s="3" t="s">
        <v>115</v>
      </c>
      <c r="B176" s="3">
        <v>37.67</v>
      </c>
      <c r="C176" s="3">
        <v>41.0</v>
      </c>
      <c r="D176" s="4"/>
      <c r="E176" s="3" t="s">
        <v>132</v>
      </c>
      <c r="F176" s="3">
        <v>38.56</v>
      </c>
      <c r="G176" s="3">
        <v>41.0</v>
      </c>
      <c r="H176" s="24"/>
      <c r="I176" s="3" t="s">
        <v>132</v>
      </c>
      <c r="J176" s="3">
        <v>38.93</v>
      </c>
      <c r="K176" s="3">
        <v>41.0</v>
      </c>
      <c r="L176" s="4"/>
      <c r="M176" s="3" t="s">
        <v>175</v>
      </c>
      <c r="N176" s="3">
        <v>38.5</v>
      </c>
      <c r="O176" s="3">
        <v>41.0</v>
      </c>
      <c r="P176" s="4"/>
      <c r="Q176" s="3" t="s">
        <v>98</v>
      </c>
      <c r="R176" s="3">
        <v>39.37</v>
      </c>
      <c r="S176" s="27">
        <v>41.0</v>
      </c>
      <c r="T176" s="4"/>
      <c r="U176" s="4"/>
      <c r="V176" s="4"/>
      <c r="W176" s="4"/>
      <c r="X176" s="4"/>
      <c r="Y176" s="4"/>
      <c r="Z176" s="4"/>
    </row>
    <row r="177" ht="12.75" customHeight="1">
      <c r="A177" s="3" t="s">
        <v>119</v>
      </c>
      <c r="B177" s="3">
        <v>37.53</v>
      </c>
      <c r="C177" s="3">
        <v>42.0</v>
      </c>
      <c r="D177" s="4"/>
      <c r="E177" s="3" t="s">
        <v>111</v>
      </c>
      <c r="F177" s="3">
        <v>37.83</v>
      </c>
      <c r="G177" s="3">
        <v>42.0</v>
      </c>
      <c r="H177" s="24"/>
      <c r="I177" s="3" t="s">
        <v>101</v>
      </c>
      <c r="J177" s="3">
        <v>38.89</v>
      </c>
      <c r="K177" s="3">
        <v>42.0</v>
      </c>
      <c r="L177" s="4"/>
      <c r="M177" s="3" t="s">
        <v>145</v>
      </c>
      <c r="N177" s="3">
        <v>38.44</v>
      </c>
      <c r="O177" s="3">
        <v>42.0</v>
      </c>
      <c r="P177" s="4"/>
      <c r="Q177" s="3" t="s">
        <v>101</v>
      </c>
      <c r="R177" s="3">
        <v>39.04</v>
      </c>
      <c r="S177" s="27">
        <v>42.0</v>
      </c>
      <c r="T177" s="4"/>
      <c r="U177" s="4"/>
      <c r="V177" s="4"/>
      <c r="W177" s="4"/>
      <c r="X177" s="4"/>
      <c r="Y177" s="4"/>
      <c r="Z177" s="4"/>
    </row>
    <row r="178" ht="12.75" customHeight="1">
      <c r="A178" s="3" t="s">
        <v>129</v>
      </c>
      <c r="B178" s="3">
        <v>37.45</v>
      </c>
      <c r="C178" s="3">
        <v>43.0</v>
      </c>
      <c r="D178" s="4"/>
      <c r="E178" s="3" t="s">
        <v>196</v>
      </c>
      <c r="F178" s="3">
        <v>37.83</v>
      </c>
      <c r="G178" s="3">
        <v>42.0</v>
      </c>
      <c r="H178" s="24"/>
      <c r="I178" s="3" t="s">
        <v>196</v>
      </c>
      <c r="J178" s="3">
        <v>38.88</v>
      </c>
      <c r="K178" s="3">
        <v>43.0</v>
      </c>
      <c r="L178" s="4"/>
      <c r="M178" s="3" t="s">
        <v>98</v>
      </c>
      <c r="N178" s="3">
        <v>38.26</v>
      </c>
      <c r="O178" s="3">
        <v>43.0</v>
      </c>
      <c r="P178" s="4"/>
      <c r="Q178" s="3" t="s">
        <v>124</v>
      </c>
      <c r="R178" s="3">
        <v>39.02</v>
      </c>
      <c r="S178" s="27">
        <v>43.0</v>
      </c>
      <c r="T178" s="4"/>
      <c r="U178" s="4"/>
      <c r="V178" s="4"/>
      <c r="W178" s="4"/>
      <c r="X178" s="4"/>
      <c r="Y178" s="4"/>
      <c r="Z178" s="4"/>
    </row>
    <row r="179" ht="12.75" customHeight="1">
      <c r="A179" s="3" t="s">
        <v>88</v>
      </c>
      <c r="B179" s="3">
        <v>37.3</v>
      </c>
      <c r="C179" s="3">
        <v>44.0</v>
      </c>
      <c r="D179" s="4"/>
      <c r="E179" s="3" t="s">
        <v>149</v>
      </c>
      <c r="F179" s="3">
        <v>37.67</v>
      </c>
      <c r="G179" s="3">
        <v>44.0</v>
      </c>
      <c r="H179" s="24"/>
      <c r="I179" s="3" t="s">
        <v>82</v>
      </c>
      <c r="J179" s="3">
        <v>38.48</v>
      </c>
      <c r="K179" s="3">
        <v>44.0</v>
      </c>
      <c r="L179" s="4"/>
      <c r="M179" s="3" t="s">
        <v>124</v>
      </c>
      <c r="N179" s="3">
        <v>38.25</v>
      </c>
      <c r="O179" s="3">
        <v>44.0</v>
      </c>
      <c r="P179" s="4"/>
      <c r="Q179" s="3" t="s">
        <v>179</v>
      </c>
      <c r="R179" s="3">
        <v>38.92</v>
      </c>
      <c r="S179" s="27">
        <v>44.0</v>
      </c>
      <c r="T179" s="4"/>
      <c r="U179" s="4"/>
      <c r="V179" s="4"/>
      <c r="W179" s="4"/>
      <c r="X179" s="4"/>
      <c r="Y179" s="4"/>
      <c r="Z179" s="4"/>
    </row>
    <row r="180" ht="12.75" customHeight="1">
      <c r="A180" s="3" t="s">
        <v>104</v>
      </c>
      <c r="B180" s="3">
        <v>37.19</v>
      </c>
      <c r="C180" s="3">
        <v>45.0</v>
      </c>
      <c r="D180" s="4"/>
      <c r="E180" s="3" t="s">
        <v>113</v>
      </c>
      <c r="F180" s="3">
        <v>37.38</v>
      </c>
      <c r="G180" s="3">
        <v>45.0</v>
      </c>
      <c r="H180" s="24"/>
      <c r="I180" s="3" t="s">
        <v>98</v>
      </c>
      <c r="J180" s="3">
        <v>37.8</v>
      </c>
      <c r="K180" s="3">
        <v>45.0</v>
      </c>
      <c r="L180" s="4"/>
      <c r="M180" s="3" t="s">
        <v>117</v>
      </c>
      <c r="N180" s="3">
        <v>38.09</v>
      </c>
      <c r="O180" s="3">
        <v>45.0</v>
      </c>
      <c r="P180" s="4"/>
      <c r="Q180" s="3" t="s">
        <v>191</v>
      </c>
      <c r="R180" s="3">
        <v>38.82</v>
      </c>
      <c r="S180" s="27">
        <v>45.0</v>
      </c>
      <c r="T180" s="4"/>
      <c r="U180" s="4"/>
      <c r="V180" s="4"/>
      <c r="W180" s="4"/>
      <c r="X180" s="4"/>
      <c r="Y180" s="4"/>
      <c r="Z180" s="4"/>
    </row>
    <row r="181" ht="12.75" customHeight="1">
      <c r="A181" s="3" t="s">
        <v>149</v>
      </c>
      <c r="B181" s="3">
        <v>37.18</v>
      </c>
      <c r="C181" s="3">
        <v>46.0</v>
      </c>
      <c r="D181" s="4"/>
      <c r="E181" s="3" t="s">
        <v>64</v>
      </c>
      <c r="F181" s="3">
        <v>36.83</v>
      </c>
      <c r="G181" s="3">
        <v>46.0</v>
      </c>
      <c r="H181" s="24"/>
      <c r="I181" s="3" t="s">
        <v>64</v>
      </c>
      <c r="J181" s="3">
        <v>37.63</v>
      </c>
      <c r="K181" s="3">
        <v>46.0</v>
      </c>
      <c r="L181" s="4"/>
      <c r="M181" s="3" t="s">
        <v>101</v>
      </c>
      <c r="N181" s="3">
        <v>38.07</v>
      </c>
      <c r="O181" s="3">
        <v>46.0</v>
      </c>
      <c r="P181" s="4"/>
      <c r="Q181" s="3" t="s">
        <v>129</v>
      </c>
      <c r="R181" s="3">
        <v>38.79</v>
      </c>
      <c r="S181" s="27">
        <v>46.0</v>
      </c>
      <c r="T181" s="4"/>
      <c r="U181" s="4"/>
      <c r="V181" s="4"/>
      <c r="W181" s="4"/>
      <c r="X181" s="4"/>
      <c r="Y181" s="4"/>
      <c r="Z181" s="4"/>
    </row>
    <row r="182" ht="12.75" customHeight="1">
      <c r="A182" s="3" t="s">
        <v>111</v>
      </c>
      <c r="B182" s="3">
        <v>37.13</v>
      </c>
      <c r="C182" s="3">
        <v>47.0</v>
      </c>
      <c r="D182" s="4"/>
      <c r="E182" s="3" t="s">
        <v>101</v>
      </c>
      <c r="F182" s="3">
        <v>36.7</v>
      </c>
      <c r="G182" s="3">
        <v>47.0</v>
      </c>
      <c r="H182" s="24"/>
      <c r="I182" s="3" t="s">
        <v>53</v>
      </c>
      <c r="J182" s="3">
        <v>37.39</v>
      </c>
      <c r="K182" s="3">
        <v>47.0</v>
      </c>
      <c r="L182" s="4"/>
      <c r="M182" s="3" t="s">
        <v>113</v>
      </c>
      <c r="N182" s="3">
        <v>37.9</v>
      </c>
      <c r="O182" s="3">
        <v>47.0</v>
      </c>
      <c r="P182" s="4"/>
      <c r="Q182" s="3" t="s">
        <v>157</v>
      </c>
      <c r="R182" s="3">
        <v>38.78</v>
      </c>
      <c r="S182" s="27">
        <v>47.0</v>
      </c>
      <c r="T182" s="4"/>
      <c r="U182" s="4"/>
      <c r="V182" s="4"/>
      <c r="W182" s="4"/>
      <c r="X182" s="4"/>
      <c r="Y182" s="4"/>
      <c r="Z182" s="4"/>
    </row>
    <row r="183" ht="12.75" customHeight="1">
      <c r="A183" s="3" t="s">
        <v>110</v>
      </c>
      <c r="B183" s="3">
        <v>36.64</v>
      </c>
      <c r="C183" s="3">
        <v>48.0</v>
      </c>
      <c r="D183" s="4"/>
      <c r="E183" s="3" t="s">
        <v>130</v>
      </c>
      <c r="F183" s="3">
        <v>36.7</v>
      </c>
      <c r="G183" s="3">
        <v>47.0</v>
      </c>
      <c r="H183" s="24"/>
      <c r="I183" s="3" t="s">
        <v>99</v>
      </c>
      <c r="J183" s="3">
        <v>37.19</v>
      </c>
      <c r="K183" s="3">
        <v>48.0</v>
      </c>
      <c r="L183" s="4"/>
      <c r="M183" s="3" t="s">
        <v>112</v>
      </c>
      <c r="N183" s="3">
        <v>37.23</v>
      </c>
      <c r="O183" s="3">
        <v>48.0</v>
      </c>
      <c r="P183" s="4"/>
      <c r="Q183" s="3" t="s">
        <v>144</v>
      </c>
      <c r="R183" s="3">
        <v>38.77</v>
      </c>
      <c r="S183" s="27">
        <v>48.0</v>
      </c>
      <c r="T183" s="4"/>
      <c r="U183" s="4"/>
      <c r="V183" s="4"/>
      <c r="W183" s="4"/>
      <c r="X183" s="4"/>
      <c r="Y183" s="4"/>
      <c r="Z183" s="4"/>
    </row>
    <row r="184" ht="12.75" customHeight="1">
      <c r="A184" s="3" t="s">
        <v>113</v>
      </c>
      <c r="B184" s="3">
        <v>36.4</v>
      </c>
      <c r="C184" s="3">
        <v>49.0</v>
      </c>
      <c r="D184" s="4"/>
      <c r="E184" s="3" t="s">
        <v>131</v>
      </c>
      <c r="F184" s="3">
        <v>36.65</v>
      </c>
      <c r="G184" s="3">
        <v>49.0</v>
      </c>
      <c r="H184" s="24"/>
      <c r="I184" s="3" t="s">
        <v>124</v>
      </c>
      <c r="J184" s="3">
        <v>37.01</v>
      </c>
      <c r="K184" s="3">
        <v>49.0</v>
      </c>
      <c r="L184" s="4"/>
      <c r="M184" s="3" t="s">
        <v>116</v>
      </c>
      <c r="N184" s="3">
        <v>37.15</v>
      </c>
      <c r="O184" s="3">
        <v>49.0</v>
      </c>
      <c r="P184" s="4"/>
      <c r="Q184" s="3" t="s">
        <v>38</v>
      </c>
      <c r="R184" s="3">
        <v>38.45</v>
      </c>
      <c r="S184" s="27">
        <v>49.0</v>
      </c>
      <c r="T184" s="4"/>
      <c r="U184" s="4"/>
      <c r="V184" s="4"/>
      <c r="W184" s="4"/>
      <c r="X184" s="4"/>
      <c r="Y184" s="4"/>
      <c r="Z184" s="4"/>
    </row>
    <row r="185" ht="12.75" customHeight="1">
      <c r="A185" s="3" t="s">
        <v>60</v>
      </c>
      <c r="B185" s="3">
        <v>36.29</v>
      </c>
      <c r="C185" s="3">
        <v>50.0</v>
      </c>
      <c r="D185" s="4"/>
      <c r="E185" s="3" t="s">
        <v>129</v>
      </c>
      <c r="F185" s="3">
        <v>36.49</v>
      </c>
      <c r="G185" s="3">
        <v>50.0</v>
      </c>
      <c r="H185" s="24"/>
      <c r="I185" s="3" t="s">
        <v>109</v>
      </c>
      <c r="J185" s="3">
        <v>36.88</v>
      </c>
      <c r="K185" s="3">
        <v>50.0</v>
      </c>
      <c r="L185" s="4"/>
      <c r="M185" s="3" t="s">
        <v>109</v>
      </c>
      <c r="N185" s="3">
        <v>37.05</v>
      </c>
      <c r="O185" s="3">
        <v>50.0</v>
      </c>
      <c r="P185" s="4"/>
      <c r="Q185" s="3" t="s">
        <v>150</v>
      </c>
      <c r="R185" s="3">
        <v>38.12</v>
      </c>
      <c r="S185" s="27">
        <v>50.0</v>
      </c>
      <c r="T185" s="4"/>
      <c r="U185" s="4"/>
      <c r="V185" s="4"/>
      <c r="W185" s="4"/>
      <c r="X185" s="4"/>
      <c r="Y185" s="4"/>
      <c r="Z185" s="4"/>
    </row>
    <row r="186" ht="12.75" customHeight="1">
      <c r="A186" s="3" t="s">
        <v>112</v>
      </c>
      <c r="B186" s="3">
        <v>36.11</v>
      </c>
      <c r="C186" s="3">
        <v>51.0</v>
      </c>
      <c r="D186" s="4"/>
      <c r="E186" s="3" t="s">
        <v>178</v>
      </c>
      <c r="F186" s="3">
        <v>36.38</v>
      </c>
      <c r="G186" s="3">
        <v>51.0</v>
      </c>
      <c r="H186" s="24"/>
      <c r="I186" s="3" t="s">
        <v>94</v>
      </c>
      <c r="J186" s="3">
        <v>36.35</v>
      </c>
      <c r="K186" s="3">
        <v>51.0</v>
      </c>
      <c r="L186" s="4"/>
      <c r="M186" s="3" t="s">
        <v>161</v>
      </c>
      <c r="N186" s="3">
        <v>36.83</v>
      </c>
      <c r="O186" s="3">
        <v>51.0</v>
      </c>
      <c r="P186" s="4"/>
      <c r="Q186" s="3" t="s">
        <v>91</v>
      </c>
      <c r="R186" s="3">
        <v>38.06</v>
      </c>
      <c r="S186" s="27">
        <v>51.0</v>
      </c>
      <c r="T186" s="4"/>
      <c r="U186" s="4"/>
      <c r="V186" s="4"/>
      <c r="W186" s="4"/>
      <c r="X186" s="4"/>
      <c r="Y186" s="4"/>
      <c r="Z186" s="4"/>
    </row>
    <row r="187" ht="12.75" customHeight="1">
      <c r="A187" s="3" t="s">
        <v>108</v>
      </c>
      <c r="B187" s="3">
        <v>35.77</v>
      </c>
      <c r="C187" s="3">
        <v>52.0</v>
      </c>
      <c r="D187" s="4"/>
      <c r="E187" s="3" t="s">
        <v>147</v>
      </c>
      <c r="F187" s="3">
        <v>36.33</v>
      </c>
      <c r="G187" s="3">
        <v>52.0</v>
      </c>
      <c r="H187" s="24"/>
      <c r="I187" s="3" t="s">
        <v>140</v>
      </c>
      <c r="J187" s="3">
        <v>36.31</v>
      </c>
      <c r="K187" s="3">
        <v>52.0</v>
      </c>
      <c r="L187" s="4"/>
      <c r="M187" s="3" t="s">
        <v>149</v>
      </c>
      <c r="N187" s="3">
        <v>36.39</v>
      </c>
      <c r="O187" s="3">
        <v>52.0</v>
      </c>
      <c r="P187" s="4"/>
      <c r="Q187" s="3" t="s">
        <v>109</v>
      </c>
      <c r="R187" s="3">
        <v>37.74</v>
      </c>
      <c r="S187" s="27">
        <v>52.0</v>
      </c>
      <c r="T187" s="4"/>
      <c r="U187" s="4"/>
      <c r="V187" s="4"/>
      <c r="W187" s="4"/>
      <c r="X187" s="4"/>
      <c r="Y187" s="4"/>
      <c r="Z187" s="4"/>
    </row>
    <row r="188" ht="12.75" customHeight="1">
      <c r="A188" s="3" t="s">
        <v>131</v>
      </c>
      <c r="B188" s="3">
        <v>35.17</v>
      </c>
      <c r="C188" s="3">
        <v>53.0</v>
      </c>
      <c r="D188" s="4"/>
      <c r="E188" s="3" t="s">
        <v>98</v>
      </c>
      <c r="F188" s="3">
        <v>36.16</v>
      </c>
      <c r="G188" s="3">
        <v>53.0</v>
      </c>
      <c r="H188" s="24"/>
      <c r="I188" s="3" t="s">
        <v>161</v>
      </c>
      <c r="J188" s="3">
        <v>36.14</v>
      </c>
      <c r="K188" s="3">
        <v>53.0</v>
      </c>
      <c r="L188" s="4"/>
      <c r="M188" s="3" t="s">
        <v>60</v>
      </c>
      <c r="N188" s="3">
        <v>36.35</v>
      </c>
      <c r="O188" s="3">
        <v>53.0</v>
      </c>
      <c r="P188" s="4"/>
      <c r="Q188" s="3" t="s">
        <v>82</v>
      </c>
      <c r="R188" s="3">
        <v>37.48</v>
      </c>
      <c r="S188" s="27">
        <v>53.0</v>
      </c>
      <c r="T188" s="4"/>
      <c r="U188" s="4"/>
      <c r="V188" s="4"/>
      <c r="W188" s="4"/>
      <c r="X188" s="4"/>
      <c r="Y188" s="4"/>
      <c r="Z188" s="4"/>
    </row>
    <row r="189" ht="12.75" customHeight="1">
      <c r="A189" s="3" t="s">
        <v>98</v>
      </c>
      <c r="B189" s="3">
        <v>35.16</v>
      </c>
      <c r="C189" s="3">
        <v>54.0</v>
      </c>
      <c r="D189" s="4"/>
      <c r="E189" s="3" t="s">
        <v>102</v>
      </c>
      <c r="F189" s="3">
        <v>35.54</v>
      </c>
      <c r="G189" s="3">
        <v>54.0</v>
      </c>
      <c r="H189" s="24"/>
      <c r="I189" s="3" t="s">
        <v>102</v>
      </c>
      <c r="J189" s="3">
        <v>36.11</v>
      </c>
      <c r="K189" s="3">
        <v>54.0</v>
      </c>
      <c r="L189" s="4"/>
      <c r="M189" s="3" t="s">
        <v>99</v>
      </c>
      <c r="N189" s="3">
        <v>36.14</v>
      </c>
      <c r="O189" s="3">
        <v>54.0</v>
      </c>
      <c r="P189" s="4"/>
      <c r="Q189" s="3" t="s">
        <v>117</v>
      </c>
      <c r="R189" s="3">
        <v>37.46</v>
      </c>
      <c r="S189" s="27">
        <v>54.0</v>
      </c>
      <c r="T189" s="4"/>
      <c r="U189" s="4"/>
      <c r="V189" s="4"/>
      <c r="W189" s="4"/>
      <c r="X189" s="4"/>
      <c r="Y189" s="4"/>
      <c r="Z189" s="4"/>
    </row>
    <row r="190" ht="12.75" customHeight="1">
      <c r="A190" s="3" t="s">
        <v>130</v>
      </c>
      <c r="B190" s="3">
        <v>34.49</v>
      </c>
      <c r="C190" s="3">
        <v>55.0</v>
      </c>
      <c r="D190" s="4"/>
      <c r="E190" s="3" t="s">
        <v>65</v>
      </c>
      <c r="F190" s="3">
        <v>35.47</v>
      </c>
      <c r="G190" s="3">
        <v>55.0</v>
      </c>
      <c r="H190" s="24"/>
      <c r="I190" s="3" t="s">
        <v>136</v>
      </c>
      <c r="J190" s="3">
        <v>36.01</v>
      </c>
      <c r="K190" s="3">
        <v>55.0</v>
      </c>
      <c r="L190" s="4"/>
      <c r="M190" s="3" t="s">
        <v>172</v>
      </c>
      <c r="N190" s="3">
        <v>35.41</v>
      </c>
      <c r="O190" s="3">
        <v>55.0</v>
      </c>
      <c r="P190" s="4"/>
      <c r="Q190" s="3" t="s">
        <v>112</v>
      </c>
      <c r="R190" s="3">
        <v>37.04</v>
      </c>
      <c r="S190" s="27">
        <v>55.0</v>
      </c>
      <c r="T190" s="4"/>
      <c r="U190" s="4"/>
      <c r="V190" s="4"/>
      <c r="W190" s="4"/>
      <c r="X190" s="4"/>
      <c r="Y190" s="4"/>
      <c r="Z190" s="4"/>
    </row>
    <row r="191" ht="12.75" customHeight="1">
      <c r="A191" s="3" t="s">
        <v>148</v>
      </c>
      <c r="B191" s="3">
        <v>34.07</v>
      </c>
      <c r="C191" s="3">
        <v>56.0</v>
      </c>
      <c r="D191" s="4"/>
      <c r="E191" s="3" t="s">
        <v>110</v>
      </c>
      <c r="F191" s="3">
        <v>34.96</v>
      </c>
      <c r="G191" s="3">
        <v>56.0</v>
      </c>
      <c r="H191" s="24"/>
      <c r="I191" s="3" t="s">
        <v>115</v>
      </c>
      <c r="J191" s="3">
        <v>35.97</v>
      </c>
      <c r="K191" s="3">
        <v>56.0</v>
      </c>
      <c r="L191" s="4"/>
      <c r="M191" s="3" t="s">
        <v>94</v>
      </c>
      <c r="N191" s="3">
        <v>34.71</v>
      </c>
      <c r="O191" s="3">
        <v>56.0</v>
      </c>
      <c r="P191" s="4"/>
      <c r="Q191" s="3" t="s">
        <v>60</v>
      </c>
      <c r="R191" s="3">
        <v>37.02</v>
      </c>
      <c r="S191" s="27">
        <v>56.0</v>
      </c>
      <c r="T191" s="4"/>
      <c r="U191" s="4"/>
      <c r="V191" s="4"/>
      <c r="W191" s="4"/>
      <c r="X191" s="4"/>
      <c r="Y191" s="4"/>
      <c r="Z191" s="4"/>
    </row>
    <row r="192" ht="12.75" customHeight="1">
      <c r="A192" s="3" t="s">
        <v>51</v>
      </c>
      <c r="B192" s="3">
        <v>33.43</v>
      </c>
      <c r="C192" s="3">
        <v>57.0</v>
      </c>
      <c r="D192" s="4"/>
      <c r="E192" s="3" t="s">
        <v>136</v>
      </c>
      <c r="F192" s="3">
        <v>34.4</v>
      </c>
      <c r="G192" s="3">
        <v>57.0</v>
      </c>
      <c r="H192" s="24"/>
      <c r="I192" s="3" t="s">
        <v>104</v>
      </c>
      <c r="J192" s="3">
        <v>35.93</v>
      </c>
      <c r="K192" s="3">
        <v>57.0</v>
      </c>
      <c r="L192" s="4"/>
      <c r="M192" s="3" t="s">
        <v>97</v>
      </c>
      <c r="N192" s="3">
        <v>34.44</v>
      </c>
      <c r="O192" s="3">
        <v>57.0</v>
      </c>
      <c r="P192" s="4"/>
      <c r="Q192" s="3" t="s">
        <v>176</v>
      </c>
      <c r="R192" s="3">
        <v>36.85</v>
      </c>
      <c r="S192" s="27">
        <v>57.0</v>
      </c>
      <c r="T192" s="4"/>
      <c r="U192" s="4"/>
      <c r="V192" s="4"/>
      <c r="W192" s="4"/>
      <c r="X192" s="4"/>
      <c r="Y192" s="4"/>
      <c r="Z192" s="4"/>
    </row>
    <row r="193" ht="12.75" customHeight="1">
      <c r="A193" s="3" t="s">
        <v>102</v>
      </c>
      <c r="B193" s="3">
        <v>33.03</v>
      </c>
      <c r="C193" s="3">
        <v>58.0</v>
      </c>
      <c r="D193" s="4"/>
      <c r="E193" s="3" t="s">
        <v>140</v>
      </c>
      <c r="F193" s="3">
        <v>34.16</v>
      </c>
      <c r="G193" s="3">
        <v>58.0</v>
      </c>
      <c r="H193" s="24"/>
      <c r="I193" s="3" t="s">
        <v>107</v>
      </c>
      <c r="J193" s="3">
        <v>35.63</v>
      </c>
      <c r="K193" s="3">
        <v>58.0</v>
      </c>
      <c r="L193" s="4"/>
      <c r="M193" s="3" t="s">
        <v>131</v>
      </c>
      <c r="N193" s="3">
        <v>34.41</v>
      </c>
      <c r="O193" s="3">
        <v>58.0</v>
      </c>
      <c r="P193" s="4"/>
      <c r="Q193" s="3" t="s">
        <v>166</v>
      </c>
      <c r="R193" s="3">
        <v>36.69</v>
      </c>
      <c r="S193" s="27">
        <v>58.0</v>
      </c>
      <c r="T193" s="4"/>
      <c r="U193" s="4"/>
      <c r="V193" s="4"/>
      <c r="W193" s="4"/>
      <c r="X193" s="4"/>
      <c r="Y193" s="4"/>
      <c r="Z193" s="4"/>
    </row>
    <row r="194" ht="12.75" customHeight="1">
      <c r="A194" s="3" t="s">
        <v>89</v>
      </c>
      <c r="B194" s="3">
        <v>32.78</v>
      </c>
      <c r="C194" s="3">
        <v>59.0</v>
      </c>
      <c r="D194" s="4"/>
      <c r="E194" s="3" t="s">
        <v>112</v>
      </c>
      <c r="F194" s="3">
        <v>34.14</v>
      </c>
      <c r="G194" s="3">
        <v>59.0</v>
      </c>
      <c r="H194" s="24"/>
      <c r="I194" s="3" t="s">
        <v>117</v>
      </c>
      <c r="J194" s="3">
        <v>35.33</v>
      </c>
      <c r="K194" s="3">
        <v>59.0</v>
      </c>
      <c r="L194" s="4"/>
      <c r="M194" s="3" t="s">
        <v>144</v>
      </c>
      <c r="N194" s="3">
        <v>33.96</v>
      </c>
      <c r="O194" s="3">
        <v>59.0</v>
      </c>
      <c r="P194" s="4"/>
      <c r="Q194" s="3" t="s">
        <v>149</v>
      </c>
      <c r="R194" s="3">
        <v>36.49</v>
      </c>
      <c r="S194" s="27">
        <v>59.0</v>
      </c>
      <c r="T194" s="4"/>
      <c r="U194" s="4"/>
      <c r="V194" s="4"/>
      <c r="W194" s="4"/>
      <c r="X194" s="4"/>
      <c r="Y194" s="4"/>
      <c r="Z194" s="4"/>
    </row>
    <row r="195" ht="12.75" customHeight="1">
      <c r="A195" s="3" t="s">
        <v>140</v>
      </c>
      <c r="B195" s="3">
        <v>32.77</v>
      </c>
      <c r="C195" s="3">
        <v>60.0</v>
      </c>
      <c r="D195" s="4"/>
      <c r="E195" s="3" t="s">
        <v>51</v>
      </c>
      <c r="F195" s="3">
        <v>33.98</v>
      </c>
      <c r="G195" s="3">
        <v>60.0</v>
      </c>
      <c r="H195" s="24"/>
      <c r="I195" s="3" t="s">
        <v>113</v>
      </c>
      <c r="J195" s="3">
        <v>34.84</v>
      </c>
      <c r="K195" s="3">
        <v>60.0</v>
      </c>
      <c r="L195" s="4"/>
      <c r="M195" s="3" t="s">
        <v>185</v>
      </c>
      <c r="N195" s="3">
        <v>33.85</v>
      </c>
      <c r="O195" s="3">
        <v>60.0</v>
      </c>
      <c r="P195" s="4"/>
      <c r="Q195" s="3" t="s">
        <v>116</v>
      </c>
      <c r="R195" s="3">
        <v>36.27</v>
      </c>
      <c r="S195" s="27">
        <v>60.0</v>
      </c>
      <c r="T195" s="4"/>
      <c r="U195" s="4"/>
      <c r="V195" s="4"/>
      <c r="W195" s="4"/>
      <c r="X195" s="4"/>
      <c r="Y195" s="4"/>
      <c r="Z195" s="4"/>
    </row>
    <row r="196" ht="12.75" customHeight="1">
      <c r="A196" s="3" t="s">
        <v>105</v>
      </c>
      <c r="B196" s="3">
        <v>32.67</v>
      </c>
      <c r="C196" s="3">
        <v>61.0</v>
      </c>
      <c r="D196" s="4"/>
      <c r="E196" s="3" t="s">
        <v>53</v>
      </c>
      <c r="F196" s="3">
        <v>32.93</v>
      </c>
      <c r="G196" s="3">
        <v>61.0</v>
      </c>
      <c r="H196" s="24"/>
      <c r="I196" s="3" t="s">
        <v>129</v>
      </c>
      <c r="J196" s="3">
        <v>34.78</v>
      </c>
      <c r="K196" s="3">
        <v>61.0</v>
      </c>
      <c r="L196" s="4"/>
      <c r="M196" s="3" t="s">
        <v>196</v>
      </c>
      <c r="N196" s="3">
        <v>33.73</v>
      </c>
      <c r="O196" s="3">
        <v>61.0</v>
      </c>
      <c r="P196" s="4"/>
      <c r="Q196" s="3" t="s">
        <v>133</v>
      </c>
      <c r="R196" s="3">
        <v>36.23</v>
      </c>
      <c r="S196" s="27">
        <v>61.0</v>
      </c>
      <c r="T196" s="4"/>
      <c r="U196" s="4"/>
      <c r="V196" s="4"/>
      <c r="W196" s="4"/>
      <c r="X196" s="4"/>
      <c r="Y196" s="4"/>
      <c r="Z196" s="4"/>
    </row>
    <row r="197" ht="12.75" customHeight="1">
      <c r="A197" s="3" t="s">
        <v>187</v>
      </c>
      <c r="B197" s="3">
        <v>32.59</v>
      </c>
      <c r="C197" s="3">
        <v>62.0</v>
      </c>
      <c r="D197" s="4"/>
      <c r="E197" s="3" t="s">
        <v>170</v>
      </c>
      <c r="F197" s="3">
        <v>32.91</v>
      </c>
      <c r="G197" s="3">
        <v>62.0</v>
      </c>
      <c r="H197" s="24"/>
      <c r="I197" s="3" t="s">
        <v>127</v>
      </c>
      <c r="J197" s="3">
        <v>34.61</v>
      </c>
      <c r="K197" s="3">
        <v>62.0</v>
      </c>
      <c r="L197" s="4"/>
      <c r="M197" s="3" t="s">
        <v>115</v>
      </c>
      <c r="N197" s="3">
        <v>33.64</v>
      </c>
      <c r="O197" s="3">
        <v>62.0</v>
      </c>
      <c r="P197" s="4"/>
      <c r="Q197" s="3" t="s">
        <v>99</v>
      </c>
      <c r="R197" s="3">
        <v>36.22</v>
      </c>
      <c r="S197" s="27">
        <v>62.0</v>
      </c>
      <c r="T197" s="4"/>
      <c r="U197" s="4"/>
      <c r="V197" s="4"/>
      <c r="W197" s="4"/>
      <c r="X197" s="4"/>
      <c r="Y197" s="4"/>
      <c r="Z197" s="4"/>
    </row>
    <row r="198" ht="12.75" customHeight="1">
      <c r="A198" s="3" t="s">
        <v>103</v>
      </c>
      <c r="B198" s="3">
        <v>32.2</v>
      </c>
      <c r="C198" s="3">
        <v>63.0</v>
      </c>
      <c r="D198" s="4"/>
      <c r="E198" s="3" t="s">
        <v>46</v>
      </c>
      <c r="F198" s="3">
        <v>32.5</v>
      </c>
      <c r="G198" s="3">
        <v>63.0</v>
      </c>
      <c r="H198" s="24"/>
      <c r="I198" s="3" t="s">
        <v>46</v>
      </c>
      <c r="J198" s="3">
        <v>34.56</v>
      </c>
      <c r="K198" s="3">
        <v>63.0</v>
      </c>
      <c r="L198" s="4"/>
      <c r="M198" s="3" t="s">
        <v>156</v>
      </c>
      <c r="N198" s="3">
        <v>33.61</v>
      </c>
      <c r="O198" s="3">
        <v>63.0</v>
      </c>
      <c r="P198" s="4"/>
      <c r="Q198" s="3" t="s">
        <v>131</v>
      </c>
      <c r="R198" s="3">
        <v>36.0</v>
      </c>
      <c r="S198" s="27">
        <v>63.0</v>
      </c>
      <c r="T198" s="4"/>
      <c r="U198" s="4"/>
      <c r="V198" s="4"/>
      <c r="W198" s="4"/>
      <c r="X198" s="4"/>
      <c r="Y198" s="4"/>
      <c r="Z198" s="4"/>
    </row>
    <row r="199" ht="12.75" customHeight="1">
      <c r="A199" s="3" t="s">
        <v>178</v>
      </c>
      <c r="B199" s="3">
        <v>32.19</v>
      </c>
      <c r="C199" s="3">
        <v>64.0</v>
      </c>
      <c r="D199" s="4"/>
      <c r="E199" s="3" t="s">
        <v>89</v>
      </c>
      <c r="F199" s="3">
        <v>32.46</v>
      </c>
      <c r="G199" s="3">
        <v>64.0</v>
      </c>
      <c r="H199" s="24"/>
      <c r="I199" s="3" t="s">
        <v>178</v>
      </c>
      <c r="J199" s="3">
        <v>34.36</v>
      </c>
      <c r="K199" s="3">
        <v>64.0</v>
      </c>
      <c r="L199" s="4"/>
      <c r="M199" s="3" t="s">
        <v>186</v>
      </c>
      <c r="N199" s="3">
        <v>33.58</v>
      </c>
      <c r="O199" s="3">
        <v>64.0</v>
      </c>
      <c r="P199" s="4"/>
      <c r="Q199" s="3" t="s">
        <v>172</v>
      </c>
      <c r="R199" s="3">
        <v>35.47</v>
      </c>
      <c r="S199" s="27">
        <v>64.0</v>
      </c>
      <c r="T199" s="4"/>
      <c r="U199" s="4"/>
      <c r="V199" s="4"/>
      <c r="W199" s="4"/>
      <c r="X199" s="4"/>
      <c r="Y199" s="4"/>
      <c r="Z199" s="4"/>
    </row>
    <row r="200" ht="12.75" customHeight="1">
      <c r="A200" s="3" t="s">
        <v>53</v>
      </c>
      <c r="B200" s="3">
        <v>32.17</v>
      </c>
      <c r="C200" s="3">
        <v>65.0</v>
      </c>
      <c r="D200" s="4"/>
      <c r="E200" s="3" t="s">
        <v>103</v>
      </c>
      <c r="F200" s="3">
        <v>32.38</v>
      </c>
      <c r="G200" s="3">
        <v>65.0</v>
      </c>
      <c r="H200" s="24"/>
      <c r="I200" s="3" t="s">
        <v>112</v>
      </c>
      <c r="J200" s="3">
        <v>33.73</v>
      </c>
      <c r="K200" s="3">
        <v>65.0</v>
      </c>
      <c r="L200" s="4"/>
      <c r="M200" s="3" t="s">
        <v>167</v>
      </c>
      <c r="N200" s="3">
        <v>33.5</v>
      </c>
      <c r="O200" s="3">
        <v>65.0</v>
      </c>
      <c r="P200" s="4"/>
      <c r="Q200" s="3" t="s">
        <v>186</v>
      </c>
      <c r="R200" s="3">
        <v>35.41</v>
      </c>
      <c r="S200" s="27">
        <v>65.0</v>
      </c>
      <c r="T200" s="4"/>
      <c r="U200" s="4"/>
      <c r="V200" s="4"/>
      <c r="W200" s="4"/>
      <c r="X200" s="4"/>
      <c r="Y200" s="4"/>
      <c r="Z200" s="4"/>
    </row>
    <row r="201" ht="12.75" customHeight="1">
      <c r="A201" s="3" t="s">
        <v>170</v>
      </c>
      <c r="B201" s="3">
        <v>32.06</v>
      </c>
      <c r="C201" s="3">
        <v>66.0</v>
      </c>
      <c r="D201" s="4"/>
      <c r="E201" s="3" t="s">
        <v>148</v>
      </c>
      <c r="F201" s="3">
        <v>32.1</v>
      </c>
      <c r="G201" s="3">
        <v>66.0</v>
      </c>
      <c r="H201" s="24"/>
      <c r="I201" s="3" t="s">
        <v>131</v>
      </c>
      <c r="J201" s="3">
        <v>33.32</v>
      </c>
      <c r="K201" s="3">
        <v>66.0</v>
      </c>
      <c r="L201" s="4"/>
      <c r="M201" s="3" t="s">
        <v>150</v>
      </c>
      <c r="N201" s="3">
        <v>33.32</v>
      </c>
      <c r="O201" s="3">
        <v>66.0</v>
      </c>
      <c r="P201" s="4"/>
      <c r="Q201" s="3" t="s">
        <v>94</v>
      </c>
      <c r="R201" s="3">
        <v>34.97</v>
      </c>
      <c r="S201" s="27">
        <v>66.0</v>
      </c>
      <c r="T201" s="4"/>
      <c r="U201" s="4"/>
      <c r="V201" s="4"/>
      <c r="W201" s="4"/>
      <c r="X201" s="4"/>
      <c r="Y201" s="4"/>
      <c r="Z201" s="4"/>
    </row>
    <row r="202" ht="12.75" customHeight="1">
      <c r="A202" s="3" t="s">
        <v>46</v>
      </c>
      <c r="B202" s="3">
        <v>31.86</v>
      </c>
      <c r="C202" s="3">
        <v>67.0</v>
      </c>
      <c r="D202" s="4"/>
      <c r="E202" s="3" t="s">
        <v>94</v>
      </c>
      <c r="F202" s="3">
        <v>32.09</v>
      </c>
      <c r="G202" s="3">
        <v>67.0</v>
      </c>
      <c r="H202" s="24"/>
      <c r="I202" s="3" t="s">
        <v>65</v>
      </c>
      <c r="J202" s="3">
        <v>33.02</v>
      </c>
      <c r="K202" s="3">
        <v>67.0</v>
      </c>
      <c r="L202" s="4"/>
      <c r="M202" s="3" t="s">
        <v>178</v>
      </c>
      <c r="N202" s="3">
        <v>33.25</v>
      </c>
      <c r="O202" s="3">
        <v>67.0</v>
      </c>
      <c r="P202" s="4"/>
      <c r="Q202" s="3" t="s">
        <v>173</v>
      </c>
      <c r="R202" s="3">
        <v>34.44</v>
      </c>
      <c r="S202" s="27">
        <v>67.0</v>
      </c>
      <c r="T202" s="4"/>
      <c r="U202" s="4"/>
      <c r="V202" s="4"/>
      <c r="W202" s="4"/>
      <c r="X202" s="4"/>
      <c r="Y202" s="4"/>
      <c r="Z202" s="4"/>
    </row>
    <row r="203" ht="12.75" customHeight="1">
      <c r="A203" s="3" t="s">
        <v>200</v>
      </c>
      <c r="B203" s="3">
        <v>30.66</v>
      </c>
      <c r="C203" s="3">
        <v>68.0</v>
      </c>
      <c r="D203" s="4"/>
      <c r="E203" s="3" t="s">
        <v>187</v>
      </c>
      <c r="F203" s="3">
        <v>31.77</v>
      </c>
      <c r="G203" s="3">
        <v>68.0</v>
      </c>
      <c r="H203" s="24"/>
      <c r="I203" s="3" t="s">
        <v>105</v>
      </c>
      <c r="J203" s="3">
        <v>32.53</v>
      </c>
      <c r="K203" s="3">
        <v>68.0</v>
      </c>
      <c r="L203" s="4"/>
      <c r="M203" s="3" t="s">
        <v>102</v>
      </c>
      <c r="N203" s="3">
        <v>33.2</v>
      </c>
      <c r="O203" s="3">
        <v>68.0</v>
      </c>
      <c r="P203" s="4"/>
      <c r="Q203" s="3" t="s">
        <v>103</v>
      </c>
      <c r="R203" s="3">
        <v>34.28</v>
      </c>
      <c r="S203" s="27">
        <v>68.0</v>
      </c>
      <c r="T203" s="4"/>
      <c r="U203" s="4"/>
      <c r="V203" s="4"/>
      <c r="W203" s="4"/>
      <c r="X203" s="4"/>
      <c r="Y203" s="4"/>
      <c r="Z203" s="4"/>
    </row>
    <row r="204" ht="12.75" customHeight="1">
      <c r="A204" s="3" t="s">
        <v>94</v>
      </c>
      <c r="B204" s="3">
        <v>30.48</v>
      </c>
      <c r="C204" s="3">
        <v>69.0</v>
      </c>
      <c r="D204" s="4"/>
      <c r="E204" s="3" t="s">
        <v>146</v>
      </c>
      <c r="F204" s="3">
        <v>31.46</v>
      </c>
      <c r="G204" s="3">
        <v>69.0</v>
      </c>
      <c r="H204" s="24"/>
      <c r="I204" s="3" t="s">
        <v>148</v>
      </c>
      <c r="J204" s="3">
        <v>32.26</v>
      </c>
      <c r="K204" s="3">
        <v>69.0</v>
      </c>
      <c r="L204" s="4"/>
      <c r="M204" s="3" t="s">
        <v>187</v>
      </c>
      <c r="N204" s="3">
        <v>33.18</v>
      </c>
      <c r="O204" s="3">
        <v>69.0</v>
      </c>
      <c r="P204" s="4"/>
      <c r="Q204" s="3" t="s">
        <v>115</v>
      </c>
      <c r="R204" s="3">
        <v>34.12</v>
      </c>
      <c r="S204" s="27">
        <v>69.0</v>
      </c>
      <c r="T204" s="4"/>
      <c r="U204" s="4"/>
      <c r="V204" s="4"/>
      <c r="W204" s="4"/>
      <c r="X204" s="4"/>
      <c r="Y204" s="4"/>
      <c r="Z204" s="4"/>
    </row>
    <row r="205" ht="12.75" customHeight="1">
      <c r="A205" s="3" t="s">
        <v>93</v>
      </c>
      <c r="B205" s="3">
        <v>30.45</v>
      </c>
      <c r="C205" s="3">
        <v>70.0</v>
      </c>
      <c r="D205" s="4"/>
      <c r="E205" s="3" t="s">
        <v>141</v>
      </c>
      <c r="F205" s="3">
        <v>31.19</v>
      </c>
      <c r="G205" s="3">
        <v>70.0</v>
      </c>
      <c r="H205" s="24"/>
      <c r="I205" s="3" t="s">
        <v>110</v>
      </c>
      <c r="J205" s="3">
        <v>31.06</v>
      </c>
      <c r="K205" s="3">
        <v>70.0</v>
      </c>
      <c r="L205" s="4"/>
      <c r="M205" s="3" t="s">
        <v>107</v>
      </c>
      <c r="N205" s="3">
        <v>33.18</v>
      </c>
      <c r="O205" s="3">
        <v>69.0</v>
      </c>
      <c r="P205" s="4"/>
      <c r="Q205" s="3" t="s">
        <v>161</v>
      </c>
      <c r="R205" s="3">
        <v>34.07</v>
      </c>
      <c r="S205" s="27">
        <v>70.0</v>
      </c>
      <c r="T205" s="4"/>
      <c r="U205" s="4"/>
      <c r="V205" s="4"/>
      <c r="W205" s="4"/>
      <c r="X205" s="4"/>
      <c r="Y205" s="4"/>
      <c r="Z205" s="4"/>
    </row>
    <row r="206" ht="12.75" customHeight="1">
      <c r="A206" s="3" t="s">
        <v>139</v>
      </c>
      <c r="B206" s="3">
        <v>30.36</v>
      </c>
      <c r="C206" s="3">
        <v>71.0</v>
      </c>
      <c r="D206" s="4"/>
      <c r="E206" s="3" t="s">
        <v>105</v>
      </c>
      <c r="F206" s="3">
        <v>31.18</v>
      </c>
      <c r="G206" s="3">
        <v>71.0</v>
      </c>
      <c r="H206" s="24"/>
      <c r="I206" s="3" t="s">
        <v>172</v>
      </c>
      <c r="J206" s="3">
        <v>31.03</v>
      </c>
      <c r="K206" s="3">
        <v>71.0</v>
      </c>
      <c r="L206" s="4"/>
      <c r="M206" s="3" t="s">
        <v>65</v>
      </c>
      <c r="N206" s="3">
        <v>33.03</v>
      </c>
      <c r="O206" s="3">
        <v>71.0</v>
      </c>
      <c r="P206" s="4"/>
      <c r="Q206" s="3" t="s">
        <v>175</v>
      </c>
      <c r="R206" s="3">
        <v>33.76</v>
      </c>
      <c r="S206" s="27">
        <v>71.0</v>
      </c>
      <c r="T206" s="4"/>
      <c r="U206" s="4"/>
      <c r="V206" s="4"/>
      <c r="W206" s="4"/>
      <c r="X206" s="4"/>
      <c r="Y206" s="4"/>
      <c r="Z206" s="4"/>
    </row>
    <row r="207" ht="12.75" customHeight="1">
      <c r="A207" s="3" t="s">
        <v>158</v>
      </c>
      <c r="B207" s="3">
        <v>30.34</v>
      </c>
      <c r="C207" s="3">
        <v>72.0</v>
      </c>
      <c r="D207" s="4"/>
      <c r="E207" s="3" t="s">
        <v>153</v>
      </c>
      <c r="F207" s="3">
        <v>30.76</v>
      </c>
      <c r="G207" s="3">
        <v>72.0</v>
      </c>
      <c r="H207" s="24"/>
      <c r="I207" s="3" t="s">
        <v>111</v>
      </c>
      <c r="J207" s="3">
        <v>31.01</v>
      </c>
      <c r="K207" s="3">
        <v>72.0</v>
      </c>
      <c r="L207" s="4"/>
      <c r="M207" s="3" t="s">
        <v>103</v>
      </c>
      <c r="N207" s="3">
        <v>32.66</v>
      </c>
      <c r="O207" s="3">
        <v>72.0</v>
      </c>
      <c r="P207" s="4"/>
      <c r="Q207" s="3" t="s">
        <v>107</v>
      </c>
      <c r="R207" s="3">
        <v>33.74</v>
      </c>
      <c r="S207" s="27">
        <v>72.0</v>
      </c>
      <c r="T207" s="4"/>
      <c r="U207" s="4"/>
      <c r="V207" s="4"/>
      <c r="W207" s="4"/>
      <c r="X207" s="4"/>
      <c r="Y207" s="4"/>
      <c r="Z207" s="4"/>
    </row>
    <row r="208" ht="12.75" customHeight="1">
      <c r="A208" s="3" t="s">
        <v>176</v>
      </c>
      <c r="B208" s="3">
        <v>30.34</v>
      </c>
      <c r="C208" s="3">
        <v>72.0</v>
      </c>
      <c r="D208" s="4"/>
      <c r="E208" s="3" t="s">
        <v>182</v>
      </c>
      <c r="F208" s="3">
        <v>30.76</v>
      </c>
      <c r="G208" s="3">
        <v>72.0</v>
      </c>
      <c r="H208" s="24"/>
      <c r="I208" s="3" t="s">
        <v>187</v>
      </c>
      <c r="J208" s="3">
        <v>30.96</v>
      </c>
      <c r="K208" s="3">
        <v>73.0</v>
      </c>
      <c r="L208" s="4"/>
      <c r="M208" s="3" t="s">
        <v>111</v>
      </c>
      <c r="N208" s="3">
        <v>32.51</v>
      </c>
      <c r="O208" s="3">
        <v>73.0</v>
      </c>
      <c r="P208" s="4"/>
      <c r="Q208" s="3" t="s">
        <v>87</v>
      </c>
      <c r="R208" s="3">
        <v>33.4</v>
      </c>
      <c r="S208" s="27">
        <v>73.0</v>
      </c>
      <c r="T208" s="4"/>
      <c r="U208" s="4"/>
      <c r="V208" s="4"/>
      <c r="W208" s="4"/>
      <c r="X208" s="4"/>
      <c r="Y208" s="4"/>
      <c r="Z208" s="4"/>
    </row>
    <row r="209" ht="12.75" customHeight="1">
      <c r="A209" s="3" t="s">
        <v>166</v>
      </c>
      <c r="B209" s="3">
        <v>30.34</v>
      </c>
      <c r="C209" s="3">
        <v>72.0</v>
      </c>
      <c r="D209" s="4"/>
      <c r="E209" s="3" t="s">
        <v>169</v>
      </c>
      <c r="F209" s="3">
        <v>30.76</v>
      </c>
      <c r="G209" s="3">
        <v>72.0</v>
      </c>
      <c r="H209" s="24"/>
      <c r="I209" s="3" t="s">
        <v>103</v>
      </c>
      <c r="J209" s="3">
        <v>30.96</v>
      </c>
      <c r="K209" s="3">
        <v>73.0</v>
      </c>
      <c r="L209" s="4"/>
      <c r="M209" s="3" t="s">
        <v>57</v>
      </c>
      <c r="N209" s="3">
        <v>32.47</v>
      </c>
      <c r="O209" s="3">
        <v>74.0</v>
      </c>
      <c r="P209" s="4"/>
      <c r="Q209" s="3" t="s">
        <v>136</v>
      </c>
      <c r="R209" s="3">
        <v>33.39</v>
      </c>
      <c r="S209" s="27">
        <v>74.0</v>
      </c>
      <c r="T209" s="4"/>
      <c r="U209" s="4"/>
      <c r="V209" s="4"/>
      <c r="W209" s="4"/>
      <c r="X209" s="4"/>
      <c r="Y209" s="4"/>
      <c r="Z209" s="4"/>
    </row>
    <row r="210" ht="12.75" customHeight="1">
      <c r="A210" s="3" t="s">
        <v>194</v>
      </c>
      <c r="B210" s="3">
        <v>30.34</v>
      </c>
      <c r="C210" s="3">
        <v>72.0</v>
      </c>
      <c r="D210" s="4"/>
      <c r="E210" s="3" t="s">
        <v>167</v>
      </c>
      <c r="F210" s="3">
        <v>30.76</v>
      </c>
      <c r="G210" s="3">
        <v>72.0</v>
      </c>
      <c r="H210" s="24"/>
      <c r="I210" s="3" t="s">
        <v>170</v>
      </c>
      <c r="J210" s="3">
        <v>30.83</v>
      </c>
      <c r="K210" s="3">
        <v>75.0</v>
      </c>
      <c r="L210" s="4"/>
      <c r="M210" s="3" t="s">
        <v>53</v>
      </c>
      <c r="N210" s="3">
        <v>32.33</v>
      </c>
      <c r="O210" s="3">
        <v>75.0</v>
      </c>
      <c r="P210" s="4"/>
      <c r="Q210" s="3" t="s">
        <v>156</v>
      </c>
      <c r="R210" s="3">
        <v>33.38</v>
      </c>
      <c r="S210" s="27">
        <v>75.0</v>
      </c>
      <c r="T210" s="4"/>
      <c r="U210" s="4"/>
      <c r="V210" s="4"/>
      <c r="W210" s="4"/>
      <c r="X210" s="4"/>
      <c r="Y210" s="4"/>
      <c r="Z210" s="4"/>
    </row>
    <row r="211" ht="12.75" customHeight="1">
      <c r="A211" s="3" t="s">
        <v>167</v>
      </c>
      <c r="B211" s="3">
        <v>30.34</v>
      </c>
      <c r="C211" s="3">
        <v>72.0</v>
      </c>
      <c r="D211" s="4"/>
      <c r="E211" s="3" t="s">
        <v>175</v>
      </c>
      <c r="F211" s="3">
        <v>30.76</v>
      </c>
      <c r="G211" s="3">
        <v>72.0</v>
      </c>
      <c r="H211" s="24"/>
      <c r="I211" s="3" t="s">
        <v>177</v>
      </c>
      <c r="J211" s="3">
        <v>30.76</v>
      </c>
      <c r="K211" s="3">
        <v>76.0</v>
      </c>
      <c r="L211" s="4"/>
      <c r="M211" s="3" t="s">
        <v>110</v>
      </c>
      <c r="N211" s="3">
        <v>32.25</v>
      </c>
      <c r="O211" s="3">
        <v>76.0</v>
      </c>
      <c r="P211" s="4"/>
      <c r="Q211" s="3" t="s">
        <v>185</v>
      </c>
      <c r="R211" s="3">
        <v>33.36</v>
      </c>
      <c r="S211" s="27">
        <v>76.0</v>
      </c>
      <c r="T211" s="4"/>
      <c r="U211" s="4"/>
      <c r="V211" s="4"/>
      <c r="W211" s="4"/>
      <c r="X211" s="4"/>
      <c r="Y211" s="4"/>
      <c r="Z211" s="4"/>
    </row>
    <row r="212" ht="12.75" customHeight="1">
      <c r="A212" s="3" t="s">
        <v>168</v>
      </c>
      <c r="B212" s="3">
        <v>30.34</v>
      </c>
      <c r="C212" s="3">
        <v>72.0</v>
      </c>
      <c r="D212" s="4"/>
      <c r="E212" s="3" t="s">
        <v>166</v>
      </c>
      <c r="F212" s="3">
        <v>30.76</v>
      </c>
      <c r="G212" s="3">
        <v>72.0</v>
      </c>
      <c r="H212" s="24"/>
      <c r="I212" s="3" t="s">
        <v>188</v>
      </c>
      <c r="J212" s="3">
        <v>30.76</v>
      </c>
      <c r="K212" s="3">
        <v>76.0</v>
      </c>
      <c r="L212" s="4"/>
      <c r="M212" s="3" t="s">
        <v>127</v>
      </c>
      <c r="N212" s="3">
        <v>32.16</v>
      </c>
      <c r="O212" s="3">
        <v>77.0</v>
      </c>
      <c r="P212" s="4"/>
      <c r="Q212" s="3" t="s">
        <v>196</v>
      </c>
      <c r="R212" s="3">
        <v>32.72</v>
      </c>
      <c r="S212" s="27">
        <v>77.0</v>
      </c>
      <c r="T212" s="4"/>
      <c r="U212" s="4"/>
      <c r="V212" s="4"/>
      <c r="W212" s="4"/>
      <c r="X212" s="4"/>
      <c r="Y212" s="4"/>
      <c r="Z212" s="4"/>
    </row>
    <row r="213" ht="12.75" customHeight="1">
      <c r="A213" s="3" t="s">
        <v>180</v>
      </c>
      <c r="B213" s="3">
        <v>30.34</v>
      </c>
      <c r="C213" s="3">
        <v>72.0</v>
      </c>
      <c r="D213" s="4"/>
      <c r="E213" s="3" t="s">
        <v>164</v>
      </c>
      <c r="F213" s="3">
        <v>30.76</v>
      </c>
      <c r="G213" s="3">
        <v>72.0</v>
      </c>
      <c r="H213" s="24"/>
      <c r="I213" s="3" t="s">
        <v>155</v>
      </c>
      <c r="J213" s="3">
        <v>30.76</v>
      </c>
      <c r="K213" s="3">
        <v>76.0</v>
      </c>
      <c r="L213" s="4"/>
      <c r="M213" s="3" t="s">
        <v>148</v>
      </c>
      <c r="N213" s="3">
        <v>31.99</v>
      </c>
      <c r="O213" s="3">
        <v>78.0</v>
      </c>
      <c r="P213" s="4"/>
      <c r="Q213" s="3" t="s">
        <v>167</v>
      </c>
      <c r="R213" s="3">
        <v>32.6</v>
      </c>
      <c r="S213" s="27">
        <v>78.0</v>
      </c>
      <c r="T213" s="4"/>
      <c r="U213" s="4"/>
      <c r="V213" s="4"/>
      <c r="W213" s="4"/>
      <c r="X213" s="4"/>
      <c r="Y213" s="4"/>
      <c r="Z213" s="4"/>
    </row>
    <row r="214" ht="12.75" customHeight="1">
      <c r="A214" s="3" t="s">
        <v>179</v>
      </c>
      <c r="B214" s="3">
        <v>30.34</v>
      </c>
      <c r="C214" s="3">
        <v>72.0</v>
      </c>
      <c r="D214" s="4"/>
      <c r="E214" s="3" t="s">
        <v>97</v>
      </c>
      <c r="F214" s="3">
        <v>30.76</v>
      </c>
      <c r="G214" s="3">
        <v>72.0</v>
      </c>
      <c r="H214" s="24"/>
      <c r="I214" s="3" t="s">
        <v>96</v>
      </c>
      <c r="J214" s="3">
        <v>30.76</v>
      </c>
      <c r="K214" s="3">
        <v>76.0</v>
      </c>
      <c r="L214" s="4"/>
      <c r="M214" s="3" t="s">
        <v>146</v>
      </c>
      <c r="N214" s="3">
        <v>31.56</v>
      </c>
      <c r="O214" s="3">
        <v>79.0</v>
      </c>
      <c r="P214" s="4"/>
      <c r="Q214" s="3" t="s">
        <v>110</v>
      </c>
      <c r="R214" s="3">
        <v>32.54</v>
      </c>
      <c r="S214" s="27">
        <v>79.0</v>
      </c>
      <c r="T214" s="4"/>
      <c r="U214" s="4"/>
      <c r="V214" s="4"/>
      <c r="W214" s="4"/>
      <c r="X214" s="4"/>
      <c r="Y214" s="4"/>
      <c r="Z214" s="4"/>
    </row>
    <row r="215" ht="12.75" customHeight="1">
      <c r="A215" s="3" t="s">
        <v>164</v>
      </c>
      <c r="B215" s="3">
        <v>30.34</v>
      </c>
      <c r="C215" s="3">
        <v>72.0</v>
      </c>
      <c r="D215" s="4"/>
      <c r="E215" s="3" t="s">
        <v>171</v>
      </c>
      <c r="F215" s="3">
        <v>30.76</v>
      </c>
      <c r="G215" s="3">
        <v>72.0</v>
      </c>
      <c r="H215" s="24"/>
      <c r="I215" s="3" t="s">
        <v>142</v>
      </c>
      <c r="J215" s="3">
        <v>30.76</v>
      </c>
      <c r="K215" s="3">
        <v>76.0</v>
      </c>
      <c r="L215" s="4"/>
      <c r="M215" s="3" t="s">
        <v>104</v>
      </c>
      <c r="N215" s="3">
        <v>31.34</v>
      </c>
      <c r="O215" s="3">
        <v>80.0</v>
      </c>
      <c r="P215" s="4"/>
      <c r="Q215" s="3" t="s">
        <v>53</v>
      </c>
      <c r="R215" s="3">
        <v>32.43</v>
      </c>
      <c r="S215" s="27">
        <v>80.0</v>
      </c>
      <c r="T215" s="4"/>
      <c r="U215" s="4"/>
      <c r="V215" s="4"/>
      <c r="W215" s="4"/>
      <c r="X215" s="4"/>
      <c r="Y215" s="4"/>
      <c r="Z215" s="4"/>
    </row>
    <row r="216" ht="12.75" customHeight="1">
      <c r="A216" s="3" t="s">
        <v>191</v>
      </c>
      <c r="B216" s="3">
        <v>30.34</v>
      </c>
      <c r="C216" s="3">
        <v>72.0</v>
      </c>
      <c r="D216" s="4"/>
      <c r="E216" s="3" t="s">
        <v>168</v>
      </c>
      <c r="F216" s="3">
        <v>30.76</v>
      </c>
      <c r="G216" s="3">
        <v>72.0</v>
      </c>
      <c r="H216" s="24"/>
      <c r="I216" s="3" t="s">
        <v>180</v>
      </c>
      <c r="J216" s="3">
        <v>30.76</v>
      </c>
      <c r="K216" s="3">
        <v>76.0</v>
      </c>
      <c r="L216" s="4"/>
      <c r="M216" s="3" t="s">
        <v>136</v>
      </c>
      <c r="N216" s="3">
        <v>31.34</v>
      </c>
      <c r="O216" s="3">
        <v>80.0</v>
      </c>
      <c r="P216" s="4"/>
      <c r="Q216" s="3" t="s">
        <v>89</v>
      </c>
      <c r="R216" s="3">
        <v>32.07</v>
      </c>
      <c r="S216" s="27">
        <v>81.0</v>
      </c>
      <c r="T216" s="4"/>
      <c r="U216" s="4"/>
      <c r="V216" s="4"/>
      <c r="W216" s="4"/>
      <c r="X216" s="4"/>
      <c r="Y216" s="4"/>
      <c r="Z216" s="4"/>
    </row>
    <row r="217" ht="12.75" customHeight="1">
      <c r="A217" s="3" t="s">
        <v>133</v>
      </c>
      <c r="B217" s="3">
        <v>30.34</v>
      </c>
      <c r="C217" s="3">
        <v>72.0</v>
      </c>
      <c r="D217" s="4"/>
      <c r="E217" s="3" t="s">
        <v>137</v>
      </c>
      <c r="F217" s="3">
        <v>30.76</v>
      </c>
      <c r="G217" s="3">
        <v>72.0</v>
      </c>
      <c r="H217" s="24"/>
      <c r="I217" s="3" t="s">
        <v>143</v>
      </c>
      <c r="J217" s="3">
        <v>30.76</v>
      </c>
      <c r="K217" s="3">
        <v>76.0</v>
      </c>
      <c r="L217" s="4"/>
      <c r="M217" s="3" t="s">
        <v>130</v>
      </c>
      <c r="N217" s="3">
        <v>30.89</v>
      </c>
      <c r="O217" s="3">
        <v>82.0</v>
      </c>
      <c r="P217" s="4"/>
      <c r="Q217" s="3" t="s">
        <v>65</v>
      </c>
      <c r="R217" s="3">
        <v>31.91</v>
      </c>
      <c r="S217" s="27">
        <v>82.0</v>
      </c>
      <c r="T217" s="4"/>
      <c r="U217" s="4"/>
      <c r="V217" s="4"/>
      <c r="W217" s="4"/>
      <c r="X217" s="4"/>
      <c r="Y217" s="4"/>
      <c r="Z217" s="4"/>
    </row>
    <row r="218" ht="12.75" customHeight="1">
      <c r="A218" s="3" t="s">
        <v>152</v>
      </c>
      <c r="B218" s="3">
        <v>30.34</v>
      </c>
      <c r="C218" s="3">
        <v>72.0</v>
      </c>
      <c r="D218" s="4"/>
      <c r="E218" s="3" t="s">
        <v>150</v>
      </c>
      <c r="F218" s="3">
        <v>30.76</v>
      </c>
      <c r="G218" s="3">
        <v>72.0</v>
      </c>
      <c r="H218" s="24"/>
      <c r="I218" s="3" t="s">
        <v>138</v>
      </c>
      <c r="J218" s="3">
        <v>30.76</v>
      </c>
      <c r="K218" s="3">
        <v>76.0</v>
      </c>
      <c r="L218" s="4"/>
      <c r="M218" s="3" t="s">
        <v>190</v>
      </c>
      <c r="N218" s="3">
        <v>30.61</v>
      </c>
      <c r="O218" s="3">
        <v>83.0</v>
      </c>
      <c r="P218" s="4"/>
      <c r="Q218" s="3" t="s">
        <v>102</v>
      </c>
      <c r="R218" s="3">
        <v>31.91</v>
      </c>
      <c r="S218" s="27">
        <v>82.0</v>
      </c>
      <c r="T218" s="4"/>
      <c r="U218" s="4"/>
      <c r="V218" s="4"/>
      <c r="W218" s="4"/>
      <c r="X218" s="4"/>
      <c r="Y218" s="4"/>
      <c r="Z218" s="4"/>
    </row>
    <row r="219" ht="12.75" customHeight="1">
      <c r="A219" s="3" t="s">
        <v>126</v>
      </c>
      <c r="B219" s="3">
        <v>30.34</v>
      </c>
      <c r="C219" s="3">
        <v>72.0</v>
      </c>
      <c r="D219" s="4"/>
      <c r="E219" s="3" t="s">
        <v>133</v>
      </c>
      <c r="F219" s="3">
        <v>30.76</v>
      </c>
      <c r="G219" s="3">
        <v>72.0</v>
      </c>
      <c r="H219" s="24"/>
      <c r="I219" s="3" t="s">
        <v>194</v>
      </c>
      <c r="J219" s="3">
        <v>30.76</v>
      </c>
      <c r="K219" s="3">
        <v>76.0</v>
      </c>
      <c r="L219" s="4"/>
      <c r="M219" s="3" t="s">
        <v>157</v>
      </c>
      <c r="N219" s="3">
        <v>30.61</v>
      </c>
      <c r="O219" s="3">
        <v>83.0</v>
      </c>
      <c r="P219" s="4"/>
      <c r="Q219" s="3" t="s">
        <v>178</v>
      </c>
      <c r="R219" s="3">
        <v>31.65</v>
      </c>
      <c r="S219" s="27">
        <v>84.0</v>
      </c>
      <c r="T219" s="4"/>
      <c r="U219" s="4"/>
      <c r="V219" s="4"/>
      <c r="W219" s="4"/>
      <c r="X219" s="4"/>
      <c r="Y219" s="4"/>
      <c r="Z219" s="4"/>
    </row>
    <row r="220" ht="12.75" customHeight="1">
      <c r="A220" s="3" t="s">
        <v>155</v>
      </c>
      <c r="B220" s="3">
        <v>30.34</v>
      </c>
      <c r="C220" s="3">
        <v>72.0</v>
      </c>
      <c r="D220" s="4"/>
      <c r="E220" s="3" t="s">
        <v>96</v>
      </c>
      <c r="F220" s="3">
        <v>30.76</v>
      </c>
      <c r="G220" s="3">
        <v>72.0</v>
      </c>
      <c r="H220" s="24"/>
      <c r="I220" s="3" t="s">
        <v>184</v>
      </c>
      <c r="J220" s="3">
        <v>30.76</v>
      </c>
      <c r="K220" s="3">
        <v>76.0</v>
      </c>
      <c r="L220" s="4"/>
      <c r="M220" s="3" t="s">
        <v>151</v>
      </c>
      <c r="N220" s="3">
        <v>30.61</v>
      </c>
      <c r="O220" s="3">
        <v>83.0</v>
      </c>
      <c r="P220" s="4"/>
      <c r="Q220" s="3" t="s">
        <v>148</v>
      </c>
      <c r="R220" s="3">
        <v>31.62</v>
      </c>
      <c r="S220" s="27">
        <v>85.0</v>
      </c>
      <c r="T220" s="4"/>
      <c r="U220" s="4"/>
      <c r="V220" s="4"/>
      <c r="W220" s="4"/>
      <c r="X220" s="4"/>
      <c r="Y220" s="4"/>
      <c r="Z220" s="4"/>
    </row>
    <row r="221" ht="12.75" customHeight="1">
      <c r="A221" s="3" t="s">
        <v>137</v>
      </c>
      <c r="B221" s="3">
        <v>30.34</v>
      </c>
      <c r="C221" s="3">
        <v>72.0</v>
      </c>
      <c r="D221" s="4"/>
      <c r="E221" s="3" t="s">
        <v>194</v>
      </c>
      <c r="F221" s="3">
        <v>30.76</v>
      </c>
      <c r="G221" s="3">
        <v>72.0</v>
      </c>
      <c r="H221" s="24"/>
      <c r="I221" s="3" t="s">
        <v>162</v>
      </c>
      <c r="J221" s="3">
        <v>30.76</v>
      </c>
      <c r="K221" s="3">
        <v>76.0</v>
      </c>
      <c r="L221" s="4"/>
      <c r="M221" s="3" t="s">
        <v>194</v>
      </c>
      <c r="N221" s="3">
        <v>30.61</v>
      </c>
      <c r="O221" s="3">
        <v>83.0</v>
      </c>
      <c r="P221" s="4"/>
      <c r="Q221" s="3" t="s">
        <v>127</v>
      </c>
      <c r="R221" s="3">
        <v>31.57</v>
      </c>
      <c r="S221" s="27">
        <v>86.0</v>
      </c>
      <c r="T221" s="4"/>
      <c r="U221" s="4"/>
      <c r="V221" s="4"/>
      <c r="W221" s="4"/>
      <c r="X221" s="4"/>
      <c r="Y221" s="4"/>
      <c r="Z221" s="4"/>
    </row>
    <row r="222" ht="12.75" customHeight="1">
      <c r="A222" s="3" t="s">
        <v>171</v>
      </c>
      <c r="B222" s="3">
        <v>30.34</v>
      </c>
      <c r="C222" s="3">
        <v>72.0</v>
      </c>
      <c r="D222" s="4"/>
      <c r="E222" s="3" t="s">
        <v>143</v>
      </c>
      <c r="F222" s="3">
        <v>30.76</v>
      </c>
      <c r="G222" s="3">
        <v>72.0</v>
      </c>
      <c r="H222" s="24"/>
      <c r="I222" s="3" t="s">
        <v>185</v>
      </c>
      <c r="J222" s="3">
        <v>30.76</v>
      </c>
      <c r="K222" s="3">
        <v>76.0</v>
      </c>
      <c r="L222" s="4"/>
      <c r="M222" s="3" t="s">
        <v>154</v>
      </c>
      <c r="N222" s="3">
        <v>30.61</v>
      </c>
      <c r="O222" s="3">
        <v>83.0</v>
      </c>
      <c r="P222" s="4"/>
      <c r="Q222" s="3" t="s">
        <v>187</v>
      </c>
      <c r="R222" s="3">
        <v>31.34</v>
      </c>
      <c r="S222" s="27">
        <v>87.0</v>
      </c>
      <c r="T222" s="4"/>
      <c r="U222" s="4"/>
      <c r="V222" s="4"/>
      <c r="W222" s="4"/>
      <c r="X222" s="4"/>
      <c r="Y222" s="4"/>
      <c r="Z222" s="4"/>
    </row>
    <row r="223" ht="12.75" customHeight="1">
      <c r="A223" s="3" t="s">
        <v>134</v>
      </c>
      <c r="B223" s="3">
        <v>30.34</v>
      </c>
      <c r="C223" s="3">
        <v>72.0</v>
      </c>
      <c r="D223" s="4"/>
      <c r="E223" s="3" t="s">
        <v>145</v>
      </c>
      <c r="F223" s="3">
        <v>30.76</v>
      </c>
      <c r="G223" s="3">
        <v>72.0</v>
      </c>
      <c r="H223" s="24"/>
      <c r="I223" s="3" t="s">
        <v>169</v>
      </c>
      <c r="J223" s="3">
        <v>30.76</v>
      </c>
      <c r="K223" s="3">
        <v>76.0</v>
      </c>
      <c r="L223" s="4"/>
      <c r="M223" s="3" t="s">
        <v>155</v>
      </c>
      <c r="N223" s="3">
        <v>30.61</v>
      </c>
      <c r="O223" s="3">
        <v>83.0</v>
      </c>
      <c r="P223" s="4"/>
      <c r="Q223" s="3" t="s">
        <v>130</v>
      </c>
      <c r="R223" s="3">
        <v>31.19</v>
      </c>
      <c r="S223" s="27">
        <v>88.0</v>
      </c>
      <c r="T223" s="4"/>
      <c r="U223" s="4"/>
      <c r="V223" s="4"/>
      <c r="W223" s="4"/>
      <c r="X223" s="4"/>
      <c r="Y223" s="4"/>
      <c r="Z223" s="4"/>
    </row>
    <row r="224" ht="12.75" customHeight="1">
      <c r="A224" s="3" t="s">
        <v>143</v>
      </c>
      <c r="B224" s="3">
        <v>30.34</v>
      </c>
      <c r="C224" s="3">
        <v>72.0</v>
      </c>
      <c r="D224" s="4"/>
      <c r="E224" s="3" t="s">
        <v>189</v>
      </c>
      <c r="F224" s="3">
        <v>30.76</v>
      </c>
      <c r="G224" s="3">
        <v>72.0</v>
      </c>
      <c r="H224" s="24"/>
      <c r="I224" s="3" t="s">
        <v>130</v>
      </c>
      <c r="J224" s="3">
        <v>30.76</v>
      </c>
      <c r="K224" s="3">
        <v>76.0</v>
      </c>
      <c r="L224" s="4"/>
      <c r="M224" s="3" t="s">
        <v>96</v>
      </c>
      <c r="N224" s="3">
        <v>30.61</v>
      </c>
      <c r="O224" s="3">
        <v>83.0</v>
      </c>
      <c r="P224" s="4"/>
      <c r="Q224" s="3" t="s">
        <v>194</v>
      </c>
      <c r="R224" s="3">
        <v>31.0</v>
      </c>
      <c r="S224" s="27">
        <v>89.0</v>
      </c>
      <c r="T224" s="4"/>
      <c r="U224" s="4"/>
      <c r="V224" s="4"/>
      <c r="W224" s="4"/>
      <c r="X224" s="4"/>
      <c r="Y224" s="4"/>
      <c r="Z224" s="4"/>
    </row>
    <row r="225" ht="12.75" customHeight="1">
      <c r="A225" s="3" t="s">
        <v>190</v>
      </c>
      <c r="B225" s="3">
        <v>30.34</v>
      </c>
      <c r="C225" s="3">
        <v>72.0</v>
      </c>
      <c r="D225" s="4"/>
      <c r="E225" s="3" t="s">
        <v>155</v>
      </c>
      <c r="F225" s="3">
        <v>30.76</v>
      </c>
      <c r="G225" s="3">
        <v>72.0</v>
      </c>
      <c r="H225" s="24"/>
      <c r="I225" s="3" t="s">
        <v>134</v>
      </c>
      <c r="J225" s="3">
        <v>30.76</v>
      </c>
      <c r="K225" s="3">
        <v>76.0</v>
      </c>
      <c r="L225" s="4"/>
      <c r="M225" s="3" t="s">
        <v>125</v>
      </c>
      <c r="N225" s="3">
        <v>30.61</v>
      </c>
      <c r="O225" s="3">
        <v>83.0</v>
      </c>
      <c r="P225" s="4"/>
      <c r="Q225" s="3" t="s">
        <v>141</v>
      </c>
      <c r="R225" s="3">
        <v>30.94</v>
      </c>
      <c r="S225" s="27">
        <v>90.0</v>
      </c>
      <c r="T225" s="4"/>
      <c r="U225" s="4"/>
      <c r="V225" s="4"/>
      <c r="W225" s="4"/>
      <c r="X225" s="4"/>
      <c r="Y225" s="4"/>
      <c r="Z225" s="4"/>
    </row>
    <row r="226" ht="12.75" customHeight="1">
      <c r="A226" s="3" t="s">
        <v>184</v>
      </c>
      <c r="B226" s="3">
        <v>30.34</v>
      </c>
      <c r="C226" s="3">
        <v>72.0</v>
      </c>
      <c r="D226" s="4"/>
      <c r="E226" s="3" t="s">
        <v>151</v>
      </c>
      <c r="F226" s="3">
        <v>30.76</v>
      </c>
      <c r="G226" s="3">
        <v>72.0</v>
      </c>
      <c r="H226" s="24"/>
      <c r="I226" s="3" t="s">
        <v>154</v>
      </c>
      <c r="J226" s="3">
        <v>30.76</v>
      </c>
      <c r="K226" s="3">
        <v>76.0</v>
      </c>
      <c r="L226" s="4"/>
      <c r="M226" s="3" t="s">
        <v>138</v>
      </c>
      <c r="N226" s="3">
        <v>30.61</v>
      </c>
      <c r="O226" s="3">
        <v>83.0</v>
      </c>
      <c r="P226" s="4"/>
      <c r="Q226" s="3" t="s">
        <v>168</v>
      </c>
      <c r="R226" s="3">
        <v>30.75</v>
      </c>
      <c r="S226" s="27">
        <v>91.0</v>
      </c>
      <c r="T226" s="4"/>
      <c r="U226" s="4"/>
      <c r="V226" s="4"/>
      <c r="W226" s="4"/>
      <c r="X226" s="4"/>
      <c r="Y226" s="4"/>
      <c r="Z226" s="4"/>
    </row>
    <row r="227" ht="12.75" customHeight="1">
      <c r="A227" s="3" t="s">
        <v>172</v>
      </c>
      <c r="B227" s="3">
        <v>30.34</v>
      </c>
      <c r="C227" s="3">
        <v>72.0</v>
      </c>
      <c r="D227" s="4"/>
      <c r="E227" s="3" t="s">
        <v>144</v>
      </c>
      <c r="F227" s="3">
        <v>30.76</v>
      </c>
      <c r="G227" s="3">
        <v>72.0</v>
      </c>
      <c r="H227" s="24"/>
      <c r="I227" s="3" t="s">
        <v>151</v>
      </c>
      <c r="J227" s="3">
        <v>30.76</v>
      </c>
      <c r="K227" s="3">
        <v>76.0</v>
      </c>
      <c r="L227" s="4"/>
      <c r="M227" s="3" t="s">
        <v>188</v>
      </c>
      <c r="N227" s="3">
        <v>30.61</v>
      </c>
      <c r="O227" s="3">
        <v>83.0</v>
      </c>
      <c r="P227" s="4"/>
      <c r="Q227" s="3" t="s">
        <v>155</v>
      </c>
      <c r="R227" s="3">
        <v>30.75</v>
      </c>
      <c r="S227" s="27">
        <v>91.0</v>
      </c>
      <c r="T227" s="4"/>
      <c r="U227" s="4"/>
      <c r="V227" s="4"/>
      <c r="W227" s="4"/>
      <c r="X227" s="4"/>
      <c r="Y227" s="4"/>
      <c r="Z227" s="4"/>
    </row>
    <row r="228" ht="12.75" customHeight="1">
      <c r="A228" s="3" t="s">
        <v>175</v>
      </c>
      <c r="B228" s="3">
        <v>30.34</v>
      </c>
      <c r="C228" s="3">
        <v>72.0</v>
      </c>
      <c r="D228" s="4"/>
      <c r="E228" s="3" t="s">
        <v>184</v>
      </c>
      <c r="F228" s="3">
        <v>30.76</v>
      </c>
      <c r="G228" s="3">
        <v>72.0</v>
      </c>
      <c r="H228" s="24"/>
      <c r="I228" s="3" t="s">
        <v>171</v>
      </c>
      <c r="J228" s="3">
        <v>30.76</v>
      </c>
      <c r="K228" s="3">
        <v>76.0</v>
      </c>
      <c r="L228" s="4"/>
      <c r="M228" s="3" t="s">
        <v>142</v>
      </c>
      <c r="N228" s="3">
        <v>30.61</v>
      </c>
      <c r="O228" s="3">
        <v>83.0</v>
      </c>
      <c r="P228" s="4"/>
      <c r="Q228" s="3" t="s">
        <v>188</v>
      </c>
      <c r="R228" s="3">
        <v>30.75</v>
      </c>
      <c r="S228" s="27">
        <v>91.0</v>
      </c>
      <c r="T228" s="4"/>
      <c r="U228" s="4"/>
      <c r="V228" s="4"/>
      <c r="W228" s="4"/>
      <c r="X228" s="4"/>
      <c r="Y228" s="4"/>
      <c r="Z228" s="4"/>
    </row>
    <row r="229" ht="12.75" customHeight="1">
      <c r="A229" s="3" t="s">
        <v>177</v>
      </c>
      <c r="B229" s="3">
        <v>30.34</v>
      </c>
      <c r="C229" s="3">
        <v>72.0</v>
      </c>
      <c r="D229" s="4"/>
      <c r="E229" s="3" t="s">
        <v>179</v>
      </c>
      <c r="F229" s="3">
        <v>30.76</v>
      </c>
      <c r="G229" s="3">
        <v>72.0</v>
      </c>
      <c r="H229" s="24"/>
      <c r="I229" s="3" t="s">
        <v>179</v>
      </c>
      <c r="J229" s="3">
        <v>30.76</v>
      </c>
      <c r="K229" s="3">
        <v>76.0</v>
      </c>
      <c r="L229" s="4"/>
      <c r="M229" s="3" t="s">
        <v>143</v>
      </c>
      <c r="N229" s="3">
        <v>30.61</v>
      </c>
      <c r="O229" s="3">
        <v>83.0</v>
      </c>
      <c r="P229" s="4"/>
      <c r="Q229" s="3" t="s">
        <v>96</v>
      </c>
      <c r="R229" s="3">
        <v>30.75</v>
      </c>
      <c r="S229" s="27">
        <v>91.0</v>
      </c>
      <c r="T229" s="4"/>
      <c r="U229" s="4"/>
      <c r="V229" s="4"/>
      <c r="W229" s="4"/>
      <c r="X229" s="4"/>
      <c r="Y229" s="4"/>
      <c r="Z229" s="4"/>
    </row>
    <row r="230" ht="12.75" customHeight="1">
      <c r="A230" s="3" t="s">
        <v>174</v>
      </c>
      <c r="B230" s="3">
        <v>30.34</v>
      </c>
      <c r="C230" s="3">
        <v>72.0</v>
      </c>
      <c r="D230" s="4"/>
      <c r="E230" s="3" t="s">
        <v>157</v>
      </c>
      <c r="F230" s="3">
        <v>30.76</v>
      </c>
      <c r="G230" s="3">
        <v>72.0</v>
      </c>
      <c r="H230" s="24"/>
      <c r="I230" s="3" t="s">
        <v>126</v>
      </c>
      <c r="J230" s="3">
        <v>30.76</v>
      </c>
      <c r="K230" s="3">
        <v>76.0</v>
      </c>
      <c r="L230" s="4"/>
      <c r="M230" s="3" t="s">
        <v>134</v>
      </c>
      <c r="N230" s="3">
        <v>30.61</v>
      </c>
      <c r="O230" s="3">
        <v>83.0</v>
      </c>
      <c r="P230" s="4"/>
      <c r="Q230" s="3" t="s">
        <v>138</v>
      </c>
      <c r="R230" s="3">
        <v>30.75</v>
      </c>
      <c r="S230" s="27">
        <v>91.0</v>
      </c>
      <c r="T230" s="4"/>
      <c r="U230" s="4"/>
      <c r="V230" s="4"/>
      <c r="W230" s="4"/>
      <c r="X230" s="4"/>
      <c r="Y230" s="4"/>
      <c r="Z230" s="4"/>
    </row>
    <row r="231" ht="12.75" customHeight="1">
      <c r="A231" s="3" t="s">
        <v>145</v>
      </c>
      <c r="B231" s="3">
        <v>30.34</v>
      </c>
      <c r="C231" s="3">
        <v>72.0</v>
      </c>
      <c r="D231" s="4"/>
      <c r="E231" s="3" t="s">
        <v>138</v>
      </c>
      <c r="F231" s="3">
        <v>30.76</v>
      </c>
      <c r="G231" s="3">
        <v>72.0</v>
      </c>
      <c r="H231" s="24"/>
      <c r="I231" s="3" t="s">
        <v>158</v>
      </c>
      <c r="J231" s="3">
        <v>30.76</v>
      </c>
      <c r="K231" s="3">
        <v>76.0</v>
      </c>
      <c r="L231" s="4"/>
      <c r="M231" s="3" t="s">
        <v>162</v>
      </c>
      <c r="N231" s="3">
        <v>30.61</v>
      </c>
      <c r="O231" s="3">
        <v>83.0</v>
      </c>
      <c r="P231" s="4"/>
      <c r="Q231" s="3" t="s">
        <v>171</v>
      </c>
      <c r="R231" s="3">
        <v>30.75</v>
      </c>
      <c r="S231" s="27">
        <v>91.0</v>
      </c>
      <c r="T231" s="4"/>
      <c r="U231" s="4"/>
      <c r="V231" s="4"/>
      <c r="W231" s="4"/>
      <c r="X231" s="4"/>
      <c r="Y231" s="4"/>
      <c r="Z231" s="4"/>
    </row>
    <row r="232" ht="12.75" customHeight="1">
      <c r="A232" s="3" t="s">
        <v>182</v>
      </c>
      <c r="B232" s="3">
        <v>30.34</v>
      </c>
      <c r="C232" s="3">
        <v>72.0</v>
      </c>
      <c r="D232" s="4"/>
      <c r="E232" s="3" t="s">
        <v>142</v>
      </c>
      <c r="F232" s="3">
        <v>30.76</v>
      </c>
      <c r="G232" s="3">
        <v>72.0</v>
      </c>
      <c r="H232" s="24"/>
      <c r="I232" s="3" t="s">
        <v>191</v>
      </c>
      <c r="J232" s="3">
        <v>30.76</v>
      </c>
      <c r="K232" s="3">
        <v>76.0</v>
      </c>
      <c r="L232" s="4"/>
      <c r="M232" s="3" t="s">
        <v>180</v>
      </c>
      <c r="N232" s="3">
        <v>30.61</v>
      </c>
      <c r="O232" s="3">
        <v>83.0</v>
      </c>
      <c r="P232" s="4"/>
      <c r="Q232" s="3" t="s">
        <v>111</v>
      </c>
      <c r="R232" s="3">
        <v>30.75</v>
      </c>
      <c r="S232" s="27">
        <v>91.0</v>
      </c>
      <c r="T232" s="4"/>
      <c r="U232" s="4"/>
      <c r="V232" s="4"/>
      <c r="W232" s="4"/>
      <c r="X232" s="4"/>
      <c r="Y232" s="4"/>
      <c r="Z232" s="4"/>
    </row>
    <row r="233" ht="12.75" customHeight="1">
      <c r="A233" s="3" t="s">
        <v>157</v>
      </c>
      <c r="B233" s="3">
        <v>30.34</v>
      </c>
      <c r="C233" s="3">
        <v>72.0</v>
      </c>
      <c r="D233" s="4"/>
      <c r="E233" s="3" t="s">
        <v>154</v>
      </c>
      <c r="F233" s="3">
        <v>30.76</v>
      </c>
      <c r="G233" s="3">
        <v>72.0</v>
      </c>
      <c r="H233" s="24"/>
      <c r="I233" s="3" t="s">
        <v>125</v>
      </c>
      <c r="J233" s="3">
        <v>30.76</v>
      </c>
      <c r="K233" s="3">
        <v>76.0</v>
      </c>
      <c r="L233" s="4"/>
      <c r="M233" s="3" t="s">
        <v>179</v>
      </c>
      <c r="N233" s="3">
        <v>30.61</v>
      </c>
      <c r="O233" s="3">
        <v>83.0</v>
      </c>
      <c r="P233" s="4"/>
      <c r="Q233" s="3" t="s">
        <v>154</v>
      </c>
      <c r="R233" s="3">
        <v>30.75</v>
      </c>
      <c r="S233" s="27">
        <v>91.0</v>
      </c>
      <c r="T233" s="4"/>
      <c r="U233" s="4"/>
      <c r="V233" s="4"/>
      <c r="W233" s="4"/>
      <c r="X233" s="4"/>
      <c r="Y233" s="4"/>
      <c r="Z233" s="4"/>
    </row>
    <row r="234" ht="12.75" customHeight="1">
      <c r="A234" s="3" t="s">
        <v>185</v>
      </c>
      <c r="B234" s="3">
        <v>30.34</v>
      </c>
      <c r="C234" s="3">
        <v>72.0</v>
      </c>
      <c r="D234" s="4"/>
      <c r="E234" s="3" t="s">
        <v>152</v>
      </c>
      <c r="F234" s="3">
        <v>30.76</v>
      </c>
      <c r="G234" s="3">
        <v>72.0</v>
      </c>
      <c r="H234" s="24"/>
      <c r="I234" s="3" t="s">
        <v>157</v>
      </c>
      <c r="J234" s="3">
        <v>30.76</v>
      </c>
      <c r="K234" s="3">
        <v>76.0</v>
      </c>
      <c r="L234" s="4"/>
      <c r="M234" s="3" t="s">
        <v>191</v>
      </c>
      <c r="N234" s="3">
        <v>30.61</v>
      </c>
      <c r="O234" s="3">
        <v>83.0</v>
      </c>
      <c r="P234" s="4"/>
      <c r="Q234" s="3" t="s">
        <v>104</v>
      </c>
      <c r="R234" s="3">
        <v>30.56</v>
      </c>
      <c r="S234" s="27">
        <v>99.0</v>
      </c>
      <c r="T234" s="4"/>
      <c r="U234" s="4"/>
      <c r="V234" s="4"/>
      <c r="W234" s="4"/>
      <c r="X234" s="4"/>
      <c r="Y234" s="4"/>
      <c r="Z234" s="4"/>
    </row>
    <row r="235" ht="12.75" customHeight="1">
      <c r="A235" s="3" t="s">
        <v>186</v>
      </c>
      <c r="B235" s="3">
        <v>30.34</v>
      </c>
      <c r="C235" s="3">
        <v>72.0</v>
      </c>
      <c r="D235" s="4"/>
      <c r="E235" s="3" t="s">
        <v>156</v>
      </c>
      <c r="F235" s="3">
        <v>30.76</v>
      </c>
      <c r="G235" s="3">
        <v>72.0</v>
      </c>
      <c r="H235" s="24"/>
      <c r="I235" s="3" t="s">
        <v>133</v>
      </c>
      <c r="J235" s="3">
        <v>30.76</v>
      </c>
      <c r="K235" s="3">
        <v>76.0</v>
      </c>
      <c r="L235" s="4"/>
      <c r="M235" s="3" t="s">
        <v>126</v>
      </c>
      <c r="N235" s="3">
        <v>30.61</v>
      </c>
      <c r="O235" s="3">
        <v>83.0</v>
      </c>
      <c r="P235" s="4"/>
      <c r="Q235" s="3" t="s">
        <v>146</v>
      </c>
      <c r="R235" s="3">
        <v>30.33</v>
      </c>
      <c r="S235" s="27">
        <v>100.0</v>
      </c>
      <c r="T235" s="4"/>
      <c r="U235" s="4"/>
      <c r="V235" s="4"/>
      <c r="W235" s="4"/>
      <c r="X235" s="4"/>
      <c r="Y235" s="4"/>
      <c r="Z235" s="4"/>
    </row>
    <row r="236" ht="12.75" customHeight="1">
      <c r="A236" s="3" t="s">
        <v>156</v>
      </c>
      <c r="B236" s="3">
        <v>30.34</v>
      </c>
      <c r="C236" s="3">
        <v>72.0</v>
      </c>
      <c r="D236" s="4"/>
      <c r="E236" s="3" t="s">
        <v>158</v>
      </c>
      <c r="F236" s="3">
        <v>30.76</v>
      </c>
      <c r="G236" s="3">
        <v>72.0</v>
      </c>
      <c r="H236" s="24"/>
      <c r="I236" s="3" t="s">
        <v>168</v>
      </c>
      <c r="J236" s="3">
        <v>30.76</v>
      </c>
      <c r="K236" s="3">
        <v>76.0</v>
      </c>
      <c r="L236" s="4"/>
      <c r="M236" s="3" t="s">
        <v>184</v>
      </c>
      <c r="N236" s="3">
        <v>30.61</v>
      </c>
      <c r="O236" s="3">
        <v>83.0</v>
      </c>
      <c r="P236" s="4"/>
      <c r="Q236" s="3" t="s">
        <v>57</v>
      </c>
      <c r="R236" s="3">
        <v>30.28</v>
      </c>
      <c r="S236" s="27">
        <v>101.0</v>
      </c>
      <c r="T236" s="4"/>
      <c r="U236" s="4"/>
      <c r="V236" s="4"/>
      <c r="W236" s="4"/>
      <c r="X236" s="4"/>
      <c r="Y236" s="4"/>
      <c r="Z236" s="4"/>
    </row>
    <row r="237" ht="12.75" customHeight="1">
      <c r="A237" s="3" t="s">
        <v>150</v>
      </c>
      <c r="B237" s="3">
        <v>30.34</v>
      </c>
      <c r="C237" s="3">
        <v>72.0</v>
      </c>
      <c r="D237" s="4"/>
      <c r="E237" s="3" t="s">
        <v>174</v>
      </c>
      <c r="F237" s="3">
        <v>30.76</v>
      </c>
      <c r="G237" s="3">
        <v>72.0</v>
      </c>
      <c r="H237" s="24"/>
      <c r="I237" s="3" t="s">
        <v>190</v>
      </c>
      <c r="J237" s="3">
        <v>30.76</v>
      </c>
      <c r="K237" s="3">
        <v>76.0</v>
      </c>
      <c r="L237" s="4"/>
      <c r="M237" s="3" t="s">
        <v>177</v>
      </c>
      <c r="N237" s="3">
        <v>30.61</v>
      </c>
      <c r="O237" s="3">
        <v>83.0</v>
      </c>
      <c r="P237" s="4"/>
      <c r="Q237" s="3" t="s">
        <v>142</v>
      </c>
      <c r="R237" s="3">
        <v>30.14</v>
      </c>
      <c r="S237" s="27">
        <v>102.0</v>
      </c>
      <c r="T237" s="4"/>
      <c r="U237" s="4"/>
      <c r="V237" s="4"/>
      <c r="W237" s="4"/>
      <c r="X237" s="4"/>
      <c r="Y237" s="4"/>
      <c r="Z237" s="4"/>
    </row>
    <row r="238" ht="12.75" customHeight="1">
      <c r="A238" s="3" t="s">
        <v>96</v>
      </c>
      <c r="B238" s="3">
        <v>30.34</v>
      </c>
      <c r="C238" s="3">
        <v>72.0</v>
      </c>
      <c r="D238" s="4"/>
      <c r="E238" s="3" t="s">
        <v>126</v>
      </c>
      <c r="F238" s="3">
        <v>30.76</v>
      </c>
      <c r="G238" s="3">
        <v>72.0</v>
      </c>
      <c r="H238" s="24"/>
      <c r="I238" s="3" t="s">
        <v>160</v>
      </c>
      <c r="J238" s="3">
        <v>30.76</v>
      </c>
      <c r="K238" s="3">
        <v>76.0</v>
      </c>
      <c r="L238" s="4"/>
      <c r="M238" s="3" t="s">
        <v>160</v>
      </c>
      <c r="N238" s="3">
        <v>30.61</v>
      </c>
      <c r="O238" s="3">
        <v>83.0</v>
      </c>
      <c r="P238" s="4"/>
      <c r="Q238" s="3" t="s">
        <v>169</v>
      </c>
      <c r="R238" s="3">
        <v>30.07</v>
      </c>
      <c r="S238" s="27">
        <v>103.0</v>
      </c>
      <c r="T238" s="4"/>
      <c r="U238" s="4"/>
      <c r="V238" s="4"/>
      <c r="W238" s="4"/>
      <c r="X238" s="4"/>
      <c r="Y238" s="4"/>
      <c r="Z238" s="4"/>
    </row>
    <row r="239" ht="12.75" customHeight="1">
      <c r="A239" s="3" t="s">
        <v>144</v>
      </c>
      <c r="B239" s="3">
        <v>30.34</v>
      </c>
      <c r="C239" s="3">
        <v>72.0</v>
      </c>
      <c r="D239" s="4"/>
      <c r="E239" s="3" t="s">
        <v>172</v>
      </c>
      <c r="F239" s="3">
        <v>30.76</v>
      </c>
      <c r="G239" s="3">
        <v>72.0</v>
      </c>
      <c r="H239" s="24"/>
      <c r="I239" s="3" t="s">
        <v>146</v>
      </c>
      <c r="J239" s="3">
        <v>30.73</v>
      </c>
      <c r="K239" s="3">
        <v>104.0</v>
      </c>
      <c r="L239" s="4"/>
      <c r="M239" s="3" t="s">
        <v>169</v>
      </c>
      <c r="N239" s="3">
        <v>30.61</v>
      </c>
      <c r="O239" s="3">
        <v>83.0</v>
      </c>
      <c r="P239" s="4"/>
      <c r="Q239" s="3" t="s">
        <v>134</v>
      </c>
      <c r="R239" s="3">
        <v>29.95</v>
      </c>
      <c r="S239" s="27">
        <v>104.0</v>
      </c>
      <c r="T239" s="4"/>
      <c r="U239" s="4"/>
      <c r="V239" s="4"/>
      <c r="W239" s="4"/>
      <c r="X239" s="4"/>
      <c r="Y239" s="4"/>
      <c r="Z239" s="4"/>
    </row>
    <row r="240" ht="12.75" customHeight="1">
      <c r="A240" s="3" t="s">
        <v>142</v>
      </c>
      <c r="B240" s="3">
        <v>30.34</v>
      </c>
      <c r="C240" s="3">
        <v>72.0</v>
      </c>
      <c r="D240" s="4"/>
      <c r="E240" s="3" t="s">
        <v>186</v>
      </c>
      <c r="F240" s="3">
        <v>30.76</v>
      </c>
      <c r="G240" s="3">
        <v>72.0</v>
      </c>
      <c r="H240" s="24"/>
      <c r="I240" s="3" t="s">
        <v>119</v>
      </c>
      <c r="J240" s="3">
        <v>30.52</v>
      </c>
      <c r="K240" s="3">
        <v>105.0</v>
      </c>
      <c r="L240" s="4"/>
      <c r="M240" s="3" t="s">
        <v>171</v>
      </c>
      <c r="N240" s="3">
        <v>30.61</v>
      </c>
      <c r="O240" s="3">
        <v>83.0</v>
      </c>
      <c r="P240" s="4"/>
      <c r="Q240" s="3" t="s">
        <v>145</v>
      </c>
      <c r="R240" s="3">
        <v>29.89</v>
      </c>
      <c r="S240" s="27">
        <v>105.0</v>
      </c>
      <c r="T240" s="4"/>
      <c r="U240" s="4"/>
      <c r="V240" s="4"/>
      <c r="W240" s="4"/>
      <c r="X240" s="4"/>
      <c r="Y240" s="4"/>
      <c r="Z240" s="4"/>
    </row>
    <row r="241" ht="12.75" customHeight="1">
      <c r="A241" s="3" t="s">
        <v>160</v>
      </c>
      <c r="B241" s="3">
        <v>30.34</v>
      </c>
      <c r="C241" s="3">
        <v>72.0</v>
      </c>
      <c r="D241" s="4"/>
      <c r="E241" s="3" t="s">
        <v>173</v>
      </c>
      <c r="F241" s="3">
        <v>30.76</v>
      </c>
      <c r="G241" s="3">
        <v>72.0</v>
      </c>
      <c r="H241" s="24"/>
      <c r="I241" s="3" t="s">
        <v>141</v>
      </c>
      <c r="J241" s="3">
        <v>30.14</v>
      </c>
      <c r="K241" s="3">
        <v>106.0</v>
      </c>
      <c r="L241" s="4"/>
      <c r="M241" s="3" t="s">
        <v>168</v>
      </c>
      <c r="N241" s="3">
        <v>30.61</v>
      </c>
      <c r="O241" s="3">
        <v>83.0</v>
      </c>
      <c r="P241" s="4"/>
      <c r="Q241" s="3" t="s">
        <v>81</v>
      </c>
      <c r="R241" s="3">
        <v>29.86</v>
      </c>
      <c r="S241" s="27">
        <v>106.0</v>
      </c>
      <c r="T241" s="4"/>
      <c r="U241" s="4"/>
      <c r="V241" s="4"/>
      <c r="W241" s="4"/>
      <c r="X241" s="4"/>
      <c r="Y241" s="4"/>
      <c r="Z241" s="4"/>
    </row>
    <row r="242" ht="12.75" customHeight="1">
      <c r="A242" s="3" t="s">
        <v>188</v>
      </c>
      <c r="B242" s="3">
        <v>30.34</v>
      </c>
      <c r="C242" s="3">
        <v>72.0</v>
      </c>
      <c r="D242" s="4"/>
      <c r="E242" s="3" t="s">
        <v>188</v>
      </c>
      <c r="F242" s="3">
        <v>30.76</v>
      </c>
      <c r="G242" s="3">
        <v>72.0</v>
      </c>
      <c r="H242" s="24"/>
      <c r="I242" s="3" t="s">
        <v>175</v>
      </c>
      <c r="J242" s="3">
        <v>30.08</v>
      </c>
      <c r="K242" s="3">
        <v>107.0</v>
      </c>
      <c r="L242" s="4"/>
      <c r="M242" s="3" t="s">
        <v>158</v>
      </c>
      <c r="N242" s="3">
        <v>30.61</v>
      </c>
      <c r="O242" s="3">
        <v>83.0</v>
      </c>
      <c r="P242" s="4"/>
      <c r="Q242" s="3" t="s">
        <v>125</v>
      </c>
      <c r="R242" s="3">
        <v>29.77</v>
      </c>
      <c r="S242" s="27">
        <v>107.0</v>
      </c>
      <c r="T242" s="4"/>
      <c r="U242" s="4"/>
      <c r="V242" s="4"/>
      <c r="W242" s="4"/>
      <c r="X242" s="4"/>
      <c r="Y242" s="4"/>
      <c r="Z242" s="4"/>
    </row>
    <row r="243" ht="12.75" customHeight="1">
      <c r="A243" s="3" t="s">
        <v>97</v>
      </c>
      <c r="B243" s="3">
        <v>30.34</v>
      </c>
      <c r="C243" s="3">
        <v>72.0</v>
      </c>
      <c r="D243" s="4"/>
      <c r="E243" s="3" t="s">
        <v>180</v>
      </c>
      <c r="F243" s="3">
        <v>30.76</v>
      </c>
      <c r="G243" s="3">
        <v>72.0</v>
      </c>
      <c r="H243" s="24"/>
      <c r="I243" s="3" t="s">
        <v>97</v>
      </c>
      <c r="J243" s="3">
        <v>29.66</v>
      </c>
      <c r="K243" s="3">
        <v>108.0</v>
      </c>
      <c r="L243" s="4"/>
      <c r="M243" s="3" t="s">
        <v>141</v>
      </c>
      <c r="N243" s="3">
        <v>30.36</v>
      </c>
      <c r="O243" s="3">
        <v>108.0</v>
      </c>
      <c r="P243" s="4"/>
      <c r="Q243" s="3" t="s">
        <v>200</v>
      </c>
      <c r="R243" s="3">
        <v>29.48</v>
      </c>
      <c r="S243" s="27">
        <v>108.0</v>
      </c>
      <c r="T243" s="4"/>
      <c r="U243" s="4"/>
      <c r="V243" s="4"/>
      <c r="W243" s="4"/>
      <c r="X243" s="4"/>
      <c r="Y243" s="4"/>
      <c r="Z243" s="4"/>
    </row>
    <row r="244" ht="12.75" customHeight="1">
      <c r="A244" s="3" t="s">
        <v>125</v>
      </c>
      <c r="B244" s="3">
        <v>30.34</v>
      </c>
      <c r="C244" s="3">
        <v>72.0</v>
      </c>
      <c r="D244" s="4"/>
      <c r="E244" s="3" t="s">
        <v>190</v>
      </c>
      <c r="F244" s="3">
        <v>30.76</v>
      </c>
      <c r="G244" s="3">
        <v>72.0</v>
      </c>
      <c r="H244" s="24"/>
      <c r="I244" s="3" t="s">
        <v>81</v>
      </c>
      <c r="J244" s="3">
        <v>29.5</v>
      </c>
      <c r="K244" s="3">
        <v>109.0</v>
      </c>
      <c r="L244" s="4"/>
      <c r="M244" s="3" t="s">
        <v>133</v>
      </c>
      <c r="N244" s="3">
        <v>30.26</v>
      </c>
      <c r="O244" s="3">
        <v>109.0</v>
      </c>
      <c r="P244" s="4"/>
      <c r="Q244" s="3" t="s">
        <v>105</v>
      </c>
      <c r="R244" s="3">
        <v>29.35</v>
      </c>
      <c r="S244" s="27">
        <v>109.0</v>
      </c>
      <c r="T244" s="4"/>
      <c r="U244" s="4"/>
      <c r="V244" s="4"/>
      <c r="W244" s="4"/>
      <c r="X244" s="4"/>
      <c r="Y244" s="4"/>
      <c r="Z244" s="4"/>
    </row>
    <row r="245" ht="12.75" customHeight="1">
      <c r="A245" s="3" t="s">
        <v>162</v>
      </c>
      <c r="B245" s="3">
        <v>30.34</v>
      </c>
      <c r="C245" s="3">
        <v>72.0</v>
      </c>
      <c r="D245" s="4"/>
      <c r="E245" s="3" t="s">
        <v>160</v>
      </c>
      <c r="F245" s="3">
        <v>30.76</v>
      </c>
      <c r="G245" s="3">
        <v>72.0</v>
      </c>
      <c r="H245" s="24"/>
      <c r="I245" s="3" t="s">
        <v>147</v>
      </c>
      <c r="J245" s="3">
        <v>29.45</v>
      </c>
      <c r="K245" s="3">
        <v>110.0</v>
      </c>
      <c r="L245" s="4"/>
      <c r="M245" s="3" t="s">
        <v>147</v>
      </c>
      <c r="N245" s="3">
        <v>29.42</v>
      </c>
      <c r="O245" s="3">
        <v>110.0</v>
      </c>
      <c r="P245" s="4"/>
      <c r="Q245" s="3" t="s">
        <v>143</v>
      </c>
      <c r="R245" s="3">
        <v>29.33</v>
      </c>
      <c r="S245" s="27">
        <v>110.0</v>
      </c>
      <c r="T245" s="4"/>
      <c r="U245" s="4"/>
      <c r="V245" s="4"/>
      <c r="W245" s="4"/>
      <c r="X245" s="4"/>
      <c r="Y245" s="4"/>
      <c r="Z245" s="4"/>
    </row>
    <row r="246" ht="12.75" customHeight="1">
      <c r="A246" s="3" t="s">
        <v>154</v>
      </c>
      <c r="B246" s="3">
        <v>30.34</v>
      </c>
      <c r="C246" s="3">
        <v>72.0</v>
      </c>
      <c r="D246" s="4"/>
      <c r="E246" s="3" t="s">
        <v>162</v>
      </c>
      <c r="F246" s="3">
        <v>30.76</v>
      </c>
      <c r="G246" s="3">
        <v>72.0</v>
      </c>
      <c r="H246" s="24"/>
      <c r="I246" s="3" t="s">
        <v>144</v>
      </c>
      <c r="J246" s="3">
        <v>29.35</v>
      </c>
      <c r="K246" s="3">
        <v>111.0</v>
      </c>
      <c r="L246" s="4"/>
      <c r="M246" s="3" t="s">
        <v>200</v>
      </c>
      <c r="N246" s="3">
        <v>29.2</v>
      </c>
      <c r="O246" s="3">
        <v>111.0</v>
      </c>
      <c r="P246" s="4"/>
      <c r="Q246" s="3" t="s">
        <v>153</v>
      </c>
      <c r="R246" s="3">
        <v>29.17</v>
      </c>
      <c r="S246" s="27">
        <v>111.0</v>
      </c>
      <c r="T246" s="4"/>
      <c r="U246" s="4"/>
      <c r="V246" s="4"/>
      <c r="W246" s="4"/>
      <c r="X246" s="4"/>
      <c r="Y246" s="4"/>
      <c r="Z246" s="4"/>
    </row>
    <row r="247" ht="12.75" customHeight="1">
      <c r="A247" s="3" t="s">
        <v>141</v>
      </c>
      <c r="B247" s="3">
        <v>30.34</v>
      </c>
      <c r="C247" s="3">
        <v>72.0</v>
      </c>
      <c r="D247" s="4"/>
      <c r="E247" s="3" t="s">
        <v>185</v>
      </c>
      <c r="F247" s="3">
        <v>30.76</v>
      </c>
      <c r="G247" s="3">
        <v>72.0</v>
      </c>
      <c r="H247" s="24"/>
      <c r="I247" s="3" t="s">
        <v>167</v>
      </c>
      <c r="J247" s="3">
        <v>29.19</v>
      </c>
      <c r="K247" s="3">
        <v>112.0</v>
      </c>
      <c r="L247" s="4"/>
      <c r="M247" s="3" t="s">
        <v>105</v>
      </c>
      <c r="N247" s="3">
        <v>28.93</v>
      </c>
      <c r="O247" s="3">
        <v>112.0</v>
      </c>
      <c r="P247" s="4"/>
      <c r="Q247" s="3" t="s">
        <v>177</v>
      </c>
      <c r="R247" s="3">
        <v>29.13</v>
      </c>
      <c r="S247" s="27">
        <v>112.0</v>
      </c>
      <c r="T247" s="4"/>
      <c r="U247" s="4"/>
      <c r="V247" s="4"/>
      <c r="W247" s="4"/>
      <c r="X247" s="4"/>
      <c r="Y247" s="4"/>
      <c r="Z247" s="4"/>
    </row>
    <row r="248" ht="12.75" customHeight="1">
      <c r="A248" s="3" t="s">
        <v>151</v>
      </c>
      <c r="B248" s="3">
        <v>30.34</v>
      </c>
      <c r="C248" s="3">
        <v>72.0</v>
      </c>
      <c r="D248" s="4"/>
      <c r="E248" s="3" t="s">
        <v>177</v>
      </c>
      <c r="F248" s="3">
        <v>30.76</v>
      </c>
      <c r="G248" s="3">
        <v>72.0</v>
      </c>
      <c r="H248" s="24"/>
      <c r="I248" s="3" t="s">
        <v>139</v>
      </c>
      <c r="J248" s="3">
        <v>29.03</v>
      </c>
      <c r="K248" s="3">
        <v>113.0</v>
      </c>
      <c r="L248" s="4"/>
      <c r="M248" s="3" t="s">
        <v>89</v>
      </c>
      <c r="N248" s="3">
        <v>28.87</v>
      </c>
      <c r="O248" s="3">
        <v>113.0</v>
      </c>
      <c r="P248" s="4"/>
      <c r="Q248" s="3" t="s">
        <v>139</v>
      </c>
      <c r="R248" s="3">
        <v>28.82</v>
      </c>
      <c r="S248" s="27">
        <v>113.0</v>
      </c>
      <c r="T248" s="4"/>
      <c r="U248" s="4"/>
      <c r="V248" s="4"/>
      <c r="W248" s="4"/>
      <c r="X248" s="4"/>
      <c r="Y248" s="4"/>
      <c r="Z248" s="4"/>
    </row>
    <row r="249" ht="12.75" customHeight="1">
      <c r="A249" s="3" t="s">
        <v>153</v>
      </c>
      <c r="B249" s="3">
        <v>30.34</v>
      </c>
      <c r="C249" s="3">
        <v>72.0</v>
      </c>
      <c r="D249" s="4"/>
      <c r="E249" s="3" t="s">
        <v>125</v>
      </c>
      <c r="F249" s="3">
        <v>30.76</v>
      </c>
      <c r="G249" s="3">
        <v>72.0</v>
      </c>
      <c r="H249" s="24"/>
      <c r="I249" s="3" t="s">
        <v>200</v>
      </c>
      <c r="J249" s="3">
        <v>28.99</v>
      </c>
      <c r="K249" s="3">
        <v>114.0</v>
      </c>
      <c r="L249" s="4"/>
      <c r="M249" s="3" t="s">
        <v>139</v>
      </c>
      <c r="N249" s="3">
        <v>28.79</v>
      </c>
      <c r="O249" s="3">
        <v>114.0</v>
      </c>
      <c r="P249" s="4"/>
      <c r="Q249" s="3" t="s">
        <v>184</v>
      </c>
      <c r="R249" s="3">
        <v>28.57</v>
      </c>
      <c r="S249" s="27">
        <v>114.0</v>
      </c>
      <c r="T249" s="4"/>
      <c r="U249" s="4"/>
      <c r="V249" s="4"/>
      <c r="W249" s="4"/>
      <c r="X249" s="4"/>
      <c r="Y249" s="4"/>
      <c r="Z249" s="4"/>
    </row>
    <row r="250" ht="12.75" customHeight="1">
      <c r="A250" s="3" t="s">
        <v>173</v>
      </c>
      <c r="B250" s="3">
        <v>30.34</v>
      </c>
      <c r="C250" s="3">
        <v>72.0</v>
      </c>
      <c r="D250" s="4"/>
      <c r="E250" s="3" t="s">
        <v>134</v>
      </c>
      <c r="F250" s="3">
        <v>30.76</v>
      </c>
      <c r="G250" s="3">
        <v>72.0</v>
      </c>
      <c r="H250" s="24"/>
      <c r="I250" s="3" t="s">
        <v>156</v>
      </c>
      <c r="J250" s="3">
        <v>28.95</v>
      </c>
      <c r="K250" s="3">
        <v>115.0</v>
      </c>
      <c r="L250" s="4"/>
      <c r="M250" s="3" t="s">
        <v>193</v>
      </c>
      <c r="N250" s="3">
        <v>28.0</v>
      </c>
      <c r="O250" s="3">
        <v>115.0</v>
      </c>
      <c r="P250" s="4"/>
      <c r="Q250" s="3" t="s">
        <v>170</v>
      </c>
      <c r="R250" s="3">
        <v>28.39</v>
      </c>
      <c r="S250" s="27">
        <v>115.0</v>
      </c>
      <c r="T250" s="4"/>
      <c r="U250" s="4"/>
      <c r="V250" s="4"/>
      <c r="W250" s="4"/>
      <c r="X250" s="4"/>
      <c r="Y250" s="4"/>
      <c r="Z250" s="4"/>
    </row>
    <row r="251" ht="12.75" customHeight="1">
      <c r="A251" s="3" t="s">
        <v>189</v>
      </c>
      <c r="B251" s="3">
        <v>30.34</v>
      </c>
      <c r="C251" s="3">
        <v>72.0</v>
      </c>
      <c r="D251" s="4"/>
      <c r="E251" s="3" t="s">
        <v>191</v>
      </c>
      <c r="F251" s="3">
        <v>30.76</v>
      </c>
      <c r="G251" s="3">
        <v>72.0</v>
      </c>
      <c r="H251" s="24"/>
      <c r="I251" s="3" t="s">
        <v>89</v>
      </c>
      <c r="J251" s="3">
        <v>28.75</v>
      </c>
      <c r="K251" s="3">
        <v>116.0</v>
      </c>
      <c r="L251" s="4"/>
      <c r="M251" s="3" t="s">
        <v>114</v>
      </c>
      <c r="N251" s="3">
        <v>27.79</v>
      </c>
      <c r="O251" s="3">
        <v>116.0</v>
      </c>
      <c r="P251" s="4"/>
      <c r="Q251" s="3" t="s">
        <v>193</v>
      </c>
      <c r="R251" s="3">
        <v>28.14</v>
      </c>
      <c r="S251" s="27">
        <v>116.0</v>
      </c>
      <c r="T251" s="4"/>
      <c r="U251" s="4"/>
      <c r="V251" s="4"/>
      <c r="W251" s="4"/>
      <c r="X251" s="4"/>
      <c r="Y251" s="4"/>
      <c r="Z251" s="4"/>
    </row>
    <row r="252" ht="12.75" customHeight="1">
      <c r="A252" s="3" t="s">
        <v>146</v>
      </c>
      <c r="B252" s="3">
        <v>30.34</v>
      </c>
      <c r="C252" s="3">
        <v>72.0</v>
      </c>
      <c r="D252" s="4"/>
      <c r="E252" s="3" t="s">
        <v>176</v>
      </c>
      <c r="F252" s="3">
        <v>30.76</v>
      </c>
      <c r="G252" s="3">
        <v>72.0</v>
      </c>
      <c r="H252" s="24"/>
      <c r="I252" s="3" t="s">
        <v>193</v>
      </c>
      <c r="J252" s="3">
        <v>28.5</v>
      </c>
      <c r="K252" s="3">
        <v>117.0</v>
      </c>
      <c r="L252" s="4"/>
      <c r="M252" s="3" t="s">
        <v>91</v>
      </c>
      <c r="N252" s="3">
        <v>27.53</v>
      </c>
      <c r="O252" s="3">
        <v>117.0</v>
      </c>
      <c r="P252" s="4"/>
      <c r="Q252" s="3" t="s">
        <v>114</v>
      </c>
      <c r="R252" s="3">
        <v>28.06</v>
      </c>
      <c r="S252" s="27">
        <v>117.0</v>
      </c>
      <c r="T252" s="4"/>
      <c r="U252" s="4"/>
      <c r="V252" s="4"/>
      <c r="W252" s="4"/>
      <c r="X252" s="4"/>
      <c r="Y252" s="4"/>
      <c r="Z252" s="4"/>
    </row>
    <row r="253" ht="12.75" customHeight="1">
      <c r="A253" s="3" t="s">
        <v>138</v>
      </c>
      <c r="B253" s="3">
        <v>30.34</v>
      </c>
      <c r="C253" s="3">
        <v>72.0</v>
      </c>
      <c r="D253" s="4"/>
      <c r="E253" s="3" t="s">
        <v>127</v>
      </c>
      <c r="F253" s="3">
        <v>30.14</v>
      </c>
      <c r="G253" s="3">
        <v>118.0</v>
      </c>
      <c r="H253" s="24"/>
      <c r="I253" s="3" t="s">
        <v>114</v>
      </c>
      <c r="J253" s="3">
        <v>27.77</v>
      </c>
      <c r="K253" s="3">
        <v>118.0</v>
      </c>
      <c r="L253" s="4"/>
      <c r="M253" s="3" t="s">
        <v>108</v>
      </c>
      <c r="N253" s="3">
        <v>27.52</v>
      </c>
      <c r="O253" s="3">
        <v>118.0</v>
      </c>
      <c r="P253" s="4"/>
      <c r="Q253" s="3" t="s">
        <v>160</v>
      </c>
      <c r="R253" s="3">
        <v>27.96</v>
      </c>
      <c r="S253" s="27">
        <v>118.0</v>
      </c>
      <c r="T253" s="4"/>
      <c r="U253" s="4"/>
      <c r="V253" s="4"/>
      <c r="W253" s="4"/>
      <c r="X253" s="4"/>
      <c r="Y253" s="4"/>
      <c r="Z253" s="4"/>
    </row>
    <row r="254" ht="12.75" customHeight="1">
      <c r="A254" s="3" t="s">
        <v>169</v>
      </c>
      <c r="B254" s="3">
        <v>30.34</v>
      </c>
      <c r="C254" s="3">
        <v>72.0</v>
      </c>
      <c r="D254" s="4"/>
      <c r="E254" s="3" t="s">
        <v>81</v>
      </c>
      <c r="F254" s="3">
        <v>30.03</v>
      </c>
      <c r="G254" s="3">
        <v>119.0</v>
      </c>
      <c r="H254" s="24"/>
      <c r="I254" s="3" t="s">
        <v>128</v>
      </c>
      <c r="J254" s="3">
        <v>27.58</v>
      </c>
      <c r="K254" s="3">
        <v>119.0</v>
      </c>
      <c r="L254" s="4"/>
      <c r="M254" s="3" t="s">
        <v>81</v>
      </c>
      <c r="N254" s="3">
        <v>27.43</v>
      </c>
      <c r="O254" s="3">
        <v>119.0</v>
      </c>
      <c r="P254" s="4"/>
      <c r="Q254" s="3" t="s">
        <v>147</v>
      </c>
      <c r="R254" s="3">
        <v>27.71</v>
      </c>
      <c r="S254" s="27">
        <v>119.0</v>
      </c>
      <c r="T254" s="4"/>
      <c r="U254" s="4"/>
      <c r="V254" s="4"/>
      <c r="W254" s="4"/>
      <c r="X254" s="4"/>
      <c r="Y254" s="4"/>
      <c r="Z254" s="4"/>
    </row>
    <row r="255" ht="12.75" customHeight="1">
      <c r="A255" s="3" t="s">
        <v>128</v>
      </c>
      <c r="B255" s="3">
        <v>30.14</v>
      </c>
      <c r="C255" s="3">
        <v>120.0</v>
      </c>
      <c r="D255" s="4"/>
      <c r="E255" s="3" t="s">
        <v>139</v>
      </c>
      <c r="F255" s="3">
        <v>29.99</v>
      </c>
      <c r="G255" s="3">
        <v>120.0</v>
      </c>
      <c r="H255" s="24"/>
      <c r="I255" s="3" t="s">
        <v>145</v>
      </c>
      <c r="J255" s="3">
        <v>27.33</v>
      </c>
      <c r="K255" s="3">
        <v>120.0</v>
      </c>
      <c r="L255" s="4"/>
      <c r="M255" s="3" t="s">
        <v>170</v>
      </c>
      <c r="N255" s="3">
        <v>27.05</v>
      </c>
      <c r="O255" s="3">
        <v>120.0</v>
      </c>
      <c r="P255" s="4"/>
      <c r="Q255" s="3" t="s">
        <v>108</v>
      </c>
      <c r="R255" s="3">
        <v>27.69</v>
      </c>
      <c r="S255" s="27">
        <v>120.0</v>
      </c>
      <c r="T255" s="4"/>
      <c r="U255" s="4"/>
      <c r="V255" s="4"/>
      <c r="W255" s="4"/>
      <c r="X255" s="4"/>
      <c r="Y255" s="4"/>
      <c r="Z255" s="4"/>
    </row>
    <row r="256" ht="12.75" customHeight="1">
      <c r="A256" s="3" t="s">
        <v>81</v>
      </c>
      <c r="B256" s="3">
        <v>29.74</v>
      </c>
      <c r="C256" s="3">
        <v>121.0</v>
      </c>
      <c r="D256" s="4"/>
      <c r="E256" s="3" t="s">
        <v>200</v>
      </c>
      <c r="F256" s="3">
        <v>28.94</v>
      </c>
      <c r="G256" s="3">
        <v>121.0</v>
      </c>
      <c r="H256" s="24"/>
      <c r="I256" s="3" t="s">
        <v>108</v>
      </c>
      <c r="J256" s="3">
        <v>26.51</v>
      </c>
      <c r="K256" s="3">
        <v>121.0</v>
      </c>
      <c r="L256" s="4"/>
      <c r="M256" s="3" t="s">
        <v>119</v>
      </c>
      <c r="N256" s="3">
        <v>26.77</v>
      </c>
      <c r="O256" s="3">
        <v>121.0</v>
      </c>
      <c r="P256" s="4"/>
      <c r="Q256" s="3" t="s">
        <v>119</v>
      </c>
      <c r="R256" s="3">
        <v>27.5</v>
      </c>
      <c r="S256" s="27">
        <v>121.0</v>
      </c>
      <c r="T256" s="4"/>
      <c r="U256" s="4"/>
      <c r="V256" s="4"/>
      <c r="W256" s="4"/>
      <c r="X256" s="4"/>
      <c r="Y256" s="4"/>
      <c r="Z256" s="4"/>
    </row>
    <row r="257" ht="12.75" customHeight="1">
      <c r="A257" s="3" t="s">
        <v>127</v>
      </c>
      <c r="B257" s="3">
        <v>29.06</v>
      </c>
      <c r="C257" s="3">
        <v>122.0</v>
      </c>
      <c r="D257" s="4"/>
      <c r="E257" s="3" t="s">
        <v>128</v>
      </c>
      <c r="F257" s="3">
        <v>28.46</v>
      </c>
      <c r="G257" s="3">
        <v>122.0</v>
      </c>
      <c r="H257" s="24"/>
      <c r="I257" s="3" t="s">
        <v>122</v>
      </c>
      <c r="J257" s="3">
        <v>25.65</v>
      </c>
      <c r="K257" s="3">
        <v>122.0</v>
      </c>
      <c r="L257" s="4"/>
      <c r="M257" s="3" t="s">
        <v>137</v>
      </c>
      <c r="N257" s="3">
        <v>26.75</v>
      </c>
      <c r="O257" s="3">
        <v>122.0</v>
      </c>
      <c r="P257" s="4"/>
      <c r="Q257" s="3" t="s">
        <v>128</v>
      </c>
      <c r="R257" s="3">
        <v>26.48</v>
      </c>
      <c r="S257" s="27">
        <v>122.0</v>
      </c>
      <c r="T257" s="4"/>
      <c r="U257" s="4"/>
      <c r="V257" s="4"/>
      <c r="W257" s="4"/>
      <c r="X257" s="4"/>
      <c r="Y257" s="4"/>
      <c r="Z257" s="4"/>
    </row>
    <row r="258" ht="12.75" customHeight="1">
      <c r="A258" s="3" t="s">
        <v>193</v>
      </c>
      <c r="B258" s="3">
        <v>28.33</v>
      </c>
      <c r="C258" s="3">
        <v>123.0</v>
      </c>
      <c r="D258" s="4"/>
      <c r="E258" s="3" t="s">
        <v>108</v>
      </c>
      <c r="F258" s="3">
        <v>28.12</v>
      </c>
      <c r="G258" s="3">
        <v>123.0</v>
      </c>
      <c r="H258" s="24"/>
      <c r="I258" s="3" t="s">
        <v>181</v>
      </c>
      <c r="J258" s="3">
        <v>25.04</v>
      </c>
      <c r="K258" s="3">
        <v>123.0</v>
      </c>
      <c r="L258" s="4"/>
      <c r="M258" s="3" t="s">
        <v>128</v>
      </c>
      <c r="N258" s="3">
        <v>26.5</v>
      </c>
      <c r="O258" s="3">
        <v>123.0</v>
      </c>
      <c r="P258" s="4"/>
      <c r="Q258" s="3" t="s">
        <v>122</v>
      </c>
      <c r="R258" s="3">
        <v>25.86</v>
      </c>
      <c r="S258" s="27">
        <v>123.0</v>
      </c>
      <c r="T258" s="4"/>
      <c r="U258" s="4"/>
      <c r="V258" s="4"/>
      <c r="W258" s="4"/>
      <c r="X258" s="4"/>
      <c r="Y258" s="4"/>
      <c r="Z258" s="4"/>
    </row>
    <row r="259" ht="12.75" customHeight="1">
      <c r="A259" s="3" t="s">
        <v>147</v>
      </c>
      <c r="B259" s="3">
        <v>27.29</v>
      </c>
      <c r="C259" s="3">
        <v>124.0</v>
      </c>
      <c r="D259" s="4"/>
      <c r="E259" s="3" t="s">
        <v>114</v>
      </c>
      <c r="F259" s="3">
        <v>27.67</v>
      </c>
      <c r="G259" s="3">
        <v>124.0</v>
      </c>
      <c r="H259" s="24"/>
      <c r="I259" s="3" t="s">
        <v>91</v>
      </c>
      <c r="J259" s="3">
        <v>23.25</v>
      </c>
      <c r="K259" s="3">
        <v>124.0</v>
      </c>
      <c r="L259" s="4"/>
      <c r="M259" s="3" t="s">
        <v>122</v>
      </c>
      <c r="N259" s="3">
        <v>25.58</v>
      </c>
      <c r="O259" s="3">
        <v>124.0</v>
      </c>
      <c r="P259" s="4"/>
      <c r="Q259" s="3" t="s">
        <v>181</v>
      </c>
      <c r="R259" s="3">
        <v>25.53</v>
      </c>
      <c r="S259" s="27">
        <v>124.0</v>
      </c>
      <c r="T259" s="4"/>
      <c r="U259" s="4"/>
      <c r="V259" s="4"/>
      <c r="W259" s="4"/>
      <c r="X259" s="4"/>
      <c r="Y259" s="4"/>
      <c r="Z259" s="4"/>
    </row>
    <row r="260" ht="12.75" customHeight="1">
      <c r="A260" s="3" t="s">
        <v>122</v>
      </c>
      <c r="B260" s="3">
        <v>26.09</v>
      </c>
      <c r="C260" s="3">
        <v>125.0</v>
      </c>
      <c r="D260" s="4"/>
      <c r="E260" s="3" t="s">
        <v>122</v>
      </c>
      <c r="F260" s="3">
        <v>27.44</v>
      </c>
      <c r="G260" s="3">
        <v>125.0</v>
      </c>
      <c r="H260" s="24"/>
      <c r="I260" s="3" t="s">
        <v>192</v>
      </c>
      <c r="J260" s="3">
        <v>20.86</v>
      </c>
      <c r="K260" s="3">
        <v>125.0</v>
      </c>
      <c r="L260" s="4"/>
      <c r="M260" s="3" t="s">
        <v>153</v>
      </c>
      <c r="N260" s="3">
        <v>24.63</v>
      </c>
      <c r="O260" s="3">
        <v>125.0</v>
      </c>
      <c r="P260" s="4"/>
      <c r="Q260" s="3" t="s">
        <v>190</v>
      </c>
      <c r="R260" s="3">
        <v>24.54</v>
      </c>
      <c r="S260" s="27">
        <v>125.0</v>
      </c>
      <c r="T260" s="4"/>
      <c r="U260" s="4"/>
      <c r="V260" s="4"/>
      <c r="W260" s="4"/>
      <c r="X260" s="4"/>
      <c r="Y260" s="4"/>
      <c r="Z260" s="4"/>
    </row>
    <row r="261" ht="12.75" customHeight="1">
      <c r="A261" s="3" t="s">
        <v>181</v>
      </c>
      <c r="B261" s="3">
        <v>23.69</v>
      </c>
      <c r="C261" s="3">
        <v>126.0</v>
      </c>
      <c r="D261" s="4"/>
      <c r="E261" s="3" t="s">
        <v>193</v>
      </c>
      <c r="F261" s="3">
        <v>27.3</v>
      </c>
      <c r="G261" s="3">
        <v>126.0</v>
      </c>
      <c r="H261" s="24"/>
      <c r="I261" s="3" t="s">
        <v>153</v>
      </c>
      <c r="J261" s="3">
        <v>20.5</v>
      </c>
      <c r="K261" s="3">
        <v>126.0</v>
      </c>
      <c r="L261" s="4"/>
      <c r="M261" s="3" t="s">
        <v>181</v>
      </c>
      <c r="N261" s="3">
        <v>24.24</v>
      </c>
      <c r="O261" s="3">
        <v>126.0</v>
      </c>
      <c r="P261" s="4"/>
      <c r="Q261" s="3" t="s">
        <v>140</v>
      </c>
      <c r="R261" s="3">
        <v>24.31</v>
      </c>
      <c r="S261" s="27">
        <v>126.0</v>
      </c>
      <c r="T261" s="4"/>
      <c r="U261" s="4"/>
      <c r="V261" s="4"/>
      <c r="W261" s="4"/>
      <c r="X261" s="4"/>
      <c r="Y261" s="4"/>
      <c r="Z261" s="4"/>
    </row>
    <row r="262" ht="12.75" customHeight="1">
      <c r="A262" s="3" t="s">
        <v>114</v>
      </c>
      <c r="B262" s="3">
        <v>23.33</v>
      </c>
      <c r="C262" s="3">
        <v>127.0</v>
      </c>
      <c r="D262" s="4"/>
      <c r="E262" s="3" t="s">
        <v>181</v>
      </c>
      <c r="F262" s="3">
        <v>25.45</v>
      </c>
      <c r="G262" s="3">
        <v>127.0</v>
      </c>
      <c r="H262" s="24"/>
      <c r="I262" s="3" t="s">
        <v>137</v>
      </c>
      <c r="J262" s="3">
        <v>19.28</v>
      </c>
      <c r="K262" s="3">
        <v>127.0</v>
      </c>
      <c r="L262" s="4"/>
      <c r="M262" s="3" t="s">
        <v>140</v>
      </c>
      <c r="N262" s="3">
        <v>23.83</v>
      </c>
      <c r="O262" s="3">
        <v>127.0</v>
      </c>
      <c r="P262" s="4"/>
      <c r="Q262" s="3" t="s">
        <v>137</v>
      </c>
      <c r="R262" s="3">
        <v>23.53</v>
      </c>
      <c r="S262" s="27">
        <v>127.0</v>
      </c>
      <c r="T262" s="4"/>
      <c r="U262" s="4"/>
      <c r="V262" s="4"/>
      <c r="W262" s="4"/>
      <c r="X262" s="4"/>
      <c r="Y262" s="4"/>
      <c r="Z262" s="4"/>
    </row>
    <row r="263" ht="12.75" customHeight="1">
      <c r="A263" s="3" t="s">
        <v>192</v>
      </c>
      <c r="B263" s="3">
        <v>19.85</v>
      </c>
      <c r="C263" s="3">
        <v>128.0</v>
      </c>
      <c r="D263" s="4"/>
      <c r="E263" s="3" t="s">
        <v>192</v>
      </c>
      <c r="F263" s="3">
        <v>22.78</v>
      </c>
      <c r="G263" s="3">
        <v>128.0</v>
      </c>
      <c r="H263" s="24"/>
      <c r="I263" s="3" t="s">
        <v>150</v>
      </c>
      <c r="J263" s="3">
        <v>19.04</v>
      </c>
      <c r="K263" s="3">
        <v>128.0</v>
      </c>
      <c r="L263" s="4"/>
      <c r="M263" s="3" t="s">
        <v>192</v>
      </c>
      <c r="N263" s="3">
        <v>20.73</v>
      </c>
      <c r="O263" s="3">
        <v>128.0</v>
      </c>
      <c r="P263" s="4"/>
      <c r="Q263" s="3" t="s">
        <v>192</v>
      </c>
      <c r="R263" s="3">
        <v>19.85</v>
      </c>
      <c r="S263" s="27">
        <v>128.0</v>
      </c>
      <c r="T263" s="4"/>
      <c r="U263" s="4"/>
      <c r="V263" s="4"/>
      <c r="W263" s="4"/>
      <c r="X263" s="4"/>
      <c r="Y263" s="4"/>
      <c r="Z263" s="4"/>
    </row>
    <row r="264" ht="12.75" customHeight="1">
      <c r="A264" s="3" t="s">
        <v>43</v>
      </c>
      <c r="B264" s="3">
        <v>17.43</v>
      </c>
      <c r="C264" s="3">
        <v>129.0</v>
      </c>
      <c r="D264" s="4"/>
      <c r="E264" s="3" t="s">
        <v>43</v>
      </c>
      <c r="F264" s="3">
        <v>18.02</v>
      </c>
      <c r="G264" s="3">
        <v>129.0</v>
      </c>
      <c r="H264" s="24"/>
      <c r="I264" s="3" t="s">
        <v>43</v>
      </c>
      <c r="J264" s="3">
        <v>14.72</v>
      </c>
      <c r="K264" s="3">
        <v>129.0</v>
      </c>
      <c r="L264" s="4"/>
      <c r="M264" s="3" t="s">
        <v>43</v>
      </c>
      <c r="N264" s="3">
        <v>12.27</v>
      </c>
      <c r="O264" s="3">
        <v>129.0</v>
      </c>
      <c r="P264" s="4"/>
      <c r="Q264" s="3" t="s">
        <v>43</v>
      </c>
      <c r="R264" s="3">
        <v>12.45</v>
      </c>
      <c r="S264" s="27">
        <v>129.0</v>
      </c>
      <c r="T264" s="4"/>
      <c r="U264" s="4"/>
      <c r="V264" s="4"/>
      <c r="W264" s="4"/>
      <c r="X264" s="4"/>
      <c r="Y264" s="4"/>
      <c r="Z264" s="4"/>
    </row>
    <row r="265" ht="12.75" customHeight="1">
      <c r="A265" s="3" t="s">
        <v>123</v>
      </c>
      <c r="B265" s="3">
        <v>14.53</v>
      </c>
      <c r="C265" s="3">
        <v>130.0</v>
      </c>
      <c r="D265" s="4"/>
      <c r="E265" s="3" t="s">
        <v>123</v>
      </c>
      <c r="F265" s="3">
        <v>12.76</v>
      </c>
      <c r="G265" s="3">
        <v>130.0</v>
      </c>
      <c r="H265" s="24"/>
      <c r="I265" s="3" t="s">
        <v>123</v>
      </c>
      <c r="J265" s="3">
        <v>11.87</v>
      </c>
      <c r="K265" s="3">
        <v>130.0</v>
      </c>
      <c r="L265" s="4"/>
      <c r="M265" s="3" t="s">
        <v>123</v>
      </c>
      <c r="N265" s="3">
        <v>12.11</v>
      </c>
      <c r="O265" s="3">
        <v>130.0</v>
      </c>
      <c r="P265" s="4"/>
      <c r="Q265" s="3" t="s">
        <v>123</v>
      </c>
      <c r="R265" s="3">
        <v>12.3</v>
      </c>
      <c r="S265" s="27">
        <v>130.0</v>
      </c>
      <c r="T265" s="4"/>
      <c r="U265" s="4"/>
      <c r="V265" s="4"/>
      <c r="W265" s="4"/>
      <c r="X265" s="4"/>
      <c r="Y265" s="4"/>
      <c r="Z265" s="4"/>
    </row>
    <row r="266" ht="12.75" customHeight="1">
      <c r="A266" s="4"/>
      <c r="B266" s="4"/>
      <c r="C266" s="4"/>
      <c r="D266" s="4"/>
      <c r="E266" s="28"/>
      <c r="F266" s="28"/>
      <c r="G266" s="28"/>
      <c r="H266" s="24"/>
      <c r="I266" s="28"/>
      <c r="J266" s="28"/>
      <c r="K266" s="28"/>
      <c r="L266" s="4"/>
      <c r="M266" s="28"/>
      <c r="N266" s="28"/>
      <c r="O266" s="28"/>
      <c r="P266" s="4"/>
      <c r="Q266" s="28"/>
      <c r="R266" s="28"/>
      <c r="S266" s="28"/>
      <c r="T266" s="4"/>
      <c r="U266" s="4"/>
      <c r="V266" s="4"/>
      <c r="W266" s="4"/>
      <c r="X266" s="4"/>
      <c r="Y266" s="4"/>
      <c r="Z266" s="4"/>
    </row>
    <row r="267" ht="12.75" customHeight="1">
      <c r="A267" s="26" t="s">
        <v>0</v>
      </c>
      <c r="B267" s="27">
        <v>11.0</v>
      </c>
      <c r="C267" s="28">
        <v>2020.0</v>
      </c>
      <c r="D267" s="4"/>
      <c r="E267" s="26" t="s">
        <v>0</v>
      </c>
      <c r="F267" s="27">
        <v>12.0</v>
      </c>
      <c r="G267" s="28">
        <v>2020.0</v>
      </c>
      <c r="H267" s="24"/>
      <c r="I267" s="26" t="s">
        <v>0</v>
      </c>
      <c r="J267" s="27">
        <v>13.0</v>
      </c>
      <c r="K267" s="28">
        <v>2020.0</v>
      </c>
      <c r="L267" s="4"/>
      <c r="M267" s="26" t="s">
        <v>0</v>
      </c>
      <c r="N267" s="27">
        <v>14.0</v>
      </c>
      <c r="O267" s="28">
        <v>2020.0</v>
      </c>
      <c r="P267" s="4"/>
      <c r="Q267" s="26" t="s">
        <v>0</v>
      </c>
      <c r="R267" s="27">
        <v>15.0</v>
      </c>
      <c r="S267" s="28">
        <v>2020.0</v>
      </c>
      <c r="T267" s="4"/>
      <c r="U267" s="4"/>
      <c r="V267" s="4"/>
      <c r="W267" s="4"/>
      <c r="X267" s="4"/>
      <c r="Y267" s="4"/>
      <c r="Z267" s="4"/>
    </row>
    <row r="268" ht="12.75" customHeight="1">
      <c r="A268" s="29" t="s">
        <v>8</v>
      </c>
      <c r="B268" s="29" t="s">
        <v>9</v>
      </c>
      <c r="C268" s="29" t="s">
        <v>10</v>
      </c>
      <c r="D268" s="4"/>
      <c r="E268" s="29" t="s">
        <v>8</v>
      </c>
      <c r="F268" s="29" t="s">
        <v>9</v>
      </c>
      <c r="G268" s="29" t="s">
        <v>10</v>
      </c>
      <c r="H268" s="24"/>
      <c r="I268" s="29" t="s">
        <v>8</v>
      </c>
      <c r="J268" s="29" t="s">
        <v>9</v>
      </c>
      <c r="K268" s="29" t="s">
        <v>10</v>
      </c>
      <c r="L268" s="4"/>
      <c r="M268" s="29" t="s">
        <v>8</v>
      </c>
      <c r="N268" s="29" t="s">
        <v>9</v>
      </c>
      <c r="O268" s="29" t="s">
        <v>10</v>
      </c>
      <c r="P268" s="4"/>
      <c r="Q268" s="29" t="s">
        <v>8</v>
      </c>
      <c r="R268" s="29" t="s">
        <v>9</v>
      </c>
      <c r="S268" s="29" t="s">
        <v>10</v>
      </c>
      <c r="T268" s="4"/>
      <c r="U268" s="4"/>
      <c r="V268" s="4"/>
      <c r="W268" s="4"/>
      <c r="X268" s="4"/>
      <c r="Y268" s="4"/>
      <c r="Z268" s="4"/>
    </row>
    <row r="269" ht="12.75" customHeight="1">
      <c r="A269" s="3" t="s">
        <v>23</v>
      </c>
      <c r="B269" s="3">
        <v>93.72</v>
      </c>
      <c r="C269" s="3">
        <v>1.0</v>
      </c>
      <c r="D269" s="4"/>
      <c r="E269" s="3" t="s">
        <v>23</v>
      </c>
      <c r="F269" s="3">
        <v>94.37</v>
      </c>
      <c r="G269" s="3">
        <v>1.0</v>
      </c>
      <c r="H269" s="24"/>
      <c r="I269" s="3" t="s">
        <v>23</v>
      </c>
      <c r="J269" s="3">
        <v>95.16</v>
      </c>
      <c r="K269" s="3">
        <v>1.0</v>
      </c>
      <c r="L269" s="4"/>
      <c r="M269" s="18" t="s">
        <v>23</v>
      </c>
      <c r="N269" s="3">
        <v>95.75</v>
      </c>
      <c r="O269" s="3">
        <v>1.0</v>
      </c>
      <c r="P269" s="4"/>
      <c r="Q269" s="3" t="s">
        <v>23</v>
      </c>
      <c r="R269" s="3">
        <v>96.09</v>
      </c>
      <c r="S269" s="27">
        <v>1.0</v>
      </c>
      <c r="T269" s="4"/>
      <c r="U269" s="4"/>
      <c r="V269" s="4"/>
      <c r="W269" s="4"/>
      <c r="X269" s="4"/>
      <c r="Y269" s="4"/>
      <c r="Z269" s="4"/>
    </row>
    <row r="270" ht="12.75" customHeight="1">
      <c r="A270" s="3" t="s">
        <v>28</v>
      </c>
      <c r="B270" s="3">
        <v>89.8</v>
      </c>
      <c r="C270" s="3">
        <v>2.0</v>
      </c>
      <c r="D270" s="4"/>
      <c r="E270" s="3" t="s">
        <v>28</v>
      </c>
      <c r="F270" s="3">
        <v>89.43</v>
      </c>
      <c r="G270" s="3">
        <v>2.0</v>
      </c>
      <c r="H270" s="24"/>
      <c r="I270" s="3" t="s">
        <v>28</v>
      </c>
      <c r="J270" s="3">
        <v>90.44</v>
      </c>
      <c r="K270" s="3">
        <v>2.0</v>
      </c>
      <c r="L270" s="4"/>
      <c r="M270" s="3" t="s">
        <v>28</v>
      </c>
      <c r="N270" s="3">
        <v>90.95</v>
      </c>
      <c r="O270" s="3">
        <v>2.0</v>
      </c>
      <c r="P270" s="4"/>
      <c r="Q270" s="3" t="s">
        <v>28</v>
      </c>
      <c r="R270" s="3">
        <v>90.63</v>
      </c>
      <c r="S270" s="27">
        <v>2.0</v>
      </c>
      <c r="T270" s="4"/>
      <c r="U270" s="4"/>
      <c r="V270" s="4"/>
      <c r="W270" s="4"/>
      <c r="X270" s="4"/>
      <c r="Y270" s="4"/>
      <c r="Z270" s="4"/>
    </row>
    <row r="271" ht="12.75" customHeight="1">
      <c r="A271" s="3" t="s">
        <v>26</v>
      </c>
      <c r="B271" s="3">
        <v>87.06</v>
      </c>
      <c r="C271" s="3">
        <v>3.0</v>
      </c>
      <c r="D271" s="4"/>
      <c r="E271" s="3" t="s">
        <v>26</v>
      </c>
      <c r="F271" s="3">
        <v>87.18</v>
      </c>
      <c r="G271" s="3">
        <v>3.0</v>
      </c>
      <c r="H271" s="24"/>
      <c r="I271" s="3" t="s">
        <v>26</v>
      </c>
      <c r="J271" s="3">
        <v>87.09</v>
      </c>
      <c r="K271" s="3">
        <v>3.0</v>
      </c>
      <c r="L271" s="4"/>
      <c r="M271" s="3" t="s">
        <v>26</v>
      </c>
      <c r="N271" s="3">
        <v>88.77</v>
      </c>
      <c r="O271" s="3">
        <v>3.0</v>
      </c>
      <c r="P271" s="4"/>
      <c r="Q271" s="3" t="s">
        <v>26</v>
      </c>
      <c r="R271" s="3">
        <v>88.48</v>
      </c>
      <c r="S271" s="27">
        <v>3.0</v>
      </c>
      <c r="T271" s="4"/>
      <c r="U271" s="4"/>
      <c r="V271" s="4"/>
      <c r="W271" s="4"/>
      <c r="X271" s="4"/>
      <c r="Y271" s="4"/>
      <c r="Z271" s="4"/>
    </row>
    <row r="272" ht="12.75" customHeight="1">
      <c r="A272" s="3" t="s">
        <v>18</v>
      </c>
      <c r="B272" s="3">
        <v>83.64</v>
      </c>
      <c r="C272" s="3">
        <v>4.0</v>
      </c>
      <c r="D272" s="4"/>
      <c r="E272" s="3" t="s">
        <v>18</v>
      </c>
      <c r="F272" s="3">
        <v>83.65</v>
      </c>
      <c r="G272" s="3">
        <v>4.0</v>
      </c>
      <c r="H272" s="24"/>
      <c r="I272" s="3" t="s">
        <v>18</v>
      </c>
      <c r="J272" s="3">
        <v>85.28</v>
      </c>
      <c r="K272" s="3">
        <v>4.0</v>
      </c>
      <c r="L272" s="4"/>
      <c r="M272" s="3" t="s">
        <v>18</v>
      </c>
      <c r="N272" s="3">
        <v>86.81</v>
      </c>
      <c r="O272" s="3">
        <v>4.0</v>
      </c>
      <c r="P272" s="4"/>
      <c r="Q272" s="3" t="s">
        <v>18</v>
      </c>
      <c r="R272" s="3">
        <v>86.71</v>
      </c>
      <c r="S272" s="27">
        <v>4.0</v>
      </c>
      <c r="T272" s="4"/>
      <c r="U272" s="4"/>
      <c r="V272" s="4"/>
      <c r="W272" s="4"/>
      <c r="X272" s="4"/>
      <c r="Y272" s="4"/>
      <c r="Z272" s="4"/>
    </row>
    <row r="273" ht="12.75" customHeight="1">
      <c r="A273" s="3" t="s">
        <v>79</v>
      </c>
      <c r="B273" s="3">
        <v>80.43</v>
      </c>
      <c r="C273" s="3">
        <v>5.0</v>
      </c>
      <c r="D273" s="4"/>
      <c r="E273" s="3" t="s">
        <v>48</v>
      </c>
      <c r="F273" s="3">
        <v>80.67</v>
      </c>
      <c r="G273" s="3">
        <v>5.0</v>
      </c>
      <c r="H273" s="24"/>
      <c r="I273" s="3" t="s">
        <v>48</v>
      </c>
      <c r="J273" s="3">
        <v>81.53</v>
      </c>
      <c r="K273" s="3">
        <v>5.0</v>
      </c>
      <c r="L273" s="4"/>
      <c r="M273" s="3" t="s">
        <v>48</v>
      </c>
      <c r="N273" s="3">
        <v>83.15</v>
      </c>
      <c r="O273" s="3">
        <v>5.0</v>
      </c>
      <c r="P273" s="4"/>
      <c r="Q273" s="3" t="s">
        <v>100</v>
      </c>
      <c r="R273" s="3">
        <v>82.38</v>
      </c>
      <c r="S273" s="27">
        <v>5.0</v>
      </c>
      <c r="T273" s="4"/>
      <c r="U273" s="4"/>
      <c r="V273" s="4"/>
      <c r="W273" s="4"/>
      <c r="X273" s="4"/>
      <c r="Y273" s="4"/>
      <c r="Z273" s="4"/>
    </row>
    <row r="274" ht="12.75" customHeight="1">
      <c r="A274" s="3" t="s">
        <v>74</v>
      </c>
      <c r="B274" s="3">
        <v>80.06</v>
      </c>
      <c r="C274" s="3">
        <v>6.0</v>
      </c>
      <c r="D274" s="4"/>
      <c r="E274" s="3" t="s">
        <v>79</v>
      </c>
      <c r="F274" s="3">
        <v>80.19</v>
      </c>
      <c r="G274" s="3">
        <v>6.0</v>
      </c>
      <c r="H274" s="24"/>
      <c r="I274" s="3" t="s">
        <v>79</v>
      </c>
      <c r="J274" s="3">
        <v>81.12</v>
      </c>
      <c r="K274" s="3">
        <v>6.0</v>
      </c>
      <c r="L274" s="4"/>
      <c r="M274" s="3" t="s">
        <v>79</v>
      </c>
      <c r="N274" s="3">
        <v>82.37</v>
      </c>
      <c r="O274" s="3">
        <v>6.0</v>
      </c>
      <c r="P274" s="4"/>
      <c r="Q274" s="3" t="s">
        <v>79</v>
      </c>
      <c r="R274" s="3">
        <v>82.37</v>
      </c>
      <c r="S274" s="27">
        <v>6.0</v>
      </c>
      <c r="T274" s="4"/>
      <c r="U274" s="4"/>
      <c r="V274" s="4"/>
      <c r="W274" s="4"/>
      <c r="X274" s="4"/>
      <c r="Y274" s="4"/>
      <c r="Z274" s="4"/>
    </row>
    <row r="275" ht="12.75" customHeight="1">
      <c r="A275" s="3" t="s">
        <v>48</v>
      </c>
      <c r="B275" s="3">
        <v>80.0</v>
      </c>
      <c r="C275" s="3">
        <v>7.0</v>
      </c>
      <c r="D275" s="4"/>
      <c r="E275" s="3" t="s">
        <v>69</v>
      </c>
      <c r="F275" s="3">
        <v>80.16</v>
      </c>
      <c r="G275" s="3">
        <v>7.0</v>
      </c>
      <c r="H275" s="24"/>
      <c r="I275" s="3" t="s">
        <v>69</v>
      </c>
      <c r="J275" s="3">
        <v>80.39</v>
      </c>
      <c r="K275" s="3">
        <v>7.0</v>
      </c>
      <c r="L275" s="4"/>
      <c r="M275" s="3" t="s">
        <v>100</v>
      </c>
      <c r="N275" s="3">
        <v>81.29</v>
      </c>
      <c r="O275" s="3">
        <v>7.0</v>
      </c>
      <c r="P275" s="4"/>
      <c r="Q275" s="3" t="s">
        <v>69</v>
      </c>
      <c r="R275" s="3">
        <v>80.82</v>
      </c>
      <c r="S275" s="27">
        <v>7.0</v>
      </c>
      <c r="T275" s="4"/>
      <c r="U275" s="4"/>
      <c r="V275" s="4"/>
      <c r="W275" s="4"/>
      <c r="X275" s="4"/>
      <c r="Y275" s="4"/>
      <c r="Z275" s="4"/>
    </row>
    <row r="276" ht="12.75" customHeight="1">
      <c r="A276" s="3" t="s">
        <v>69</v>
      </c>
      <c r="B276" s="3">
        <v>79.64</v>
      </c>
      <c r="C276" s="3">
        <v>8.0</v>
      </c>
      <c r="D276" s="4"/>
      <c r="E276" s="3" t="s">
        <v>73</v>
      </c>
      <c r="F276" s="3">
        <v>79.39</v>
      </c>
      <c r="G276" s="3">
        <v>8.0</v>
      </c>
      <c r="H276" s="24"/>
      <c r="I276" s="3" t="s">
        <v>73</v>
      </c>
      <c r="J276" s="3">
        <v>79.2</v>
      </c>
      <c r="K276" s="3">
        <v>8.0</v>
      </c>
      <c r="L276" s="4"/>
      <c r="M276" s="3" t="s">
        <v>69</v>
      </c>
      <c r="N276" s="3">
        <v>80.36</v>
      </c>
      <c r="O276" s="3">
        <v>8.0</v>
      </c>
      <c r="P276" s="4"/>
      <c r="Q276" s="3" t="s">
        <v>174</v>
      </c>
      <c r="R276" s="3">
        <v>79.06</v>
      </c>
      <c r="S276" s="27">
        <v>8.0</v>
      </c>
      <c r="T276" s="4"/>
      <c r="U276" s="4"/>
      <c r="V276" s="4"/>
      <c r="W276" s="4"/>
      <c r="X276" s="4"/>
      <c r="Y276" s="4"/>
      <c r="Z276" s="4"/>
    </row>
    <row r="277" ht="12.75" customHeight="1">
      <c r="A277" s="3" t="s">
        <v>73</v>
      </c>
      <c r="B277" s="3">
        <v>79.2</v>
      </c>
      <c r="C277" s="3">
        <v>9.0</v>
      </c>
      <c r="D277" s="4"/>
      <c r="E277" s="3" t="s">
        <v>189</v>
      </c>
      <c r="F277" s="3">
        <v>77.76</v>
      </c>
      <c r="G277" s="3">
        <v>9.0</v>
      </c>
      <c r="H277" s="24"/>
      <c r="I277" s="3" t="s">
        <v>100</v>
      </c>
      <c r="J277" s="3">
        <v>77.29</v>
      </c>
      <c r="K277" s="3">
        <v>9.0</v>
      </c>
      <c r="L277" s="4"/>
      <c r="M277" s="3" t="s">
        <v>40</v>
      </c>
      <c r="N277" s="3">
        <v>79.1</v>
      </c>
      <c r="O277" s="3">
        <v>9.0</v>
      </c>
      <c r="P277" s="4"/>
      <c r="Q277" s="3" t="s">
        <v>92</v>
      </c>
      <c r="R277" s="3">
        <v>78.13</v>
      </c>
      <c r="S277" s="27">
        <v>9.0</v>
      </c>
      <c r="T277" s="4"/>
      <c r="U277" s="4"/>
      <c r="V277" s="4"/>
      <c r="W277" s="4"/>
      <c r="X277" s="4"/>
      <c r="Y277" s="4"/>
      <c r="Z277" s="4"/>
    </row>
    <row r="278" ht="12.75" customHeight="1">
      <c r="A278" s="3" t="s">
        <v>174</v>
      </c>
      <c r="B278" s="3">
        <v>78.4</v>
      </c>
      <c r="C278" s="3">
        <v>10.0</v>
      </c>
      <c r="D278" s="4"/>
      <c r="E278" s="3" t="s">
        <v>62</v>
      </c>
      <c r="F278" s="3">
        <v>77.16</v>
      </c>
      <c r="G278" s="3">
        <v>10.0</v>
      </c>
      <c r="H278" s="24"/>
      <c r="I278" s="3" t="s">
        <v>40</v>
      </c>
      <c r="J278" s="3">
        <v>75.99</v>
      </c>
      <c r="K278" s="3">
        <v>10.0</v>
      </c>
      <c r="L278" s="4"/>
      <c r="M278" s="3" t="s">
        <v>174</v>
      </c>
      <c r="N278" s="3">
        <v>78.18</v>
      </c>
      <c r="O278" s="3">
        <v>10.0</v>
      </c>
      <c r="P278" s="4"/>
      <c r="Q278" s="3" t="s">
        <v>33</v>
      </c>
      <c r="R278" s="3">
        <v>75.51</v>
      </c>
      <c r="S278" s="27">
        <v>10.0</v>
      </c>
      <c r="T278" s="4"/>
      <c r="U278" s="4"/>
      <c r="V278" s="4"/>
      <c r="W278" s="4"/>
      <c r="X278" s="4"/>
      <c r="Y278" s="4"/>
      <c r="Z278" s="4"/>
    </row>
    <row r="279" ht="12.75" customHeight="1">
      <c r="A279" s="3" t="s">
        <v>62</v>
      </c>
      <c r="B279" s="3">
        <v>77.63</v>
      </c>
      <c r="C279" s="3">
        <v>11.0</v>
      </c>
      <c r="D279" s="4"/>
      <c r="E279" s="3" t="s">
        <v>40</v>
      </c>
      <c r="F279" s="3">
        <v>75.37</v>
      </c>
      <c r="G279" s="3">
        <v>11.0</v>
      </c>
      <c r="H279" s="24"/>
      <c r="I279" s="3" t="s">
        <v>174</v>
      </c>
      <c r="J279" s="3">
        <v>75.61</v>
      </c>
      <c r="K279" s="3">
        <v>11.0</v>
      </c>
      <c r="L279" s="4"/>
      <c r="M279" s="3" t="s">
        <v>92</v>
      </c>
      <c r="N279" s="3">
        <v>76.35</v>
      </c>
      <c r="O279" s="3">
        <v>11.0</v>
      </c>
      <c r="P279" s="4"/>
      <c r="Q279" s="3" t="s">
        <v>90</v>
      </c>
      <c r="R279" s="3">
        <v>75.05</v>
      </c>
      <c r="S279" s="27">
        <v>11.0</v>
      </c>
      <c r="T279" s="4"/>
      <c r="U279" s="4"/>
      <c r="V279" s="4"/>
      <c r="W279" s="4"/>
      <c r="X279" s="4"/>
      <c r="Y279" s="4"/>
      <c r="Z279" s="4"/>
    </row>
    <row r="280" ht="12.75" customHeight="1">
      <c r="A280" s="3" t="s">
        <v>40</v>
      </c>
      <c r="B280" s="3">
        <v>75.32</v>
      </c>
      <c r="C280" s="3">
        <v>12.0</v>
      </c>
      <c r="D280" s="4"/>
      <c r="E280" s="3" t="s">
        <v>100</v>
      </c>
      <c r="F280" s="3">
        <v>75.18</v>
      </c>
      <c r="G280" s="3">
        <v>12.0</v>
      </c>
      <c r="H280" s="24"/>
      <c r="I280" s="3" t="s">
        <v>92</v>
      </c>
      <c r="J280" s="3">
        <v>73.07</v>
      </c>
      <c r="K280" s="3">
        <v>12.0</v>
      </c>
      <c r="L280" s="4"/>
      <c r="M280" s="3" t="s">
        <v>33</v>
      </c>
      <c r="N280" s="3">
        <v>73.47</v>
      </c>
      <c r="O280" s="3">
        <v>12.0</v>
      </c>
      <c r="P280" s="4"/>
      <c r="Q280" s="3" t="s">
        <v>51</v>
      </c>
      <c r="R280" s="3">
        <v>74.51</v>
      </c>
      <c r="S280" s="27">
        <v>12.0</v>
      </c>
      <c r="T280" s="4"/>
      <c r="U280" s="4"/>
      <c r="V280" s="4"/>
      <c r="W280" s="4"/>
      <c r="X280" s="4"/>
      <c r="Y280" s="4"/>
      <c r="Z280" s="4"/>
    </row>
    <row r="281" ht="12.75" customHeight="1">
      <c r="A281" s="3" t="s">
        <v>100</v>
      </c>
      <c r="B281" s="3">
        <v>74.33</v>
      </c>
      <c r="C281" s="3">
        <v>13.0</v>
      </c>
      <c r="D281" s="4"/>
      <c r="E281" s="3" t="s">
        <v>174</v>
      </c>
      <c r="F281" s="3">
        <v>72.71</v>
      </c>
      <c r="G281" s="3">
        <v>13.0</v>
      </c>
      <c r="H281" s="24"/>
      <c r="I281" s="3" t="s">
        <v>33</v>
      </c>
      <c r="J281" s="3">
        <v>72.09</v>
      </c>
      <c r="K281" s="3">
        <v>13.0</v>
      </c>
      <c r="L281" s="4"/>
      <c r="M281" s="3" t="s">
        <v>51</v>
      </c>
      <c r="N281" s="3">
        <v>73.07</v>
      </c>
      <c r="O281" s="3">
        <v>13.0</v>
      </c>
      <c r="P281" s="4"/>
      <c r="Q281" s="3" t="s">
        <v>48</v>
      </c>
      <c r="R281" s="3">
        <v>72.09</v>
      </c>
      <c r="S281" s="27">
        <v>13.0</v>
      </c>
      <c r="T281" s="4"/>
      <c r="U281" s="4"/>
      <c r="V281" s="4"/>
      <c r="W281" s="4"/>
      <c r="X281" s="4"/>
      <c r="Y281" s="4"/>
      <c r="Z281" s="4"/>
    </row>
    <row r="282" ht="12.75" customHeight="1">
      <c r="A282" s="3" t="s">
        <v>95</v>
      </c>
      <c r="B282" s="3">
        <v>69.86</v>
      </c>
      <c r="C282" s="3">
        <v>14.0</v>
      </c>
      <c r="D282" s="4"/>
      <c r="E282" s="3" t="s">
        <v>33</v>
      </c>
      <c r="F282" s="3">
        <v>70.19</v>
      </c>
      <c r="G282" s="3">
        <v>14.0</v>
      </c>
      <c r="H282" s="24"/>
      <c r="I282" s="3" t="s">
        <v>51</v>
      </c>
      <c r="J282" s="3">
        <v>70.93</v>
      </c>
      <c r="K282" s="3">
        <v>14.0</v>
      </c>
      <c r="L282" s="4"/>
      <c r="M282" s="3" t="s">
        <v>58</v>
      </c>
      <c r="N282" s="3">
        <v>70.75</v>
      </c>
      <c r="O282" s="3">
        <v>14.0</v>
      </c>
      <c r="P282" s="4"/>
      <c r="Q282" s="3" t="s">
        <v>58</v>
      </c>
      <c r="R282" s="3">
        <v>70.61</v>
      </c>
      <c r="S282" s="27">
        <v>14.0</v>
      </c>
      <c r="T282" s="4"/>
      <c r="U282" s="4"/>
      <c r="V282" s="4"/>
      <c r="W282" s="4"/>
      <c r="X282" s="4"/>
      <c r="Y282" s="4"/>
      <c r="Z282" s="4"/>
    </row>
    <row r="283" ht="12.75" customHeight="1">
      <c r="A283" s="3" t="s">
        <v>33</v>
      </c>
      <c r="B283" s="3">
        <v>69.77</v>
      </c>
      <c r="C283" s="3">
        <v>15.0</v>
      </c>
      <c r="D283" s="4"/>
      <c r="E283" s="3" t="s">
        <v>51</v>
      </c>
      <c r="F283" s="3">
        <v>69.32</v>
      </c>
      <c r="G283" s="3">
        <v>15.0</v>
      </c>
      <c r="H283" s="24"/>
      <c r="I283" s="3" t="s">
        <v>95</v>
      </c>
      <c r="J283" s="3">
        <v>70.31</v>
      </c>
      <c r="K283" s="3">
        <v>15.0</v>
      </c>
      <c r="L283" s="4"/>
      <c r="M283" s="3" t="s">
        <v>90</v>
      </c>
      <c r="N283" s="3">
        <v>69.93</v>
      </c>
      <c r="O283" s="3">
        <v>15.0</v>
      </c>
      <c r="P283" s="4"/>
      <c r="Q283" s="3" t="s">
        <v>97</v>
      </c>
      <c r="R283" s="3">
        <v>70.27</v>
      </c>
      <c r="S283" s="27">
        <v>15.0</v>
      </c>
      <c r="T283" s="4"/>
      <c r="U283" s="4"/>
      <c r="V283" s="4"/>
      <c r="W283" s="4"/>
      <c r="X283" s="4"/>
      <c r="Y283" s="4"/>
      <c r="Z283" s="4"/>
    </row>
    <row r="284" ht="12.75" customHeight="1">
      <c r="A284" s="3" t="s">
        <v>189</v>
      </c>
      <c r="B284" s="3">
        <v>69.3</v>
      </c>
      <c r="C284" s="3">
        <v>16.0</v>
      </c>
      <c r="D284" s="4"/>
      <c r="E284" s="3" t="s">
        <v>95</v>
      </c>
      <c r="F284" s="3">
        <v>69.24</v>
      </c>
      <c r="G284" s="3">
        <v>16.0</v>
      </c>
      <c r="H284" s="24"/>
      <c r="I284" s="3" t="s">
        <v>62</v>
      </c>
      <c r="J284" s="3">
        <v>68.09</v>
      </c>
      <c r="K284" s="3">
        <v>16.0</v>
      </c>
      <c r="L284" s="4"/>
      <c r="M284" s="3" t="s">
        <v>97</v>
      </c>
      <c r="N284" s="3">
        <v>67.88</v>
      </c>
      <c r="O284" s="3">
        <v>16.0</v>
      </c>
      <c r="P284" s="4"/>
      <c r="Q284" s="3" t="s">
        <v>189</v>
      </c>
      <c r="R284" s="3">
        <v>69.18</v>
      </c>
      <c r="S284" s="27">
        <v>16.0</v>
      </c>
      <c r="T284" s="4"/>
      <c r="U284" s="4"/>
      <c r="V284" s="4"/>
      <c r="W284" s="4"/>
      <c r="X284" s="4"/>
      <c r="Y284" s="4"/>
      <c r="Z284" s="4"/>
    </row>
    <row r="285" ht="12.75" customHeight="1">
      <c r="A285" s="3" t="s">
        <v>55</v>
      </c>
      <c r="B285" s="3">
        <v>69.17</v>
      </c>
      <c r="C285" s="3">
        <v>17.0</v>
      </c>
      <c r="D285" s="4"/>
      <c r="E285" s="3" t="s">
        <v>92</v>
      </c>
      <c r="F285" s="3">
        <v>69.12</v>
      </c>
      <c r="G285" s="3">
        <v>17.0</v>
      </c>
      <c r="H285" s="24"/>
      <c r="I285" s="3" t="s">
        <v>90</v>
      </c>
      <c r="J285" s="3">
        <v>68.01</v>
      </c>
      <c r="K285" s="3">
        <v>17.0</v>
      </c>
      <c r="L285" s="4"/>
      <c r="M285" s="3" t="s">
        <v>189</v>
      </c>
      <c r="N285" s="3">
        <v>67.86</v>
      </c>
      <c r="O285" s="3">
        <v>17.0</v>
      </c>
      <c r="P285" s="4"/>
      <c r="Q285" s="3" t="s">
        <v>38</v>
      </c>
      <c r="R285" s="3">
        <v>66.42</v>
      </c>
      <c r="S285" s="27">
        <v>17.0</v>
      </c>
      <c r="T285" s="4"/>
      <c r="U285" s="4"/>
      <c r="V285" s="4"/>
      <c r="W285" s="4"/>
      <c r="X285" s="4"/>
      <c r="Y285" s="4"/>
      <c r="Z285" s="4"/>
    </row>
    <row r="286" ht="12.75" customHeight="1">
      <c r="A286" s="3" t="s">
        <v>106</v>
      </c>
      <c r="B286" s="3">
        <v>68.42</v>
      </c>
      <c r="C286" s="3">
        <v>18.0</v>
      </c>
      <c r="D286" s="4"/>
      <c r="E286" s="3" t="s">
        <v>90</v>
      </c>
      <c r="F286" s="3">
        <v>67.02</v>
      </c>
      <c r="G286" s="3">
        <v>18.0</v>
      </c>
      <c r="H286" s="24"/>
      <c r="I286" s="3" t="s">
        <v>74</v>
      </c>
      <c r="J286" s="3">
        <v>66.4</v>
      </c>
      <c r="K286" s="3">
        <v>18.0</v>
      </c>
      <c r="L286" s="4"/>
      <c r="M286" s="3" t="s">
        <v>180</v>
      </c>
      <c r="N286" s="3">
        <v>65.42</v>
      </c>
      <c r="O286" s="3">
        <v>18.0</v>
      </c>
      <c r="P286" s="4"/>
      <c r="Q286" s="3" t="s">
        <v>73</v>
      </c>
      <c r="R286" s="3">
        <v>65.76</v>
      </c>
      <c r="S286" s="27">
        <v>18.0</v>
      </c>
      <c r="T286" s="4"/>
      <c r="U286" s="4"/>
      <c r="V286" s="4"/>
      <c r="W286" s="4"/>
      <c r="X286" s="4"/>
      <c r="Y286" s="4"/>
      <c r="Z286" s="4"/>
    </row>
    <row r="287" ht="12.75" customHeight="1">
      <c r="A287" s="3" t="s">
        <v>92</v>
      </c>
      <c r="B287" s="3">
        <v>65.25</v>
      </c>
      <c r="C287" s="3">
        <v>19.0</v>
      </c>
      <c r="D287" s="4"/>
      <c r="E287" s="3" t="s">
        <v>74</v>
      </c>
      <c r="F287" s="3">
        <v>66.29</v>
      </c>
      <c r="G287" s="3">
        <v>19.0</v>
      </c>
      <c r="H287" s="24"/>
      <c r="I287" s="3" t="s">
        <v>58</v>
      </c>
      <c r="J287" s="3">
        <v>66.0</v>
      </c>
      <c r="K287" s="3">
        <v>19.0</v>
      </c>
      <c r="L287" s="4"/>
      <c r="M287" s="3" t="s">
        <v>73</v>
      </c>
      <c r="N287" s="3">
        <v>65.02</v>
      </c>
      <c r="O287" s="3">
        <v>19.0</v>
      </c>
      <c r="P287" s="4"/>
      <c r="Q287" s="3" t="s">
        <v>40</v>
      </c>
      <c r="R287" s="3">
        <v>63.02</v>
      </c>
      <c r="S287" s="27">
        <v>19.0</v>
      </c>
      <c r="T287" s="4"/>
      <c r="U287" s="4"/>
      <c r="V287" s="4"/>
      <c r="W287" s="4"/>
      <c r="X287" s="4"/>
      <c r="Y287" s="4"/>
      <c r="Z287" s="4"/>
    </row>
    <row r="288" ht="12.75" customHeight="1">
      <c r="A288" s="3" t="s">
        <v>51</v>
      </c>
      <c r="B288" s="3">
        <v>63.88</v>
      </c>
      <c r="C288" s="3">
        <v>20.0</v>
      </c>
      <c r="D288" s="4"/>
      <c r="E288" s="3" t="s">
        <v>58</v>
      </c>
      <c r="F288" s="3">
        <v>63.01</v>
      </c>
      <c r="G288" s="3">
        <v>20.0</v>
      </c>
      <c r="H288" s="24"/>
      <c r="I288" s="3" t="s">
        <v>189</v>
      </c>
      <c r="J288" s="3">
        <v>64.62</v>
      </c>
      <c r="K288" s="3">
        <v>20.0</v>
      </c>
      <c r="L288" s="4"/>
      <c r="M288" s="3" t="s">
        <v>132</v>
      </c>
      <c r="N288" s="3">
        <v>63.58</v>
      </c>
      <c r="O288" s="3">
        <v>20.0</v>
      </c>
      <c r="P288" s="4"/>
      <c r="Q288" s="3" t="s">
        <v>132</v>
      </c>
      <c r="R288" s="3">
        <v>62.28</v>
      </c>
      <c r="S288" s="27">
        <v>20.0</v>
      </c>
      <c r="T288" s="4"/>
      <c r="U288" s="4"/>
      <c r="V288" s="4"/>
      <c r="W288" s="4"/>
      <c r="X288" s="4"/>
      <c r="Y288" s="4"/>
      <c r="Z288" s="4"/>
    </row>
    <row r="289" ht="12.75" customHeight="1">
      <c r="A289" s="3" t="s">
        <v>58</v>
      </c>
      <c r="B289" s="3">
        <v>62.6</v>
      </c>
      <c r="C289" s="3">
        <v>21.0</v>
      </c>
      <c r="D289" s="4"/>
      <c r="E289" s="3" t="s">
        <v>64</v>
      </c>
      <c r="F289" s="3">
        <v>59.73</v>
      </c>
      <c r="G289" s="3">
        <v>21.0</v>
      </c>
      <c r="H289" s="24"/>
      <c r="I289" s="3" t="s">
        <v>97</v>
      </c>
      <c r="J289" s="3">
        <v>62.01</v>
      </c>
      <c r="K289" s="3">
        <v>21.0</v>
      </c>
      <c r="L289" s="4"/>
      <c r="M289" s="3" t="s">
        <v>38</v>
      </c>
      <c r="N289" s="3">
        <v>59.9</v>
      </c>
      <c r="O289" s="3">
        <v>21.0</v>
      </c>
      <c r="P289" s="4"/>
      <c r="Q289" s="3" t="s">
        <v>182</v>
      </c>
      <c r="R289" s="3">
        <v>61.73</v>
      </c>
      <c r="S289" s="27">
        <v>21.0</v>
      </c>
      <c r="T289" s="4"/>
      <c r="U289" s="4"/>
      <c r="V289" s="4"/>
      <c r="W289" s="4"/>
      <c r="X289" s="4"/>
      <c r="Y289" s="4"/>
      <c r="Z289" s="4"/>
    </row>
    <row r="290" ht="12.75" customHeight="1">
      <c r="A290" s="3" t="s">
        <v>90</v>
      </c>
      <c r="B290" s="3">
        <v>61.93</v>
      </c>
      <c r="C290" s="3">
        <v>22.0</v>
      </c>
      <c r="D290" s="4"/>
      <c r="E290" s="3" t="s">
        <v>132</v>
      </c>
      <c r="F290" s="3">
        <v>57.48</v>
      </c>
      <c r="G290" s="3">
        <v>22.0</v>
      </c>
      <c r="H290" s="24"/>
      <c r="I290" s="3" t="s">
        <v>138</v>
      </c>
      <c r="J290" s="3">
        <v>61.93</v>
      </c>
      <c r="K290" s="3">
        <v>22.0</v>
      </c>
      <c r="L290" s="4"/>
      <c r="M290" s="3" t="s">
        <v>106</v>
      </c>
      <c r="N290" s="3">
        <v>59.01</v>
      </c>
      <c r="O290" s="3">
        <v>22.0</v>
      </c>
      <c r="P290" s="4"/>
      <c r="Q290" s="3" t="s">
        <v>106</v>
      </c>
      <c r="R290" s="3">
        <v>59.09</v>
      </c>
      <c r="S290" s="27">
        <v>22.0</v>
      </c>
      <c r="T290" s="4"/>
      <c r="U290" s="4"/>
      <c r="V290" s="4"/>
      <c r="W290" s="4"/>
      <c r="X290" s="4"/>
      <c r="Y290" s="4"/>
      <c r="Z290" s="4"/>
    </row>
    <row r="291" ht="12.75" customHeight="1">
      <c r="A291" s="3" t="s">
        <v>64</v>
      </c>
      <c r="B291" s="3">
        <v>57.55</v>
      </c>
      <c r="C291" s="3">
        <v>23.0</v>
      </c>
      <c r="D291" s="4"/>
      <c r="E291" s="3" t="s">
        <v>46</v>
      </c>
      <c r="F291" s="3">
        <v>56.97</v>
      </c>
      <c r="G291" s="3">
        <v>23.0</v>
      </c>
      <c r="H291" s="24"/>
      <c r="I291" s="3" t="s">
        <v>132</v>
      </c>
      <c r="J291" s="3">
        <v>59.29</v>
      </c>
      <c r="K291" s="3">
        <v>23.0</v>
      </c>
      <c r="L291" s="4"/>
      <c r="M291" s="3" t="s">
        <v>74</v>
      </c>
      <c r="N291" s="3">
        <v>58.11</v>
      </c>
      <c r="O291" s="3">
        <v>23.0</v>
      </c>
      <c r="P291" s="4"/>
      <c r="Q291" s="3" t="s">
        <v>109</v>
      </c>
      <c r="R291" s="3">
        <v>58.58</v>
      </c>
      <c r="S291" s="27">
        <v>23.0</v>
      </c>
      <c r="T291" s="4"/>
      <c r="U291" s="4"/>
      <c r="V291" s="4"/>
      <c r="W291" s="4"/>
      <c r="X291" s="4"/>
      <c r="Y291" s="4"/>
      <c r="Z291" s="4"/>
    </row>
    <row r="292" ht="12.75" customHeight="1">
      <c r="A292" s="3" t="s">
        <v>46</v>
      </c>
      <c r="B292" s="3">
        <v>56.04</v>
      </c>
      <c r="C292" s="3">
        <v>24.0</v>
      </c>
      <c r="D292" s="4"/>
      <c r="E292" s="3" t="s">
        <v>55</v>
      </c>
      <c r="F292" s="3">
        <v>55.34</v>
      </c>
      <c r="G292" s="3">
        <v>24.0</v>
      </c>
      <c r="H292" s="24"/>
      <c r="I292" s="3" t="s">
        <v>55</v>
      </c>
      <c r="J292" s="3">
        <v>58.38</v>
      </c>
      <c r="K292" s="3">
        <v>24.0</v>
      </c>
      <c r="L292" s="4"/>
      <c r="M292" s="3" t="s">
        <v>46</v>
      </c>
      <c r="N292" s="3">
        <v>55.98</v>
      </c>
      <c r="O292" s="3">
        <v>24.0</v>
      </c>
      <c r="P292" s="4"/>
      <c r="Q292" s="3" t="s">
        <v>46</v>
      </c>
      <c r="R292" s="3">
        <v>56.79</v>
      </c>
      <c r="S292" s="27">
        <v>24.0</v>
      </c>
      <c r="T292" s="4"/>
      <c r="U292" s="4"/>
      <c r="V292" s="4"/>
      <c r="W292" s="4"/>
      <c r="X292" s="4"/>
      <c r="Y292" s="4"/>
      <c r="Z292" s="4"/>
    </row>
    <row r="293" ht="12.75" customHeight="1">
      <c r="A293" s="3" t="s">
        <v>132</v>
      </c>
      <c r="B293" s="3">
        <v>49.08</v>
      </c>
      <c r="C293" s="3">
        <v>25.0</v>
      </c>
      <c r="D293" s="4"/>
      <c r="E293" s="3" t="s">
        <v>38</v>
      </c>
      <c r="F293" s="3">
        <v>55.23</v>
      </c>
      <c r="G293" s="3">
        <v>25.0</v>
      </c>
      <c r="H293" s="24"/>
      <c r="I293" s="3" t="s">
        <v>106</v>
      </c>
      <c r="J293" s="3">
        <v>55.72</v>
      </c>
      <c r="K293" s="3">
        <v>25.0</v>
      </c>
      <c r="L293" s="4"/>
      <c r="M293" s="3" t="s">
        <v>162</v>
      </c>
      <c r="N293" s="3">
        <v>52.92</v>
      </c>
      <c r="O293" s="3">
        <v>25.0</v>
      </c>
      <c r="P293" s="4"/>
      <c r="Q293" s="3" t="s">
        <v>162</v>
      </c>
      <c r="R293" s="3">
        <v>53.19</v>
      </c>
      <c r="S293" s="27">
        <v>25.0</v>
      </c>
      <c r="T293" s="4"/>
      <c r="U293" s="4"/>
      <c r="V293" s="4"/>
      <c r="W293" s="4"/>
      <c r="X293" s="4"/>
      <c r="Y293" s="4"/>
      <c r="Z293" s="4"/>
    </row>
    <row r="294" ht="12.75" customHeight="1">
      <c r="A294" s="3" t="s">
        <v>38</v>
      </c>
      <c r="B294" s="3">
        <v>47.14</v>
      </c>
      <c r="C294" s="3">
        <v>26.0</v>
      </c>
      <c r="D294" s="4"/>
      <c r="E294" s="3" t="s">
        <v>138</v>
      </c>
      <c r="F294" s="3">
        <v>45.49</v>
      </c>
      <c r="G294" s="3">
        <v>26.0</v>
      </c>
      <c r="H294" s="24"/>
      <c r="I294" s="3" t="s">
        <v>180</v>
      </c>
      <c r="J294" s="3">
        <v>46.65</v>
      </c>
      <c r="K294" s="3">
        <v>26.0</v>
      </c>
      <c r="L294" s="4"/>
      <c r="M294" s="3" t="s">
        <v>109</v>
      </c>
      <c r="N294" s="3">
        <v>50.37</v>
      </c>
      <c r="O294" s="3">
        <v>26.0</v>
      </c>
      <c r="P294" s="4"/>
      <c r="Q294" s="3" t="s">
        <v>55</v>
      </c>
      <c r="R294" s="3">
        <v>46.12</v>
      </c>
      <c r="S294" s="27">
        <v>26.0</v>
      </c>
      <c r="T294" s="4"/>
      <c r="U294" s="4"/>
      <c r="V294" s="4"/>
      <c r="W294" s="4"/>
      <c r="X294" s="4"/>
      <c r="Y294" s="4"/>
      <c r="Z294" s="4"/>
    </row>
    <row r="295" ht="12.75" customHeight="1">
      <c r="A295" s="3" t="s">
        <v>180</v>
      </c>
      <c r="B295" s="3">
        <v>45.7</v>
      </c>
      <c r="C295" s="3">
        <v>27.0</v>
      </c>
      <c r="D295" s="4"/>
      <c r="E295" s="3" t="s">
        <v>97</v>
      </c>
      <c r="F295" s="3">
        <v>45.46</v>
      </c>
      <c r="G295" s="3">
        <v>27.0</v>
      </c>
      <c r="H295" s="24"/>
      <c r="I295" s="3" t="s">
        <v>162</v>
      </c>
      <c r="J295" s="3">
        <v>44.91</v>
      </c>
      <c r="K295" s="3">
        <v>27.0</v>
      </c>
      <c r="L295" s="4"/>
      <c r="M295" s="3" t="s">
        <v>125</v>
      </c>
      <c r="N295" s="3">
        <v>43.67</v>
      </c>
      <c r="O295" s="3">
        <v>27.0</v>
      </c>
      <c r="P295" s="4"/>
      <c r="Q295" s="3" t="s">
        <v>47</v>
      </c>
      <c r="R295" s="3">
        <v>43.31</v>
      </c>
      <c r="S295" s="27">
        <v>27.0</v>
      </c>
      <c r="T295" s="4"/>
      <c r="U295" s="4"/>
      <c r="V295" s="4"/>
      <c r="W295" s="4"/>
      <c r="X295" s="4"/>
      <c r="Y295" s="4"/>
      <c r="Z295" s="4"/>
    </row>
    <row r="296" ht="12.75" customHeight="1">
      <c r="A296" s="3" t="s">
        <v>182</v>
      </c>
      <c r="B296" s="3">
        <v>44.49</v>
      </c>
      <c r="C296" s="3">
        <v>28.0</v>
      </c>
      <c r="D296" s="4"/>
      <c r="E296" s="3" t="s">
        <v>180</v>
      </c>
      <c r="F296" s="3">
        <v>44.96</v>
      </c>
      <c r="G296" s="3">
        <v>28.0</v>
      </c>
      <c r="H296" s="24"/>
      <c r="I296" s="3" t="s">
        <v>151</v>
      </c>
      <c r="J296" s="3">
        <v>44.32</v>
      </c>
      <c r="K296" s="3">
        <v>28.0</v>
      </c>
      <c r="L296" s="4"/>
      <c r="M296" s="3" t="s">
        <v>47</v>
      </c>
      <c r="N296" s="3">
        <v>43.41</v>
      </c>
      <c r="O296" s="3">
        <v>28.0</v>
      </c>
      <c r="P296" s="4"/>
      <c r="Q296" s="3" t="s">
        <v>96</v>
      </c>
      <c r="R296" s="3">
        <v>42.65</v>
      </c>
      <c r="S296" s="27">
        <v>28.0</v>
      </c>
      <c r="T296" s="4"/>
      <c r="U296" s="4"/>
      <c r="V296" s="4"/>
      <c r="W296" s="4"/>
      <c r="X296" s="4"/>
      <c r="Y296" s="4"/>
      <c r="Z296" s="4"/>
    </row>
    <row r="297" ht="12.75" customHeight="1">
      <c r="A297" s="3" t="s">
        <v>162</v>
      </c>
      <c r="B297" s="3">
        <v>44.31</v>
      </c>
      <c r="C297" s="3">
        <v>29.0</v>
      </c>
      <c r="D297" s="4"/>
      <c r="E297" s="3" t="s">
        <v>151</v>
      </c>
      <c r="F297" s="3">
        <v>44.57</v>
      </c>
      <c r="G297" s="3">
        <v>29.0</v>
      </c>
      <c r="H297" s="24"/>
      <c r="I297" s="3" t="s">
        <v>125</v>
      </c>
      <c r="J297" s="3">
        <v>42.45</v>
      </c>
      <c r="K297" s="3">
        <v>29.0</v>
      </c>
      <c r="L297" s="4"/>
      <c r="M297" s="3" t="s">
        <v>129</v>
      </c>
      <c r="N297" s="3">
        <v>41.73</v>
      </c>
      <c r="O297" s="3">
        <v>29.0</v>
      </c>
      <c r="P297" s="4"/>
      <c r="Q297" s="3" t="s">
        <v>194</v>
      </c>
      <c r="R297" s="3">
        <v>42.33</v>
      </c>
      <c r="S297" s="27">
        <v>29.0</v>
      </c>
      <c r="T297" s="4"/>
      <c r="U297" s="4"/>
      <c r="V297" s="4"/>
      <c r="W297" s="4"/>
      <c r="X297" s="4"/>
      <c r="Y297" s="4"/>
      <c r="Z297" s="4"/>
    </row>
    <row r="298" ht="12.75" customHeight="1">
      <c r="A298" s="3" t="s">
        <v>97</v>
      </c>
      <c r="B298" s="3">
        <v>43.79</v>
      </c>
      <c r="C298" s="3">
        <v>30.0</v>
      </c>
      <c r="D298" s="4"/>
      <c r="E298" s="3" t="s">
        <v>162</v>
      </c>
      <c r="F298" s="3">
        <v>43.68</v>
      </c>
      <c r="G298" s="3">
        <v>30.0</v>
      </c>
      <c r="H298" s="24"/>
      <c r="I298" s="3" t="s">
        <v>129</v>
      </c>
      <c r="J298" s="3">
        <v>41.43</v>
      </c>
      <c r="K298" s="3">
        <v>30.0</v>
      </c>
      <c r="L298" s="4"/>
      <c r="M298" s="3" t="s">
        <v>93</v>
      </c>
      <c r="N298" s="3">
        <v>41.63</v>
      </c>
      <c r="O298" s="3">
        <v>30.0</v>
      </c>
      <c r="P298" s="4"/>
      <c r="Q298" s="3" t="s">
        <v>125</v>
      </c>
      <c r="R298" s="3">
        <v>41.89</v>
      </c>
      <c r="S298" s="27">
        <v>30.0</v>
      </c>
      <c r="T298" s="4"/>
      <c r="U298" s="4"/>
      <c r="V298" s="4"/>
      <c r="W298" s="4"/>
      <c r="X298" s="4"/>
      <c r="Y298" s="4"/>
      <c r="Z298" s="4"/>
    </row>
    <row r="299" ht="12.75" customHeight="1">
      <c r="A299" s="3" t="s">
        <v>164</v>
      </c>
      <c r="B299" s="3">
        <v>43.71</v>
      </c>
      <c r="C299" s="3">
        <v>31.0</v>
      </c>
      <c r="D299" s="4"/>
      <c r="E299" s="3" t="s">
        <v>164</v>
      </c>
      <c r="F299" s="3">
        <v>43.28</v>
      </c>
      <c r="G299" s="3">
        <v>31.0</v>
      </c>
      <c r="H299" s="24"/>
      <c r="I299" s="3" t="s">
        <v>47</v>
      </c>
      <c r="J299" s="3">
        <v>41.22</v>
      </c>
      <c r="K299" s="3">
        <v>31.0</v>
      </c>
      <c r="L299" s="4"/>
      <c r="M299" s="3" t="s">
        <v>112</v>
      </c>
      <c r="N299" s="3">
        <v>41.39</v>
      </c>
      <c r="O299" s="3">
        <v>31.0</v>
      </c>
      <c r="P299" s="4"/>
      <c r="Q299" s="3" t="s">
        <v>113</v>
      </c>
      <c r="R299" s="3">
        <v>41.72</v>
      </c>
      <c r="S299" s="27">
        <v>31.0</v>
      </c>
      <c r="T299" s="4"/>
      <c r="U299" s="4"/>
      <c r="V299" s="4"/>
      <c r="W299" s="4"/>
      <c r="X299" s="4"/>
      <c r="Y299" s="4"/>
      <c r="Z299" s="4"/>
    </row>
    <row r="300" ht="12.75" customHeight="1">
      <c r="A300" s="3" t="s">
        <v>157</v>
      </c>
      <c r="B300" s="3">
        <v>43.61</v>
      </c>
      <c r="C300" s="3">
        <v>32.0</v>
      </c>
      <c r="D300" s="4"/>
      <c r="E300" s="3" t="s">
        <v>191</v>
      </c>
      <c r="F300" s="3">
        <v>42.46</v>
      </c>
      <c r="G300" s="3">
        <v>32.0</v>
      </c>
      <c r="H300" s="24"/>
      <c r="I300" s="3" t="s">
        <v>144</v>
      </c>
      <c r="J300" s="3">
        <v>41.17</v>
      </c>
      <c r="K300" s="3">
        <v>32.0</v>
      </c>
      <c r="L300" s="4"/>
      <c r="M300" s="3" t="s">
        <v>149</v>
      </c>
      <c r="N300" s="3">
        <v>41.37</v>
      </c>
      <c r="O300" s="3">
        <v>32.0</v>
      </c>
      <c r="P300" s="4"/>
      <c r="Q300" s="3" t="s">
        <v>129</v>
      </c>
      <c r="R300" s="3">
        <v>41.54</v>
      </c>
      <c r="S300" s="27">
        <v>32.0</v>
      </c>
      <c r="T300" s="4"/>
      <c r="U300" s="4"/>
      <c r="V300" s="4"/>
      <c r="W300" s="4"/>
      <c r="X300" s="4"/>
      <c r="Y300" s="4"/>
      <c r="Z300" s="4"/>
    </row>
    <row r="301" ht="12.75" customHeight="1">
      <c r="A301" s="3" t="s">
        <v>125</v>
      </c>
      <c r="B301" s="3">
        <v>43.22</v>
      </c>
      <c r="C301" s="3">
        <v>33.0</v>
      </c>
      <c r="D301" s="4"/>
      <c r="E301" s="3" t="s">
        <v>144</v>
      </c>
      <c r="F301" s="3">
        <v>40.98</v>
      </c>
      <c r="G301" s="3">
        <v>33.0</v>
      </c>
      <c r="H301" s="24"/>
      <c r="I301" s="3" t="s">
        <v>124</v>
      </c>
      <c r="J301" s="3">
        <v>41.07</v>
      </c>
      <c r="K301" s="3">
        <v>33.0</v>
      </c>
      <c r="L301" s="4"/>
      <c r="M301" s="3" t="s">
        <v>158</v>
      </c>
      <c r="N301" s="3">
        <v>41.08</v>
      </c>
      <c r="O301" s="3">
        <v>33.0</v>
      </c>
      <c r="P301" s="4"/>
      <c r="Q301" s="3" t="s">
        <v>190</v>
      </c>
      <c r="R301" s="3">
        <v>41.34</v>
      </c>
      <c r="S301" s="27">
        <v>33.0</v>
      </c>
      <c r="T301" s="4"/>
      <c r="U301" s="4"/>
      <c r="V301" s="4"/>
      <c r="W301" s="4"/>
      <c r="X301" s="4"/>
      <c r="Y301" s="4"/>
      <c r="Z301" s="4"/>
    </row>
    <row r="302" ht="12.75" customHeight="1">
      <c r="A302" s="3" t="s">
        <v>151</v>
      </c>
      <c r="B302" s="3">
        <v>43.19</v>
      </c>
      <c r="C302" s="3">
        <v>34.0</v>
      </c>
      <c r="D302" s="4"/>
      <c r="E302" s="3" t="s">
        <v>124</v>
      </c>
      <c r="F302" s="3">
        <v>40.91</v>
      </c>
      <c r="G302" s="3">
        <v>34.0</v>
      </c>
      <c r="H302" s="24"/>
      <c r="I302" s="3" t="s">
        <v>109</v>
      </c>
      <c r="J302" s="3">
        <v>40.72</v>
      </c>
      <c r="K302" s="3">
        <v>34.0</v>
      </c>
      <c r="L302" s="4"/>
      <c r="M302" s="3" t="s">
        <v>113</v>
      </c>
      <c r="N302" s="3">
        <v>40.87</v>
      </c>
      <c r="O302" s="3">
        <v>34.0</v>
      </c>
      <c r="P302" s="4"/>
      <c r="Q302" s="3" t="s">
        <v>134</v>
      </c>
      <c r="R302" s="3">
        <v>40.98</v>
      </c>
      <c r="S302" s="27">
        <v>34.0</v>
      </c>
      <c r="T302" s="4"/>
      <c r="U302" s="4"/>
      <c r="V302" s="4"/>
      <c r="W302" s="4"/>
      <c r="X302" s="4"/>
      <c r="Y302" s="4"/>
      <c r="Z302" s="4"/>
    </row>
    <row r="303" ht="12.75" customHeight="1">
      <c r="A303" s="3" t="s">
        <v>47</v>
      </c>
      <c r="B303" s="3">
        <v>42.54</v>
      </c>
      <c r="C303" s="3">
        <v>35.0</v>
      </c>
      <c r="D303" s="4"/>
      <c r="E303" s="3" t="s">
        <v>129</v>
      </c>
      <c r="F303" s="3">
        <v>40.59</v>
      </c>
      <c r="G303" s="3">
        <v>35.0</v>
      </c>
      <c r="H303" s="24"/>
      <c r="I303" s="3" t="s">
        <v>158</v>
      </c>
      <c r="J303" s="3">
        <v>40.63</v>
      </c>
      <c r="K303" s="3">
        <v>35.0</v>
      </c>
      <c r="L303" s="4"/>
      <c r="M303" s="3" t="s">
        <v>190</v>
      </c>
      <c r="N303" s="3">
        <v>40.39</v>
      </c>
      <c r="O303" s="3">
        <v>35.0</v>
      </c>
      <c r="P303" s="4"/>
      <c r="Q303" s="3" t="s">
        <v>180</v>
      </c>
      <c r="R303" s="3">
        <v>40.42</v>
      </c>
      <c r="S303" s="27">
        <v>35.0</v>
      </c>
      <c r="T303" s="4"/>
      <c r="U303" s="4"/>
      <c r="V303" s="4"/>
      <c r="W303" s="4"/>
      <c r="X303" s="4"/>
      <c r="Y303" s="4"/>
      <c r="Z303" s="4"/>
    </row>
    <row r="304" ht="12.75" customHeight="1">
      <c r="A304" s="3" t="s">
        <v>138</v>
      </c>
      <c r="B304" s="3">
        <v>41.81</v>
      </c>
      <c r="C304" s="3">
        <v>36.0</v>
      </c>
      <c r="D304" s="4"/>
      <c r="E304" s="3" t="s">
        <v>93</v>
      </c>
      <c r="F304" s="3">
        <v>40.54</v>
      </c>
      <c r="G304" s="3">
        <v>36.0</v>
      </c>
      <c r="H304" s="24"/>
      <c r="I304" s="3" t="s">
        <v>149</v>
      </c>
      <c r="J304" s="3">
        <v>40.23</v>
      </c>
      <c r="K304" s="3">
        <v>36.0</v>
      </c>
      <c r="L304" s="4"/>
      <c r="M304" s="3" t="s">
        <v>138</v>
      </c>
      <c r="N304" s="3">
        <v>40.1</v>
      </c>
      <c r="O304" s="3">
        <v>36.0</v>
      </c>
      <c r="P304" s="4"/>
      <c r="Q304" s="3" t="s">
        <v>176</v>
      </c>
      <c r="R304" s="3">
        <v>40.27</v>
      </c>
      <c r="S304" s="27">
        <v>36.0</v>
      </c>
      <c r="T304" s="4"/>
      <c r="U304" s="4"/>
      <c r="V304" s="4"/>
      <c r="W304" s="4"/>
      <c r="X304" s="4"/>
      <c r="Y304" s="4"/>
      <c r="Z304" s="4"/>
    </row>
    <row r="305" ht="12.75" customHeight="1">
      <c r="A305" s="3" t="s">
        <v>191</v>
      </c>
      <c r="B305" s="3">
        <v>41.55</v>
      </c>
      <c r="C305" s="3">
        <v>37.0</v>
      </c>
      <c r="D305" s="4"/>
      <c r="E305" s="3" t="s">
        <v>158</v>
      </c>
      <c r="F305" s="3">
        <v>40.44</v>
      </c>
      <c r="G305" s="3">
        <v>37.0</v>
      </c>
      <c r="H305" s="24"/>
      <c r="I305" s="3" t="s">
        <v>93</v>
      </c>
      <c r="J305" s="3">
        <v>40.06</v>
      </c>
      <c r="K305" s="3">
        <v>37.0</v>
      </c>
      <c r="L305" s="4"/>
      <c r="M305" s="3" t="s">
        <v>134</v>
      </c>
      <c r="N305" s="3">
        <v>39.93</v>
      </c>
      <c r="O305" s="3">
        <v>37.0</v>
      </c>
      <c r="P305" s="4"/>
      <c r="Q305" s="3" t="s">
        <v>138</v>
      </c>
      <c r="R305" s="3">
        <v>40.21</v>
      </c>
      <c r="S305" s="27">
        <v>37.0</v>
      </c>
      <c r="T305" s="4"/>
      <c r="U305" s="4"/>
      <c r="V305" s="4"/>
      <c r="W305" s="4"/>
      <c r="X305" s="4"/>
      <c r="Y305" s="4"/>
      <c r="Z305" s="4"/>
    </row>
    <row r="306" ht="12.75" customHeight="1">
      <c r="A306" s="3" t="s">
        <v>152</v>
      </c>
      <c r="B306" s="3">
        <v>41.22</v>
      </c>
      <c r="C306" s="3">
        <v>38.0</v>
      </c>
      <c r="D306" s="4"/>
      <c r="E306" s="3" t="s">
        <v>125</v>
      </c>
      <c r="F306" s="3">
        <v>40.3</v>
      </c>
      <c r="G306" s="3">
        <v>38.0</v>
      </c>
      <c r="H306" s="24"/>
      <c r="I306" s="3" t="s">
        <v>176</v>
      </c>
      <c r="J306" s="3">
        <v>39.54</v>
      </c>
      <c r="K306" s="3">
        <v>38.0</v>
      </c>
      <c r="L306" s="4"/>
      <c r="M306" s="3" t="s">
        <v>176</v>
      </c>
      <c r="N306" s="3">
        <v>39.69</v>
      </c>
      <c r="O306" s="3">
        <v>38.0</v>
      </c>
      <c r="P306" s="4"/>
      <c r="Q306" s="3" t="s">
        <v>64</v>
      </c>
      <c r="R306" s="3">
        <v>39.91</v>
      </c>
      <c r="S306" s="27">
        <v>38.0</v>
      </c>
      <c r="T306" s="4"/>
      <c r="U306" s="4"/>
      <c r="V306" s="4"/>
      <c r="W306" s="4"/>
      <c r="X306" s="4"/>
      <c r="Y306" s="4"/>
      <c r="Z306" s="4"/>
    </row>
    <row r="307" ht="12.75" customHeight="1">
      <c r="A307" s="3" t="s">
        <v>129</v>
      </c>
      <c r="B307" s="3">
        <v>40.66</v>
      </c>
      <c r="C307" s="3">
        <v>39.0</v>
      </c>
      <c r="D307" s="4"/>
      <c r="E307" s="3" t="s">
        <v>47</v>
      </c>
      <c r="F307" s="3">
        <v>40.27</v>
      </c>
      <c r="G307" s="3">
        <v>39.0</v>
      </c>
      <c r="H307" s="24"/>
      <c r="I307" s="3" t="s">
        <v>112</v>
      </c>
      <c r="J307" s="3">
        <v>39.29</v>
      </c>
      <c r="K307" s="3">
        <v>39.0</v>
      </c>
      <c r="L307" s="4"/>
      <c r="M307" s="3" t="s">
        <v>182</v>
      </c>
      <c r="N307" s="3">
        <v>39.36</v>
      </c>
      <c r="O307" s="3">
        <v>39.0</v>
      </c>
      <c r="P307" s="4"/>
      <c r="Q307" s="3" t="s">
        <v>74</v>
      </c>
      <c r="R307" s="3">
        <v>39.64</v>
      </c>
      <c r="S307" s="27">
        <v>39.0</v>
      </c>
      <c r="T307" s="4"/>
      <c r="U307" s="4"/>
      <c r="V307" s="4"/>
      <c r="W307" s="4"/>
      <c r="X307" s="4"/>
      <c r="Y307" s="4"/>
      <c r="Z307" s="4"/>
    </row>
    <row r="308" ht="12.75" customHeight="1">
      <c r="A308" s="3" t="s">
        <v>93</v>
      </c>
      <c r="B308" s="3">
        <v>40.55</v>
      </c>
      <c r="C308" s="3">
        <v>40.0</v>
      </c>
      <c r="D308" s="4"/>
      <c r="E308" s="3" t="s">
        <v>106</v>
      </c>
      <c r="F308" s="3">
        <v>39.97</v>
      </c>
      <c r="G308" s="3">
        <v>40.0</v>
      </c>
      <c r="H308" s="24"/>
      <c r="I308" s="3" t="s">
        <v>113</v>
      </c>
      <c r="J308" s="3">
        <v>38.96</v>
      </c>
      <c r="K308" s="3">
        <v>40.0</v>
      </c>
      <c r="L308" s="4"/>
      <c r="M308" s="3" t="s">
        <v>64</v>
      </c>
      <c r="N308" s="3">
        <v>38.85</v>
      </c>
      <c r="O308" s="3">
        <v>40.0</v>
      </c>
      <c r="P308" s="4"/>
      <c r="Q308" s="3" t="s">
        <v>149</v>
      </c>
      <c r="R308" s="3">
        <v>38.72</v>
      </c>
      <c r="S308" s="27">
        <v>40.0</v>
      </c>
      <c r="T308" s="4"/>
      <c r="U308" s="4"/>
      <c r="V308" s="4"/>
      <c r="W308" s="4"/>
      <c r="X308" s="4"/>
      <c r="Y308" s="4"/>
      <c r="Z308" s="4"/>
    </row>
    <row r="309" ht="12.75" customHeight="1">
      <c r="A309" s="3" t="s">
        <v>124</v>
      </c>
      <c r="B309" s="3">
        <v>40.55</v>
      </c>
      <c r="C309" s="3">
        <v>40.0</v>
      </c>
      <c r="D309" s="4"/>
      <c r="E309" s="3" t="s">
        <v>176</v>
      </c>
      <c r="F309" s="3">
        <v>39.34</v>
      </c>
      <c r="G309" s="3">
        <v>41.0</v>
      </c>
      <c r="H309" s="24"/>
      <c r="I309" s="3" t="s">
        <v>117</v>
      </c>
      <c r="J309" s="3">
        <v>38.69</v>
      </c>
      <c r="K309" s="3">
        <v>41.0</v>
      </c>
      <c r="L309" s="4"/>
      <c r="M309" s="3" t="s">
        <v>96</v>
      </c>
      <c r="N309" s="3">
        <v>38.82</v>
      </c>
      <c r="O309" s="3">
        <v>41.0</v>
      </c>
      <c r="P309" s="4"/>
      <c r="Q309" s="3" t="s">
        <v>57</v>
      </c>
      <c r="R309" s="3">
        <v>38.34</v>
      </c>
      <c r="S309" s="27">
        <v>41.0</v>
      </c>
      <c r="T309" s="4"/>
      <c r="U309" s="4"/>
      <c r="V309" s="4"/>
      <c r="W309" s="4"/>
      <c r="X309" s="4"/>
      <c r="Y309" s="4"/>
      <c r="Z309" s="4"/>
    </row>
    <row r="310" ht="12.75" customHeight="1">
      <c r="A310" s="3" t="s">
        <v>98</v>
      </c>
      <c r="B310" s="3">
        <v>40.12</v>
      </c>
      <c r="C310" s="3">
        <v>42.0</v>
      </c>
      <c r="D310" s="4"/>
      <c r="E310" s="3" t="s">
        <v>112</v>
      </c>
      <c r="F310" s="3">
        <v>39.34</v>
      </c>
      <c r="G310" s="3">
        <v>41.0</v>
      </c>
      <c r="H310" s="24"/>
      <c r="I310" s="3" t="s">
        <v>101</v>
      </c>
      <c r="J310" s="3">
        <v>38.45</v>
      </c>
      <c r="K310" s="3">
        <v>42.0</v>
      </c>
      <c r="L310" s="4"/>
      <c r="M310" s="3" t="s">
        <v>164</v>
      </c>
      <c r="N310" s="3">
        <v>38.5</v>
      </c>
      <c r="O310" s="3">
        <v>42.0</v>
      </c>
      <c r="P310" s="4"/>
      <c r="Q310" s="3" t="s">
        <v>91</v>
      </c>
      <c r="R310" s="3">
        <v>38.12</v>
      </c>
      <c r="S310" s="27">
        <v>42.0</v>
      </c>
      <c r="T310" s="4"/>
      <c r="U310" s="4"/>
      <c r="V310" s="4"/>
      <c r="W310" s="4"/>
      <c r="X310" s="4"/>
      <c r="Y310" s="4"/>
      <c r="Z310" s="4"/>
    </row>
    <row r="311" ht="12.75" customHeight="1">
      <c r="A311" s="3" t="s">
        <v>144</v>
      </c>
      <c r="B311" s="3">
        <v>39.49</v>
      </c>
      <c r="C311" s="3">
        <v>43.0</v>
      </c>
      <c r="D311" s="4"/>
      <c r="E311" s="3" t="s">
        <v>109</v>
      </c>
      <c r="F311" s="3">
        <v>39.11</v>
      </c>
      <c r="G311" s="3">
        <v>43.0</v>
      </c>
      <c r="H311" s="24"/>
      <c r="I311" s="3" t="s">
        <v>64</v>
      </c>
      <c r="J311" s="3">
        <v>37.67</v>
      </c>
      <c r="K311" s="3">
        <v>43.0</v>
      </c>
      <c r="L311" s="4"/>
      <c r="M311" s="3" t="s">
        <v>95</v>
      </c>
      <c r="N311" s="3">
        <v>38.04</v>
      </c>
      <c r="O311" s="3">
        <v>43.0</v>
      </c>
      <c r="P311" s="4"/>
      <c r="Q311" s="3" t="s">
        <v>95</v>
      </c>
      <c r="R311" s="3">
        <v>37.98</v>
      </c>
      <c r="S311" s="27">
        <v>43.0</v>
      </c>
      <c r="T311" s="4"/>
      <c r="U311" s="4"/>
      <c r="V311" s="4"/>
      <c r="W311" s="4"/>
      <c r="X311" s="4"/>
      <c r="Y311" s="4"/>
      <c r="Z311" s="4"/>
    </row>
    <row r="312" ht="12.75" customHeight="1">
      <c r="A312" s="3" t="s">
        <v>158</v>
      </c>
      <c r="B312" s="3">
        <v>39.34</v>
      </c>
      <c r="C312" s="3">
        <v>44.0</v>
      </c>
      <c r="D312" s="4"/>
      <c r="E312" s="3" t="s">
        <v>117</v>
      </c>
      <c r="F312" s="3">
        <v>38.86</v>
      </c>
      <c r="G312" s="3">
        <v>44.0</v>
      </c>
      <c r="H312" s="24"/>
      <c r="I312" s="3" t="s">
        <v>134</v>
      </c>
      <c r="J312" s="3">
        <v>37.49</v>
      </c>
      <c r="K312" s="3">
        <v>44.0</v>
      </c>
      <c r="L312" s="4"/>
      <c r="M312" s="3" t="s">
        <v>144</v>
      </c>
      <c r="N312" s="3">
        <v>37.96</v>
      </c>
      <c r="O312" s="3">
        <v>44.0</v>
      </c>
      <c r="P312" s="4"/>
      <c r="Q312" s="3" t="s">
        <v>93</v>
      </c>
      <c r="R312" s="3">
        <v>37.73</v>
      </c>
      <c r="S312" s="27">
        <v>44.0</v>
      </c>
      <c r="T312" s="4"/>
      <c r="U312" s="4"/>
      <c r="V312" s="4"/>
      <c r="W312" s="4"/>
      <c r="X312" s="4"/>
      <c r="Y312" s="4"/>
      <c r="Z312" s="4"/>
    </row>
    <row r="313" ht="12.75" customHeight="1">
      <c r="A313" s="3" t="s">
        <v>118</v>
      </c>
      <c r="B313" s="3">
        <v>39.06</v>
      </c>
      <c r="C313" s="3">
        <v>45.0</v>
      </c>
      <c r="D313" s="4"/>
      <c r="E313" s="3" t="s">
        <v>149</v>
      </c>
      <c r="F313" s="3">
        <v>38.22</v>
      </c>
      <c r="G313" s="3">
        <v>45.0</v>
      </c>
      <c r="H313" s="24"/>
      <c r="I313" s="3" t="s">
        <v>157</v>
      </c>
      <c r="J313" s="3">
        <v>37.06</v>
      </c>
      <c r="K313" s="3">
        <v>45.0</v>
      </c>
      <c r="L313" s="4"/>
      <c r="M313" s="3" t="s">
        <v>62</v>
      </c>
      <c r="N313" s="3">
        <v>37.73</v>
      </c>
      <c r="O313" s="3">
        <v>45.0</v>
      </c>
      <c r="P313" s="4"/>
      <c r="Q313" s="3" t="s">
        <v>107</v>
      </c>
      <c r="R313" s="3">
        <v>37.62</v>
      </c>
      <c r="S313" s="27">
        <v>45.0</v>
      </c>
      <c r="T313" s="4"/>
      <c r="U313" s="4"/>
      <c r="V313" s="4"/>
      <c r="W313" s="4"/>
      <c r="X313" s="4"/>
      <c r="Y313" s="4"/>
      <c r="Z313" s="4"/>
    </row>
    <row r="314" ht="12.75" customHeight="1">
      <c r="A314" s="3" t="s">
        <v>117</v>
      </c>
      <c r="B314" s="3">
        <v>38.96</v>
      </c>
      <c r="C314" s="3">
        <v>46.0</v>
      </c>
      <c r="D314" s="4"/>
      <c r="E314" s="3" t="s">
        <v>150</v>
      </c>
      <c r="F314" s="3">
        <v>37.97</v>
      </c>
      <c r="G314" s="3">
        <v>46.0</v>
      </c>
      <c r="H314" s="24"/>
      <c r="I314" s="3" t="s">
        <v>60</v>
      </c>
      <c r="J314" s="3">
        <v>37.02</v>
      </c>
      <c r="K314" s="3">
        <v>46.0</v>
      </c>
      <c r="L314" s="4"/>
      <c r="M314" s="3" t="s">
        <v>107</v>
      </c>
      <c r="N314" s="3">
        <v>37.58</v>
      </c>
      <c r="O314" s="3">
        <v>46.0</v>
      </c>
      <c r="P314" s="4"/>
      <c r="Q314" s="3" t="s">
        <v>62</v>
      </c>
      <c r="R314" s="3">
        <v>37.51</v>
      </c>
      <c r="S314" s="27">
        <v>46.0</v>
      </c>
      <c r="T314" s="4"/>
      <c r="U314" s="4"/>
      <c r="V314" s="4"/>
      <c r="W314" s="4"/>
      <c r="X314" s="4"/>
      <c r="Y314" s="4"/>
      <c r="Z314" s="4"/>
    </row>
    <row r="315" ht="12.75" customHeight="1">
      <c r="A315" s="3" t="s">
        <v>112</v>
      </c>
      <c r="B315" s="3">
        <v>38.91</v>
      </c>
      <c r="C315" s="3">
        <v>47.0</v>
      </c>
      <c r="D315" s="4"/>
      <c r="E315" s="3" t="s">
        <v>101</v>
      </c>
      <c r="F315" s="3">
        <v>37.59</v>
      </c>
      <c r="G315" s="3">
        <v>47.0</v>
      </c>
      <c r="H315" s="24"/>
      <c r="I315" s="3" t="s">
        <v>182</v>
      </c>
      <c r="J315" s="3">
        <v>36.79</v>
      </c>
      <c r="K315" s="3">
        <v>47.0</v>
      </c>
      <c r="L315" s="4"/>
      <c r="M315" s="3" t="s">
        <v>117</v>
      </c>
      <c r="N315" s="3">
        <v>37.1</v>
      </c>
      <c r="O315" s="3">
        <v>47.0</v>
      </c>
      <c r="P315" s="4"/>
      <c r="Q315" s="3" t="s">
        <v>117</v>
      </c>
      <c r="R315" s="3">
        <v>37.41</v>
      </c>
      <c r="S315" s="27">
        <v>47.0</v>
      </c>
      <c r="T315" s="4"/>
      <c r="U315" s="4"/>
      <c r="V315" s="4"/>
      <c r="W315" s="4"/>
      <c r="X315" s="4"/>
      <c r="Y315" s="4"/>
      <c r="Z315" s="4"/>
    </row>
    <row r="316" ht="12.75" customHeight="1">
      <c r="A316" s="3" t="s">
        <v>109</v>
      </c>
      <c r="B316" s="3">
        <v>38.52</v>
      </c>
      <c r="C316" s="3">
        <v>48.0</v>
      </c>
      <c r="D316" s="4"/>
      <c r="E316" s="3" t="s">
        <v>91</v>
      </c>
      <c r="F316" s="3">
        <v>37.37</v>
      </c>
      <c r="G316" s="3">
        <v>48.0</v>
      </c>
      <c r="H316" s="24"/>
      <c r="I316" s="3" t="s">
        <v>179</v>
      </c>
      <c r="J316" s="3">
        <v>36.58</v>
      </c>
      <c r="K316" s="3">
        <v>48.0</v>
      </c>
      <c r="L316" s="4"/>
      <c r="M316" s="3" t="s">
        <v>150</v>
      </c>
      <c r="N316" s="3">
        <v>36.91</v>
      </c>
      <c r="O316" s="3">
        <v>48.0</v>
      </c>
      <c r="P316" s="4"/>
      <c r="Q316" s="3" t="s">
        <v>112</v>
      </c>
      <c r="R316" s="3">
        <v>36.93</v>
      </c>
      <c r="S316" s="27">
        <v>48.0</v>
      </c>
      <c r="T316" s="4"/>
      <c r="U316" s="4"/>
      <c r="V316" s="4"/>
      <c r="W316" s="4"/>
      <c r="X316" s="4"/>
      <c r="Y316" s="4"/>
      <c r="Z316" s="4"/>
    </row>
    <row r="317" ht="12.75" customHeight="1">
      <c r="A317" s="3" t="s">
        <v>176</v>
      </c>
      <c r="B317" s="3">
        <v>38.24</v>
      </c>
      <c r="C317" s="3">
        <v>49.0</v>
      </c>
      <c r="D317" s="4"/>
      <c r="E317" s="3" t="s">
        <v>113</v>
      </c>
      <c r="F317" s="3">
        <v>37.09</v>
      </c>
      <c r="G317" s="3">
        <v>49.0</v>
      </c>
      <c r="H317" s="24"/>
      <c r="I317" s="3" t="s">
        <v>98</v>
      </c>
      <c r="J317" s="3">
        <v>36.47</v>
      </c>
      <c r="K317" s="3">
        <v>49.0</v>
      </c>
      <c r="L317" s="4"/>
      <c r="M317" s="3" t="s">
        <v>124</v>
      </c>
      <c r="N317" s="3">
        <v>36.65</v>
      </c>
      <c r="O317" s="3">
        <v>49.0</v>
      </c>
      <c r="P317" s="4"/>
      <c r="Q317" s="3" t="s">
        <v>94</v>
      </c>
      <c r="R317" s="3">
        <v>36.91</v>
      </c>
      <c r="S317" s="27">
        <v>49.0</v>
      </c>
      <c r="T317" s="4"/>
      <c r="U317" s="4"/>
      <c r="V317" s="4"/>
      <c r="W317" s="4"/>
      <c r="X317" s="4"/>
      <c r="Y317" s="4"/>
      <c r="Z317" s="4"/>
    </row>
    <row r="318" ht="12.75" customHeight="1">
      <c r="A318" s="3" t="s">
        <v>150</v>
      </c>
      <c r="B318" s="3">
        <v>37.84</v>
      </c>
      <c r="C318" s="3">
        <v>50.0</v>
      </c>
      <c r="D318" s="4"/>
      <c r="E318" s="3" t="s">
        <v>182</v>
      </c>
      <c r="F318" s="3">
        <v>37.05</v>
      </c>
      <c r="G318" s="3">
        <v>50.0</v>
      </c>
      <c r="H318" s="24"/>
      <c r="I318" s="3" t="s">
        <v>38</v>
      </c>
      <c r="J318" s="3">
        <v>36.18</v>
      </c>
      <c r="K318" s="3">
        <v>50.0</v>
      </c>
      <c r="L318" s="4"/>
      <c r="M318" s="3" t="s">
        <v>118</v>
      </c>
      <c r="N318" s="3">
        <v>36.54</v>
      </c>
      <c r="O318" s="3">
        <v>50.0</v>
      </c>
      <c r="P318" s="4"/>
      <c r="Q318" s="3" t="s">
        <v>98</v>
      </c>
      <c r="R318" s="3">
        <v>36.74</v>
      </c>
      <c r="S318" s="27">
        <v>50.0</v>
      </c>
      <c r="T318" s="4"/>
      <c r="U318" s="4"/>
      <c r="V318" s="4"/>
      <c r="W318" s="4"/>
      <c r="X318" s="4"/>
      <c r="Y318" s="4"/>
      <c r="Z318" s="4"/>
    </row>
    <row r="319" ht="12.75" customHeight="1">
      <c r="A319" s="3" t="s">
        <v>101</v>
      </c>
      <c r="B319" s="3">
        <v>37.55</v>
      </c>
      <c r="C319" s="3">
        <v>51.0</v>
      </c>
      <c r="D319" s="4"/>
      <c r="E319" s="3" t="s">
        <v>152</v>
      </c>
      <c r="F319" s="3">
        <v>36.69</v>
      </c>
      <c r="G319" s="3">
        <v>51.0</v>
      </c>
      <c r="H319" s="24"/>
      <c r="I319" s="3" t="s">
        <v>164</v>
      </c>
      <c r="J319" s="3">
        <v>36.15</v>
      </c>
      <c r="K319" s="3">
        <v>51.0</v>
      </c>
      <c r="L319" s="4"/>
      <c r="M319" s="3" t="s">
        <v>171</v>
      </c>
      <c r="N319" s="3">
        <v>36.53</v>
      </c>
      <c r="O319" s="3">
        <v>51.0</v>
      </c>
      <c r="P319" s="4"/>
      <c r="Q319" s="3" t="s">
        <v>158</v>
      </c>
      <c r="R319" s="3">
        <v>36.6</v>
      </c>
      <c r="S319" s="27">
        <v>51.0</v>
      </c>
      <c r="T319" s="4"/>
      <c r="U319" s="4"/>
      <c r="V319" s="4"/>
      <c r="W319" s="4"/>
      <c r="X319" s="4"/>
      <c r="Y319" s="4"/>
      <c r="Z319" s="4"/>
    </row>
    <row r="320" ht="12.75" customHeight="1">
      <c r="A320" s="3" t="s">
        <v>99</v>
      </c>
      <c r="B320" s="3">
        <v>36.98</v>
      </c>
      <c r="C320" s="3">
        <v>52.0</v>
      </c>
      <c r="D320" s="4"/>
      <c r="E320" s="3" t="s">
        <v>157</v>
      </c>
      <c r="F320" s="3">
        <v>36.56</v>
      </c>
      <c r="G320" s="3">
        <v>52.0</v>
      </c>
      <c r="H320" s="24"/>
      <c r="I320" s="3" t="s">
        <v>190</v>
      </c>
      <c r="J320" s="3">
        <v>36.13</v>
      </c>
      <c r="K320" s="3">
        <v>52.0</v>
      </c>
      <c r="L320" s="4"/>
      <c r="M320" s="3" t="s">
        <v>57</v>
      </c>
      <c r="N320" s="3">
        <v>36.51</v>
      </c>
      <c r="O320" s="3">
        <v>52.0</v>
      </c>
      <c r="P320" s="4"/>
      <c r="Q320" s="3" t="s">
        <v>126</v>
      </c>
      <c r="R320" s="3">
        <v>36.57</v>
      </c>
      <c r="S320" s="27">
        <v>52.0</v>
      </c>
      <c r="T320" s="4"/>
      <c r="U320" s="4"/>
      <c r="V320" s="4"/>
      <c r="W320" s="4"/>
      <c r="X320" s="4"/>
      <c r="Y320" s="4"/>
      <c r="Z320" s="4"/>
    </row>
    <row r="321" ht="12.75" customHeight="1">
      <c r="A321" s="3" t="s">
        <v>113</v>
      </c>
      <c r="B321" s="3">
        <v>36.94</v>
      </c>
      <c r="C321" s="3">
        <v>53.0</v>
      </c>
      <c r="D321" s="4"/>
      <c r="E321" s="3" t="s">
        <v>173</v>
      </c>
      <c r="F321" s="3">
        <v>36.55</v>
      </c>
      <c r="G321" s="3">
        <v>53.0</v>
      </c>
      <c r="H321" s="24"/>
      <c r="I321" s="3" t="s">
        <v>150</v>
      </c>
      <c r="J321" s="3">
        <v>36.11</v>
      </c>
      <c r="K321" s="3">
        <v>53.0</v>
      </c>
      <c r="L321" s="4"/>
      <c r="M321" s="3" t="s">
        <v>101</v>
      </c>
      <c r="N321" s="3">
        <v>36.5</v>
      </c>
      <c r="O321" s="3">
        <v>53.0</v>
      </c>
      <c r="P321" s="4"/>
      <c r="Q321" s="3" t="s">
        <v>101</v>
      </c>
      <c r="R321" s="3">
        <v>36.53</v>
      </c>
      <c r="S321" s="27">
        <v>53.0</v>
      </c>
      <c r="T321" s="4"/>
      <c r="U321" s="4"/>
      <c r="V321" s="4"/>
      <c r="W321" s="4"/>
      <c r="X321" s="4"/>
      <c r="Y321" s="4"/>
      <c r="Z321" s="4"/>
    </row>
    <row r="322" ht="12.75" customHeight="1">
      <c r="A322" s="3" t="s">
        <v>173</v>
      </c>
      <c r="B322" s="3">
        <v>36.86</v>
      </c>
      <c r="C322" s="3">
        <v>54.0</v>
      </c>
      <c r="D322" s="4"/>
      <c r="E322" s="3" t="s">
        <v>118</v>
      </c>
      <c r="F322" s="3">
        <v>36.27</v>
      </c>
      <c r="G322" s="3">
        <v>54.0</v>
      </c>
      <c r="H322" s="24"/>
      <c r="I322" s="3" t="s">
        <v>118</v>
      </c>
      <c r="J322" s="3">
        <v>36.08</v>
      </c>
      <c r="K322" s="3">
        <v>54.0</v>
      </c>
      <c r="L322" s="4"/>
      <c r="M322" s="3" t="s">
        <v>91</v>
      </c>
      <c r="N322" s="3">
        <v>36.35</v>
      </c>
      <c r="O322" s="3">
        <v>54.0</v>
      </c>
      <c r="P322" s="4"/>
      <c r="Q322" s="3" t="s">
        <v>82</v>
      </c>
      <c r="R322" s="3">
        <v>36.4</v>
      </c>
      <c r="S322" s="27">
        <v>54.0</v>
      </c>
      <c r="T322" s="4"/>
      <c r="U322" s="4"/>
      <c r="V322" s="4"/>
      <c r="W322" s="4"/>
      <c r="X322" s="4"/>
      <c r="Y322" s="4"/>
      <c r="Z322" s="4"/>
    </row>
    <row r="323" ht="12.75" customHeight="1">
      <c r="A323" s="3" t="s">
        <v>131</v>
      </c>
      <c r="B323" s="3">
        <v>36.62</v>
      </c>
      <c r="C323" s="3">
        <v>55.0</v>
      </c>
      <c r="D323" s="4"/>
      <c r="E323" s="3" t="s">
        <v>60</v>
      </c>
      <c r="F323" s="3">
        <v>35.97</v>
      </c>
      <c r="G323" s="3">
        <v>55.0</v>
      </c>
      <c r="H323" s="24"/>
      <c r="I323" s="3" t="s">
        <v>91</v>
      </c>
      <c r="J323" s="3">
        <v>35.97</v>
      </c>
      <c r="K323" s="3">
        <v>55.0</v>
      </c>
      <c r="L323" s="4"/>
      <c r="M323" s="3" t="s">
        <v>160</v>
      </c>
      <c r="N323" s="3">
        <v>36.22</v>
      </c>
      <c r="O323" s="3">
        <v>55.0</v>
      </c>
      <c r="P323" s="4"/>
      <c r="Q323" s="3" t="s">
        <v>164</v>
      </c>
      <c r="R323" s="3">
        <v>36.34</v>
      </c>
      <c r="S323" s="27">
        <v>55.0</v>
      </c>
      <c r="T323" s="4"/>
      <c r="U323" s="4"/>
      <c r="V323" s="4"/>
      <c r="W323" s="4"/>
      <c r="X323" s="4"/>
      <c r="Y323" s="4"/>
      <c r="Z323" s="4"/>
    </row>
    <row r="324" ht="12.75" customHeight="1">
      <c r="A324" s="3" t="s">
        <v>82</v>
      </c>
      <c r="B324" s="3">
        <v>36.57</v>
      </c>
      <c r="C324" s="3">
        <v>56.0</v>
      </c>
      <c r="D324" s="4"/>
      <c r="E324" s="3" t="s">
        <v>126</v>
      </c>
      <c r="F324" s="3">
        <v>35.95</v>
      </c>
      <c r="G324" s="3">
        <v>56.0</v>
      </c>
      <c r="H324" s="24"/>
      <c r="I324" s="3" t="s">
        <v>194</v>
      </c>
      <c r="J324" s="3">
        <v>35.47</v>
      </c>
      <c r="K324" s="3">
        <v>56.0</v>
      </c>
      <c r="L324" s="4"/>
      <c r="M324" s="3" t="s">
        <v>179</v>
      </c>
      <c r="N324" s="3">
        <v>36.18</v>
      </c>
      <c r="O324" s="3">
        <v>56.0</v>
      </c>
      <c r="P324" s="4"/>
      <c r="Q324" s="3" t="s">
        <v>171</v>
      </c>
      <c r="R324" s="3">
        <v>36.29</v>
      </c>
      <c r="S324" s="27">
        <v>56.0</v>
      </c>
      <c r="T324" s="4"/>
      <c r="U324" s="4"/>
      <c r="V324" s="4"/>
      <c r="W324" s="4"/>
      <c r="X324" s="4"/>
      <c r="Y324" s="4"/>
      <c r="Z324" s="4"/>
    </row>
    <row r="325" ht="12.75" customHeight="1">
      <c r="A325" s="3" t="s">
        <v>153</v>
      </c>
      <c r="B325" s="3">
        <v>36.51</v>
      </c>
      <c r="C325" s="3">
        <v>57.0</v>
      </c>
      <c r="D325" s="4"/>
      <c r="E325" s="3" t="s">
        <v>98</v>
      </c>
      <c r="F325" s="3">
        <v>35.64</v>
      </c>
      <c r="G325" s="3">
        <v>57.0</v>
      </c>
      <c r="H325" s="24"/>
      <c r="I325" s="3" t="s">
        <v>133</v>
      </c>
      <c r="J325" s="3">
        <v>35.46</v>
      </c>
      <c r="K325" s="3">
        <v>57.0</v>
      </c>
      <c r="L325" s="4"/>
      <c r="M325" s="3" t="s">
        <v>99</v>
      </c>
      <c r="N325" s="3">
        <v>36.04</v>
      </c>
      <c r="O325" s="3">
        <v>57.0</v>
      </c>
      <c r="P325" s="4"/>
      <c r="Q325" s="3" t="s">
        <v>89</v>
      </c>
      <c r="R325" s="3">
        <v>36.28</v>
      </c>
      <c r="S325" s="27">
        <v>57.0</v>
      </c>
      <c r="T325" s="4"/>
      <c r="U325" s="4"/>
      <c r="V325" s="4"/>
      <c r="W325" s="4"/>
      <c r="X325" s="4"/>
      <c r="Y325" s="4"/>
      <c r="Z325" s="4"/>
    </row>
    <row r="326" ht="12.75" customHeight="1">
      <c r="A326" s="3" t="s">
        <v>149</v>
      </c>
      <c r="B326" s="3">
        <v>36.41</v>
      </c>
      <c r="C326" s="3">
        <v>58.0</v>
      </c>
      <c r="D326" s="4"/>
      <c r="E326" s="3" t="s">
        <v>86</v>
      </c>
      <c r="F326" s="3">
        <v>35.5</v>
      </c>
      <c r="G326" s="3">
        <v>58.0</v>
      </c>
      <c r="H326" s="24"/>
      <c r="I326" s="3" t="s">
        <v>142</v>
      </c>
      <c r="J326" s="3">
        <v>35.19</v>
      </c>
      <c r="K326" s="3">
        <v>58.0</v>
      </c>
      <c r="L326" s="4"/>
      <c r="M326" s="3" t="s">
        <v>55</v>
      </c>
      <c r="N326" s="3">
        <v>36.03</v>
      </c>
      <c r="O326" s="3">
        <v>58.0</v>
      </c>
      <c r="P326" s="4"/>
      <c r="Q326" s="3" t="s">
        <v>179</v>
      </c>
      <c r="R326" s="3">
        <v>36.18</v>
      </c>
      <c r="S326" s="27">
        <v>58.0</v>
      </c>
      <c r="T326" s="4"/>
      <c r="U326" s="4"/>
      <c r="V326" s="4"/>
      <c r="W326" s="4"/>
      <c r="X326" s="4"/>
      <c r="Y326" s="4"/>
      <c r="Z326" s="4"/>
    </row>
    <row r="327" ht="12.75" customHeight="1">
      <c r="A327" s="3" t="s">
        <v>116</v>
      </c>
      <c r="B327" s="3">
        <v>36.18</v>
      </c>
      <c r="C327" s="3">
        <v>59.0</v>
      </c>
      <c r="D327" s="4"/>
      <c r="E327" s="3" t="s">
        <v>94</v>
      </c>
      <c r="F327" s="3">
        <v>35.41</v>
      </c>
      <c r="G327" s="3">
        <v>59.0</v>
      </c>
      <c r="H327" s="24"/>
      <c r="I327" s="3" t="s">
        <v>46</v>
      </c>
      <c r="J327" s="3">
        <v>35.18</v>
      </c>
      <c r="K327" s="3">
        <v>59.0</v>
      </c>
      <c r="L327" s="4"/>
      <c r="M327" s="3" t="s">
        <v>98</v>
      </c>
      <c r="N327" s="3">
        <v>35.91</v>
      </c>
      <c r="O327" s="3">
        <v>59.0</v>
      </c>
      <c r="P327" s="4"/>
      <c r="Q327" s="3" t="s">
        <v>88</v>
      </c>
      <c r="R327" s="3">
        <v>36.11</v>
      </c>
      <c r="S327" s="27">
        <v>59.0</v>
      </c>
      <c r="T327" s="4"/>
      <c r="U327" s="4"/>
      <c r="V327" s="4"/>
      <c r="W327" s="4"/>
      <c r="X327" s="4"/>
      <c r="Y327" s="4"/>
      <c r="Z327" s="4"/>
    </row>
    <row r="328" ht="12.75" customHeight="1">
      <c r="A328" s="3" t="s">
        <v>60</v>
      </c>
      <c r="B328" s="3">
        <v>35.73</v>
      </c>
      <c r="C328" s="3">
        <v>60.0</v>
      </c>
      <c r="D328" s="4"/>
      <c r="E328" s="3" t="s">
        <v>160</v>
      </c>
      <c r="F328" s="3">
        <v>35.41</v>
      </c>
      <c r="G328" s="3">
        <v>59.0</v>
      </c>
      <c r="H328" s="24"/>
      <c r="I328" s="3" t="s">
        <v>160</v>
      </c>
      <c r="J328" s="3">
        <v>35.16</v>
      </c>
      <c r="K328" s="3">
        <v>60.0</v>
      </c>
      <c r="L328" s="4"/>
      <c r="M328" s="3" t="s">
        <v>151</v>
      </c>
      <c r="N328" s="3">
        <v>35.85</v>
      </c>
      <c r="O328" s="3">
        <v>60.0</v>
      </c>
      <c r="P328" s="4"/>
      <c r="Q328" s="3" t="s">
        <v>53</v>
      </c>
      <c r="R328" s="3">
        <v>35.99</v>
      </c>
      <c r="S328" s="27">
        <v>60.0</v>
      </c>
      <c r="T328" s="4"/>
      <c r="U328" s="4"/>
      <c r="V328" s="4"/>
      <c r="W328" s="4"/>
      <c r="X328" s="4"/>
      <c r="Y328" s="4"/>
      <c r="Z328" s="4"/>
    </row>
    <row r="329" ht="12.75" customHeight="1">
      <c r="A329" s="3" t="s">
        <v>86</v>
      </c>
      <c r="B329" s="3">
        <v>35.36</v>
      </c>
      <c r="C329" s="3">
        <v>61.0</v>
      </c>
      <c r="D329" s="4"/>
      <c r="E329" s="3" t="s">
        <v>179</v>
      </c>
      <c r="F329" s="3">
        <v>35.18</v>
      </c>
      <c r="G329" s="3">
        <v>61.0</v>
      </c>
      <c r="H329" s="24"/>
      <c r="I329" s="3" t="s">
        <v>107</v>
      </c>
      <c r="J329" s="3">
        <v>35.08</v>
      </c>
      <c r="K329" s="3">
        <v>61.0</v>
      </c>
      <c r="L329" s="4"/>
      <c r="M329" s="3" t="s">
        <v>88</v>
      </c>
      <c r="N329" s="3">
        <v>35.61</v>
      </c>
      <c r="O329" s="3">
        <v>61.0</v>
      </c>
      <c r="P329" s="4"/>
      <c r="Q329" s="3" t="s">
        <v>99</v>
      </c>
      <c r="R329" s="3">
        <v>35.98</v>
      </c>
      <c r="S329" s="27">
        <v>61.0</v>
      </c>
      <c r="T329" s="4"/>
      <c r="U329" s="4"/>
      <c r="V329" s="4"/>
      <c r="W329" s="4"/>
      <c r="X329" s="4"/>
      <c r="Y329" s="4"/>
      <c r="Z329" s="4"/>
    </row>
    <row r="330" ht="12.75" customHeight="1">
      <c r="A330" s="3" t="s">
        <v>172</v>
      </c>
      <c r="B330" s="3">
        <v>35.31</v>
      </c>
      <c r="C330" s="3">
        <v>62.0</v>
      </c>
      <c r="D330" s="4"/>
      <c r="E330" s="3" t="s">
        <v>107</v>
      </c>
      <c r="F330" s="3">
        <v>35.14</v>
      </c>
      <c r="G330" s="3">
        <v>62.0</v>
      </c>
      <c r="H330" s="24"/>
      <c r="I330" s="3" t="s">
        <v>82</v>
      </c>
      <c r="J330" s="3">
        <v>34.89</v>
      </c>
      <c r="K330" s="3">
        <v>62.0</v>
      </c>
      <c r="L330" s="4"/>
      <c r="M330" s="3" t="s">
        <v>142</v>
      </c>
      <c r="N330" s="3">
        <v>35.44</v>
      </c>
      <c r="O330" s="3">
        <v>62.0</v>
      </c>
      <c r="P330" s="4"/>
      <c r="Q330" s="3" t="s">
        <v>160</v>
      </c>
      <c r="R330" s="3">
        <v>35.7</v>
      </c>
      <c r="S330" s="27">
        <v>62.0</v>
      </c>
      <c r="T330" s="4"/>
      <c r="U330" s="4"/>
      <c r="V330" s="4"/>
      <c r="W330" s="4"/>
      <c r="X330" s="4"/>
      <c r="Y330" s="4"/>
      <c r="Z330" s="4"/>
    </row>
    <row r="331" ht="12.75" customHeight="1">
      <c r="A331" s="3" t="s">
        <v>179</v>
      </c>
      <c r="B331" s="3">
        <v>35.23</v>
      </c>
      <c r="C331" s="3">
        <v>63.0</v>
      </c>
      <c r="D331" s="4"/>
      <c r="E331" s="3" t="s">
        <v>194</v>
      </c>
      <c r="F331" s="3">
        <v>35.11</v>
      </c>
      <c r="G331" s="3">
        <v>63.0</v>
      </c>
      <c r="H331" s="24"/>
      <c r="I331" s="3" t="s">
        <v>191</v>
      </c>
      <c r="J331" s="3">
        <v>34.79</v>
      </c>
      <c r="K331" s="3">
        <v>63.0</v>
      </c>
      <c r="L331" s="4"/>
      <c r="M331" s="3" t="s">
        <v>157</v>
      </c>
      <c r="N331" s="3">
        <v>35.39</v>
      </c>
      <c r="O331" s="3">
        <v>63.0</v>
      </c>
      <c r="P331" s="4"/>
      <c r="Q331" s="3" t="s">
        <v>142</v>
      </c>
      <c r="R331" s="3">
        <v>35.26</v>
      </c>
      <c r="S331" s="27">
        <v>63.0</v>
      </c>
      <c r="T331" s="4"/>
      <c r="U331" s="4"/>
      <c r="V331" s="4"/>
      <c r="W331" s="4"/>
      <c r="X331" s="4"/>
      <c r="Y331" s="4"/>
      <c r="Z331" s="4"/>
    </row>
    <row r="332" ht="12.75" customHeight="1">
      <c r="A332" s="3" t="s">
        <v>194</v>
      </c>
      <c r="B332" s="3">
        <v>35.12</v>
      </c>
      <c r="C332" s="3">
        <v>64.0</v>
      </c>
      <c r="D332" s="4"/>
      <c r="E332" s="3" t="s">
        <v>133</v>
      </c>
      <c r="F332" s="3">
        <v>34.99</v>
      </c>
      <c r="G332" s="3">
        <v>64.0</v>
      </c>
      <c r="H332" s="24"/>
      <c r="I332" s="3" t="s">
        <v>166</v>
      </c>
      <c r="J332" s="3">
        <v>34.71</v>
      </c>
      <c r="K332" s="3">
        <v>64.0</v>
      </c>
      <c r="L332" s="4"/>
      <c r="M332" s="3" t="s">
        <v>94</v>
      </c>
      <c r="N332" s="3">
        <v>35.31</v>
      </c>
      <c r="O332" s="3">
        <v>64.0</v>
      </c>
      <c r="P332" s="4"/>
      <c r="Q332" s="3" t="s">
        <v>103</v>
      </c>
      <c r="R332" s="3">
        <v>35.11</v>
      </c>
      <c r="S332" s="27">
        <v>64.0</v>
      </c>
      <c r="T332" s="4"/>
      <c r="U332" s="4"/>
      <c r="V332" s="4"/>
      <c r="W332" s="4"/>
      <c r="X332" s="4"/>
      <c r="Y332" s="4"/>
      <c r="Z332" s="4"/>
    </row>
    <row r="333" ht="12.75" customHeight="1">
      <c r="A333" s="3" t="s">
        <v>142</v>
      </c>
      <c r="B333" s="3">
        <v>35.1</v>
      </c>
      <c r="C333" s="3">
        <v>65.0</v>
      </c>
      <c r="D333" s="4"/>
      <c r="E333" s="3" t="s">
        <v>82</v>
      </c>
      <c r="F333" s="3">
        <v>34.48</v>
      </c>
      <c r="G333" s="3">
        <v>65.0</v>
      </c>
      <c r="H333" s="4"/>
      <c r="I333" s="3" t="s">
        <v>175</v>
      </c>
      <c r="J333" s="3">
        <v>34.65</v>
      </c>
      <c r="K333" s="3">
        <v>65.0</v>
      </c>
      <c r="L333" s="4"/>
      <c r="M333" s="3" t="s">
        <v>126</v>
      </c>
      <c r="N333" s="3">
        <v>35.3</v>
      </c>
      <c r="O333" s="3">
        <v>65.0</v>
      </c>
      <c r="P333" s="4"/>
      <c r="Q333" s="3" t="s">
        <v>127</v>
      </c>
      <c r="R333" s="3">
        <v>34.96</v>
      </c>
      <c r="S333" s="27">
        <v>65.0</v>
      </c>
      <c r="T333" s="4"/>
      <c r="U333" s="4"/>
      <c r="V333" s="4"/>
      <c r="W333" s="4"/>
      <c r="X333" s="4"/>
      <c r="Y333" s="4"/>
      <c r="Z333" s="4"/>
    </row>
    <row r="334" ht="12.75" customHeight="1">
      <c r="A334" s="3" t="s">
        <v>103</v>
      </c>
      <c r="B334" s="3">
        <v>35.06</v>
      </c>
      <c r="C334" s="3">
        <v>66.0</v>
      </c>
      <c r="D334" s="4"/>
      <c r="E334" s="3" t="s">
        <v>142</v>
      </c>
      <c r="F334" s="3">
        <v>34.4</v>
      </c>
      <c r="G334" s="3">
        <v>66.0</v>
      </c>
      <c r="H334" s="4"/>
      <c r="I334" s="3" t="s">
        <v>94</v>
      </c>
      <c r="J334" s="3">
        <v>34.4</v>
      </c>
      <c r="K334" s="3">
        <v>66.0</v>
      </c>
      <c r="L334" s="4"/>
      <c r="M334" s="3" t="s">
        <v>196</v>
      </c>
      <c r="N334" s="3">
        <v>35.29</v>
      </c>
      <c r="O334" s="3">
        <v>66.0</v>
      </c>
      <c r="P334" s="4"/>
      <c r="Q334" s="3" t="s">
        <v>118</v>
      </c>
      <c r="R334" s="3">
        <v>34.95</v>
      </c>
      <c r="S334" s="27">
        <v>66.0</v>
      </c>
      <c r="T334" s="4"/>
      <c r="U334" s="4"/>
      <c r="V334" s="4"/>
      <c r="W334" s="4"/>
      <c r="X334" s="4"/>
      <c r="Y334" s="4"/>
      <c r="Z334" s="4"/>
    </row>
    <row r="335" ht="12.75" customHeight="1">
      <c r="A335" s="3" t="s">
        <v>133</v>
      </c>
      <c r="B335" s="3">
        <v>34.74</v>
      </c>
      <c r="C335" s="3">
        <v>67.0</v>
      </c>
      <c r="D335" s="4"/>
      <c r="E335" s="3" t="s">
        <v>134</v>
      </c>
      <c r="F335" s="3">
        <v>34.29</v>
      </c>
      <c r="G335" s="3">
        <v>67.0</v>
      </c>
      <c r="H335" s="4"/>
      <c r="I335" s="3" t="s">
        <v>196</v>
      </c>
      <c r="J335" s="3">
        <v>34.02</v>
      </c>
      <c r="K335" s="3">
        <v>67.0</v>
      </c>
      <c r="L335" s="4"/>
      <c r="M335" s="3" t="s">
        <v>173</v>
      </c>
      <c r="N335" s="3">
        <v>35.27</v>
      </c>
      <c r="O335" s="3">
        <v>67.0</v>
      </c>
      <c r="P335" s="4"/>
      <c r="Q335" s="3" t="s">
        <v>65</v>
      </c>
      <c r="R335" s="3">
        <v>34.75</v>
      </c>
      <c r="S335" s="27">
        <v>67.0</v>
      </c>
      <c r="T335" s="4"/>
      <c r="U335" s="4"/>
      <c r="V335" s="4"/>
      <c r="W335" s="4"/>
      <c r="X335" s="4"/>
      <c r="Y335" s="4"/>
      <c r="Z335" s="4"/>
    </row>
    <row r="336" ht="12.75" customHeight="1">
      <c r="A336" s="3" t="s">
        <v>126</v>
      </c>
      <c r="B336" s="3">
        <v>34.66</v>
      </c>
      <c r="C336" s="3">
        <v>68.0</v>
      </c>
      <c r="D336" s="4"/>
      <c r="E336" s="3" t="s">
        <v>89</v>
      </c>
      <c r="F336" s="3">
        <v>34.01</v>
      </c>
      <c r="G336" s="3">
        <v>68.0</v>
      </c>
      <c r="H336" s="4"/>
      <c r="I336" s="3" t="s">
        <v>136</v>
      </c>
      <c r="J336" s="3">
        <v>34.01</v>
      </c>
      <c r="K336" s="3">
        <v>68.0</v>
      </c>
      <c r="L336" s="4"/>
      <c r="M336" s="3" t="s">
        <v>103</v>
      </c>
      <c r="N336" s="3">
        <v>35.09</v>
      </c>
      <c r="O336" s="3">
        <v>68.0</v>
      </c>
      <c r="P336" s="4"/>
      <c r="Q336" s="3" t="s">
        <v>60</v>
      </c>
      <c r="R336" s="3">
        <v>34.74</v>
      </c>
      <c r="S336" s="27">
        <v>68.0</v>
      </c>
      <c r="T336" s="4"/>
      <c r="U336" s="4"/>
      <c r="V336" s="4"/>
      <c r="W336" s="4"/>
      <c r="X336" s="4"/>
      <c r="Y336" s="4"/>
      <c r="Z336" s="4"/>
    </row>
    <row r="337" ht="12.75" customHeight="1">
      <c r="A337" s="3" t="s">
        <v>91</v>
      </c>
      <c r="B337" s="3">
        <v>34.23</v>
      </c>
      <c r="C337" s="3">
        <v>69.0</v>
      </c>
      <c r="D337" s="4"/>
      <c r="E337" s="3" t="s">
        <v>99</v>
      </c>
      <c r="F337" s="3">
        <v>33.92</v>
      </c>
      <c r="G337" s="3">
        <v>69.0</v>
      </c>
      <c r="H337" s="4"/>
      <c r="I337" s="3" t="s">
        <v>88</v>
      </c>
      <c r="J337" s="3">
        <v>34.01</v>
      </c>
      <c r="K337" s="3">
        <v>68.0</v>
      </c>
      <c r="L337" s="4"/>
      <c r="M337" s="3" t="s">
        <v>153</v>
      </c>
      <c r="N337" s="3">
        <v>35.06</v>
      </c>
      <c r="O337" s="3">
        <v>69.0</v>
      </c>
      <c r="P337" s="4"/>
      <c r="Q337" s="3" t="s">
        <v>136</v>
      </c>
      <c r="R337" s="3">
        <v>34.62</v>
      </c>
      <c r="S337" s="27">
        <v>69.0</v>
      </c>
      <c r="T337" s="4"/>
      <c r="U337" s="4"/>
      <c r="V337" s="4"/>
      <c r="W337" s="4"/>
      <c r="X337" s="4"/>
      <c r="Y337" s="4"/>
      <c r="Z337" s="4"/>
    </row>
    <row r="338" ht="12.75" customHeight="1">
      <c r="A338" s="3" t="s">
        <v>168</v>
      </c>
      <c r="B338" s="3">
        <v>34.05</v>
      </c>
      <c r="C338" s="3">
        <v>70.0</v>
      </c>
      <c r="D338" s="4"/>
      <c r="E338" s="3" t="s">
        <v>196</v>
      </c>
      <c r="F338" s="3">
        <v>33.88</v>
      </c>
      <c r="G338" s="3">
        <v>70.0</v>
      </c>
      <c r="H338" s="4"/>
      <c r="I338" s="3" t="s">
        <v>126</v>
      </c>
      <c r="J338" s="3">
        <v>33.98</v>
      </c>
      <c r="K338" s="3">
        <v>70.0</v>
      </c>
      <c r="L338" s="4"/>
      <c r="M338" s="3" t="s">
        <v>82</v>
      </c>
      <c r="N338" s="3">
        <v>35.04</v>
      </c>
      <c r="O338" s="3">
        <v>70.0</v>
      </c>
      <c r="P338" s="4"/>
      <c r="Q338" s="3" t="s">
        <v>151</v>
      </c>
      <c r="R338" s="3">
        <v>34.53</v>
      </c>
      <c r="S338" s="27">
        <v>70.0</v>
      </c>
      <c r="T338" s="4"/>
      <c r="U338" s="4"/>
      <c r="V338" s="4"/>
      <c r="W338" s="4"/>
      <c r="X338" s="4"/>
      <c r="Y338" s="4"/>
      <c r="Z338" s="4"/>
    </row>
    <row r="339" ht="12.75" customHeight="1">
      <c r="A339" s="3" t="s">
        <v>107</v>
      </c>
      <c r="B339" s="3">
        <v>33.92</v>
      </c>
      <c r="C339" s="3">
        <v>71.0</v>
      </c>
      <c r="D339" s="4"/>
      <c r="E339" s="3" t="s">
        <v>88</v>
      </c>
      <c r="F339" s="3">
        <v>33.87</v>
      </c>
      <c r="G339" s="3">
        <v>71.0</v>
      </c>
      <c r="H339" s="4"/>
      <c r="I339" s="3" t="s">
        <v>53</v>
      </c>
      <c r="J339" s="3">
        <v>33.97</v>
      </c>
      <c r="K339" s="3">
        <v>71.0</v>
      </c>
      <c r="L339" s="4"/>
      <c r="M339" s="3" t="s">
        <v>89</v>
      </c>
      <c r="N339" s="3">
        <v>34.94</v>
      </c>
      <c r="O339" s="3">
        <v>71.0</v>
      </c>
      <c r="P339" s="4"/>
      <c r="Q339" s="3" t="s">
        <v>157</v>
      </c>
      <c r="R339" s="3">
        <v>34.51</v>
      </c>
      <c r="S339" s="27">
        <v>71.0</v>
      </c>
      <c r="T339" s="4"/>
      <c r="U339" s="4"/>
      <c r="V339" s="4"/>
      <c r="W339" s="4"/>
      <c r="X339" s="4"/>
      <c r="Y339" s="4"/>
      <c r="Z339" s="4"/>
    </row>
    <row r="340" ht="12.75" customHeight="1">
      <c r="A340" s="3" t="s">
        <v>115</v>
      </c>
      <c r="B340" s="3">
        <v>33.92</v>
      </c>
      <c r="C340" s="3">
        <v>71.0</v>
      </c>
      <c r="D340" s="4"/>
      <c r="E340" s="3" t="s">
        <v>53</v>
      </c>
      <c r="F340" s="3">
        <v>33.85</v>
      </c>
      <c r="G340" s="3">
        <v>72.0</v>
      </c>
      <c r="H340" s="4"/>
      <c r="I340" s="3" t="s">
        <v>156</v>
      </c>
      <c r="J340" s="3">
        <v>33.74</v>
      </c>
      <c r="K340" s="3">
        <v>72.0</v>
      </c>
      <c r="L340" s="4"/>
      <c r="M340" s="3" t="s">
        <v>133</v>
      </c>
      <c r="N340" s="3">
        <v>34.85</v>
      </c>
      <c r="O340" s="3">
        <v>72.0</v>
      </c>
      <c r="P340" s="4"/>
      <c r="Q340" s="3" t="s">
        <v>191</v>
      </c>
      <c r="R340" s="3">
        <v>34.49</v>
      </c>
      <c r="S340" s="27">
        <v>72.0</v>
      </c>
      <c r="T340" s="4"/>
      <c r="U340" s="4"/>
      <c r="V340" s="4"/>
      <c r="W340" s="4"/>
      <c r="X340" s="4"/>
      <c r="Y340" s="4"/>
      <c r="Z340" s="4"/>
    </row>
    <row r="341" ht="12.75" customHeight="1">
      <c r="A341" s="3" t="s">
        <v>196</v>
      </c>
      <c r="B341" s="3">
        <v>33.86</v>
      </c>
      <c r="C341" s="3">
        <v>73.0</v>
      </c>
      <c r="D341" s="4"/>
      <c r="E341" s="3" t="s">
        <v>131</v>
      </c>
      <c r="F341" s="3">
        <v>33.82</v>
      </c>
      <c r="G341" s="3">
        <v>73.0</v>
      </c>
      <c r="H341" s="4"/>
      <c r="I341" s="3" t="s">
        <v>173</v>
      </c>
      <c r="J341" s="3">
        <v>33.59</v>
      </c>
      <c r="K341" s="3">
        <v>73.0</v>
      </c>
      <c r="L341" s="4"/>
      <c r="M341" s="3" t="s">
        <v>127</v>
      </c>
      <c r="N341" s="3">
        <v>34.76</v>
      </c>
      <c r="O341" s="3">
        <v>73.0</v>
      </c>
      <c r="P341" s="4"/>
      <c r="Q341" s="3" t="s">
        <v>133</v>
      </c>
      <c r="R341" s="3">
        <v>34.43</v>
      </c>
      <c r="S341" s="27">
        <v>73.0</v>
      </c>
      <c r="T341" s="4"/>
      <c r="U341" s="4"/>
      <c r="V341" s="4"/>
      <c r="W341" s="4"/>
      <c r="X341" s="4"/>
      <c r="Y341" s="4"/>
      <c r="Z341" s="4"/>
    </row>
    <row r="342" ht="12.75" customHeight="1">
      <c r="A342" s="3" t="s">
        <v>134</v>
      </c>
      <c r="B342" s="3">
        <v>33.56</v>
      </c>
      <c r="C342" s="3">
        <v>74.0</v>
      </c>
      <c r="D342" s="4"/>
      <c r="E342" s="3" t="s">
        <v>127</v>
      </c>
      <c r="F342" s="3">
        <v>33.49</v>
      </c>
      <c r="G342" s="3">
        <v>74.0</v>
      </c>
      <c r="H342" s="4"/>
      <c r="I342" s="3" t="s">
        <v>148</v>
      </c>
      <c r="J342" s="3">
        <v>33.57</v>
      </c>
      <c r="K342" s="3">
        <v>74.0</v>
      </c>
      <c r="L342" s="4"/>
      <c r="M342" s="3" t="s">
        <v>172</v>
      </c>
      <c r="N342" s="3">
        <v>34.73</v>
      </c>
      <c r="O342" s="3">
        <v>74.0</v>
      </c>
      <c r="P342" s="4"/>
      <c r="Q342" s="3" t="s">
        <v>169</v>
      </c>
      <c r="R342" s="3">
        <v>34.39</v>
      </c>
      <c r="S342" s="27">
        <v>74.0</v>
      </c>
      <c r="T342" s="4"/>
      <c r="U342" s="4"/>
      <c r="V342" s="4"/>
      <c r="W342" s="4"/>
      <c r="X342" s="4"/>
      <c r="Y342" s="4"/>
      <c r="Z342" s="4"/>
    </row>
    <row r="343" ht="12.75" customHeight="1">
      <c r="A343" s="3" t="s">
        <v>127</v>
      </c>
      <c r="B343" s="3">
        <v>33.47</v>
      </c>
      <c r="C343" s="3">
        <v>75.0</v>
      </c>
      <c r="D343" s="4"/>
      <c r="E343" s="3" t="s">
        <v>137</v>
      </c>
      <c r="F343" s="3">
        <v>33.33</v>
      </c>
      <c r="G343" s="3">
        <v>75.0</v>
      </c>
      <c r="H343" s="4"/>
      <c r="I343" s="3" t="s">
        <v>137</v>
      </c>
      <c r="J343" s="3">
        <v>33.3</v>
      </c>
      <c r="K343" s="3">
        <v>75.0</v>
      </c>
      <c r="L343" s="4"/>
      <c r="M343" s="3" t="s">
        <v>136</v>
      </c>
      <c r="N343" s="3">
        <v>34.66</v>
      </c>
      <c r="O343" s="3">
        <v>75.0</v>
      </c>
      <c r="P343" s="4"/>
      <c r="Q343" s="3" t="s">
        <v>86</v>
      </c>
      <c r="R343" s="3">
        <v>34.31</v>
      </c>
      <c r="S343" s="27">
        <v>75.0</v>
      </c>
      <c r="T343" s="4"/>
      <c r="U343" s="4"/>
      <c r="V343" s="4"/>
      <c r="W343" s="4"/>
      <c r="X343" s="4"/>
      <c r="Y343" s="4"/>
      <c r="Z343" s="4"/>
    </row>
    <row r="344" ht="12.75" customHeight="1">
      <c r="A344" s="3" t="s">
        <v>94</v>
      </c>
      <c r="B344" s="3">
        <v>33.35</v>
      </c>
      <c r="C344" s="3">
        <v>76.0</v>
      </c>
      <c r="D344" s="4"/>
      <c r="E344" s="3" t="s">
        <v>136</v>
      </c>
      <c r="F344" s="3">
        <v>32.88</v>
      </c>
      <c r="G344" s="3">
        <v>76.0</v>
      </c>
      <c r="H344" s="4"/>
      <c r="I344" s="3" t="s">
        <v>99</v>
      </c>
      <c r="J344" s="3">
        <v>33.08</v>
      </c>
      <c r="K344" s="3">
        <v>76.0</v>
      </c>
      <c r="L344" s="4"/>
      <c r="M344" s="3" t="s">
        <v>110</v>
      </c>
      <c r="N344" s="3">
        <v>34.5</v>
      </c>
      <c r="O344" s="3">
        <v>76.0</v>
      </c>
      <c r="P344" s="4"/>
      <c r="Q344" s="3" t="s">
        <v>173</v>
      </c>
      <c r="R344" s="3">
        <v>34.24</v>
      </c>
      <c r="S344" s="27">
        <v>76.0</v>
      </c>
      <c r="T344" s="4"/>
      <c r="U344" s="4"/>
      <c r="V344" s="4"/>
      <c r="W344" s="4"/>
      <c r="X344" s="4"/>
      <c r="Y344" s="4"/>
      <c r="Z344" s="4"/>
    </row>
    <row r="345" ht="12.75" customHeight="1">
      <c r="A345" s="3" t="s">
        <v>143</v>
      </c>
      <c r="B345" s="3">
        <v>33.32</v>
      </c>
      <c r="C345" s="3">
        <v>77.0</v>
      </c>
      <c r="D345" s="4"/>
      <c r="E345" s="3" t="s">
        <v>116</v>
      </c>
      <c r="F345" s="3">
        <v>32.86</v>
      </c>
      <c r="G345" s="3">
        <v>77.0</v>
      </c>
      <c r="H345" s="4"/>
      <c r="I345" s="3" t="s">
        <v>127</v>
      </c>
      <c r="J345" s="3">
        <v>33.08</v>
      </c>
      <c r="K345" s="3">
        <v>76.0</v>
      </c>
      <c r="L345" s="4"/>
      <c r="M345" s="3" t="s">
        <v>191</v>
      </c>
      <c r="N345" s="3">
        <v>34.27</v>
      </c>
      <c r="O345" s="3">
        <v>77.0</v>
      </c>
      <c r="P345" s="4"/>
      <c r="Q345" s="3" t="s">
        <v>166</v>
      </c>
      <c r="R345" s="3">
        <v>34.21</v>
      </c>
      <c r="S345" s="27">
        <v>77.0</v>
      </c>
      <c r="T345" s="4"/>
      <c r="U345" s="4"/>
      <c r="V345" s="4"/>
      <c r="W345" s="4"/>
      <c r="X345" s="4"/>
      <c r="Y345" s="4"/>
      <c r="Z345" s="4"/>
    </row>
    <row r="346" ht="12.75" customHeight="1">
      <c r="A346" s="3" t="s">
        <v>175</v>
      </c>
      <c r="B346" s="3">
        <v>32.97</v>
      </c>
      <c r="C346" s="3">
        <v>78.0</v>
      </c>
      <c r="D346" s="4"/>
      <c r="E346" s="3" t="s">
        <v>175</v>
      </c>
      <c r="F346" s="3">
        <v>32.81</v>
      </c>
      <c r="G346" s="3">
        <v>78.0</v>
      </c>
      <c r="H346" s="4"/>
      <c r="I346" s="3" t="s">
        <v>57</v>
      </c>
      <c r="J346" s="3">
        <v>33.04</v>
      </c>
      <c r="K346" s="3">
        <v>78.0</v>
      </c>
      <c r="L346" s="4"/>
      <c r="M346" s="3" t="s">
        <v>86</v>
      </c>
      <c r="N346" s="3">
        <v>34.25</v>
      </c>
      <c r="O346" s="3">
        <v>78.0</v>
      </c>
      <c r="P346" s="4"/>
      <c r="Q346" s="3" t="s">
        <v>148</v>
      </c>
      <c r="R346" s="3">
        <v>34.08</v>
      </c>
      <c r="S346" s="27">
        <v>78.0</v>
      </c>
      <c r="T346" s="4"/>
      <c r="U346" s="4"/>
      <c r="V346" s="4"/>
      <c r="W346" s="4"/>
      <c r="X346" s="4"/>
      <c r="Y346" s="4"/>
      <c r="Z346" s="4"/>
    </row>
    <row r="347" ht="12.75" customHeight="1">
      <c r="A347" s="3" t="s">
        <v>88</v>
      </c>
      <c r="B347" s="3">
        <v>32.82</v>
      </c>
      <c r="C347" s="3">
        <v>79.0</v>
      </c>
      <c r="D347" s="4"/>
      <c r="E347" s="3" t="s">
        <v>156</v>
      </c>
      <c r="F347" s="3">
        <v>32.52</v>
      </c>
      <c r="G347" s="3">
        <v>79.0</v>
      </c>
      <c r="H347" s="4"/>
      <c r="I347" s="3" t="s">
        <v>152</v>
      </c>
      <c r="J347" s="3">
        <v>32.85</v>
      </c>
      <c r="K347" s="3">
        <v>79.0</v>
      </c>
      <c r="L347" s="4"/>
      <c r="M347" s="3" t="s">
        <v>148</v>
      </c>
      <c r="N347" s="3">
        <v>34.18</v>
      </c>
      <c r="O347" s="3">
        <v>79.0</v>
      </c>
      <c r="P347" s="4"/>
      <c r="Q347" s="3" t="s">
        <v>105</v>
      </c>
      <c r="R347" s="3">
        <v>33.98</v>
      </c>
      <c r="S347" s="27">
        <v>79.0</v>
      </c>
      <c r="T347" s="4"/>
      <c r="U347" s="4"/>
      <c r="V347" s="4"/>
      <c r="W347" s="4"/>
      <c r="X347" s="4"/>
      <c r="Y347" s="4"/>
      <c r="Z347" s="4"/>
    </row>
    <row r="348" ht="12.75" customHeight="1">
      <c r="A348" s="3" t="s">
        <v>161</v>
      </c>
      <c r="B348" s="3">
        <v>32.68</v>
      </c>
      <c r="C348" s="3">
        <v>80.0</v>
      </c>
      <c r="D348" s="4"/>
      <c r="E348" s="3" t="s">
        <v>103</v>
      </c>
      <c r="F348" s="3">
        <v>32.47</v>
      </c>
      <c r="G348" s="3">
        <v>80.0</v>
      </c>
      <c r="H348" s="4"/>
      <c r="I348" s="3" t="s">
        <v>103</v>
      </c>
      <c r="J348" s="3">
        <v>32.72</v>
      </c>
      <c r="K348" s="3">
        <v>80.0</v>
      </c>
      <c r="L348" s="4"/>
      <c r="M348" s="3" t="s">
        <v>194</v>
      </c>
      <c r="N348" s="3">
        <v>34.07</v>
      </c>
      <c r="O348" s="3">
        <v>80.0</v>
      </c>
      <c r="P348" s="4"/>
      <c r="Q348" s="3" t="s">
        <v>196</v>
      </c>
      <c r="R348" s="3">
        <v>33.95</v>
      </c>
      <c r="S348" s="27">
        <v>80.0</v>
      </c>
      <c r="T348" s="4"/>
      <c r="U348" s="4"/>
      <c r="V348" s="4"/>
      <c r="W348" s="4"/>
      <c r="X348" s="4"/>
      <c r="Y348" s="4"/>
      <c r="Z348" s="4"/>
    </row>
    <row r="349" ht="12.75" customHeight="1">
      <c r="A349" s="3" t="s">
        <v>185</v>
      </c>
      <c r="B349" s="3">
        <v>32.51</v>
      </c>
      <c r="C349" s="3">
        <v>81.0</v>
      </c>
      <c r="D349" s="4"/>
      <c r="E349" s="3" t="s">
        <v>110</v>
      </c>
      <c r="F349" s="3">
        <v>32.36</v>
      </c>
      <c r="G349" s="3">
        <v>81.0</v>
      </c>
      <c r="H349" s="4"/>
      <c r="I349" s="3" t="s">
        <v>110</v>
      </c>
      <c r="J349" s="3">
        <v>32.63</v>
      </c>
      <c r="K349" s="3">
        <v>81.0</v>
      </c>
      <c r="L349" s="4"/>
      <c r="M349" s="3" t="s">
        <v>169</v>
      </c>
      <c r="N349" s="3">
        <v>34.07</v>
      </c>
      <c r="O349" s="3">
        <v>80.0</v>
      </c>
      <c r="P349" s="4"/>
      <c r="Q349" s="3" t="s">
        <v>144</v>
      </c>
      <c r="R349" s="3">
        <v>33.87</v>
      </c>
      <c r="S349" s="27">
        <v>81.0</v>
      </c>
      <c r="T349" s="4"/>
      <c r="U349" s="4"/>
      <c r="V349" s="4"/>
      <c r="W349" s="4"/>
      <c r="X349" s="4"/>
      <c r="Y349" s="4"/>
      <c r="Z349" s="4"/>
    </row>
    <row r="350" ht="12.75" customHeight="1">
      <c r="A350" s="3" t="s">
        <v>110</v>
      </c>
      <c r="B350" s="3">
        <v>32.37</v>
      </c>
      <c r="C350" s="3">
        <v>82.0</v>
      </c>
      <c r="D350" s="4"/>
      <c r="E350" s="3" t="s">
        <v>87</v>
      </c>
      <c r="F350" s="3">
        <v>32.08</v>
      </c>
      <c r="G350" s="3">
        <v>82.0</v>
      </c>
      <c r="H350" s="4"/>
      <c r="I350" s="3" t="s">
        <v>96</v>
      </c>
      <c r="J350" s="3">
        <v>32.57</v>
      </c>
      <c r="K350" s="3">
        <v>82.0</v>
      </c>
      <c r="L350" s="4"/>
      <c r="M350" s="3" t="s">
        <v>53</v>
      </c>
      <c r="N350" s="3">
        <v>34.02</v>
      </c>
      <c r="O350" s="3">
        <v>82.0</v>
      </c>
      <c r="P350" s="4"/>
      <c r="Q350" s="3" t="s">
        <v>150</v>
      </c>
      <c r="R350" s="3">
        <v>33.78</v>
      </c>
      <c r="S350" s="27">
        <v>82.0</v>
      </c>
      <c r="T350" s="4"/>
      <c r="U350" s="4"/>
      <c r="V350" s="4"/>
      <c r="W350" s="4"/>
      <c r="X350" s="4"/>
      <c r="Y350" s="4"/>
      <c r="Z350" s="4"/>
    </row>
    <row r="351" ht="12.75" customHeight="1">
      <c r="A351" s="3" t="s">
        <v>156</v>
      </c>
      <c r="B351" s="3">
        <v>32.36</v>
      </c>
      <c r="C351" s="3">
        <v>83.0</v>
      </c>
      <c r="D351" s="4"/>
      <c r="E351" s="3" t="s">
        <v>168</v>
      </c>
      <c r="F351" s="3">
        <v>31.98</v>
      </c>
      <c r="G351" s="3">
        <v>83.0</v>
      </c>
      <c r="H351" s="4"/>
      <c r="I351" s="3" t="s">
        <v>143</v>
      </c>
      <c r="J351" s="3">
        <v>32.37</v>
      </c>
      <c r="K351" s="3">
        <v>83.0</v>
      </c>
      <c r="L351" s="4"/>
      <c r="M351" s="3" t="s">
        <v>105</v>
      </c>
      <c r="N351" s="3">
        <v>33.99</v>
      </c>
      <c r="O351" s="3">
        <v>83.0</v>
      </c>
      <c r="P351" s="4"/>
      <c r="Q351" s="3" t="s">
        <v>124</v>
      </c>
      <c r="R351" s="3">
        <v>33.73</v>
      </c>
      <c r="S351" s="27">
        <v>83.0</v>
      </c>
      <c r="T351" s="4"/>
      <c r="U351" s="4"/>
      <c r="V351" s="4"/>
      <c r="W351" s="4"/>
      <c r="X351" s="4"/>
      <c r="Y351" s="4"/>
      <c r="Z351" s="4"/>
    </row>
    <row r="352" ht="12.75" customHeight="1">
      <c r="A352" s="3" t="s">
        <v>178</v>
      </c>
      <c r="B352" s="3">
        <v>32.31</v>
      </c>
      <c r="C352" s="3">
        <v>84.0</v>
      </c>
      <c r="D352" s="4"/>
      <c r="E352" s="3" t="s">
        <v>166</v>
      </c>
      <c r="F352" s="3">
        <v>31.79</v>
      </c>
      <c r="G352" s="3">
        <v>84.0</v>
      </c>
      <c r="H352" s="4"/>
      <c r="I352" s="3" t="s">
        <v>105</v>
      </c>
      <c r="J352" s="3">
        <v>32.18</v>
      </c>
      <c r="K352" s="3">
        <v>84.0</v>
      </c>
      <c r="L352" s="4"/>
      <c r="M352" s="3" t="s">
        <v>60</v>
      </c>
      <c r="N352" s="3">
        <v>33.87</v>
      </c>
      <c r="O352" s="3">
        <v>84.0</v>
      </c>
      <c r="P352" s="4"/>
      <c r="Q352" s="3" t="s">
        <v>172</v>
      </c>
      <c r="R352" s="3">
        <v>33.45</v>
      </c>
      <c r="S352" s="27">
        <v>84.0</v>
      </c>
      <c r="T352" s="4"/>
      <c r="U352" s="4"/>
      <c r="V352" s="4"/>
      <c r="W352" s="4"/>
      <c r="X352" s="4"/>
      <c r="Y352" s="4"/>
      <c r="Z352" s="4"/>
    </row>
    <row r="353" ht="12.75" customHeight="1">
      <c r="A353" s="3" t="s">
        <v>166</v>
      </c>
      <c r="B353" s="3">
        <v>32.29</v>
      </c>
      <c r="C353" s="3">
        <v>85.0</v>
      </c>
      <c r="D353" s="4"/>
      <c r="E353" s="3" t="s">
        <v>184</v>
      </c>
      <c r="F353" s="3">
        <v>31.73</v>
      </c>
      <c r="G353" s="3">
        <v>85.0</v>
      </c>
      <c r="H353" s="4"/>
      <c r="I353" s="3" t="s">
        <v>89</v>
      </c>
      <c r="J353" s="3">
        <v>32.06</v>
      </c>
      <c r="K353" s="3">
        <v>85.0</v>
      </c>
      <c r="L353" s="4"/>
      <c r="M353" s="3" t="s">
        <v>131</v>
      </c>
      <c r="N353" s="3">
        <v>33.71</v>
      </c>
      <c r="O353" s="3">
        <v>85.0</v>
      </c>
      <c r="P353" s="4"/>
      <c r="Q353" s="3" t="s">
        <v>153</v>
      </c>
      <c r="R353" s="3">
        <v>33.43</v>
      </c>
      <c r="S353" s="27">
        <v>85.0</v>
      </c>
      <c r="T353" s="4"/>
      <c r="U353" s="4"/>
      <c r="V353" s="4"/>
      <c r="W353" s="4"/>
      <c r="X353" s="4"/>
      <c r="Y353" s="4"/>
      <c r="Z353" s="4"/>
    </row>
    <row r="354" ht="12.75" customHeight="1">
      <c r="A354" s="3" t="s">
        <v>53</v>
      </c>
      <c r="B354" s="3">
        <v>32.2</v>
      </c>
      <c r="C354" s="3">
        <v>86.0</v>
      </c>
      <c r="D354" s="4"/>
      <c r="E354" s="3" t="s">
        <v>148</v>
      </c>
      <c r="F354" s="3">
        <v>31.73</v>
      </c>
      <c r="G354" s="3">
        <v>85.0</v>
      </c>
      <c r="H354" s="4"/>
      <c r="I354" s="3" t="s">
        <v>86</v>
      </c>
      <c r="J354" s="3">
        <v>31.99</v>
      </c>
      <c r="K354" s="3">
        <v>86.0</v>
      </c>
      <c r="L354" s="4"/>
      <c r="M354" s="3" t="s">
        <v>185</v>
      </c>
      <c r="N354" s="3">
        <v>32.82</v>
      </c>
      <c r="O354" s="3">
        <v>86.0</v>
      </c>
      <c r="P354" s="4"/>
      <c r="Q354" s="3" t="s">
        <v>185</v>
      </c>
      <c r="R354" s="3">
        <v>33.1</v>
      </c>
      <c r="S354" s="27">
        <v>86.0</v>
      </c>
      <c r="T354" s="4"/>
      <c r="U354" s="4"/>
      <c r="V354" s="4"/>
      <c r="W354" s="4"/>
      <c r="X354" s="4"/>
      <c r="Y354" s="4"/>
      <c r="Z354" s="4"/>
    </row>
    <row r="355" ht="12.75" customHeight="1">
      <c r="A355" s="3" t="s">
        <v>89</v>
      </c>
      <c r="B355" s="3">
        <v>31.93</v>
      </c>
      <c r="C355" s="3">
        <v>87.0</v>
      </c>
      <c r="D355" s="4"/>
      <c r="E355" s="3" t="s">
        <v>169</v>
      </c>
      <c r="F355" s="3">
        <v>31.72</v>
      </c>
      <c r="G355" s="3">
        <v>87.0</v>
      </c>
      <c r="H355" s="4"/>
      <c r="I355" s="3" t="s">
        <v>145</v>
      </c>
      <c r="J355" s="3">
        <v>31.9</v>
      </c>
      <c r="K355" s="3">
        <v>87.0</v>
      </c>
      <c r="L355" s="4"/>
      <c r="M355" s="3" t="s">
        <v>200</v>
      </c>
      <c r="N355" s="3">
        <v>32.81</v>
      </c>
      <c r="O355" s="3">
        <v>87.0</v>
      </c>
      <c r="P355" s="4"/>
      <c r="Q355" s="3" t="s">
        <v>200</v>
      </c>
      <c r="R355" s="3">
        <v>32.83</v>
      </c>
      <c r="S355" s="27">
        <v>87.0</v>
      </c>
      <c r="T355" s="4"/>
      <c r="U355" s="4"/>
      <c r="V355" s="4"/>
      <c r="W355" s="4"/>
      <c r="X355" s="4"/>
      <c r="Y355" s="4"/>
      <c r="Z355" s="4"/>
    </row>
    <row r="356" ht="12.75" customHeight="1">
      <c r="A356" s="3" t="s">
        <v>167</v>
      </c>
      <c r="B356" s="3">
        <v>31.89</v>
      </c>
      <c r="C356" s="3">
        <v>88.0</v>
      </c>
      <c r="D356" s="4"/>
      <c r="E356" s="3" t="s">
        <v>167</v>
      </c>
      <c r="F356" s="3">
        <v>31.69</v>
      </c>
      <c r="G356" s="3">
        <v>88.0</v>
      </c>
      <c r="H356" s="4"/>
      <c r="I356" s="3" t="s">
        <v>186</v>
      </c>
      <c r="J356" s="3">
        <v>31.77</v>
      </c>
      <c r="K356" s="3">
        <v>88.0</v>
      </c>
      <c r="L356" s="4"/>
      <c r="M356" s="3" t="s">
        <v>104</v>
      </c>
      <c r="N356" s="3">
        <v>32.8</v>
      </c>
      <c r="O356" s="3">
        <v>88.0</v>
      </c>
      <c r="P356" s="4"/>
      <c r="Q356" s="3" t="s">
        <v>156</v>
      </c>
      <c r="R356" s="3">
        <v>32.61</v>
      </c>
      <c r="S356" s="27">
        <v>88.0</v>
      </c>
      <c r="T356" s="4"/>
      <c r="U356" s="4"/>
      <c r="V356" s="4"/>
      <c r="W356" s="4"/>
      <c r="X356" s="4"/>
      <c r="Y356" s="4"/>
      <c r="Z356" s="4"/>
    </row>
    <row r="357" ht="12.75" customHeight="1">
      <c r="A357" s="3" t="s">
        <v>169</v>
      </c>
      <c r="B357" s="3">
        <v>31.89</v>
      </c>
      <c r="C357" s="3">
        <v>88.0</v>
      </c>
      <c r="D357" s="4"/>
      <c r="E357" s="3" t="s">
        <v>161</v>
      </c>
      <c r="F357" s="3">
        <v>31.58</v>
      </c>
      <c r="G357" s="3">
        <v>89.0</v>
      </c>
      <c r="H357" s="4"/>
      <c r="I357" s="3" t="s">
        <v>104</v>
      </c>
      <c r="J357" s="3">
        <v>31.71</v>
      </c>
      <c r="K357" s="3">
        <v>89.0</v>
      </c>
      <c r="L357" s="4"/>
      <c r="M357" s="3" t="s">
        <v>65</v>
      </c>
      <c r="N357" s="3">
        <v>32.8</v>
      </c>
      <c r="O357" s="3">
        <v>88.0</v>
      </c>
      <c r="P357" s="4"/>
      <c r="Q357" s="3" t="s">
        <v>137</v>
      </c>
      <c r="R357" s="3">
        <v>32.48</v>
      </c>
      <c r="S357" s="27">
        <v>89.0</v>
      </c>
      <c r="T357" s="4"/>
      <c r="U357" s="4"/>
      <c r="V357" s="4"/>
      <c r="W357" s="4"/>
      <c r="X357" s="4"/>
      <c r="Y357" s="4"/>
      <c r="Z357" s="4"/>
    </row>
    <row r="358" ht="12.75" customHeight="1">
      <c r="A358" s="3" t="s">
        <v>136</v>
      </c>
      <c r="B358" s="3">
        <v>31.86</v>
      </c>
      <c r="C358" s="3">
        <v>90.0</v>
      </c>
      <c r="D358" s="4"/>
      <c r="E358" s="3" t="s">
        <v>65</v>
      </c>
      <c r="F358" s="3">
        <v>31.56</v>
      </c>
      <c r="G358" s="3">
        <v>90.0</v>
      </c>
      <c r="H358" s="4"/>
      <c r="I358" s="3" t="s">
        <v>169</v>
      </c>
      <c r="J358" s="3">
        <v>31.49</v>
      </c>
      <c r="K358" s="3">
        <v>90.0</v>
      </c>
      <c r="L358" s="4"/>
      <c r="M358" s="3" t="s">
        <v>156</v>
      </c>
      <c r="N358" s="3">
        <v>32.75</v>
      </c>
      <c r="O358" s="3">
        <v>90.0</v>
      </c>
      <c r="P358" s="4"/>
      <c r="Q358" s="3" t="s">
        <v>186</v>
      </c>
      <c r="R358" s="3">
        <v>32.44</v>
      </c>
      <c r="S358" s="27">
        <v>90.0</v>
      </c>
      <c r="T358" s="4"/>
      <c r="U358" s="4"/>
      <c r="V358" s="4"/>
      <c r="W358" s="4"/>
      <c r="X358" s="4"/>
      <c r="Y358" s="4"/>
      <c r="Z358" s="4"/>
    </row>
    <row r="359" ht="12.75" customHeight="1">
      <c r="A359" s="3" t="s">
        <v>184</v>
      </c>
      <c r="B359" s="3">
        <v>31.78</v>
      </c>
      <c r="C359" s="3">
        <v>91.0</v>
      </c>
      <c r="D359" s="4"/>
      <c r="E359" s="3" t="s">
        <v>143</v>
      </c>
      <c r="F359" s="3">
        <v>31.39</v>
      </c>
      <c r="G359" s="3">
        <v>91.0</v>
      </c>
      <c r="H359" s="4"/>
      <c r="I359" s="3" t="s">
        <v>102</v>
      </c>
      <c r="J359" s="3">
        <v>31.44</v>
      </c>
      <c r="K359" s="3">
        <v>91.0</v>
      </c>
      <c r="L359" s="4"/>
      <c r="M359" s="3" t="s">
        <v>137</v>
      </c>
      <c r="N359" s="3">
        <v>32.73</v>
      </c>
      <c r="O359" s="3">
        <v>91.0</v>
      </c>
      <c r="P359" s="4"/>
      <c r="Q359" s="3" t="s">
        <v>131</v>
      </c>
      <c r="R359" s="3">
        <v>32.43</v>
      </c>
      <c r="S359" s="27">
        <v>91.0</v>
      </c>
      <c r="T359" s="4"/>
      <c r="U359" s="4"/>
      <c r="V359" s="4"/>
      <c r="W359" s="4"/>
      <c r="X359" s="4"/>
      <c r="Y359" s="4"/>
      <c r="Z359" s="4"/>
    </row>
    <row r="360" ht="12.75" customHeight="1">
      <c r="A360" s="3" t="s">
        <v>65</v>
      </c>
      <c r="B360" s="3">
        <v>31.66</v>
      </c>
      <c r="C360" s="3">
        <v>92.0</v>
      </c>
      <c r="D360" s="4"/>
      <c r="E360" s="3" t="s">
        <v>177</v>
      </c>
      <c r="F360" s="3">
        <v>31.31</v>
      </c>
      <c r="G360" s="3">
        <v>92.0</v>
      </c>
      <c r="H360" s="4"/>
      <c r="I360" s="3" t="s">
        <v>65</v>
      </c>
      <c r="J360" s="3">
        <v>31.37</v>
      </c>
      <c r="K360" s="3">
        <v>92.0</v>
      </c>
      <c r="L360" s="4"/>
      <c r="M360" s="3" t="s">
        <v>166</v>
      </c>
      <c r="N360" s="3">
        <v>32.7</v>
      </c>
      <c r="O360" s="3">
        <v>92.0</v>
      </c>
      <c r="P360" s="4"/>
      <c r="Q360" s="3" t="s">
        <v>147</v>
      </c>
      <c r="R360" s="3">
        <v>32.3</v>
      </c>
      <c r="S360" s="27">
        <v>92.0</v>
      </c>
      <c r="T360" s="4"/>
      <c r="U360" s="4"/>
      <c r="V360" s="4"/>
      <c r="W360" s="4"/>
      <c r="X360" s="4"/>
      <c r="Y360" s="4"/>
      <c r="Z360" s="4"/>
    </row>
    <row r="361" ht="12.75" customHeight="1">
      <c r="A361" s="3" t="s">
        <v>190</v>
      </c>
      <c r="B361" s="3">
        <v>31.42</v>
      </c>
      <c r="C361" s="3">
        <v>93.0</v>
      </c>
      <c r="D361" s="4"/>
      <c r="E361" s="3" t="s">
        <v>190</v>
      </c>
      <c r="F361" s="3">
        <v>31.25</v>
      </c>
      <c r="G361" s="3">
        <v>93.0</v>
      </c>
      <c r="H361" s="4"/>
      <c r="I361" s="3" t="s">
        <v>184</v>
      </c>
      <c r="J361" s="3">
        <v>31.22</v>
      </c>
      <c r="K361" s="3">
        <v>93.0</v>
      </c>
      <c r="L361" s="4"/>
      <c r="M361" s="3" t="s">
        <v>186</v>
      </c>
      <c r="N361" s="3">
        <v>32.35</v>
      </c>
      <c r="O361" s="3">
        <v>93.0</v>
      </c>
      <c r="P361" s="4"/>
      <c r="Q361" s="3" t="s">
        <v>152</v>
      </c>
      <c r="R361" s="3">
        <v>32.15</v>
      </c>
      <c r="S361" s="27">
        <v>93.0</v>
      </c>
      <c r="T361" s="4"/>
      <c r="U361" s="4"/>
      <c r="V361" s="4"/>
      <c r="W361" s="4"/>
      <c r="X361" s="4"/>
      <c r="Y361" s="4"/>
      <c r="Z361" s="4"/>
    </row>
    <row r="362" ht="12.75" customHeight="1">
      <c r="A362" s="3" t="s">
        <v>177</v>
      </c>
      <c r="B362" s="3">
        <v>31.11</v>
      </c>
      <c r="C362" s="3">
        <v>94.0</v>
      </c>
      <c r="D362" s="4"/>
      <c r="E362" s="3" t="s">
        <v>185</v>
      </c>
      <c r="F362" s="3">
        <v>31.14</v>
      </c>
      <c r="G362" s="3">
        <v>94.0</v>
      </c>
      <c r="H362" s="4"/>
      <c r="I362" s="3" t="s">
        <v>131</v>
      </c>
      <c r="J362" s="3">
        <v>31.17</v>
      </c>
      <c r="K362" s="3">
        <v>94.0</v>
      </c>
      <c r="L362" s="4"/>
      <c r="M362" s="3" t="s">
        <v>175</v>
      </c>
      <c r="N362" s="3">
        <v>32.28</v>
      </c>
      <c r="O362" s="3">
        <v>94.0</v>
      </c>
      <c r="P362" s="4"/>
      <c r="Q362" s="3" t="s">
        <v>115</v>
      </c>
      <c r="R362" s="3">
        <v>32.1</v>
      </c>
      <c r="S362" s="27">
        <v>94.0</v>
      </c>
      <c r="T362" s="4"/>
      <c r="U362" s="4"/>
      <c r="V362" s="4"/>
      <c r="W362" s="4"/>
      <c r="X362" s="4"/>
      <c r="Y362" s="4"/>
      <c r="Z362" s="4"/>
    </row>
    <row r="363" ht="12.75" customHeight="1">
      <c r="A363" s="3" t="s">
        <v>186</v>
      </c>
      <c r="B363" s="3">
        <v>31.1</v>
      </c>
      <c r="C363" s="3">
        <v>95.0</v>
      </c>
      <c r="D363" s="4"/>
      <c r="E363" s="3" t="s">
        <v>105</v>
      </c>
      <c r="F363" s="3">
        <v>31.06</v>
      </c>
      <c r="G363" s="3">
        <v>95.0</v>
      </c>
      <c r="H363" s="4"/>
      <c r="I363" s="3" t="s">
        <v>172</v>
      </c>
      <c r="J363" s="3">
        <v>31.04</v>
      </c>
      <c r="K363" s="3">
        <v>95.0</v>
      </c>
      <c r="L363" s="4"/>
      <c r="M363" s="3" t="s">
        <v>115</v>
      </c>
      <c r="N363" s="3">
        <v>32.07</v>
      </c>
      <c r="O363" s="3">
        <v>95.0</v>
      </c>
      <c r="P363" s="4"/>
      <c r="Q363" s="3" t="s">
        <v>175</v>
      </c>
      <c r="R363" s="3">
        <v>31.61</v>
      </c>
      <c r="S363" s="27">
        <v>95.0</v>
      </c>
      <c r="T363" s="4"/>
      <c r="U363" s="4"/>
      <c r="V363" s="4"/>
      <c r="W363" s="4"/>
      <c r="X363" s="4"/>
      <c r="Y363" s="4"/>
      <c r="Z363" s="4"/>
    </row>
    <row r="364" ht="12.75" customHeight="1">
      <c r="A364" s="3" t="s">
        <v>102</v>
      </c>
      <c r="B364" s="3">
        <v>31.0</v>
      </c>
      <c r="C364" s="3">
        <v>96.0</v>
      </c>
      <c r="D364" s="4"/>
      <c r="E364" s="3" t="s">
        <v>172</v>
      </c>
      <c r="F364" s="3">
        <v>30.93</v>
      </c>
      <c r="G364" s="3">
        <v>96.0</v>
      </c>
      <c r="H364" s="4"/>
      <c r="I364" s="3" t="s">
        <v>167</v>
      </c>
      <c r="J364" s="3">
        <v>30.9</v>
      </c>
      <c r="K364" s="3">
        <v>96.0</v>
      </c>
      <c r="L364" s="4"/>
      <c r="M364" s="3" t="s">
        <v>184</v>
      </c>
      <c r="N364" s="3">
        <v>32.04</v>
      </c>
      <c r="O364" s="3">
        <v>96.0</v>
      </c>
      <c r="P364" s="4"/>
      <c r="Q364" s="3" t="s">
        <v>87</v>
      </c>
      <c r="R364" s="3">
        <v>31.4</v>
      </c>
      <c r="S364" s="27">
        <v>96.0</v>
      </c>
      <c r="T364" s="4"/>
      <c r="U364" s="4"/>
      <c r="V364" s="4"/>
      <c r="W364" s="4"/>
      <c r="X364" s="4"/>
      <c r="Y364" s="4"/>
      <c r="Z364" s="4"/>
    </row>
    <row r="365" ht="12.75" customHeight="1">
      <c r="A365" s="3" t="s">
        <v>187</v>
      </c>
      <c r="B365" s="3">
        <v>30.87</v>
      </c>
      <c r="C365" s="3">
        <v>97.0</v>
      </c>
      <c r="D365" s="4"/>
      <c r="E365" s="3" t="s">
        <v>187</v>
      </c>
      <c r="F365" s="3">
        <v>30.9</v>
      </c>
      <c r="G365" s="3">
        <v>97.0</v>
      </c>
      <c r="H365" s="4"/>
      <c r="I365" s="3" t="s">
        <v>153</v>
      </c>
      <c r="J365" s="3">
        <v>30.88</v>
      </c>
      <c r="K365" s="3">
        <v>97.0</v>
      </c>
      <c r="L365" s="4"/>
      <c r="M365" s="3" t="s">
        <v>152</v>
      </c>
      <c r="N365" s="3">
        <v>32.01</v>
      </c>
      <c r="O365" s="3">
        <v>97.0</v>
      </c>
      <c r="P365" s="4"/>
      <c r="Q365" s="3" t="s">
        <v>116</v>
      </c>
      <c r="R365" s="3">
        <v>31.25</v>
      </c>
      <c r="S365" s="27">
        <v>97.0</v>
      </c>
      <c r="T365" s="4"/>
      <c r="U365" s="4"/>
      <c r="V365" s="4"/>
      <c r="W365" s="4"/>
      <c r="X365" s="4"/>
      <c r="Y365" s="4"/>
      <c r="Z365" s="4"/>
    </row>
    <row r="366" ht="12.75" customHeight="1">
      <c r="A366" s="3" t="s">
        <v>154</v>
      </c>
      <c r="B366" s="3">
        <v>30.71</v>
      </c>
      <c r="C366" s="3">
        <v>98.0</v>
      </c>
      <c r="D366" s="4"/>
      <c r="E366" s="3" t="s">
        <v>153</v>
      </c>
      <c r="F366" s="3">
        <v>30.82</v>
      </c>
      <c r="G366" s="3">
        <v>98.0</v>
      </c>
      <c r="H366" s="4"/>
      <c r="I366" s="3" t="s">
        <v>185</v>
      </c>
      <c r="J366" s="3">
        <v>30.79</v>
      </c>
      <c r="K366" s="3">
        <v>98.0</v>
      </c>
      <c r="L366" s="4"/>
      <c r="M366" s="3" t="s">
        <v>81</v>
      </c>
      <c r="N366" s="3">
        <v>31.59</v>
      </c>
      <c r="O366" s="3">
        <v>98.0</v>
      </c>
      <c r="P366" s="4"/>
      <c r="Q366" s="3" t="s">
        <v>81</v>
      </c>
      <c r="R366" s="3">
        <v>31.0</v>
      </c>
      <c r="S366" s="27">
        <v>98.0</v>
      </c>
      <c r="T366" s="4"/>
      <c r="U366" s="4"/>
      <c r="V366" s="4"/>
      <c r="W366" s="4"/>
      <c r="X366" s="4"/>
      <c r="Y366" s="4"/>
      <c r="Z366" s="4"/>
    </row>
    <row r="367" ht="12.75" customHeight="1">
      <c r="A367" s="3" t="s">
        <v>188</v>
      </c>
      <c r="B367" s="3">
        <v>30.71</v>
      </c>
      <c r="C367" s="3">
        <v>98.0</v>
      </c>
      <c r="D367" s="4"/>
      <c r="E367" s="3" t="s">
        <v>115</v>
      </c>
      <c r="F367" s="3">
        <v>30.65</v>
      </c>
      <c r="G367" s="3">
        <v>99.0</v>
      </c>
      <c r="H367" s="4"/>
      <c r="I367" s="3" t="s">
        <v>200</v>
      </c>
      <c r="J367" s="3">
        <v>30.7</v>
      </c>
      <c r="K367" s="3">
        <v>99.0</v>
      </c>
      <c r="L367" s="4"/>
      <c r="M367" s="3" t="s">
        <v>108</v>
      </c>
      <c r="N367" s="3">
        <v>31.58</v>
      </c>
      <c r="O367" s="3">
        <v>99.0</v>
      </c>
      <c r="P367" s="4"/>
      <c r="Q367" s="3" t="s">
        <v>161</v>
      </c>
      <c r="R367" s="3">
        <v>30.94</v>
      </c>
      <c r="S367" s="27">
        <v>99.0</v>
      </c>
      <c r="T367" s="4"/>
      <c r="U367" s="4"/>
      <c r="V367" s="4"/>
      <c r="W367" s="4"/>
      <c r="X367" s="4"/>
      <c r="Y367" s="4"/>
      <c r="Z367" s="4"/>
    </row>
    <row r="368" ht="12.75" customHeight="1">
      <c r="A368" s="3" t="s">
        <v>96</v>
      </c>
      <c r="B368" s="3">
        <v>30.71</v>
      </c>
      <c r="C368" s="3">
        <v>98.0</v>
      </c>
      <c r="D368" s="4"/>
      <c r="E368" s="3" t="s">
        <v>154</v>
      </c>
      <c r="F368" s="3">
        <v>30.59</v>
      </c>
      <c r="G368" s="3">
        <v>100.0</v>
      </c>
      <c r="H368" s="4"/>
      <c r="I368" s="3" t="s">
        <v>187</v>
      </c>
      <c r="J368" s="3">
        <v>30.69</v>
      </c>
      <c r="K368" s="3">
        <v>100.0</v>
      </c>
      <c r="L368" s="4"/>
      <c r="M368" s="3" t="s">
        <v>167</v>
      </c>
      <c r="N368" s="3">
        <v>31.49</v>
      </c>
      <c r="O368" s="3">
        <v>100.0</v>
      </c>
      <c r="P368" s="4"/>
      <c r="Q368" s="3" t="s">
        <v>119</v>
      </c>
      <c r="R368" s="3">
        <v>30.9</v>
      </c>
      <c r="S368" s="27">
        <v>100.0</v>
      </c>
      <c r="T368" s="4"/>
      <c r="U368" s="4"/>
      <c r="V368" s="4"/>
      <c r="W368" s="4"/>
      <c r="X368" s="4"/>
      <c r="Y368" s="4"/>
      <c r="Z368" s="4"/>
    </row>
    <row r="369" ht="12.75" customHeight="1">
      <c r="A369" s="3" t="s">
        <v>155</v>
      </c>
      <c r="B369" s="3">
        <v>30.71</v>
      </c>
      <c r="C369" s="3">
        <v>98.0</v>
      </c>
      <c r="D369" s="4"/>
      <c r="E369" s="3" t="s">
        <v>155</v>
      </c>
      <c r="F369" s="3">
        <v>30.59</v>
      </c>
      <c r="G369" s="3">
        <v>100.0</v>
      </c>
      <c r="H369" s="4"/>
      <c r="I369" s="3" t="s">
        <v>177</v>
      </c>
      <c r="J369" s="3">
        <v>30.66</v>
      </c>
      <c r="K369" s="3">
        <v>101.0</v>
      </c>
      <c r="L369" s="4"/>
      <c r="M369" s="3" t="s">
        <v>145</v>
      </c>
      <c r="N369" s="3">
        <v>31.27</v>
      </c>
      <c r="O369" s="3">
        <v>101.0</v>
      </c>
      <c r="P369" s="4"/>
      <c r="Q369" s="3" t="s">
        <v>102</v>
      </c>
      <c r="R369" s="3">
        <v>30.9</v>
      </c>
      <c r="S369" s="27">
        <v>100.0</v>
      </c>
      <c r="T369" s="4"/>
      <c r="U369" s="4"/>
      <c r="V369" s="4"/>
      <c r="W369" s="4"/>
      <c r="X369" s="4"/>
      <c r="Y369" s="4"/>
      <c r="Z369" s="4"/>
    </row>
    <row r="370" ht="12.75" customHeight="1">
      <c r="A370" s="3" t="s">
        <v>111</v>
      </c>
      <c r="B370" s="3">
        <v>30.55</v>
      </c>
      <c r="C370" s="3">
        <v>102.0</v>
      </c>
      <c r="D370" s="4"/>
      <c r="E370" s="3" t="s">
        <v>188</v>
      </c>
      <c r="F370" s="3">
        <v>30.59</v>
      </c>
      <c r="G370" s="3">
        <v>100.0</v>
      </c>
      <c r="H370" s="4"/>
      <c r="I370" s="3" t="s">
        <v>154</v>
      </c>
      <c r="J370" s="3">
        <v>30.56</v>
      </c>
      <c r="K370" s="3">
        <v>102.0</v>
      </c>
      <c r="L370" s="4"/>
      <c r="M370" s="3" t="s">
        <v>130</v>
      </c>
      <c r="N370" s="3">
        <v>31.23</v>
      </c>
      <c r="O370" s="3">
        <v>102.0</v>
      </c>
      <c r="P370" s="4"/>
      <c r="Q370" s="3" t="s">
        <v>108</v>
      </c>
      <c r="R370" s="3">
        <v>30.8</v>
      </c>
      <c r="S370" s="27">
        <v>102.0</v>
      </c>
      <c r="T370" s="4"/>
      <c r="U370" s="4"/>
      <c r="V370" s="4"/>
      <c r="W370" s="4"/>
      <c r="X370" s="4"/>
      <c r="Y370" s="4"/>
      <c r="Z370" s="4"/>
    </row>
    <row r="371" ht="12.75" customHeight="1">
      <c r="A371" s="3" t="s">
        <v>141</v>
      </c>
      <c r="B371" s="3">
        <v>30.34</v>
      </c>
      <c r="C371" s="3">
        <v>103.0</v>
      </c>
      <c r="D371" s="4"/>
      <c r="E371" s="3" t="s">
        <v>114</v>
      </c>
      <c r="F371" s="3">
        <v>30.56</v>
      </c>
      <c r="G371" s="3">
        <v>103.0</v>
      </c>
      <c r="H371" s="4"/>
      <c r="I371" s="3" t="s">
        <v>161</v>
      </c>
      <c r="J371" s="3">
        <v>30.56</v>
      </c>
      <c r="K371" s="3">
        <v>102.0</v>
      </c>
      <c r="L371" s="4"/>
      <c r="M371" s="3" t="s">
        <v>87</v>
      </c>
      <c r="N371" s="3">
        <v>31.06</v>
      </c>
      <c r="O371" s="3">
        <v>103.0</v>
      </c>
      <c r="P371" s="4"/>
      <c r="Q371" s="3" t="s">
        <v>141</v>
      </c>
      <c r="R371" s="3">
        <v>30.77</v>
      </c>
      <c r="S371" s="27">
        <v>103.0</v>
      </c>
      <c r="T371" s="4"/>
      <c r="U371" s="4"/>
      <c r="V371" s="4"/>
      <c r="W371" s="4"/>
      <c r="X371" s="4"/>
      <c r="Y371" s="4"/>
      <c r="Z371" s="4"/>
    </row>
    <row r="372" ht="12.75" customHeight="1">
      <c r="A372" s="3" t="s">
        <v>148</v>
      </c>
      <c r="B372" s="3">
        <v>30.26</v>
      </c>
      <c r="C372" s="3">
        <v>104.0</v>
      </c>
      <c r="D372" s="4"/>
      <c r="E372" s="3" t="s">
        <v>200</v>
      </c>
      <c r="F372" s="3">
        <v>30.47</v>
      </c>
      <c r="G372" s="3">
        <v>104.0</v>
      </c>
      <c r="H372" s="4"/>
      <c r="I372" s="3" t="s">
        <v>188</v>
      </c>
      <c r="J372" s="3">
        <v>30.56</v>
      </c>
      <c r="K372" s="3">
        <v>102.0</v>
      </c>
      <c r="L372" s="4"/>
      <c r="M372" s="3" t="s">
        <v>168</v>
      </c>
      <c r="N372" s="3">
        <v>31.02</v>
      </c>
      <c r="O372" s="3">
        <v>104.0</v>
      </c>
      <c r="P372" s="4"/>
      <c r="Q372" s="3" t="s">
        <v>178</v>
      </c>
      <c r="R372" s="3">
        <v>30.75</v>
      </c>
      <c r="S372" s="27">
        <v>104.0</v>
      </c>
      <c r="T372" s="4"/>
      <c r="U372" s="4"/>
      <c r="V372" s="4"/>
      <c r="W372" s="4"/>
      <c r="X372" s="4"/>
      <c r="Y372" s="4"/>
      <c r="Z372" s="4"/>
    </row>
    <row r="373" ht="12.75" customHeight="1">
      <c r="A373" s="3" t="s">
        <v>146</v>
      </c>
      <c r="B373" s="3">
        <v>30.13</v>
      </c>
      <c r="C373" s="3">
        <v>105.0</v>
      </c>
      <c r="D373" s="4"/>
      <c r="E373" s="3" t="s">
        <v>186</v>
      </c>
      <c r="F373" s="3">
        <v>30.14</v>
      </c>
      <c r="G373" s="3">
        <v>105.0</v>
      </c>
      <c r="H373" s="4"/>
      <c r="I373" s="3" t="s">
        <v>155</v>
      </c>
      <c r="J373" s="3">
        <v>30.56</v>
      </c>
      <c r="K373" s="3">
        <v>102.0</v>
      </c>
      <c r="L373" s="4"/>
      <c r="M373" s="3" t="s">
        <v>161</v>
      </c>
      <c r="N373" s="3">
        <v>30.93</v>
      </c>
      <c r="O373" s="3">
        <v>105.0</v>
      </c>
      <c r="P373" s="4"/>
      <c r="Q373" s="3" t="s">
        <v>104</v>
      </c>
      <c r="R373" s="3">
        <v>30.72</v>
      </c>
      <c r="S373" s="27">
        <v>105.0</v>
      </c>
      <c r="T373" s="4"/>
      <c r="U373" s="4"/>
      <c r="V373" s="4"/>
      <c r="W373" s="4"/>
      <c r="X373" s="4"/>
      <c r="Y373" s="4"/>
      <c r="Z373" s="4"/>
    </row>
    <row r="374" ht="12.75" customHeight="1">
      <c r="A374" s="3" t="s">
        <v>160</v>
      </c>
      <c r="B374" s="3">
        <v>29.98</v>
      </c>
      <c r="C374" s="3">
        <v>106.0</v>
      </c>
      <c r="D374" s="4"/>
      <c r="E374" s="3" t="s">
        <v>96</v>
      </c>
      <c r="F374" s="3">
        <v>30.12</v>
      </c>
      <c r="G374" s="3">
        <v>106.0</v>
      </c>
      <c r="H374" s="4"/>
      <c r="I374" s="3" t="s">
        <v>108</v>
      </c>
      <c r="J374" s="3">
        <v>30.43</v>
      </c>
      <c r="K374" s="3">
        <v>106.0</v>
      </c>
      <c r="L374" s="4"/>
      <c r="M374" s="3" t="s">
        <v>116</v>
      </c>
      <c r="N374" s="3">
        <v>30.86</v>
      </c>
      <c r="O374" s="3">
        <v>106.0</v>
      </c>
      <c r="P374" s="4"/>
      <c r="Q374" s="3" t="s">
        <v>155</v>
      </c>
      <c r="R374" s="3">
        <v>30.64</v>
      </c>
      <c r="S374" s="27">
        <v>106.0</v>
      </c>
      <c r="T374" s="4"/>
      <c r="U374" s="4"/>
      <c r="V374" s="4"/>
      <c r="W374" s="4"/>
      <c r="X374" s="4"/>
      <c r="Y374" s="4"/>
      <c r="Z374" s="4"/>
    </row>
    <row r="375" ht="12.75" customHeight="1">
      <c r="A375" s="3" t="s">
        <v>105</v>
      </c>
      <c r="B375" s="3">
        <v>29.97</v>
      </c>
      <c r="C375" s="3">
        <v>107.0</v>
      </c>
      <c r="D375" s="4"/>
      <c r="E375" s="3" t="s">
        <v>102</v>
      </c>
      <c r="F375" s="3">
        <v>30.02</v>
      </c>
      <c r="G375" s="3">
        <v>107.0</v>
      </c>
      <c r="H375" s="4"/>
      <c r="I375" s="3" t="s">
        <v>116</v>
      </c>
      <c r="J375" s="3">
        <v>30.32</v>
      </c>
      <c r="K375" s="3">
        <v>107.0</v>
      </c>
      <c r="L375" s="4"/>
      <c r="M375" s="3" t="s">
        <v>143</v>
      </c>
      <c r="N375" s="3">
        <v>30.85</v>
      </c>
      <c r="O375" s="3">
        <v>107.0</v>
      </c>
      <c r="P375" s="4"/>
      <c r="Q375" s="3" t="s">
        <v>154</v>
      </c>
      <c r="R375" s="3">
        <v>30.64</v>
      </c>
      <c r="S375" s="27">
        <v>106.0</v>
      </c>
      <c r="T375" s="4"/>
      <c r="U375" s="4"/>
      <c r="V375" s="4"/>
      <c r="W375" s="4"/>
      <c r="X375" s="4"/>
      <c r="Y375" s="4"/>
      <c r="Z375" s="4"/>
    </row>
    <row r="376" ht="12.75" customHeight="1">
      <c r="A376" s="3" t="s">
        <v>130</v>
      </c>
      <c r="B376" s="3">
        <v>29.88</v>
      </c>
      <c r="C376" s="3">
        <v>108.0</v>
      </c>
      <c r="D376" s="4"/>
      <c r="E376" s="3" t="s">
        <v>141</v>
      </c>
      <c r="F376" s="3">
        <v>29.95</v>
      </c>
      <c r="G376" s="3">
        <v>108.0</v>
      </c>
      <c r="H376" s="4"/>
      <c r="I376" s="3" t="s">
        <v>168</v>
      </c>
      <c r="J376" s="3">
        <v>30.26</v>
      </c>
      <c r="K376" s="3">
        <v>108.0</v>
      </c>
      <c r="L376" s="4"/>
      <c r="M376" s="3" t="s">
        <v>102</v>
      </c>
      <c r="N376" s="3">
        <v>30.83</v>
      </c>
      <c r="O376" s="3">
        <v>108.0</v>
      </c>
      <c r="P376" s="4"/>
      <c r="Q376" s="3" t="s">
        <v>188</v>
      </c>
      <c r="R376" s="3">
        <v>30.64</v>
      </c>
      <c r="S376" s="27">
        <v>106.0</v>
      </c>
      <c r="T376" s="4"/>
      <c r="U376" s="4"/>
      <c r="V376" s="4"/>
      <c r="W376" s="4"/>
      <c r="X376" s="4"/>
      <c r="Y376" s="4"/>
      <c r="Z376" s="4"/>
    </row>
    <row r="377" ht="12.75" customHeight="1">
      <c r="A377" s="3" t="s">
        <v>57</v>
      </c>
      <c r="B377" s="3">
        <v>29.62</v>
      </c>
      <c r="C377" s="3">
        <v>109.0</v>
      </c>
      <c r="D377" s="4"/>
      <c r="E377" s="3" t="s">
        <v>130</v>
      </c>
      <c r="F377" s="3">
        <v>29.86</v>
      </c>
      <c r="G377" s="3">
        <v>109.0</v>
      </c>
      <c r="H377" s="4"/>
      <c r="I377" s="3" t="s">
        <v>141</v>
      </c>
      <c r="J377" s="3">
        <v>30.26</v>
      </c>
      <c r="K377" s="3">
        <v>108.0</v>
      </c>
      <c r="L377" s="4"/>
      <c r="M377" s="3" t="s">
        <v>141</v>
      </c>
      <c r="N377" s="3">
        <v>30.83</v>
      </c>
      <c r="O377" s="3">
        <v>108.0</v>
      </c>
      <c r="P377" s="4"/>
      <c r="Q377" s="3" t="s">
        <v>114</v>
      </c>
      <c r="R377" s="3">
        <v>30.63</v>
      </c>
      <c r="S377" s="27">
        <v>109.0</v>
      </c>
      <c r="T377" s="4"/>
      <c r="U377" s="4"/>
      <c r="V377" s="4"/>
      <c r="W377" s="4"/>
      <c r="X377" s="4"/>
      <c r="Y377" s="4"/>
      <c r="Z377" s="4"/>
    </row>
    <row r="378" ht="12.75" customHeight="1">
      <c r="A378" s="3" t="s">
        <v>81</v>
      </c>
      <c r="B378" s="3">
        <v>29.6</v>
      </c>
      <c r="C378" s="3">
        <v>110.0</v>
      </c>
      <c r="D378" s="4"/>
      <c r="E378" s="3" t="s">
        <v>146</v>
      </c>
      <c r="F378" s="3">
        <v>29.77</v>
      </c>
      <c r="G378" s="3">
        <v>110.0</v>
      </c>
      <c r="H378" s="4"/>
      <c r="I378" s="3" t="s">
        <v>193</v>
      </c>
      <c r="J378" s="3">
        <v>30.12</v>
      </c>
      <c r="K378" s="3">
        <v>110.0</v>
      </c>
      <c r="L378" s="4"/>
      <c r="M378" s="3" t="s">
        <v>178</v>
      </c>
      <c r="N378" s="3">
        <v>30.72</v>
      </c>
      <c r="O378" s="3">
        <v>110.0</v>
      </c>
      <c r="P378" s="4"/>
      <c r="Q378" s="3" t="s">
        <v>193</v>
      </c>
      <c r="R378" s="3">
        <v>30.63</v>
      </c>
      <c r="S378" s="27">
        <v>109.0</v>
      </c>
      <c r="T378" s="4"/>
      <c r="U378" s="4"/>
      <c r="V378" s="4"/>
      <c r="W378" s="4"/>
      <c r="X378" s="4"/>
      <c r="Y378" s="4"/>
      <c r="Z378" s="4"/>
    </row>
    <row r="379" ht="12.75" customHeight="1">
      <c r="A379" s="3" t="s">
        <v>104</v>
      </c>
      <c r="B379" s="3">
        <v>29.57</v>
      </c>
      <c r="C379" s="3">
        <v>111.0</v>
      </c>
      <c r="D379" s="4"/>
      <c r="E379" s="3" t="s">
        <v>81</v>
      </c>
      <c r="F379" s="3">
        <v>29.64</v>
      </c>
      <c r="G379" s="3">
        <v>111.0</v>
      </c>
      <c r="H379" s="4"/>
      <c r="I379" s="3" t="s">
        <v>115</v>
      </c>
      <c r="J379" s="3">
        <v>30.1</v>
      </c>
      <c r="K379" s="3">
        <v>111.0</v>
      </c>
      <c r="L379" s="4"/>
      <c r="M379" s="3" t="s">
        <v>154</v>
      </c>
      <c r="N379" s="3">
        <v>30.64</v>
      </c>
      <c r="O379" s="3">
        <v>111.0</v>
      </c>
      <c r="P379" s="4"/>
      <c r="Q379" s="3" t="s">
        <v>130</v>
      </c>
      <c r="R379" s="3">
        <v>30.46</v>
      </c>
      <c r="S379" s="27">
        <v>111.0</v>
      </c>
      <c r="T379" s="4"/>
      <c r="U379" s="4"/>
      <c r="V379" s="4"/>
      <c r="W379" s="4"/>
      <c r="X379" s="4"/>
      <c r="Y379" s="4"/>
      <c r="Z379" s="4"/>
    </row>
    <row r="380" ht="12.75" customHeight="1">
      <c r="A380" s="3" t="s">
        <v>87</v>
      </c>
      <c r="B380" s="3">
        <v>29.36</v>
      </c>
      <c r="C380" s="3">
        <v>112.0</v>
      </c>
      <c r="D380" s="4"/>
      <c r="E380" s="3" t="s">
        <v>104</v>
      </c>
      <c r="F380" s="3">
        <v>29.63</v>
      </c>
      <c r="G380" s="3">
        <v>112.0</v>
      </c>
      <c r="H380" s="4"/>
      <c r="I380" s="3" t="s">
        <v>171</v>
      </c>
      <c r="J380" s="3">
        <v>29.71</v>
      </c>
      <c r="K380" s="3">
        <v>112.0</v>
      </c>
      <c r="L380" s="4"/>
      <c r="M380" s="3" t="s">
        <v>188</v>
      </c>
      <c r="N380" s="3">
        <v>30.64</v>
      </c>
      <c r="O380" s="3">
        <v>111.0</v>
      </c>
      <c r="P380" s="4"/>
      <c r="Q380" s="3" t="s">
        <v>143</v>
      </c>
      <c r="R380" s="3">
        <v>30.01</v>
      </c>
      <c r="S380" s="27">
        <v>112.0</v>
      </c>
      <c r="T380" s="4"/>
      <c r="U380" s="4"/>
      <c r="V380" s="4"/>
      <c r="W380" s="4"/>
      <c r="X380" s="4"/>
      <c r="Y380" s="4"/>
      <c r="Z380" s="4"/>
    </row>
    <row r="381" ht="12.75" customHeight="1">
      <c r="A381" s="3" t="s">
        <v>200</v>
      </c>
      <c r="B381" s="3">
        <v>29.27</v>
      </c>
      <c r="C381" s="3">
        <v>113.0</v>
      </c>
      <c r="D381" s="4"/>
      <c r="E381" s="3" t="s">
        <v>193</v>
      </c>
      <c r="F381" s="3">
        <v>29.32</v>
      </c>
      <c r="G381" s="3">
        <v>113.0</v>
      </c>
      <c r="H381" s="4"/>
      <c r="I381" s="3" t="s">
        <v>178</v>
      </c>
      <c r="J381" s="3">
        <v>29.41</v>
      </c>
      <c r="K381" s="3">
        <v>113.0</v>
      </c>
      <c r="L381" s="4"/>
      <c r="M381" s="3" t="s">
        <v>155</v>
      </c>
      <c r="N381" s="3">
        <v>30.64</v>
      </c>
      <c r="O381" s="3">
        <v>111.0</v>
      </c>
      <c r="P381" s="4"/>
      <c r="Q381" s="3" t="s">
        <v>146</v>
      </c>
      <c r="R381" s="3">
        <v>29.58</v>
      </c>
      <c r="S381" s="27">
        <v>113.0</v>
      </c>
      <c r="T381" s="4"/>
      <c r="U381" s="4"/>
      <c r="V381" s="4"/>
      <c r="W381" s="4"/>
      <c r="X381" s="4"/>
      <c r="Y381" s="4"/>
      <c r="Z381" s="4"/>
    </row>
    <row r="382" ht="12.75" customHeight="1">
      <c r="A382" s="3" t="s">
        <v>114</v>
      </c>
      <c r="B382" s="3">
        <v>29.26</v>
      </c>
      <c r="C382" s="3">
        <v>114.0</v>
      </c>
      <c r="D382" s="4"/>
      <c r="E382" s="3" t="s">
        <v>178</v>
      </c>
      <c r="F382" s="3">
        <v>28.96</v>
      </c>
      <c r="G382" s="3">
        <v>114.0</v>
      </c>
      <c r="H382" s="4"/>
      <c r="I382" s="3" t="s">
        <v>146</v>
      </c>
      <c r="J382" s="3">
        <v>29.35</v>
      </c>
      <c r="K382" s="3">
        <v>114.0</v>
      </c>
      <c r="L382" s="4"/>
      <c r="M382" s="3" t="s">
        <v>193</v>
      </c>
      <c r="N382" s="3">
        <v>30.61</v>
      </c>
      <c r="O382" s="3">
        <v>114.0</v>
      </c>
      <c r="P382" s="4"/>
      <c r="Q382" s="3" t="s">
        <v>111</v>
      </c>
      <c r="R382" s="3">
        <v>29.58</v>
      </c>
      <c r="S382" s="27">
        <v>113.0</v>
      </c>
      <c r="T382" s="4"/>
      <c r="U382" s="4"/>
      <c r="V382" s="4"/>
      <c r="W382" s="4"/>
      <c r="X382" s="4"/>
      <c r="Y382" s="4"/>
      <c r="Z382" s="4"/>
    </row>
    <row r="383" ht="12.75" customHeight="1">
      <c r="A383" s="3" t="s">
        <v>137</v>
      </c>
      <c r="B383" s="3">
        <v>28.99</v>
      </c>
      <c r="C383" s="3">
        <v>115.0</v>
      </c>
      <c r="D383" s="4"/>
      <c r="E383" s="3" t="s">
        <v>139</v>
      </c>
      <c r="F383" s="3">
        <v>28.64</v>
      </c>
      <c r="G383" s="3">
        <v>115.0</v>
      </c>
      <c r="H383" s="4"/>
      <c r="I383" s="3" t="s">
        <v>130</v>
      </c>
      <c r="J383" s="3">
        <v>29.29</v>
      </c>
      <c r="K383" s="3">
        <v>115.0</v>
      </c>
      <c r="L383" s="4"/>
      <c r="M383" s="3" t="s">
        <v>114</v>
      </c>
      <c r="N383" s="3">
        <v>30.07</v>
      </c>
      <c r="O383" s="3">
        <v>115.0</v>
      </c>
      <c r="P383" s="4"/>
      <c r="Q383" s="3" t="s">
        <v>167</v>
      </c>
      <c r="R383" s="3">
        <v>29.55</v>
      </c>
      <c r="S383" s="27">
        <v>115.0</v>
      </c>
      <c r="T383" s="4"/>
      <c r="U383" s="4"/>
      <c r="V383" s="4"/>
      <c r="W383" s="4"/>
      <c r="X383" s="4"/>
      <c r="Y383" s="4"/>
      <c r="Z383" s="4"/>
    </row>
    <row r="384" ht="12.75" customHeight="1">
      <c r="A384" s="3" t="s">
        <v>193</v>
      </c>
      <c r="B384" s="3">
        <v>28.79</v>
      </c>
      <c r="C384" s="3">
        <v>116.0</v>
      </c>
      <c r="D384" s="4"/>
      <c r="E384" s="3" t="s">
        <v>57</v>
      </c>
      <c r="F384" s="3">
        <v>28.24</v>
      </c>
      <c r="G384" s="3">
        <v>116.0</v>
      </c>
      <c r="H384" s="4"/>
      <c r="I384" s="3" t="s">
        <v>81</v>
      </c>
      <c r="J384" s="3">
        <v>29.19</v>
      </c>
      <c r="K384" s="3">
        <v>116.0</v>
      </c>
      <c r="L384" s="4"/>
      <c r="M384" s="3" t="s">
        <v>119</v>
      </c>
      <c r="N384" s="3">
        <v>30.01</v>
      </c>
      <c r="O384" s="3">
        <v>116.0</v>
      </c>
      <c r="P384" s="4"/>
      <c r="Q384" s="3" t="s">
        <v>145</v>
      </c>
      <c r="R384" s="3">
        <v>29.3</v>
      </c>
      <c r="S384" s="27">
        <v>116.0</v>
      </c>
      <c r="T384" s="4"/>
      <c r="U384" s="4"/>
      <c r="V384" s="4"/>
      <c r="W384" s="4"/>
      <c r="X384" s="4"/>
      <c r="Y384" s="4"/>
      <c r="Z384" s="4"/>
    </row>
    <row r="385" ht="12.75" customHeight="1">
      <c r="A385" s="3" t="s">
        <v>139</v>
      </c>
      <c r="B385" s="3">
        <v>27.78</v>
      </c>
      <c r="C385" s="3">
        <v>117.0</v>
      </c>
      <c r="D385" s="4"/>
      <c r="E385" s="3" t="s">
        <v>171</v>
      </c>
      <c r="F385" s="3">
        <v>28.01</v>
      </c>
      <c r="G385" s="3">
        <v>117.0</v>
      </c>
      <c r="H385" s="4"/>
      <c r="I385" s="3" t="s">
        <v>87</v>
      </c>
      <c r="J385" s="3">
        <v>28.77</v>
      </c>
      <c r="K385" s="3">
        <v>117.0</v>
      </c>
      <c r="L385" s="4"/>
      <c r="M385" s="3" t="s">
        <v>146</v>
      </c>
      <c r="N385" s="3">
        <v>29.81</v>
      </c>
      <c r="O385" s="3">
        <v>117.0</v>
      </c>
      <c r="P385" s="4"/>
      <c r="Q385" s="3" t="s">
        <v>187</v>
      </c>
      <c r="R385" s="3">
        <v>29.01</v>
      </c>
      <c r="S385" s="27">
        <v>117.0</v>
      </c>
      <c r="T385" s="4"/>
      <c r="U385" s="4"/>
      <c r="V385" s="4"/>
      <c r="W385" s="4"/>
      <c r="X385" s="4"/>
      <c r="Y385" s="4"/>
      <c r="Z385" s="4"/>
    </row>
    <row r="386" ht="12.75" customHeight="1">
      <c r="A386" s="3" t="s">
        <v>147</v>
      </c>
      <c r="B386" s="3">
        <v>27.73</v>
      </c>
      <c r="C386" s="3">
        <v>118.0</v>
      </c>
      <c r="D386" s="4"/>
      <c r="E386" s="3" t="s">
        <v>147</v>
      </c>
      <c r="F386" s="3">
        <v>27.84</v>
      </c>
      <c r="G386" s="3">
        <v>118.0</v>
      </c>
      <c r="H386" s="4"/>
      <c r="I386" s="3" t="s">
        <v>114</v>
      </c>
      <c r="J386" s="3">
        <v>28.72</v>
      </c>
      <c r="K386" s="3">
        <v>118.0</v>
      </c>
      <c r="L386" s="4"/>
      <c r="M386" s="3" t="s">
        <v>111</v>
      </c>
      <c r="N386" s="3">
        <v>29.59</v>
      </c>
      <c r="O386" s="3">
        <v>118.0</v>
      </c>
      <c r="P386" s="4"/>
      <c r="Q386" s="3" t="s">
        <v>177</v>
      </c>
      <c r="R386" s="3">
        <v>28.97</v>
      </c>
      <c r="S386" s="27">
        <v>118.0</v>
      </c>
      <c r="T386" s="4"/>
      <c r="U386" s="4"/>
      <c r="V386" s="4"/>
      <c r="W386" s="4"/>
      <c r="X386" s="4"/>
      <c r="Y386" s="4"/>
      <c r="Z386" s="4"/>
    </row>
    <row r="387" ht="12.75" customHeight="1">
      <c r="A387" s="3" t="s">
        <v>108</v>
      </c>
      <c r="B387" s="3">
        <v>27.48</v>
      </c>
      <c r="C387" s="3">
        <v>119.0</v>
      </c>
      <c r="D387" s="4"/>
      <c r="E387" s="3" t="s">
        <v>119</v>
      </c>
      <c r="F387" s="3">
        <v>27.58</v>
      </c>
      <c r="G387" s="3">
        <v>119.0</v>
      </c>
      <c r="H387" s="4"/>
      <c r="I387" s="3" t="s">
        <v>119</v>
      </c>
      <c r="J387" s="3">
        <v>27.91</v>
      </c>
      <c r="K387" s="3">
        <v>119.0</v>
      </c>
      <c r="L387" s="4"/>
      <c r="M387" s="3" t="s">
        <v>147</v>
      </c>
      <c r="N387" s="3">
        <v>29.58</v>
      </c>
      <c r="O387" s="3">
        <v>119.0</v>
      </c>
      <c r="P387" s="4"/>
      <c r="Q387" s="3" t="s">
        <v>184</v>
      </c>
      <c r="R387" s="3">
        <v>28.81</v>
      </c>
      <c r="S387" s="27">
        <v>119.0</v>
      </c>
      <c r="T387" s="4"/>
      <c r="U387" s="4"/>
      <c r="V387" s="4"/>
      <c r="W387" s="4"/>
      <c r="X387" s="4"/>
      <c r="Y387" s="4"/>
      <c r="Z387" s="4"/>
    </row>
    <row r="388" ht="12.75" customHeight="1">
      <c r="A388" s="3" t="s">
        <v>119</v>
      </c>
      <c r="B388" s="3">
        <v>27.47</v>
      </c>
      <c r="C388" s="3">
        <v>120.0</v>
      </c>
      <c r="D388" s="4"/>
      <c r="E388" s="3" t="s">
        <v>108</v>
      </c>
      <c r="F388" s="3">
        <v>27.47</v>
      </c>
      <c r="G388" s="3">
        <v>120.0</v>
      </c>
      <c r="H388" s="4"/>
      <c r="I388" s="3" t="s">
        <v>139</v>
      </c>
      <c r="J388" s="3">
        <v>27.79</v>
      </c>
      <c r="K388" s="3">
        <v>120.0</v>
      </c>
      <c r="L388" s="4"/>
      <c r="M388" s="3" t="s">
        <v>187</v>
      </c>
      <c r="N388" s="3">
        <v>29.5</v>
      </c>
      <c r="O388" s="3">
        <v>120.0</v>
      </c>
      <c r="P388" s="4"/>
      <c r="Q388" s="3" t="s">
        <v>139</v>
      </c>
      <c r="R388" s="3">
        <v>28.72</v>
      </c>
      <c r="S388" s="27">
        <v>120.0</v>
      </c>
      <c r="T388" s="4"/>
      <c r="U388" s="4"/>
      <c r="V388" s="4"/>
      <c r="W388" s="4"/>
      <c r="X388" s="4"/>
      <c r="Y388" s="4"/>
      <c r="Z388" s="4"/>
    </row>
    <row r="389" ht="12.75" customHeight="1">
      <c r="A389" s="3" t="s">
        <v>145</v>
      </c>
      <c r="B389" s="3">
        <v>27.15</v>
      </c>
      <c r="C389" s="3">
        <v>121.0</v>
      </c>
      <c r="D389" s="4"/>
      <c r="E389" s="3" t="s">
        <v>111</v>
      </c>
      <c r="F389" s="3">
        <v>27.3</v>
      </c>
      <c r="G389" s="3">
        <v>121.0</v>
      </c>
      <c r="H389" s="4"/>
      <c r="I389" s="3" t="s">
        <v>147</v>
      </c>
      <c r="J389" s="3">
        <v>27.59</v>
      </c>
      <c r="K389" s="3">
        <v>121.0</v>
      </c>
      <c r="L389" s="4"/>
      <c r="M389" s="3" t="s">
        <v>177</v>
      </c>
      <c r="N389" s="3">
        <v>28.84</v>
      </c>
      <c r="O389" s="3">
        <v>121.0</v>
      </c>
      <c r="P389" s="4"/>
      <c r="Q389" s="3" t="s">
        <v>170</v>
      </c>
      <c r="R389" s="3">
        <v>28.16</v>
      </c>
      <c r="S389" s="27">
        <v>121.0</v>
      </c>
      <c r="T389" s="4"/>
      <c r="U389" s="4"/>
      <c r="V389" s="4"/>
      <c r="W389" s="4"/>
      <c r="X389" s="4"/>
      <c r="Y389" s="4"/>
      <c r="Z389" s="4"/>
    </row>
    <row r="390" ht="12.75" customHeight="1">
      <c r="A390" s="3" t="s">
        <v>128</v>
      </c>
      <c r="B390" s="3">
        <v>26.3</v>
      </c>
      <c r="C390" s="3">
        <v>122.0</v>
      </c>
      <c r="D390" s="4"/>
      <c r="E390" s="3" t="s">
        <v>122</v>
      </c>
      <c r="F390" s="3">
        <v>27.25</v>
      </c>
      <c r="G390" s="3">
        <v>122.0</v>
      </c>
      <c r="H390" s="4"/>
      <c r="I390" s="3" t="s">
        <v>111</v>
      </c>
      <c r="J390" s="3">
        <v>26.59</v>
      </c>
      <c r="K390" s="3">
        <v>122.0</v>
      </c>
      <c r="L390" s="4"/>
      <c r="M390" s="3" t="s">
        <v>139</v>
      </c>
      <c r="N390" s="3">
        <v>28.69</v>
      </c>
      <c r="O390" s="3">
        <v>122.0</v>
      </c>
      <c r="P390" s="4"/>
      <c r="Q390" s="3" t="s">
        <v>168</v>
      </c>
      <c r="R390" s="3">
        <v>27.34</v>
      </c>
      <c r="S390" s="27">
        <v>122.0</v>
      </c>
      <c r="T390" s="4"/>
      <c r="U390" s="4"/>
      <c r="V390" s="4"/>
      <c r="W390" s="4"/>
      <c r="X390" s="4"/>
      <c r="Y390" s="4"/>
      <c r="Z390" s="4"/>
    </row>
    <row r="391" ht="12.75" customHeight="1">
      <c r="A391" s="3" t="s">
        <v>181</v>
      </c>
      <c r="B391" s="3">
        <v>26.23</v>
      </c>
      <c r="C391" s="3">
        <v>123.0</v>
      </c>
      <c r="D391" s="4"/>
      <c r="E391" s="3" t="s">
        <v>145</v>
      </c>
      <c r="F391" s="3">
        <v>27.11</v>
      </c>
      <c r="G391" s="3">
        <v>123.0</v>
      </c>
      <c r="H391" s="4"/>
      <c r="I391" s="3" t="s">
        <v>128</v>
      </c>
      <c r="J391" s="3">
        <v>25.45</v>
      </c>
      <c r="K391" s="3">
        <v>123.0</v>
      </c>
      <c r="L391" s="4"/>
      <c r="M391" s="3" t="s">
        <v>170</v>
      </c>
      <c r="N391" s="3">
        <v>27.0</v>
      </c>
      <c r="O391" s="3">
        <v>123.0</v>
      </c>
      <c r="P391" s="4"/>
      <c r="Q391" s="3" t="s">
        <v>128</v>
      </c>
      <c r="R391" s="3">
        <v>26.9</v>
      </c>
      <c r="S391" s="27">
        <v>123.0</v>
      </c>
      <c r="T391" s="4"/>
      <c r="U391" s="4"/>
      <c r="V391" s="4"/>
      <c r="W391" s="4"/>
      <c r="X391" s="4"/>
      <c r="Y391" s="4"/>
      <c r="Z391" s="4"/>
    </row>
    <row r="392" ht="12.75" customHeight="1">
      <c r="A392" s="3" t="s">
        <v>171</v>
      </c>
      <c r="B392" s="3">
        <v>25.56</v>
      </c>
      <c r="C392" s="3">
        <v>124.0</v>
      </c>
      <c r="D392" s="4"/>
      <c r="E392" s="3" t="s">
        <v>181</v>
      </c>
      <c r="F392" s="3">
        <v>25.68</v>
      </c>
      <c r="G392" s="3">
        <v>124.0</v>
      </c>
      <c r="H392" s="4"/>
      <c r="I392" s="3" t="s">
        <v>122</v>
      </c>
      <c r="J392" s="3">
        <v>25.29</v>
      </c>
      <c r="K392" s="3">
        <v>124.0</v>
      </c>
      <c r="L392" s="4"/>
      <c r="M392" s="3" t="s">
        <v>128</v>
      </c>
      <c r="N392" s="3">
        <v>26.92</v>
      </c>
      <c r="O392" s="3">
        <v>124.0</v>
      </c>
      <c r="P392" s="4"/>
      <c r="Q392" s="3" t="s">
        <v>122</v>
      </c>
      <c r="R392" s="3">
        <v>25.74</v>
      </c>
      <c r="S392" s="27">
        <v>124.0</v>
      </c>
      <c r="T392" s="4"/>
      <c r="U392" s="4"/>
      <c r="V392" s="4"/>
      <c r="W392" s="4"/>
      <c r="X392" s="4"/>
      <c r="Y392" s="4"/>
      <c r="Z392" s="4"/>
    </row>
    <row r="393" ht="12.75" customHeight="1">
      <c r="A393" s="3" t="s">
        <v>122</v>
      </c>
      <c r="B393" s="3">
        <v>25.45</v>
      </c>
      <c r="C393" s="3">
        <v>125.0</v>
      </c>
      <c r="D393" s="4"/>
      <c r="E393" s="3" t="s">
        <v>170</v>
      </c>
      <c r="F393" s="3">
        <v>25.37</v>
      </c>
      <c r="G393" s="3">
        <v>125.0</v>
      </c>
      <c r="H393" s="4"/>
      <c r="I393" s="3" t="s">
        <v>181</v>
      </c>
      <c r="J393" s="3">
        <v>24.94</v>
      </c>
      <c r="K393" s="3">
        <v>125.0</v>
      </c>
      <c r="L393" s="4"/>
      <c r="M393" s="3" t="s">
        <v>122</v>
      </c>
      <c r="N393" s="3">
        <v>25.72</v>
      </c>
      <c r="O393" s="3">
        <v>125.0</v>
      </c>
      <c r="P393" s="4"/>
      <c r="Q393" s="3" t="s">
        <v>181</v>
      </c>
      <c r="R393" s="3">
        <v>25.17</v>
      </c>
      <c r="S393" s="27">
        <v>125.0</v>
      </c>
      <c r="T393" s="4"/>
      <c r="U393" s="4"/>
      <c r="V393" s="4"/>
      <c r="W393" s="4"/>
      <c r="X393" s="4"/>
      <c r="Y393" s="4"/>
      <c r="Z393" s="4"/>
    </row>
    <row r="394" ht="12.75" customHeight="1">
      <c r="A394" s="3" t="s">
        <v>170</v>
      </c>
      <c r="B394" s="3">
        <v>24.77</v>
      </c>
      <c r="C394" s="3">
        <v>126.0</v>
      </c>
      <c r="D394" s="4"/>
      <c r="E394" s="3" t="s">
        <v>128</v>
      </c>
      <c r="F394" s="3">
        <v>24.93</v>
      </c>
      <c r="G394" s="3">
        <v>126.0</v>
      </c>
      <c r="H394" s="4"/>
      <c r="I394" s="3" t="s">
        <v>170</v>
      </c>
      <c r="J394" s="3">
        <v>24.76</v>
      </c>
      <c r="K394" s="3">
        <v>126.0</v>
      </c>
      <c r="L394" s="4"/>
      <c r="M394" s="3" t="s">
        <v>181</v>
      </c>
      <c r="N394" s="3">
        <v>25.6</v>
      </c>
      <c r="O394" s="3">
        <v>126.0</v>
      </c>
      <c r="P394" s="4"/>
      <c r="Q394" s="3" t="s">
        <v>140</v>
      </c>
      <c r="R394" s="3">
        <v>22.36</v>
      </c>
      <c r="S394" s="27">
        <v>126.0</v>
      </c>
      <c r="T394" s="4"/>
      <c r="U394" s="4"/>
      <c r="V394" s="4"/>
      <c r="W394" s="4"/>
      <c r="X394" s="4"/>
      <c r="Y394" s="4"/>
      <c r="Z394" s="4"/>
    </row>
    <row r="395" ht="12.75" customHeight="1">
      <c r="A395" s="3" t="s">
        <v>140</v>
      </c>
      <c r="B395" s="3">
        <v>24.32</v>
      </c>
      <c r="C395" s="3">
        <v>127.0</v>
      </c>
      <c r="D395" s="4"/>
      <c r="E395" s="3" t="s">
        <v>140</v>
      </c>
      <c r="F395" s="3">
        <v>24.38</v>
      </c>
      <c r="G395" s="3">
        <v>127.0</v>
      </c>
      <c r="H395" s="4"/>
      <c r="I395" s="3" t="s">
        <v>140</v>
      </c>
      <c r="J395" s="3">
        <v>24.61</v>
      </c>
      <c r="K395" s="3">
        <v>127.0</v>
      </c>
      <c r="L395" s="4"/>
      <c r="M395" s="3" t="s">
        <v>140</v>
      </c>
      <c r="N395" s="3">
        <v>25.45</v>
      </c>
      <c r="O395" s="3">
        <v>127.0</v>
      </c>
      <c r="P395" s="4"/>
      <c r="Q395" s="3" t="s">
        <v>110</v>
      </c>
      <c r="R395" s="3">
        <v>21.45</v>
      </c>
      <c r="S395" s="27">
        <v>127.0</v>
      </c>
      <c r="T395" s="4"/>
      <c r="U395" s="4"/>
      <c r="V395" s="4"/>
      <c r="W395" s="4"/>
      <c r="X395" s="4"/>
      <c r="Y395" s="4"/>
      <c r="Z395" s="4"/>
    </row>
    <row r="396" ht="12.75" customHeight="1">
      <c r="A396" s="3" t="s">
        <v>192</v>
      </c>
      <c r="B396" s="3">
        <v>19.57</v>
      </c>
      <c r="C396" s="3">
        <v>128.0</v>
      </c>
      <c r="D396" s="4"/>
      <c r="E396" s="3" t="s">
        <v>192</v>
      </c>
      <c r="F396" s="3">
        <v>19.54</v>
      </c>
      <c r="G396" s="3">
        <v>128.0</v>
      </c>
      <c r="H396" s="4"/>
      <c r="I396" s="3" t="s">
        <v>192</v>
      </c>
      <c r="J396" s="3">
        <v>19.59</v>
      </c>
      <c r="K396" s="3">
        <v>128.0</v>
      </c>
      <c r="L396" s="4"/>
      <c r="M396" s="3" t="s">
        <v>192</v>
      </c>
      <c r="N396" s="3">
        <v>21.27</v>
      </c>
      <c r="O396" s="3">
        <v>128.0</v>
      </c>
      <c r="P396" s="4"/>
      <c r="Q396" s="3" t="s">
        <v>192</v>
      </c>
      <c r="R396" s="3">
        <v>21.32</v>
      </c>
      <c r="S396" s="27">
        <v>128.0</v>
      </c>
      <c r="T396" s="4"/>
      <c r="U396" s="4"/>
      <c r="V396" s="4"/>
      <c r="W396" s="4"/>
      <c r="X396" s="4"/>
      <c r="Y396" s="4"/>
      <c r="Z396" s="4"/>
    </row>
    <row r="397" ht="12.75" customHeight="1">
      <c r="A397" s="3" t="s">
        <v>123</v>
      </c>
      <c r="B397" s="3">
        <v>12.01</v>
      </c>
      <c r="C397" s="3">
        <v>129.0</v>
      </c>
      <c r="D397" s="4"/>
      <c r="E397" s="3" t="s">
        <v>123</v>
      </c>
      <c r="F397" s="3">
        <v>12.09</v>
      </c>
      <c r="G397" s="3">
        <v>129.0</v>
      </c>
      <c r="H397" s="4"/>
      <c r="I397" s="3" t="s">
        <v>43</v>
      </c>
      <c r="J397" s="3">
        <v>14.67</v>
      </c>
      <c r="K397" s="3">
        <v>129.0</v>
      </c>
      <c r="L397" s="4"/>
      <c r="M397" s="3" t="s">
        <v>123</v>
      </c>
      <c r="N397" s="3">
        <v>14.31</v>
      </c>
      <c r="O397" s="3">
        <v>129.0</v>
      </c>
      <c r="P397" s="4"/>
      <c r="Q397" s="3" t="s">
        <v>123</v>
      </c>
      <c r="R397" s="3">
        <v>14.31</v>
      </c>
      <c r="S397" s="27">
        <v>129.0</v>
      </c>
      <c r="T397" s="4"/>
      <c r="U397" s="4"/>
      <c r="V397" s="4"/>
      <c r="W397" s="4"/>
      <c r="X397" s="4"/>
      <c r="Y397" s="4"/>
      <c r="Z397" s="4"/>
    </row>
    <row r="398" ht="12.75" customHeight="1">
      <c r="A398" s="3" t="s">
        <v>43</v>
      </c>
      <c r="B398" s="3">
        <v>11.65</v>
      </c>
      <c r="C398" s="3">
        <v>130.0</v>
      </c>
      <c r="D398" s="4"/>
      <c r="E398" s="3" t="s">
        <v>43</v>
      </c>
      <c r="F398" s="3">
        <v>11.59</v>
      </c>
      <c r="G398" s="3">
        <v>130.0</v>
      </c>
      <c r="H398" s="4"/>
      <c r="I398" s="3" t="s">
        <v>123</v>
      </c>
      <c r="J398" s="3">
        <v>12.06</v>
      </c>
      <c r="K398" s="3">
        <v>130.0</v>
      </c>
      <c r="L398" s="4"/>
      <c r="M398" s="3" t="s">
        <v>43</v>
      </c>
      <c r="N398" s="3">
        <v>13.82</v>
      </c>
      <c r="O398" s="3">
        <v>130.0</v>
      </c>
      <c r="P398" s="4"/>
      <c r="Q398" s="3" t="s">
        <v>43</v>
      </c>
      <c r="R398" s="3">
        <v>11.81</v>
      </c>
      <c r="S398" s="27">
        <v>130.0</v>
      </c>
      <c r="T398" s="4"/>
      <c r="U398" s="4"/>
      <c r="V398" s="4"/>
      <c r="W398" s="4"/>
      <c r="X398" s="4"/>
      <c r="Y398" s="4"/>
      <c r="Z398" s="4"/>
    </row>
    <row r="399" ht="12.75" customHeight="1">
      <c r="A399" s="28"/>
      <c r="B399" s="28"/>
      <c r="C399" s="28"/>
      <c r="D399" s="4"/>
      <c r="E399" s="28"/>
      <c r="F399" s="28"/>
      <c r="G399" s="28"/>
      <c r="H399" s="4"/>
      <c r="I399" s="28"/>
      <c r="J399" s="28"/>
      <c r="K399" s="28"/>
      <c r="L399" s="4"/>
      <c r="M399" s="28"/>
      <c r="N399" s="28"/>
      <c r="O399" s="28"/>
      <c r="P399" s="4"/>
      <c r="Q399" s="28"/>
      <c r="R399" s="28"/>
      <c r="S399" s="28"/>
      <c r="T399" s="4"/>
      <c r="U399" s="4"/>
      <c r="V399" s="4"/>
      <c r="W399" s="4"/>
      <c r="X399" s="4"/>
      <c r="Y399" s="4"/>
      <c r="Z399" s="4"/>
    </row>
    <row r="400" ht="12.75" customHeight="1">
      <c r="A400" s="26" t="s">
        <v>0</v>
      </c>
      <c r="B400" s="27">
        <v>16.0</v>
      </c>
      <c r="C400" s="28">
        <v>2020.0</v>
      </c>
      <c r="D400" s="4"/>
      <c r="E400" s="26" t="s">
        <v>0</v>
      </c>
      <c r="F400" s="27">
        <v>0.0</v>
      </c>
      <c r="G400" s="28">
        <v>2020.0</v>
      </c>
      <c r="H400" s="4"/>
      <c r="I400" s="28"/>
      <c r="J400" s="28"/>
      <c r="K400" s="28"/>
      <c r="L400" s="4"/>
      <c r="M400" s="28"/>
      <c r="N400" s="28"/>
      <c r="O400" s="28"/>
      <c r="P400" s="4"/>
      <c r="Q400" s="28"/>
      <c r="R400" s="28"/>
      <c r="S400" s="28"/>
      <c r="T400" s="4"/>
      <c r="U400" s="4"/>
      <c r="V400" s="4"/>
      <c r="W400" s="4"/>
      <c r="X400" s="4"/>
      <c r="Y400" s="4"/>
      <c r="Z400" s="4"/>
    </row>
    <row r="401" ht="12.75" customHeight="1">
      <c r="A401" s="29" t="s">
        <v>8</v>
      </c>
      <c r="B401" s="29" t="s">
        <v>9</v>
      </c>
      <c r="C401" s="29" t="s">
        <v>10</v>
      </c>
      <c r="D401" s="4"/>
      <c r="E401" s="29" t="s">
        <v>8</v>
      </c>
      <c r="F401" s="29" t="s">
        <v>9</v>
      </c>
      <c r="G401" s="29" t="s">
        <v>10</v>
      </c>
      <c r="H401" s="4"/>
      <c r="I401" s="28"/>
      <c r="J401" s="28"/>
      <c r="K401" s="28"/>
      <c r="L401" s="4"/>
      <c r="M401" s="28"/>
      <c r="N401" s="28"/>
      <c r="O401" s="28"/>
      <c r="P401" s="4"/>
      <c r="Q401" s="28"/>
      <c r="R401" s="28"/>
      <c r="S401" s="28"/>
      <c r="T401" s="4"/>
      <c r="U401" s="4"/>
      <c r="V401" s="4"/>
      <c r="W401" s="4"/>
      <c r="X401" s="4"/>
      <c r="Y401" s="4"/>
      <c r="Z401" s="4"/>
    </row>
    <row r="402" ht="12.75" customHeight="1">
      <c r="A402" s="3" t="s">
        <v>23</v>
      </c>
      <c r="B402" s="3">
        <v>96.44</v>
      </c>
      <c r="C402" s="27">
        <v>1.0</v>
      </c>
      <c r="D402" s="4"/>
      <c r="E402" s="27" t="s">
        <v>18</v>
      </c>
      <c r="F402" s="27">
        <v>39.13</v>
      </c>
      <c r="G402" s="27">
        <v>1.0</v>
      </c>
      <c r="H402" s="4"/>
      <c r="I402" s="28"/>
      <c r="J402" s="28"/>
      <c r="K402" s="28"/>
      <c r="L402" s="4"/>
      <c r="M402" s="28"/>
      <c r="N402" s="28"/>
      <c r="O402" s="28"/>
      <c r="P402" s="4"/>
      <c r="Q402" s="28"/>
      <c r="R402" s="28"/>
      <c r="S402" s="28"/>
      <c r="T402" s="4"/>
      <c r="U402" s="4"/>
      <c r="V402" s="4"/>
      <c r="W402" s="4"/>
      <c r="X402" s="4"/>
      <c r="Y402" s="4"/>
      <c r="Z402" s="4"/>
    </row>
    <row r="403" ht="12.75" customHeight="1">
      <c r="A403" s="3" t="s">
        <v>26</v>
      </c>
      <c r="B403" s="3">
        <v>89.67</v>
      </c>
      <c r="C403" s="27">
        <v>2.0</v>
      </c>
      <c r="D403" s="4"/>
      <c r="E403" s="27" t="s">
        <v>26</v>
      </c>
      <c r="F403" s="27">
        <v>38.65</v>
      </c>
      <c r="G403" s="27">
        <v>2.0</v>
      </c>
      <c r="H403" s="4"/>
      <c r="I403" s="28"/>
      <c r="J403" s="28"/>
      <c r="K403" s="28"/>
      <c r="L403" s="4"/>
      <c r="M403" s="28"/>
      <c r="N403" s="28"/>
      <c r="O403" s="28"/>
      <c r="P403" s="4"/>
      <c r="Q403" s="28"/>
      <c r="R403" s="28"/>
      <c r="S403" s="28"/>
      <c r="T403" s="4"/>
      <c r="U403" s="4"/>
      <c r="V403" s="4"/>
      <c r="W403" s="4"/>
      <c r="X403" s="4"/>
      <c r="Y403" s="4"/>
      <c r="Z403" s="4"/>
    </row>
    <row r="404" ht="12.75" customHeight="1">
      <c r="A404" s="3" t="s">
        <v>18</v>
      </c>
      <c r="B404" s="3">
        <v>89.42</v>
      </c>
      <c r="C404" s="27">
        <v>3.0</v>
      </c>
      <c r="D404" s="4"/>
      <c r="E404" s="27" t="s">
        <v>23</v>
      </c>
      <c r="F404" s="27">
        <v>37.52</v>
      </c>
      <c r="G404" s="27">
        <v>3.0</v>
      </c>
      <c r="H404" s="4"/>
      <c r="I404" s="28"/>
      <c r="J404" s="28"/>
      <c r="K404" s="28"/>
      <c r="L404" s="4"/>
      <c r="M404" s="28"/>
      <c r="N404" s="28"/>
      <c r="O404" s="28"/>
      <c r="P404" s="4"/>
      <c r="Q404" s="28"/>
      <c r="R404" s="28"/>
      <c r="S404" s="28"/>
      <c r="T404" s="4"/>
      <c r="U404" s="4"/>
      <c r="V404" s="4"/>
      <c r="W404" s="4"/>
      <c r="X404" s="4"/>
      <c r="Y404" s="4"/>
      <c r="Z404" s="4"/>
    </row>
    <row r="405" ht="12.75" customHeight="1">
      <c r="A405" s="3" t="s">
        <v>79</v>
      </c>
      <c r="B405" s="3">
        <v>83.93</v>
      </c>
      <c r="C405" s="27">
        <v>4.0</v>
      </c>
      <c r="D405" s="4"/>
      <c r="E405" s="27" t="s">
        <v>33</v>
      </c>
      <c r="F405" s="27">
        <v>35.27</v>
      </c>
      <c r="G405" s="27">
        <v>4.0</v>
      </c>
      <c r="H405" s="4"/>
      <c r="I405" s="28"/>
      <c r="J405" s="28"/>
      <c r="K405" s="28"/>
      <c r="L405" s="4"/>
      <c r="M405" s="28"/>
      <c r="N405" s="28"/>
      <c r="O405" s="28"/>
      <c r="P405" s="4"/>
      <c r="Q405" s="28"/>
      <c r="R405" s="28"/>
      <c r="S405" s="28"/>
      <c r="T405" s="4"/>
      <c r="U405" s="4"/>
      <c r="V405" s="4"/>
      <c r="W405" s="4"/>
      <c r="X405" s="4"/>
      <c r="Y405" s="4"/>
      <c r="Z405" s="4"/>
    </row>
    <row r="406" ht="12.75" customHeight="1">
      <c r="A406" s="3" t="s">
        <v>100</v>
      </c>
      <c r="B406" s="3">
        <v>83.31</v>
      </c>
      <c r="C406" s="27">
        <v>5.0</v>
      </c>
      <c r="D406" s="4"/>
      <c r="E406" s="27" t="s">
        <v>51</v>
      </c>
      <c r="F406" s="27">
        <v>34.85</v>
      </c>
      <c r="G406" s="27">
        <v>5.0</v>
      </c>
      <c r="H406" s="4"/>
      <c r="I406" s="28"/>
      <c r="J406" s="28"/>
      <c r="K406" s="28"/>
      <c r="L406" s="4"/>
      <c r="M406" s="28"/>
      <c r="N406" s="28"/>
      <c r="O406" s="28"/>
      <c r="P406" s="4"/>
      <c r="Q406" s="28"/>
      <c r="R406" s="28"/>
      <c r="S406" s="28"/>
      <c r="T406" s="4"/>
      <c r="U406" s="4"/>
      <c r="V406" s="4"/>
      <c r="W406" s="4"/>
      <c r="X406" s="4"/>
      <c r="Y406" s="4"/>
      <c r="Z406" s="4"/>
    </row>
    <row r="407" ht="12.75" customHeight="1">
      <c r="A407" s="3" t="s">
        <v>69</v>
      </c>
      <c r="B407" s="3">
        <v>82.18</v>
      </c>
      <c r="C407" s="27">
        <v>6.0</v>
      </c>
      <c r="D407" s="4"/>
      <c r="E407" s="27" t="s">
        <v>53</v>
      </c>
      <c r="F407" s="27">
        <v>34.36</v>
      </c>
      <c r="G407" s="27">
        <v>6.0</v>
      </c>
      <c r="H407" s="4"/>
      <c r="I407" s="28"/>
      <c r="J407" s="28"/>
      <c r="K407" s="28"/>
      <c r="L407" s="4"/>
      <c r="M407" s="28"/>
      <c r="N407" s="28"/>
      <c r="O407" s="28"/>
      <c r="P407" s="4"/>
      <c r="Q407" s="28"/>
      <c r="R407" s="28"/>
      <c r="S407" s="28"/>
      <c r="T407" s="4"/>
      <c r="U407" s="4"/>
      <c r="V407" s="4"/>
      <c r="W407" s="4"/>
      <c r="X407" s="4"/>
      <c r="Y407" s="4"/>
      <c r="Z407" s="4"/>
    </row>
    <row r="408" ht="12.75" customHeight="1">
      <c r="A408" s="3" t="s">
        <v>28</v>
      </c>
      <c r="B408" s="3">
        <v>80.52</v>
      </c>
      <c r="C408" s="27">
        <v>7.0</v>
      </c>
      <c r="D408" s="4"/>
      <c r="E408" s="27" t="s">
        <v>57</v>
      </c>
      <c r="F408" s="27">
        <v>32.99</v>
      </c>
      <c r="G408" s="27">
        <v>7.0</v>
      </c>
      <c r="H408" s="4"/>
      <c r="I408" s="28"/>
      <c r="J408" s="28"/>
      <c r="K408" s="28"/>
      <c r="L408" s="4"/>
      <c r="M408" s="28"/>
      <c r="N408" s="28"/>
      <c r="O408" s="28"/>
      <c r="P408" s="4"/>
      <c r="Q408" s="28"/>
      <c r="R408" s="28"/>
      <c r="S408" s="28"/>
      <c r="T408" s="4"/>
      <c r="U408" s="4"/>
      <c r="V408" s="4"/>
      <c r="W408" s="4"/>
      <c r="X408" s="4"/>
      <c r="Y408" s="4"/>
      <c r="Z408" s="4"/>
    </row>
    <row r="409" ht="12.75" customHeight="1">
      <c r="A409" s="3" t="s">
        <v>174</v>
      </c>
      <c r="B409" s="3">
        <v>79.2</v>
      </c>
      <c r="C409" s="27">
        <v>8.0</v>
      </c>
      <c r="D409" s="4"/>
      <c r="E409" s="27" t="s">
        <v>48</v>
      </c>
      <c r="F409" s="27">
        <v>32.54</v>
      </c>
      <c r="G409" s="27">
        <v>8.0</v>
      </c>
      <c r="H409" s="4"/>
      <c r="I409" s="28"/>
      <c r="J409" s="28"/>
      <c r="K409" s="28"/>
      <c r="L409" s="4"/>
      <c r="M409" s="28"/>
      <c r="N409" s="28"/>
      <c r="O409" s="28"/>
      <c r="P409" s="4"/>
      <c r="Q409" s="28"/>
      <c r="R409" s="28"/>
      <c r="S409" s="28"/>
      <c r="T409" s="4"/>
      <c r="U409" s="4"/>
      <c r="V409" s="4"/>
      <c r="W409" s="4"/>
      <c r="X409" s="4"/>
      <c r="Y409" s="4"/>
      <c r="Z409" s="4"/>
    </row>
    <row r="410" ht="12.75" customHeight="1">
      <c r="A410" s="3" t="s">
        <v>51</v>
      </c>
      <c r="B410" s="3">
        <v>78.39</v>
      </c>
      <c r="C410" s="27">
        <v>9.0</v>
      </c>
      <c r="D410" s="4"/>
      <c r="E410" s="27" t="s">
        <v>62</v>
      </c>
      <c r="F410" s="27">
        <v>32.28</v>
      </c>
      <c r="G410" s="27">
        <v>9.0</v>
      </c>
      <c r="H410" s="4"/>
      <c r="I410" s="28"/>
      <c r="J410" s="28"/>
      <c r="K410" s="28"/>
      <c r="L410" s="4"/>
      <c r="M410" s="28"/>
      <c r="N410" s="28"/>
      <c r="O410" s="28"/>
      <c r="P410" s="4"/>
      <c r="Q410" s="28"/>
      <c r="R410" s="28"/>
      <c r="S410" s="28"/>
      <c r="T410" s="4"/>
      <c r="U410" s="4"/>
      <c r="V410" s="4"/>
      <c r="W410" s="4"/>
      <c r="X410" s="4"/>
      <c r="Y410" s="4"/>
      <c r="Z410" s="4"/>
    </row>
    <row r="411" ht="12.75" customHeight="1">
      <c r="A411" s="3" t="s">
        <v>33</v>
      </c>
      <c r="B411" s="3">
        <v>75.64</v>
      </c>
      <c r="C411" s="27">
        <v>10.0</v>
      </c>
      <c r="D411" s="4"/>
      <c r="E411" s="27" t="s">
        <v>28</v>
      </c>
      <c r="F411" s="27">
        <v>30.22</v>
      </c>
      <c r="G411" s="27">
        <v>10.0</v>
      </c>
      <c r="H411" s="4"/>
      <c r="I411" s="28"/>
      <c r="J411" s="28"/>
      <c r="K411" s="28"/>
      <c r="L411" s="4"/>
      <c r="M411" s="28"/>
      <c r="N411" s="28"/>
      <c r="O411" s="28"/>
      <c r="P411" s="4"/>
      <c r="Q411" s="28"/>
      <c r="R411" s="28"/>
      <c r="S411" s="28"/>
      <c r="T411" s="4"/>
      <c r="U411" s="4"/>
      <c r="V411" s="4"/>
      <c r="W411" s="4"/>
      <c r="X411" s="4"/>
      <c r="Y411" s="4"/>
      <c r="Z411" s="4"/>
    </row>
    <row r="412" ht="12.75" customHeight="1">
      <c r="A412" s="3" t="s">
        <v>48</v>
      </c>
      <c r="B412" s="3">
        <v>72.89</v>
      </c>
      <c r="C412" s="27">
        <v>11.0</v>
      </c>
      <c r="D412" s="4"/>
      <c r="E412" s="27" t="s">
        <v>64</v>
      </c>
      <c r="F412" s="27">
        <v>28.28</v>
      </c>
      <c r="G412" s="27">
        <v>11.0</v>
      </c>
      <c r="H412" s="4"/>
      <c r="I412" s="28"/>
      <c r="J412" s="28"/>
      <c r="K412" s="28"/>
      <c r="L412" s="4"/>
      <c r="M412" s="28"/>
      <c r="N412" s="28"/>
      <c r="O412" s="28"/>
      <c r="P412" s="4"/>
      <c r="Q412" s="28"/>
      <c r="R412" s="28"/>
      <c r="S412" s="28"/>
      <c r="T412" s="4"/>
      <c r="U412" s="4"/>
      <c r="V412" s="4"/>
      <c r="W412" s="4"/>
      <c r="X412" s="4"/>
      <c r="Y412" s="4"/>
      <c r="Z412" s="4"/>
    </row>
    <row r="413" ht="12.75" customHeight="1">
      <c r="A413" s="3" t="s">
        <v>58</v>
      </c>
      <c r="B413" s="3">
        <v>72.04</v>
      </c>
      <c r="C413" s="27">
        <v>12.0</v>
      </c>
      <c r="D413" s="4"/>
      <c r="E413" s="27" t="s">
        <v>74</v>
      </c>
      <c r="F413" s="27">
        <v>27.98</v>
      </c>
      <c r="G413" s="27">
        <v>12.0</v>
      </c>
      <c r="H413" s="4"/>
      <c r="I413" s="28"/>
      <c r="J413" s="28"/>
      <c r="K413" s="28"/>
      <c r="L413" s="4"/>
      <c r="M413" s="28"/>
      <c r="N413" s="28"/>
      <c r="O413" s="28"/>
      <c r="P413" s="4"/>
      <c r="Q413" s="28"/>
      <c r="R413" s="28"/>
      <c r="S413" s="28"/>
      <c r="T413" s="4"/>
      <c r="U413" s="4"/>
      <c r="V413" s="4"/>
      <c r="W413" s="4"/>
      <c r="X413" s="4"/>
      <c r="Y413" s="4"/>
      <c r="Z413" s="4"/>
    </row>
    <row r="414" ht="12.75" customHeight="1">
      <c r="A414" s="3" t="s">
        <v>97</v>
      </c>
      <c r="B414" s="3">
        <v>71.61</v>
      </c>
      <c r="C414" s="27">
        <v>13.0</v>
      </c>
      <c r="D414" s="4"/>
      <c r="E414" s="27" t="s">
        <v>79</v>
      </c>
      <c r="F414" s="27">
        <v>26.76</v>
      </c>
      <c r="G414" s="27">
        <v>13.0</v>
      </c>
      <c r="H414" s="4"/>
      <c r="I414" s="28"/>
      <c r="J414" s="28"/>
      <c r="K414" s="28"/>
      <c r="L414" s="4"/>
      <c r="M414" s="28"/>
      <c r="N414" s="28"/>
      <c r="O414" s="28"/>
      <c r="P414" s="4"/>
      <c r="Q414" s="28"/>
      <c r="R414" s="28"/>
      <c r="S414" s="28"/>
      <c r="T414" s="4"/>
      <c r="U414" s="4"/>
      <c r="V414" s="4"/>
      <c r="W414" s="4"/>
      <c r="X414" s="4"/>
      <c r="Y414" s="4"/>
      <c r="Z414" s="4"/>
    </row>
    <row r="415" ht="12.75" customHeight="1">
      <c r="A415" s="3" t="s">
        <v>92</v>
      </c>
      <c r="B415" s="3">
        <v>69.88</v>
      </c>
      <c r="C415" s="27">
        <v>14.0</v>
      </c>
      <c r="D415" s="4"/>
      <c r="E415" s="27" t="s">
        <v>46</v>
      </c>
      <c r="F415" s="27">
        <v>25.47</v>
      </c>
      <c r="G415" s="27">
        <v>14.0</v>
      </c>
      <c r="H415" s="4"/>
      <c r="I415" s="28"/>
      <c r="J415" s="28"/>
      <c r="K415" s="28"/>
      <c r="L415" s="4"/>
      <c r="M415" s="28"/>
      <c r="N415" s="28"/>
      <c r="O415" s="28"/>
      <c r="P415" s="4"/>
      <c r="Q415" s="28"/>
      <c r="R415" s="28"/>
      <c r="S415" s="28"/>
      <c r="T415" s="4"/>
      <c r="U415" s="4"/>
      <c r="V415" s="4"/>
      <c r="W415" s="4"/>
      <c r="X415" s="4"/>
      <c r="Y415" s="4"/>
      <c r="Z415" s="4"/>
    </row>
    <row r="416" ht="12.75" customHeight="1">
      <c r="A416" s="3" t="s">
        <v>38</v>
      </c>
      <c r="B416" s="3">
        <v>67.97</v>
      </c>
      <c r="C416" s="27">
        <v>15.0</v>
      </c>
      <c r="D416" s="4"/>
      <c r="E416" s="27" t="s">
        <v>87</v>
      </c>
      <c r="F416" s="27">
        <v>24.51</v>
      </c>
      <c r="G416" s="27">
        <v>15.0</v>
      </c>
      <c r="H416" s="4"/>
      <c r="I416" s="28"/>
      <c r="J416" s="28"/>
      <c r="K416" s="28"/>
      <c r="L416" s="4"/>
      <c r="M416" s="28"/>
      <c r="N416" s="28"/>
      <c r="O416" s="28"/>
      <c r="P416" s="4"/>
      <c r="Q416" s="28"/>
      <c r="R416" s="28"/>
      <c r="S416" s="28"/>
      <c r="T416" s="4"/>
      <c r="U416" s="4"/>
      <c r="V416" s="4"/>
      <c r="W416" s="4"/>
      <c r="X416" s="4"/>
      <c r="Y416" s="4"/>
      <c r="Z416" s="4"/>
    </row>
    <row r="417" ht="12.75" customHeight="1">
      <c r="A417" s="3" t="s">
        <v>189</v>
      </c>
      <c r="B417" s="3">
        <v>67.77</v>
      </c>
      <c r="C417" s="27">
        <v>16.0</v>
      </c>
      <c r="D417" s="4"/>
      <c r="E417" s="27" t="s">
        <v>55</v>
      </c>
      <c r="F417" s="27">
        <v>23.83</v>
      </c>
      <c r="G417" s="27">
        <v>16.0</v>
      </c>
      <c r="H417" s="4"/>
      <c r="I417" s="28"/>
      <c r="J417" s="28"/>
      <c r="K417" s="28"/>
      <c r="L417" s="4"/>
      <c r="M417" s="28"/>
      <c r="N417" s="28"/>
      <c r="O417" s="28"/>
      <c r="P417" s="4"/>
      <c r="Q417" s="28"/>
      <c r="R417" s="28"/>
      <c r="S417" s="28"/>
      <c r="T417" s="4"/>
      <c r="U417" s="4"/>
      <c r="V417" s="4"/>
      <c r="W417" s="4"/>
      <c r="X417" s="4"/>
      <c r="Y417" s="4"/>
      <c r="Z417" s="4"/>
    </row>
    <row r="418" ht="12.75" customHeight="1">
      <c r="A418" s="3" t="s">
        <v>73</v>
      </c>
      <c r="B418" s="3">
        <v>66.98</v>
      </c>
      <c r="C418" s="27">
        <v>17.0</v>
      </c>
      <c r="D418" s="4"/>
      <c r="E418" s="27" t="s">
        <v>90</v>
      </c>
      <c r="F418" s="27">
        <v>22.62</v>
      </c>
      <c r="G418" s="27">
        <v>17.0</v>
      </c>
      <c r="H418" s="4"/>
      <c r="I418" s="28"/>
      <c r="J418" s="28"/>
      <c r="K418" s="28"/>
      <c r="L418" s="4"/>
      <c r="M418" s="28"/>
      <c r="N418" s="28"/>
      <c r="O418" s="28"/>
      <c r="P418" s="4"/>
      <c r="Q418" s="28"/>
      <c r="R418" s="28"/>
      <c r="S418" s="28"/>
      <c r="T418" s="4"/>
      <c r="U418" s="4"/>
      <c r="V418" s="4"/>
      <c r="W418" s="4"/>
      <c r="X418" s="4"/>
      <c r="Y418" s="4"/>
      <c r="Z418" s="4"/>
    </row>
    <row r="419" ht="12.75" customHeight="1">
      <c r="A419" s="3" t="s">
        <v>40</v>
      </c>
      <c r="B419" s="3">
        <v>63.57</v>
      </c>
      <c r="C419" s="27">
        <v>18.0</v>
      </c>
      <c r="D419" s="4"/>
      <c r="E419" s="27" t="s">
        <v>91</v>
      </c>
      <c r="F419" s="27">
        <v>21.64</v>
      </c>
      <c r="G419" s="27">
        <v>18.0</v>
      </c>
      <c r="H419" s="4"/>
      <c r="I419" s="28"/>
      <c r="J419" s="28"/>
      <c r="K419" s="28"/>
      <c r="L419" s="4"/>
      <c r="M419" s="28"/>
      <c r="N419" s="28"/>
      <c r="O419" s="28"/>
      <c r="P419" s="4"/>
      <c r="Q419" s="28"/>
      <c r="R419" s="28"/>
      <c r="S419" s="28"/>
      <c r="T419" s="4"/>
      <c r="U419" s="4"/>
      <c r="V419" s="4"/>
      <c r="W419" s="4"/>
      <c r="X419" s="4"/>
      <c r="Y419" s="4"/>
      <c r="Z419" s="4"/>
    </row>
    <row r="420" ht="12.75" customHeight="1">
      <c r="A420" s="3" t="s">
        <v>90</v>
      </c>
      <c r="B420" s="3">
        <v>62.17</v>
      </c>
      <c r="C420" s="27">
        <v>19.0</v>
      </c>
      <c r="D420" s="4"/>
      <c r="E420" s="27" t="s">
        <v>38</v>
      </c>
      <c r="F420" s="27">
        <v>21.42</v>
      </c>
      <c r="G420" s="27">
        <v>19.0</v>
      </c>
      <c r="H420" s="4"/>
      <c r="I420" s="28"/>
      <c r="J420" s="28"/>
      <c r="K420" s="28"/>
      <c r="L420" s="4"/>
      <c r="M420" s="28"/>
      <c r="N420" s="28"/>
      <c r="O420" s="28"/>
      <c r="P420" s="4"/>
      <c r="Q420" s="28"/>
      <c r="R420" s="28"/>
      <c r="S420" s="28"/>
      <c r="T420" s="4"/>
      <c r="U420" s="4"/>
      <c r="V420" s="4"/>
      <c r="W420" s="4"/>
      <c r="X420" s="4"/>
      <c r="Y420" s="4"/>
      <c r="Z420" s="4"/>
    </row>
    <row r="421" ht="12.75" customHeight="1">
      <c r="A421" s="3" t="s">
        <v>182</v>
      </c>
      <c r="B421" s="3">
        <v>61.63</v>
      </c>
      <c r="C421" s="27">
        <v>20.0</v>
      </c>
      <c r="D421" s="4"/>
      <c r="E421" s="27" t="s">
        <v>69</v>
      </c>
      <c r="F421" s="27">
        <v>17.93</v>
      </c>
      <c r="G421" s="27">
        <v>20.0</v>
      </c>
      <c r="H421" s="4"/>
      <c r="I421" s="28"/>
      <c r="J421" s="28"/>
      <c r="K421" s="28"/>
      <c r="L421" s="4"/>
      <c r="M421" s="28"/>
      <c r="N421" s="28"/>
      <c r="O421" s="28"/>
      <c r="P421" s="4"/>
      <c r="Q421" s="28"/>
      <c r="R421" s="28"/>
      <c r="S421" s="28"/>
      <c r="T421" s="4"/>
      <c r="U421" s="4"/>
      <c r="V421" s="4"/>
      <c r="W421" s="4"/>
      <c r="X421" s="4"/>
      <c r="Y421" s="4"/>
      <c r="Z421" s="4"/>
    </row>
    <row r="422" ht="12.75" customHeight="1">
      <c r="A422" s="3" t="s">
        <v>106</v>
      </c>
      <c r="B422" s="3">
        <v>59.47</v>
      </c>
      <c r="C422" s="27">
        <v>21.0</v>
      </c>
      <c r="D422" s="4"/>
      <c r="E422" s="27" t="s">
        <v>47</v>
      </c>
      <c r="F422" s="27">
        <v>17.92</v>
      </c>
      <c r="G422" s="27">
        <v>21.0</v>
      </c>
      <c r="H422" s="4"/>
      <c r="I422" s="28"/>
      <c r="J422" s="28"/>
      <c r="K422" s="28"/>
      <c r="L422" s="4"/>
      <c r="M422" s="28"/>
      <c r="N422" s="28"/>
      <c r="O422" s="28"/>
      <c r="P422" s="4"/>
      <c r="Q422" s="28"/>
      <c r="R422" s="28"/>
      <c r="S422" s="28"/>
      <c r="T422" s="4"/>
      <c r="U422" s="4"/>
      <c r="V422" s="4"/>
      <c r="W422" s="4"/>
      <c r="X422" s="4"/>
      <c r="Y422" s="4"/>
      <c r="Z422" s="4"/>
    </row>
    <row r="423" ht="12.75" customHeight="1">
      <c r="A423" s="3" t="s">
        <v>109</v>
      </c>
      <c r="B423" s="3">
        <v>59.43</v>
      </c>
      <c r="C423" s="27">
        <v>22.0</v>
      </c>
      <c r="D423" s="4"/>
      <c r="E423" s="27" t="s">
        <v>96</v>
      </c>
      <c r="F423" s="27">
        <v>17.85</v>
      </c>
      <c r="G423" s="27">
        <v>22.0</v>
      </c>
      <c r="H423" s="4"/>
      <c r="I423" s="28"/>
      <c r="J423" s="28"/>
      <c r="K423" s="28"/>
      <c r="L423" s="4"/>
      <c r="M423" s="28"/>
      <c r="N423" s="28"/>
      <c r="O423" s="28"/>
      <c r="P423" s="4"/>
      <c r="Q423" s="28"/>
      <c r="R423" s="28"/>
      <c r="S423" s="28"/>
      <c r="T423" s="4"/>
      <c r="U423" s="4"/>
      <c r="V423" s="4"/>
      <c r="W423" s="4"/>
      <c r="X423" s="4"/>
      <c r="Y423" s="4"/>
      <c r="Z423" s="4"/>
    </row>
    <row r="424" ht="12.75" customHeight="1">
      <c r="A424" s="3" t="s">
        <v>46</v>
      </c>
      <c r="B424" s="3">
        <v>57.83</v>
      </c>
      <c r="C424" s="27">
        <v>23.0</v>
      </c>
      <c r="D424" s="4"/>
      <c r="E424" s="27" t="s">
        <v>97</v>
      </c>
      <c r="F424" s="27">
        <v>16.71</v>
      </c>
      <c r="G424" s="27">
        <v>23.0</v>
      </c>
      <c r="H424" s="4"/>
      <c r="I424" s="28"/>
      <c r="J424" s="28"/>
      <c r="K424" s="28"/>
      <c r="L424" s="4"/>
      <c r="M424" s="28"/>
      <c r="N424" s="28"/>
      <c r="O424" s="28"/>
      <c r="P424" s="4"/>
      <c r="Q424" s="28"/>
      <c r="R424" s="28"/>
      <c r="S424" s="28"/>
      <c r="T424" s="4"/>
      <c r="U424" s="4"/>
      <c r="V424" s="4"/>
      <c r="W424" s="4"/>
      <c r="X424" s="4"/>
      <c r="Y424" s="4"/>
      <c r="Z424" s="4"/>
    </row>
    <row r="425" ht="12.75" customHeight="1">
      <c r="A425" s="3" t="s">
        <v>132</v>
      </c>
      <c r="B425" s="3">
        <v>56.96</v>
      </c>
      <c r="C425" s="27">
        <v>24.0</v>
      </c>
      <c r="D425" s="4"/>
      <c r="E425" s="27" t="s">
        <v>92</v>
      </c>
      <c r="F425" s="27">
        <v>16.64</v>
      </c>
      <c r="G425" s="27">
        <v>24.0</v>
      </c>
      <c r="H425" s="4"/>
      <c r="I425" s="28"/>
      <c r="J425" s="28"/>
      <c r="K425" s="28"/>
      <c r="L425" s="4"/>
      <c r="M425" s="28"/>
      <c r="N425" s="28"/>
      <c r="O425" s="28"/>
      <c r="P425" s="4"/>
      <c r="Q425" s="28"/>
      <c r="R425" s="28"/>
      <c r="S425" s="28"/>
      <c r="T425" s="4"/>
      <c r="U425" s="4"/>
      <c r="V425" s="4"/>
      <c r="W425" s="4"/>
      <c r="X425" s="4"/>
      <c r="Y425" s="4"/>
      <c r="Z425" s="4"/>
    </row>
    <row r="426" ht="12.75" customHeight="1">
      <c r="A426" s="3" t="s">
        <v>62</v>
      </c>
      <c r="B426" s="3">
        <v>47.81</v>
      </c>
      <c r="C426" s="27">
        <v>25.0</v>
      </c>
      <c r="D426" s="4"/>
      <c r="E426" s="27" t="s">
        <v>82</v>
      </c>
      <c r="F426" s="27">
        <v>8.12</v>
      </c>
      <c r="G426" s="27">
        <v>25.0</v>
      </c>
      <c r="H426" s="4"/>
      <c r="I426" s="28"/>
      <c r="J426" s="28"/>
      <c r="K426" s="28"/>
      <c r="L426" s="4"/>
      <c r="M426" s="28"/>
      <c r="N426" s="28"/>
      <c r="O426" s="28"/>
      <c r="P426" s="4"/>
      <c r="Q426" s="28"/>
      <c r="R426" s="28"/>
      <c r="S426" s="28"/>
      <c r="T426" s="4"/>
      <c r="U426" s="4"/>
      <c r="V426" s="4"/>
      <c r="W426" s="4"/>
      <c r="X426" s="4"/>
      <c r="Y426" s="4"/>
      <c r="Z426" s="4"/>
    </row>
    <row r="427" ht="12.75" customHeight="1">
      <c r="A427" s="3" t="s">
        <v>55</v>
      </c>
      <c r="B427" s="3">
        <v>46.68</v>
      </c>
      <c r="C427" s="27">
        <v>26.0</v>
      </c>
      <c r="D427" s="4"/>
      <c r="E427" s="27" t="s">
        <v>65</v>
      </c>
      <c r="F427" s="27">
        <v>8.03</v>
      </c>
      <c r="G427" s="27">
        <v>26.0</v>
      </c>
      <c r="H427" s="4"/>
      <c r="I427" s="28"/>
      <c r="J427" s="28"/>
      <c r="K427" s="28"/>
      <c r="L427" s="4"/>
      <c r="M427" s="28"/>
      <c r="N427" s="28"/>
      <c r="O427" s="28"/>
      <c r="P427" s="4"/>
      <c r="Q427" s="28"/>
      <c r="R427" s="28"/>
      <c r="S427" s="28"/>
      <c r="T427" s="4"/>
      <c r="U427" s="4"/>
      <c r="V427" s="4"/>
      <c r="W427" s="4"/>
      <c r="X427" s="4"/>
      <c r="Y427" s="4"/>
      <c r="Z427" s="4"/>
    </row>
    <row r="428" ht="12.75" customHeight="1">
      <c r="A428" s="3" t="s">
        <v>194</v>
      </c>
      <c r="B428" s="3">
        <v>44.37</v>
      </c>
      <c r="C428" s="27">
        <v>27.0</v>
      </c>
      <c r="D428" s="4"/>
      <c r="E428" s="27" t="s">
        <v>145</v>
      </c>
      <c r="F428" s="27">
        <v>0.0</v>
      </c>
      <c r="G428" s="27">
        <v>27.0</v>
      </c>
      <c r="H428" s="4"/>
      <c r="I428" s="28"/>
      <c r="J428" s="28"/>
      <c r="K428" s="28"/>
      <c r="L428" s="4"/>
      <c r="M428" s="28"/>
      <c r="N428" s="28"/>
      <c r="O428" s="28"/>
      <c r="P428" s="4"/>
      <c r="Q428" s="28"/>
      <c r="R428" s="28"/>
      <c r="S428" s="28"/>
      <c r="T428" s="4"/>
      <c r="U428" s="4"/>
      <c r="V428" s="4"/>
      <c r="W428" s="4"/>
      <c r="X428" s="4"/>
      <c r="Y428" s="4"/>
      <c r="Z428" s="4"/>
    </row>
    <row r="429" ht="12.75" customHeight="1">
      <c r="A429" s="3" t="s">
        <v>96</v>
      </c>
      <c r="B429" s="3">
        <v>44.13</v>
      </c>
      <c r="C429" s="27">
        <v>28.0</v>
      </c>
      <c r="D429" s="4"/>
      <c r="E429" s="27" t="s">
        <v>117</v>
      </c>
      <c r="F429" s="27">
        <v>0.0</v>
      </c>
      <c r="G429" s="27">
        <v>27.0</v>
      </c>
      <c r="H429" s="4"/>
      <c r="I429" s="28"/>
      <c r="J429" s="28"/>
      <c r="K429" s="28"/>
      <c r="L429" s="4"/>
      <c r="M429" s="28"/>
      <c r="N429" s="28"/>
      <c r="O429" s="28"/>
      <c r="P429" s="4"/>
      <c r="Q429" s="28"/>
      <c r="R429" s="28"/>
      <c r="S429" s="28"/>
      <c r="T429" s="4"/>
      <c r="U429" s="4"/>
      <c r="V429" s="4"/>
      <c r="W429" s="4"/>
      <c r="X429" s="4"/>
      <c r="Y429" s="4"/>
      <c r="Z429" s="4"/>
    </row>
    <row r="430" ht="12.75" customHeight="1">
      <c r="A430" s="3" t="s">
        <v>47</v>
      </c>
      <c r="B430" s="3">
        <v>43.65</v>
      </c>
      <c r="C430" s="27">
        <v>29.0</v>
      </c>
      <c r="D430" s="4"/>
      <c r="E430" s="27" t="s">
        <v>144</v>
      </c>
      <c r="F430" s="27">
        <v>0.0</v>
      </c>
      <c r="G430" s="27">
        <v>27.0</v>
      </c>
      <c r="H430" s="4"/>
      <c r="I430" s="28"/>
      <c r="J430" s="28"/>
      <c r="K430" s="28"/>
      <c r="L430" s="4"/>
      <c r="M430" s="28"/>
      <c r="N430" s="28"/>
      <c r="O430" s="28"/>
      <c r="P430" s="4"/>
      <c r="Q430" s="28"/>
      <c r="R430" s="28"/>
      <c r="S430" s="28"/>
      <c r="T430" s="4"/>
      <c r="U430" s="4"/>
      <c r="V430" s="4"/>
      <c r="W430" s="4"/>
      <c r="X430" s="4"/>
      <c r="Y430" s="4"/>
      <c r="Z430" s="4"/>
    </row>
    <row r="431" ht="12.75" customHeight="1">
      <c r="A431" s="3" t="s">
        <v>134</v>
      </c>
      <c r="B431" s="3">
        <v>42.43</v>
      </c>
      <c r="C431" s="27">
        <v>30.0</v>
      </c>
      <c r="D431" s="4"/>
      <c r="E431" s="27" t="s">
        <v>141</v>
      </c>
      <c r="F431" s="27">
        <v>0.0</v>
      </c>
      <c r="G431" s="27">
        <v>27.0</v>
      </c>
      <c r="H431" s="4"/>
      <c r="I431" s="28"/>
      <c r="J431" s="28"/>
      <c r="K431" s="28"/>
      <c r="L431" s="4"/>
      <c r="M431" s="28"/>
      <c r="N431" s="28"/>
      <c r="O431" s="28"/>
      <c r="P431" s="4"/>
      <c r="Q431" s="28"/>
      <c r="R431" s="28"/>
      <c r="S431" s="28"/>
      <c r="T431" s="4"/>
      <c r="U431" s="4"/>
      <c r="V431" s="4"/>
      <c r="W431" s="4"/>
      <c r="X431" s="4"/>
      <c r="Y431" s="4"/>
      <c r="Z431" s="4"/>
    </row>
    <row r="432" ht="12.75" customHeight="1">
      <c r="A432" s="3" t="s">
        <v>113</v>
      </c>
      <c r="B432" s="3">
        <v>42.06</v>
      </c>
      <c r="C432" s="27">
        <v>31.0</v>
      </c>
      <c r="D432" s="4"/>
      <c r="E432" s="27" t="s">
        <v>158</v>
      </c>
      <c r="F432" s="27">
        <v>0.0</v>
      </c>
      <c r="G432" s="27">
        <v>27.0</v>
      </c>
      <c r="H432" s="4"/>
      <c r="I432" s="28"/>
      <c r="J432" s="28"/>
      <c r="K432" s="28"/>
      <c r="L432" s="4"/>
      <c r="M432" s="28"/>
      <c r="N432" s="28"/>
      <c r="O432" s="28"/>
      <c r="P432" s="4"/>
      <c r="Q432" s="28"/>
      <c r="R432" s="28"/>
      <c r="S432" s="28"/>
      <c r="T432" s="4"/>
      <c r="U432" s="4"/>
      <c r="V432" s="4"/>
      <c r="W432" s="4"/>
      <c r="X432" s="4"/>
      <c r="Y432" s="4"/>
      <c r="Z432" s="4"/>
    </row>
    <row r="433" ht="12.75" customHeight="1">
      <c r="A433" s="3" t="s">
        <v>190</v>
      </c>
      <c r="B433" s="3">
        <v>41.7</v>
      </c>
      <c r="C433" s="27">
        <v>32.0</v>
      </c>
      <c r="D433" s="4"/>
      <c r="E433" s="27" t="s">
        <v>107</v>
      </c>
      <c r="F433" s="27">
        <v>0.0</v>
      </c>
      <c r="G433" s="27">
        <v>27.0</v>
      </c>
      <c r="H433" s="4"/>
      <c r="I433" s="28"/>
      <c r="J433" s="28"/>
      <c r="K433" s="28"/>
      <c r="L433" s="4"/>
      <c r="M433" s="28"/>
      <c r="N433" s="28"/>
      <c r="O433" s="28"/>
      <c r="P433" s="4"/>
      <c r="Q433" s="28"/>
      <c r="R433" s="28"/>
      <c r="S433" s="28"/>
      <c r="T433" s="4"/>
      <c r="U433" s="4"/>
      <c r="V433" s="4"/>
      <c r="W433" s="4"/>
      <c r="X433" s="4"/>
      <c r="Y433" s="4"/>
      <c r="Z433" s="4"/>
    </row>
    <row r="434" ht="12.75" customHeight="1">
      <c r="A434" s="3" t="s">
        <v>125</v>
      </c>
      <c r="B434" s="3">
        <v>41.57</v>
      </c>
      <c r="C434" s="27">
        <v>33.0</v>
      </c>
      <c r="D434" s="4"/>
      <c r="E434" s="27" t="s">
        <v>162</v>
      </c>
      <c r="F434" s="27">
        <v>0.0</v>
      </c>
      <c r="G434" s="27">
        <v>27.0</v>
      </c>
      <c r="H434" s="4"/>
      <c r="I434" s="28"/>
      <c r="J434" s="28"/>
      <c r="K434" s="28"/>
      <c r="L434" s="4"/>
      <c r="M434" s="28"/>
      <c r="N434" s="28"/>
      <c r="O434" s="28"/>
      <c r="P434" s="4"/>
      <c r="Q434" s="28"/>
      <c r="R434" s="28"/>
      <c r="S434" s="28"/>
      <c r="T434" s="4"/>
      <c r="U434" s="4"/>
      <c r="V434" s="4"/>
      <c r="W434" s="4"/>
      <c r="X434" s="4"/>
      <c r="Y434" s="4"/>
      <c r="Z434" s="4"/>
    </row>
    <row r="435" ht="12.75" customHeight="1">
      <c r="A435" s="3" t="s">
        <v>180</v>
      </c>
      <c r="B435" s="3">
        <v>40.83</v>
      </c>
      <c r="C435" s="27">
        <v>34.0</v>
      </c>
      <c r="D435" s="4"/>
      <c r="E435" s="27" t="s">
        <v>118</v>
      </c>
      <c r="F435" s="27">
        <v>0.0</v>
      </c>
      <c r="G435" s="27">
        <v>27.0</v>
      </c>
      <c r="H435" s="4"/>
      <c r="I435" s="28"/>
      <c r="J435" s="28"/>
      <c r="K435" s="28"/>
      <c r="L435" s="4"/>
      <c r="M435" s="28"/>
      <c r="N435" s="28"/>
      <c r="O435" s="28"/>
      <c r="P435" s="4"/>
      <c r="Q435" s="28"/>
      <c r="R435" s="28"/>
      <c r="S435" s="28"/>
      <c r="T435" s="4"/>
      <c r="U435" s="4"/>
      <c r="V435" s="4"/>
      <c r="W435" s="4"/>
      <c r="X435" s="4"/>
      <c r="Y435" s="4"/>
      <c r="Z435" s="4"/>
    </row>
    <row r="436" ht="12.75" customHeight="1">
      <c r="A436" s="3" t="s">
        <v>138</v>
      </c>
      <c r="B436" s="3">
        <v>40.69</v>
      </c>
      <c r="C436" s="27">
        <v>35.0</v>
      </c>
      <c r="D436" s="4"/>
      <c r="E436" s="27" t="s">
        <v>131</v>
      </c>
      <c r="F436" s="27">
        <v>0.0</v>
      </c>
      <c r="G436" s="27">
        <v>27.0</v>
      </c>
      <c r="H436" s="4"/>
      <c r="I436" s="28"/>
      <c r="J436" s="28"/>
      <c r="K436" s="28"/>
      <c r="L436" s="4"/>
      <c r="M436" s="28"/>
      <c r="N436" s="28"/>
      <c r="O436" s="28"/>
      <c r="P436" s="4"/>
      <c r="Q436" s="28"/>
      <c r="R436" s="28"/>
      <c r="S436" s="28"/>
      <c r="T436" s="4"/>
      <c r="U436" s="4"/>
      <c r="V436" s="4"/>
      <c r="W436" s="4"/>
      <c r="X436" s="4"/>
      <c r="Y436" s="4"/>
      <c r="Z436" s="4"/>
    </row>
    <row r="437" ht="12.75" customHeight="1">
      <c r="A437" s="3" t="s">
        <v>57</v>
      </c>
      <c r="B437" s="3">
        <v>40.42</v>
      </c>
      <c r="C437" s="27">
        <v>36.0</v>
      </c>
      <c r="D437" s="4"/>
      <c r="E437" s="27" t="s">
        <v>113</v>
      </c>
      <c r="F437" s="27">
        <v>0.0</v>
      </c>
      <c r="G437" s="27">
        <v>27.0</v>
      </c>
      <c r="H437" s="4"/>
      <c r="I437" s="28"/>
      <c r="J437" s="28"/>
      <c r="K437" s="28"/>
      <c r="L437" s="4"/>
      <c r="M437" s="28"/>
      <c r="N437" s="28"/>
      <c r="O437" s="28"/>
      <c r="P437" s="4"/>
      <c r="Q437" s="28"/>
      <c r="R437" s="28"/>
      <c r="S437" s="28"/>
      <c r="T437" s="4"/>
      <c r="U437" s="4"/>
      <c r="V437" s="4"/>
      <c r="W437" s="4"/>
      <c r="X437" s="4"/>
      <c r="Y437" s="4"/>
      <c r="Z437" s="4"/>
    </row>
    <row r="438" ht="12.75" customHeight="1">
      <c r="A438" s="3" t="s">
        <v>74</v>
      </c>
      <c r="B438" s="3">
        <v>40.41</v>
      </c>
      <c r="C438" s="27">
        <v>37.0</v>
      </c>
      <c r="D438" s="4"/>
      <c r="E438" s="27" t="s">
        <v>190</v>
      </c>
      <c r="F438" s="27">
        <v>0.0</v>
      </c>
      <c r="G438" s="27">
        <v>27.0</v>
      </c>
      <c r="H438" s="4"/>
      <c r="I438" s="28"/>
      <c r="J438" s="28"/>
      <c r="K438" s="28"/>
      <c r="L438" s="4"/>
      <c r="M438" s="28"/>
      <c r="N438" s="28"/>
      <c r="O438" s="28"/>
      <c r="P438" s="4"/>
      <c r="Q438" s="28"/>
      <c r="R438" s="28"/>
      <c r="S438" s="28"/>
      <c r="T438" s="4"/>
      <c r="U438" s="4"/>
      <c r="V438" s="4"/>
      <c r="W438" s="4"/>
      <c r="X438" s="4"/>
      <c r="Y438" s="4"/>
      <c r="Z438" s="4"/>
    </row>
    <row r="439" ht="12.75" customHeight="1">
      <c r="A439" s="3" t="s">
        <v>64</v>
      </c>
      <c r="B439" s="3">
        <v>40.25</v>
      </c>
      <c r="C439" s="27">
        <v>38.0</v>
      </c>
      <c r="D439" s="4"/>
      <c r="E439" s="27" t="s">
        <v>100</v>
      </c>
      <c r="F439" s="27">
        <v>0.0</v>
      </c>
      <c r="G439" s="27">
        <v>27.0</v>
      </c>
      <c r="H439" s="4"/>
      <c r="I439" s="28"/>
      <c r="J439" s="28"/>
      <c r="K439" s="28"/>
      <c r="L439" s="4"/>
      <c r="M439" s="28"/>
      <c r="N439" s="28"/>
      <c r="O439" s="28"/>
      <c r="P439" s="4"/>
      <c r="Q439" s="28"/>
      <c r="R439" s="28"/>
      <c r="S439" s="28"/>
      <c r="T439" s="4"/>
      <c r="U439" s="4"/>
      <c r="V439" s="4"/>
      <c r="W439" s="4"/>
      <c r="X439" s="4"/>
      <c r="Y439" s="4"/>
      <c r="Z439" s="4"/>
    </row>
    <row r="440" ht="12.75" customHeight="1">
      <c r="A440" s="3" t="s">
        <v>129</v>
      </c>
      <c r="B440" s="3">
        <v>38.77</v>
      </c>
      <c r="C440" s="27">
        <v>39.0</v>
      </c>
      <c r="D440" s="4"/>
      <c r="E440" s="27" t="s">
        <v>110</v>
      </c>
      <c r="F440" s="27">
        <v>0.0</v>
      </c>
      <c r="G440" s="27">
        <v>27.0</v>
      </c>
      <c r="H440" s="4"/>
      <c r="I440" s="28"/>
      <c r="J440" s="28"/>
      <c r="K440" s="28"/>
      <c r="L440" s="4"/>
      <c r="M440" s="28"/>
      <c r="N440" s="28"/>
      <c r="O440" s="28"/>
      <c r="P440" s="4"/>
      <c r="Q440" s="28"/>
      <c r="R440" s="28"/>
      <c r="S440" s="28"/>
      <c r="T440" s="4"/>
      <c r="U440" s="4"/>
      <c r="V440" s="4"/>
      <c r="W440" s="4"/>
      <c r="X440" s="4"/>
      <c r="Y440" s="4"/>
      <c r="Z440" s="4"/>
    </row>
    <row r="441" ht="12.75" customHeight="1">
      <c r="A441" s="3" t="s">
        <v>176</v>
      </c>
      <c r="B441" s="3">
        <v>38.19</v>
      </c>
      <c r="C441" s="27">
        <v>40.0</v>
      </c>
      <c r="D441" s="4"/>
      <c r="E441" s="27" t="s">
        <v>93</v>
      </c>
      <c r="F441" s="27">
        <v>0.0</v>
      </c>
      <c r="G441" s="27">
        <v>27.0</v>
      </c>
      <c r="H441" s="4"/>
      <c r="I441" s="28"/>
      <c r="J441" s="28"/>
      <c r="K441" s="28"/>
      <c r="L441" s="4"/>
      <c r="M441" s="28"/>
      <c r="N441" s="28"/>
      <c r="O441" s="28"/>
      <c r="P441" s="4"/>
      <c r="Q441" s="28"/>
      <c r="R441" s="28"/>
      <c r="S441" s="28"/>
      <c r="T441" s="4"/>
      <c r="U441" s="4"/>
      <c r="V441" s="4"/>
      <c r="W441" s="4"/>
      <c r="X441" s="4"/>
      <c r="Y441" s="4"/>
      <c r="Z441" s="4"/>
    </row>
    <row r="442" ht="12.75" customHeight="1">
      <c r="A442" s="3" t="s">
        <v>93</v>
      </c>
      <c r="B442" s="3">
        <v>38.07</v>
      </c>
      <c r="C442" s="27">
        <v>41.0</v>
      </c>
      <c r="D442" s="4"/>
      <c r="E442" s="27" t="s">
        <v>119</v>
      </c>
      <c r="F442" s="27">
        <v>0.0</v>
      </c>
      <c r="G442" s="27">
        <v>27.0</v>
      </c>
      <c r="H442" s="4"/>
      <c r="I442" s="28"/>
      <c r="J442" s="28"/>
      <c r="K442" s="28"/>
      <c r="L442" s="4"/>
      <c r="M442" s="28"/>
      <c r="N442" s="28"/>
      <c r="O442" s="28"/>
      <c r="P442" s="4"/>
      <c r="Q442" s="28"/>
      <c r="R442" s="28"/>
      <c r="S442" s="28"/>
      <c r="T442" s="4"/>
      <c r="U442" s="4"/>
      <c r="V442" s="4"/>
      <c r="W442" s="4"/>
      <c r="X442" s="4"/>
      <c r="Y442" s="4"/>
      <c r="Z442" s="4"/>
    </row>
    <row r="443" ht="12.75" customHeight="1">
      <c r="A443" s="3" t="s">
        <v>179</v>
      </c>
      <c r="B443" s="3">
        <v>37.72</v>
      </c>
      <c r="C443" s="27">
        <v>42.0</v>
      </c>
      <c r="D443" s="4"/>
      <c r="E443" s="27" t="s">
        <v>40</v>
      </c>
      <c r="F443" s="27">
        <v>0.0</v>
      </c>
      <c r="G443" s="27">
        <v>27.0</v>
      </c>
      <c r="H443" s="4"/>
      <c r="I443" s="28"/>
      <c r="J443" s="28"/>
      <c r="K443" s="28"/>
      <c r="L443" s="4"/>
      <c r="M443" s="28"/>
      <c r="N443" s="28"/>
      <c r="O443" s="28"/>
      <c r="P443" s="4"/>
      <c r="Q443" s="28"/>
      <c r="R443" s="28"/>
      <c r="S443" s="28"/>
      <c r="T443" s="4"/>
      <c r="U443" s="4"/>
      <c r="V443" s="4"/>
      <c r="W443" s="4"/>
      <c r="X443" s="4"/>
      <c r="Y443" s="4"/>
      <c r="Z443" s="4"/>
    </row>
    <row r="444" ht="12.75" customHeight="1">
      <c r="A444" s="3" t="s">
        <v>117</v>
      </c>
      <c r="B444" s="3">
        <v>37.66</v>
      </c>
      <c r="C444" s="27">
        <v>43.0</v>
      </c>
      <c r="D444" s="4"/>
      <c r="E444" s="27" t="s">
        <v>73</v>
      </c>
      <c r="F444" s="27">
        <v>0.0</v>
      </c>
      <c r="G444" s="27">
        <v>27.0</v>
      </c>
      <c r="H444" s="4"/>
      <c r="I444" s="28"/>
      <c r="J444" s="28"/>
      <c r="K444" s="28"/>
      <c r="L444" s="4"/>
      <c r="M444" s="28"/>
      <c r="N444" s="28"/>
      <c r="O444" s="28"/>
      <c r="P444" s="4"/>
      <c r="Q444" s="28"/>
      <c r="R444" s="28"/>
      <c r="S444" s="28"/>
      <c r="T444" s="4"/>
      <c r="U444" s="4"/>
      <c r="V444" s="4"/>
      <c r="W444" s="4"/>
      <c r="X444" s="4"/>
      <c r="Y444" s="4"/>
      <c r="Z444" s="4"/>
    </row>
    <row r="445" ht="12.75" customHeight="1">
      <c r="A445" s="3" t="s">
        <v>53</v>
      </c>
      <c r="B445" s="3">
        <v>37.36</v>
      </c>
      <c r="C445" s="27">
        <v>44.0</v>
      </c>
      <c r="D445" s="4"/>
      <c r="E445" s="27" t="s">
        <v>192</v>
      </c>
      <c r="F445" s="27">
        <v>0.0</v>
      </c>
      <c r="G445" s="27">
        <v>27.0</v>
      </c>
      <c r="H445" s="4"/>
      <c r="I445" s="28"/>
      <c r="J445" s="28"/>
      <c r="K445" s="28"/>
      <c r="L445" s="4"/>
      <c r="M445" s="28"/>
      <c r="N445" s="28"/>
      <c r="O445" s="28"/>
      <c r="P445" s="4"/>
      <c r="Q445" s="28"/>
      <c r="R445" s="28"/>
      <c r="S445" s="28"/>
      <c r="T445" s="4"/>
      <c r="U445" s="4"/>
      <c r="V445" s="4"/>
      <c r="W445" s="4"/>
      <c r="X445" s="4"/>
      <c r="Y445" s="4"/>
      <c r="Z445" s="4"/>
    </row>
    <row r="446" ht="12.75" customHeight="1">
      <c r="A446" s="3" t="s">
        <v>112</v>
      </c>
      <c r="B446" s="3">
        <v>37.28</v>
      </c>
      <c r="C446" s="27">
        <v>45.0</v>
      </c>
      <c r="D446" s="4"/>
      <c r="E446" s="27" t="s">
        <v>167</v>
      </c>
      <c r="F446" s="27">
        <v>0.0</v>
      </c>
      <c r="G446" s="27">
        <v>27.0</v>
      </c>
      <c r="H446" s="4"/>
      <c r="I446" s="28"/>
      <c r="J446" s="28"/>
      <c r="K446" s="28"/>
      <c r="L446" s="4"/>
      <c r="M446" s="28"/>
      <c r="N446" s="28"/>
      <c r="O446" s="28"/>
      <c r="P446" s="4"/>
      <c r="Q446" s="28"/>
      <c r="R446" s="28"/>
      <c r="S446" s="28"/>
      <c r="T446" s="4"/>
      <c r="U446" s="4"/>
      <c r="V446" s="4"/>
      <c r="W446" s="4"/>
      <c r="X446" s="4"/>
      <c r="Y446" s="4"/>
      <c r="Z446" s="4"/>
    </row>
    <row r="447" ht="12.75" customHeight="1">
      <c r="A447" s="3" t="s">
        <v>94</v>
      </c>
      <c r="B447" s="3">
        <v>37.19</v>
      </c>
      <c r="C447" s="27">
        <v>46.0</v>
      </c>
      <c r="D447" s="4"/>
      <c r="E447" s="27" t="s">
        <v>155</v>
      </c>
      <c r="F447" s="27">
        <v>0.0</v>
      </c>
      <c r="G447" s="27">
        <v>27.0</v>
      </c>
      <c r="H447" s="4"/>
      <c r="I447" s="28"/>
      <c r="J447" s="28"/>
      <c r="K447" s="28"/>
      <c r="L447" s="4"/>
      <c r="M447" s="28"/>
      <c r="N447" s="28"/>
      <c r="O447" s="28"/>
      <c r="P447" s="4"/>
      <c r="Q447" s="28"/>
      <c r="R447" s="28"/>
      <c r="S447" s="28"/>
      <c r="T447" s="4"/>
      <c r="U447" s="4"/>
      <c r="V447" s="4"/>
      <c r="W447" s="4"/>
      <c r="X447" s="4"/>
      <c r="Y447" s="4"/>
      <c r="Z447" s="4"/>
    </row>
    <row r="448" ht="12.75" customHeight="1">
      <c r="A448" s="3" t="s">
        <v>126</v>
      </c>
      <c r="B448" s="3">
        <v>37.06</v>
      </c>
      <c r="C448" s="27">
        <v>47.0</v>
      </c>
      <c r="D448" s="4"/>
      <c r="E448" s="27" t="s">
        <v>170</v>
      </c>
      <c r="F448" s="27">
        <v>0.0</v>
      </c>
      <c r="G448" s="27">
        <v>27.0</v>
      </c>
      <c r="H448" s="4"/>
      <c r="I448" s="28"/>
      <c r="J448" s="28"/>
      <c r="K448" s="28"/>
      <c r="L448" s="4"/>
      <c r="M448" s="28"/>
      <c r="N448" s="28"/>
      <c r="O448" s="28"/>
      <c r="P448" s="4"/>
      <c r="Q448" s="28"/>
      <c r="R448" s="28"/>
      <c r="S448" s="28"/>
      <c r="T448" s="4"/>
      <c r="U448" s="4"/>
      <c r="V448" s="4"/>
      <c r="W448" s="4"/>
      <c r="X448" s="4"/>
      <c r="Y448" s="4"/>
      <c r="Z448" s="4"/>
    </row>
    <row r="449" ht="12.75" customHeight="1">
      <c r="A449" s="3" t="s">
        <v>98</v>
      </c>
      <c r="B449" s="3">
        <v>36.99</v>
      </c>
      <c r="C449" s="27">
        <v>48.0</v>
      </c>
      <c r="D449" s="4"/>
      <c r="E449" s="27" t="s">
        <v>143</v>
      </c>
      <c r="F449" s="27">
        <v>0.0</v>
      </c>
      <c r="G449" s="27">
        <v>27.0</v>
      </c>
      <c r="H449" s="4"/>
      <c r="I449" s="28"/>
      <c r="J449" s="28"/>
      <c r="K449" s="28"/>
      <c r="L449" s="4"/>
      <c r="M449" s="28"/>
      <c r="N449" s="28"/>
      <c r="O449" s="28"/>
      <c r="P449" s="4"/>
      <c r="Q449" s="28"/>
      <c r="R449" s="28"/>
      <c r="S449" s="28"/>
      <c r="T449" s="4"/>
      <c r="U449" s="4"/>
      <c r="V449" s="4"/>
      <c r="W449" s="4"/>
      <c r="X449" s="4"/>
      <c r="Y449" s="4"/>
      <c r="Z449" s="4"/>
    </row>
    <row r="450" ht="12.75" customHeight="1">
      <c r="A450" s="3" t="s">
        <v>88</v>
      </c>
      <c r="B450" s="3">
        <v>36.9</v>
      </c>
      <c r="C450" s="27">
        <v>49.0</v>
      </c>
      <c r="D450" s="4"/>
      <c r="E450" s="27" t="s">
        <v>168</v>
      </c>
      <c r="F450" s="27">
        <v>0.0</v>
      </c>
      <c r="G450" s="27">
        <v>27.0</v>
      </c>
      <c r="H450" s="4"/>
      <c r="I450" s="28"/>
      <c r="J450" s="28"/>
      <c r="K450" s="28"/>
      <c r="L450" s="4"/>
      <c r="M450" s="28"/>
      <c r="N450" s="28"/>
      <c r="O450" s="28"/>
      <c r="P450" s="4"/>
      <c r="Q450" s="28"/>
      <c r="R450" s="28"/>
      <c r="S450" s="28"/>
      <c r="T450" s="4"/>
      <c r="U450" s="4"/>
      <c r="V450" s="4"/>
      <c r="W450" s="4"/>
      <c r="X450" s="4"/>
      <c r="Y450" s="4"/>
      <c r="Z450" s="4"/>
    </row>
    <row r="451" ht="12.75" customHeight="1">
      <c r="A451" s="3" t="s">
        <v>101</v>
      </c>
      <c r="B451" s="3">
        <v>36.84</v>
      </c>
      <c r="C451" s="27">
        <v>50.0</v>
      </c>
      <c r="D451" s="4"/>
      <c r="E451" s="27" t="s">
        <v>111</v>
      </c>
      <c r="F451" s="27">
        <v>0.0</v>
      </c>
      <c r="G451" s="27">
        <v>27.0</v>
      </c>
      <c r="H451" s="4"/>
      <c r="I451" s="28"/>
      <c r="J451" s="28"/>
      <c r="K451" s="28"/>
      <c r="L451" s="4"/>
      <c r="M451" s="28"/>
      <c r="N451" s="28"/>
      <c r="O451" s="28"/>
      <c r="P451" s="4"/>
      <c r="Q451" s="28"/>
      <c r="R451" s="28"/>
      <c r="S451" s="28"/>
      <c r="T451" s="4"/>
      <c r="U451" s="4"/>
      <c r="V451" s="4"/>
      <c r="W451" s="4"/>
      <c r="X451" s="4"/>
      <c r="Y451" s="4"/>
      <c r="Z451" s="4"/>
    </row>
    <row r="452" ht="12.75" customHeight="1">
      <c r="A452" s="3" t="s">
        <v>164</v>
      </c>
      <c r="B452" s="3">
        <v>36.79</v>
      </c>
      <c r="C452" s="27">
        <v>51.0</v>
      </c>
      <c r="D452" s="4"/>
      <c r="E452" s="27" t="s">
        <v>178</v>
      </c>
      <c r="F452" s="27">
        <v>0.0</v>
      </c>
      <c r="G452" s="27">
        <v>27.0</v>
      </c>
      <c r="H452" s="4"/>
      <c r="I452" s="28"/>
      <c r="J452" s="28"/>
      <c r="K452" s="28"/>
      <c r="L452" s="4"/>
      <c r="M452" s="28"/>
      <c r="N452" s="28"/>
      <c r="O452" s="28"/>
      <c r="P452" s="4"/>
      <c r="Q452" s="28"/>
      <c r="R452" s="28"/>
      <c r="S452" s="28"/>
      <c r="T452" s="4"/>
      <c r="U452" s="4"/>
      <c r="V452" s="4"/>
      <c r="W452" s="4"/>
      <c r="X452" s="4"/>
      <c r="Y452" s="4"/>
      <c r="Z452" s="4"/>
    </row>
    <row r="453" ht="12.75" customHeight="1">
      <c r="A453" s="3" t="s">
        <v>171</v>
      </c>
      <c r="B453" s="3">
        <v>36.78</v>
      </c>
      <c r="C453" s="27">
        <v>52.0</v>
      </c>
      <c r="D453" s="4"/>
      <c r="E453" s="27" t="s">
        <v>104</v>
      </c>
      <c r="F453" s="27">
        <v>0.0</v>
      </c>
      <c r="G453" s="27">
        <v>27.0</v>
      </c>
      <c r="H453" s="4"/>
      <c r="I453" s="28"/>
      <c r="J453" s="28"/>
      <c r="K453" s="28"/>
      <c r="L453" s="4"/>
      <c r="M453" s="28"/>
      <c r="N453" s="28"/>
      <c r="O453" s="28"/>
      <c r="P453" s="4"/>
      <c r="Q453" s="28"/>
      <c r="R453" s="28"/>
      <c r="S453" s="28"/>
      <c r="T453" s="4"/>
      <c r="U453" s="4"/>
      <c r="V453" s="4"/>
      <c r="W453" s="4"/>
      <c r="X453" s="4"/>
      <c r="Y453" s="4"/>
      <c r="Z453" s="4"/>
    </row>
    <row r="454" ht="12.75" customHeight="1">
      <c r="A454" s="3" t="s">
        <v>82</v>
      </c>
      <c r="B454" s="3">
        <v>36.76</v>
      </c>
      <c r="C454" s="27">
        <v>53.0</v>
      </c>
      <c r="D454" s="4"/>
      <c r="E454" s="27" t="s">
        <v>139</v>
      </c>
      <c r="F454" s="27">
        <v>0.0</v>
      </c>
      <c r="G454" s="27">
        <v>27.0</v>
      </c>
      <c r="H454" s="4"/>
      <c r="I454" s="28"/>
      <c r="J454" s="28"/>
      <c r="K454" s="28"/>
      <c r="L454" s="4"/>
      <c r="M454" s="28"/>
      <c r="N454" s="28"/>
      <c r="O454" s="28"/>
      <c r="P454" s="4"/>
      <c r="Q454" s="28"/>
      <c r="R454" s="28"/>
      <c r="S454" s="28"/>
      <c r="T454" s="4"/>
      <c r="U454" s="4"/>
      <c r="V454" s="4"/>
      <c r="W454" s="4"/>
      <c r="X454" s="4"/>
      <c r="Y454" s="4"/>
      <c r="Z454" s="4"/>
    </row>
    <row r="455" ht="12.75" customHeight="1">
      <c r="A455" s="3" t="s">
        <v>89</v>
      </c>
      <c r="B455" s="3">
        <v>36.56</v>
      </c>
      <c r="C455" s="27">
        <v>54.0</v>
      </c>
      <c r="D455" s="4"/>
      <c r="E455" s="27" t="s">
        <v>173</v>
      </c>
      <c r="F455" s="27">
        <v>0.0</v>
      </c>
      <c r="G455" s="27">
        <v>27.0</v>
      </c>
      <c r="H455" s="4"/>
      <c r="I455" s="28"/>
      <c r="J455" s="28"/>
      <c r="K455" s="28"/>
      <c r="L455" s="4"/>
      <c r="M455" s="28"/>
      <c r="N455" s="28"/>
      <c r="O455" s="28"/>
      <c r="P455" s="4"/>
      <c r="Q455" s="28"/>
      <c r="R455" s="28"/>
      <c r="S455" s="28"/>
      <c r="T455" s="4"/>
      <c r="U455" s="4"/>
      <c r="V455" s="4"/>
      <c r="W455" s="4"/>
      <c r="X455" s="4"/>
      <c r="Y455" s="4"/>
      <c r="Z455" s="4"/>
    </row>
    <row r="456" ht="12.75" customHeight="1">
      <c r="A456" s="3" t="s">
        <v>149</v>
      </c>
      <c r="B456" s="3">
        <v>36.51</v>
      </c>
      <c r="C456" s="27">
        <v>55.0</v>
      </c>
      <c r="D456" s="4"/>
      <c r="E456" s="27" t="s">
        <v>169</v>
      </c>
      <c r="F456" s="27">
        <v>0.0</v>
      </c>
      <c r="G456" s="27">
        <v>27.0</v>
      </c>
      <c r="H456" s="4"/>
      <c r="I456" s="28"/>
      <c r="J456" s="28"/>
      <c r="K456" s="28"/>
      <c r="L456" s="4"/>
      <c r="M456" s="28"/>
      <c r="N456" s="28"/>
      <c r="O456" s="28"/>
      <c r="P456" s="4"/>
      <c r="Q456" s="28"/>
      <c r="R456" s="28"/>
      <c r="S456" s="28"/>
      <c r="T456" s="4"/>
      <c r="U456" s="4"/>
      <c r="V456" s="4"/>
      <c r="W456" s="4"/>
      <c r="X456" s="4"/>
      <c r="Y456" s="4"/>
      <c r="Z456" s="4"/>
    </row>
    <row r="457" ht="12.75" customHeight="1">
      <c r="A457" s="3" t="s">
        <v>99</v>
      </c>
      <c r="B457" s="3">
        <v>36.15</v>
      </c>
      <c r="C457" s="27">
        <v>56.0</v>
      </c>
      <c r="D457" s="4"/>
      <c r="E457" s="27" t="s">
        <v>140</v>
      </c>
      <c r="F457" s="27">
        <v>0.0</v>
      </c>
      <c r="G457" s="27">
        <v>27.0</v>
      </c>
      <c r="H457" s="4"/>
      <c r="I457" s="28"/>
      <c r="J457" s="28"/>
      <c r="K457" s="28"/>
      <c r="L457" s="4"/>
      <c r="M457" s="28"/>
      <c r="N457" s="28"/>
      <c r="O457" s="28"/>
      <c r="P457" s="4"/>
      <c r="Q457" s="28"/>
      <c r="R457" s="28"/>
      <c r="S457" s="28"/>
      <c r="T457" s="4"/>
      <c r="U457" s="4"/>
      <c r="V457" s="4"/>
      <c r="W457" s="4"/>
      <c r="X457" s="4"/>
      <c r="Y457" s="4"/>
      <c r="Z457" s="4"/>
    </row>
    <row r="458" ht="12.75" customHeight="1">
      <c r="A458" s="3" t="s">
        <v>191</v>
      </c>
      <c r="B458" s="3">
        <v>35.94</v>
      </c>
      <c r="C458" s="27">
        <v>57.0</v>
      </c>
      <c r="D458" s="4"/>
      <c r="E458" s="27" t="s">
        <v>137</v>
      </c>
      <c r="F458" s="27">
        <v>0.0</v>
      </c>
      <c r="G458" s="27">
        <v>27.0</v>
      </c>
      <c r="H458" s="4"/>
      <c r="I458" s="28"/>
      <c r="J458" s="28"/>
      <c r="K458" s="28"/>
      <c r="L458" s="4"/>
      <c r="M458" s="28"/>
      <c r="N458" s="28"/>
      <c r="O458" s="28"/>
      <c r="P458" s="4"/>
      <c r="Q458" s="28"/>
      <c r="R458" s="28"/>
      <c r="S458" s="28"/>
      <c r="T458" s="4"/>
      <c r="U458" s="4"/>
      <c r="V458" s="4"/>
      <c r="W458" s="4"/>
      <c r="X458" s="4"/>
      <c r="Y458" s="4"/>
      <c r="Z458" s="4"/>
    </row>
    <row r="459" ht="12.75" customHeight="1">
      <c r="A459" s="3" t="s">
        <v>162</v>
      </c>
      <c r="B459" s="3">
        <v>35.89</v>
      </c>
      <c r="C459" s="27">
        <v>58.0</v>
      </c>
      <c r="D459" s="4"/>
      <c r="E459" s="27" t="s">
        <v>194</v>
      </c>
      <c r="F459" s="27">
        <v>0.0</v>
      </c>
      <c r="G459" s="27">
        <v>27.0</v>
      </c>
      <c r="H459" s="4"/>
      <c r="I459" s="28"/>
      <c r="J459" s="28"/>
      <c r="K459" s="28"/>
      <c r="L459" s="4"/>
      <c r="M459" s="28"/>
      <c r="N459" s="28"/>
      <c r="O459" s="28"/>
      <c r="P459" s="4"/>
      <c r="Q459" s="28"/>
      <c r="R459" s="28"/>
      <c r="S459" s="28"/>
      <c r="T459" s="4"/>
      <c r="U459" s="4"/>
      <c r="V459" s="4"/>
      <c r="W459" s="4"/>
      <c r="X459" s="4"/>
      <c r="Y459" s="4"/>
      <c r="Z459" s="4"/>
    </row>
    <row r="460" ht="12.75" customHeight="1">
      <c r="A460" s="3" t="s">
        <v>107</v>
      </c>
      <c r="B460" s="3">
        <v>35.84</v>
      </c>
      <c r="C460" s="27">
        <v>59.0</v>
      </c>
      <c r="D460" s="4"/>
      <c r="E460" s="27" t="s">
        <v>153</v>
      </c>
      <c r="F460" s="27">
        <v>0.0</v>
      </c>
      <c r="G460" s="27">
        <v>27.0</v>
      </c>
      <c r="H460" s="4"/>
      <c r="I460" s="28"/>
      <c r="J460" s="28"/>
      <c r="K460" s="28"/>
      <c r="L460" s="4"/>
      <c r="M460" s="28"/>
      <c r="N460" s="28"/>
      <c r="O460" s="28"/>
      <c r="P460" s="4"/>
      <c r="Q460" s="28"/>
      <c r="R460" s="28"/>
      <c r="S460" s="28"/>
      <c r="T460" s="4"/>
      <c r="U460" s="4"/>
      <c r="V460" s="4"/>
      <c r="W460" s="4"/>
      <c r="X460" s="4"/>
      <c r="Y460" s="4"/>
      <c r="Z460" s="4"/>
    </row>
    <row r="461" ht="12.75" customHeight="1">
      <c r="A461" s="3" t="s">
        <v>144</v>
      </c>
      <c r="B461" s="3">
        <v>35.62</v>
      </c>
      <c r="C461" s="27">
        <v>60.0</v>
      </c>
      <c r="D461" s="4"/>
      <c r="E461" s="27" t="s">
        <v>129</v>
      </c>
      <c r="F461" s="27">
        <v>0.0</v>
      </c>
      <c r="G461" s="27">
        <v>27.0</v>
      </c>
      <c r="H461" s="4"/>
      <c r="I461" s="28"/>
      <c r="J461" s="28"/>
      <c r="K461" s="28"/>
      <c r="L461" s="4"/>
      <c r="M461" s="28"/>
      <c r="N461" s="28"/>
      <c r="O461" s="28"/>
      <c r="P461" s="4"/>
      <c r="Q461" s="28"/>
      <c r="R461" s="28"/>
      <c r="S461" s="28"/>
      <c r="T461" s="4"/>
      <c r="U461" s="4"/>
      <c r="V461" s="4"/>
      <c r="W461" s="4"/>
      <c r="X461" s="4"/>
      <c r="Y461" s="4"/>
      <c r="Z461" s="4"/>
    </row>
    <row r="462" ht="12.75" customHeight="1">
      <c r="A462" s="3" t="s">
        <v>153</v>
      </c>
      <c r="B462" s="3">
        <v>35.59</v>
      </c>
      <c r="C462" s="27">
        <v>61.0</v>
      </c>
      <c r="D462" s="4"/>
      <c r="E462" s="27" t="s">
        <v>103</v>
      </c>
      <c r="F462" s="27">
        <v>0.0</v>
      </c>
      <c r="G462" s="27">
        <v>27.0</v>
      </c>
      <c r="H462" s="4"/>
      <c r="I462" s="28"/>
      <c r="J462" s="28"/>
      <c r="K462" s="28"/>
      <c r="L462" s="4"/>
      <c r="M462" s="28"/>
      <c r="N462" s="28"/>
      <c r="O462" s="28"/>
      <c r="P462" s="4"/>
      <c r="Q462" s="28"/>
      <c r="R462" s="28"/>
      <c r="S462" s="28"/>
      <c r="T462" s="4"/>
      <c r="U462" s="4"/>
      <c r="V462" s="4"/>
      <c r="W462" s="4"/>
      <c r="X462" s="4"/>
      <c r="Y462" s="4"/>
      <c r="Z462" s="4"/>
    </row>
    <row r="463" ht="12.75" customHeight="1">
      <c r="A463" s="3" t="s">
        <v>142</v>
      </c>
      <c r="B463" s="3">
        <v>35.56</v>
      </c>
      <c r="C463" s="27">
        <v>62.0</v>
      </c>
      <c r="D463" s="4"/>
      <c r="E463" s="27" t="s">
        <v>134</v>
      </c>
      <c r="F463" s="27">
        <v>0.0</v>
      </c>
      <c r="G463" s="27">
        <v>27.0</v>
      </c>
      <c r="H463" s="4"/>
      <c r="I463" s="28"/>
      <c r="J463" s="28"/>
      <c r="K463" s="28"/>
      <c r="L463" s="4"/>
      <c r="M463" s="28"/>
      <c r="N463" s="28"/>
      <c r="O463" s="28"/>
      <c r="P463" s="4"/>
      <c r="Q463" s="28"/>
      <c r="R463" s="28"/>
      <c r="S463" s="28"/>
      <c r="T463" s="4"/>
      <c r="U463" s="4"/>
      <c r="V463" s="4"/>
      <c r="W463" s="4"/>
      <c r="X463" s="4"/>
      <c r="Y463" s="4"/>
      <c r="Z463" s="4"/>
    </row>
    <row r="464" ht="12.75" customHeight="1">
      <c r="A464" s="3" t="s">
        <v>103</v>
      </c>
      <c r="B464" s="3">
        <v>35.46</v>
      </c>
      <c r="C464" s="27">
        <v>63.0</v>
      </c>
      <c r="D464" s="4"/>
      <c r="E464" s="27" t="s">
        <v>88</v>
      </c>
      <c r="F464" s="27">
        <v>0.0</v>
      </c>
      <c r="G464" s="27">
        <v>27.0</v>
      </c>
      <c r="H464" s="4"/>
      <c r="I464" s="28"/>
      <c r="J464" s="28"/>
      <c r="K464" s="28"/>
      <c r="L464" s="4"/>
      <c r="M464" s="28"/>
      <c r="N464" s="28"/>
      <c r="O464" s="28"/>
      <c r="P464" s="4"/>
      <c r="Q464" s="28"/>
      <c r="R464" s="28"/>
      <c r="S464" s="28"/>
      <c r="T464" s="4"/>
      <c r="U464" s="4"/>
      <c r="V464" s="4"/>
      <c r="W464" s="4"/>
      <c r="X464" s="4"/>
      <c r="Y464" s="4"/>
      <c r="Z464" s="4"/>
    </row>
    <row r="465" ht="12.75" customHeight="1">
      <c r="A465" s="3" t="s">
        <v>91</v>
      </c>
      <c r="B465" s="3">
        <v>35.4</v>
      </c>
      <c r="C465" s="27">
        <v>64.0</v>
      </c>
      <c r="D465" s="4"/>
      <c r="E465" s="27" t="s">
        <v>126</v>
      </c>
      <c r="F465" s="27">
        <v>0.0</v>
      </c>
      <c r="G465" s="27">
        <v>27.0</v>
      </c>
      <c r="H465" s="4"/>
      <c r="I465" s="28"/>
      <c r="J465" s="28"/>
      <c r="K465" s="28"/>
      <c r="L465" s="4"/>
      <c r="M465" s="28"/>
      <c r="N465" s="28"/>
      <c r="O465" s="28"/>
      <c r="P465" s="4"/>
      <c r="Q465" s="28"/>
      <c r="R465" s="28"/>
      <c r="S465" s="28"/>
      <c r="T465" s="4"/>
      <c r="U465" s="4"/>
      <c r="V465" s="4"/>
      <c r="W465" s="4"/>
      <c r="X465" s="4"/>
      <c r="Y465" s="4"/>
      <c r="Z465" s="4"/>
    </row>
    <row r="466" ht="12.75" customHeight="1">
      <c r="A466" s="3" t="s">
        <v>160</v>
      </c>
      <c r="B466" s="3">
        <v>35.26</v>
      </c>
      <c r="C466" s="27">
        <v>65.0</v>
      </c>
      <c r="D466" s="4"/>
      <c r="E466" s="27" t="s">
        <v>138</v>
      </c>
      <c r="F466" s="27">
        <v>0.0</v>
      </c>
      <c r="G466" s="27">
        <v>27.0</v>
      </c>
      <c r="H466" s="4"/>
      <c r="I466" s="28"/>
      <c r="J466" s="28"/>
      <c r="K466" s="28"/>
      <c r="L466" s="4"/>
      <c r="M466" s="28"/>
      <c r="N466" s="28"/>
      <c r="O466" s="28"/>
      <c r="P466" s="4"/>
      <c r="Q466" s="28"/>
      <c r="R466" s="28"/>
      <c r="S466" s="28"/>
      <c r="T466" s="4"/>
      <c r="U466" s="4"/>
      <c r="V466" s="4"/>
      <c r="W466" s="4"/>
      <c r="X466" s="4"/>
      <c r="Y466" s="4"/>
      <c r="Z466" s="4"/>
    </row>
    <row r="467" ht="12.75" customHeight="1">
      <c r="A467" s="3" t="s">
        <v>127</v>
      </c>
      <c r="B467" s="3">
        <v>35.23</v>
      </c>
      <c r="C467" s="27">
        <v>66.0</v>
      </c>
      <c r="D467" s="4"/>
      <c r="E467" s="27" t="s">
        <v>149</v>
      </c>
      <c r="F467" s="27">
        <v>0.0</v>
      </c>
      <c r="G467" s="27">
        <v>27.0</v>
      </c>
      <c r="H467" s="4"/>
      <c r="I467" s="28"/>
      <c r="J467" s="28"/>
      <c r="K467" s="28"/>
      <c r="L467" s="4"/>
      <c r="M467" s="28"/>
      <c r="N467" s="28"/>
      <c r="O467" s="28"/>
      <c r="P467" s="4"/>
      <c r="Q467" s="28"/>
      <c r="R467" s="28"/>
      <c r="S467" s="28"/>
      <c r="T467" s="4"/>
      <c r="U467" s="4"/>
      <c r="V467" s="4"/>
      <c r="W467" s="4"/>
      <c r="X467" s="4"/>
      <c r="Y467" s="4"/>
      <c r="Z467" s="4"/>
    </row>
    <row r="468" ht="12.75" customHeight="1">
      <c r="A468" s="3" t="s">
        <v>95</v>
      </c>
      <c r="B468" s="3">
        <v>35.21</v>
      </c>
      <c r="C468" s="27">
        <v>67.0</v>
      </c>
      <c r="D468" s="4"/>
      <c r="E468" s="27" t="s">
        <v>127</v>
      </c>
      <c r="F468" s="27">
        <v>0.0</v>
      </c>
      <c r="G468" s="27">
        <v>27.0</v>
      </c>
      <c r="H468" s="4"/>
      <c r="I468" s="28"/>
      <c r="J468" s="28"/>
      <c r="K468" s="28"/>
      <c r="L468" s="4"/>
      <c r="M468" s="28"/>
      <c r="N468" s="28"/>
      <c r="O468" s="28"/>
      <c r="P468" s="4"/>
      <c r="Q468" s="28"/>
      <c r="R468" s="28"/>
      <c r="S468" s="28"/>
      <c r="T468" s="4"/>
      <c r="U468" s="4"/>
      <c r="V468" s="4"/>
      <c r="W468" s="4"/>
      <c r="X468" s="4"/>
      <c r="Y468" s="4"/>
      <c r="Z468" s="4"/>
    </row>
    <row r="469" ht="12.75" customHeight="1">
      <c r="A469" s="3" t="s">
        <v>118</v>
      </c>
      <c r="B469" s="3">
        <v>35.16</v>
      </c>
      <c r="C469" s="27">
        <v>68.0</v>
      </c>
      <c r="D469" s="4"/>
      <c r="E469" s="27" t="s">
        <v>200</v>
      </c>
      <c r="F469" s="27">
        <v>0.0</v>
      </c>
      <c r="G469" s="27">
        <v>27.0</v>
      </c>
      <c r="H469" s="4"/>
      <c r="I469" s="28"/>
      <c r="J469" s="28"/>
      <c r="K469" s="28"/>
      <c r="L469" s="4"/>
      <c r="M469" s="28"/>
      <c r="N469" s="28"/>
      <c r="O469" s="28"/>
      <c r="P469" s="4"/>
      <c r="Q469" s="28"/>
      <c r="R469" s="28"/>
      <c r="S469" s="28"/>
      <c r="T469" s="4"/>
      <c r="U469" s="4"/>
      <c r="V469" s="4"/>
      <c r="W469" s="4"/>
      <c r="X469" s="4"/>
      <c r="Y469" s="4"/>
      <c r="Z469" s="4"/>
    </row>
    <row r="470" ht="12.75" customHeight="1">
      <c r="A470" s="3" t="s">
        <v>151</v>
      </c>
      <c r="B470" s="3">
        <v>35.01</v>
      </c>
      <c r="C470" s="27">
        <v>69.0</v>
      </c>
      <c r="D470" s="4"/>
      <c r="E470" s="27" t="s">
        <v>152</v>
      </c>
      <c r="F470" s="27">
        <v>0.0</v>
      </c>
      <c r="G470" s="27">
        <v>27.0</v>
      </c>
      <c r="H470" s="4"/>
      <c r="I470" s="28"/>
      <c r="J470" s="28"/>
      <c r="K470" s="28"/>
      <c r="L470" s="4"/>
      <c r="M470" s="28"/>
      <c r="N470" s="28"/>
      <c r="O470" s="28"/>
      <c r="P470" s="4"/>
      <c r="Q470" s="28"/>
      <c r="R470" s="28"/>
      <c r="S470" s="28"/>
      <c r="T470" s="4"/>
      <c r="U470" s="4"/>
      <c r="V470" s="4"/>
      <c r="W470" s="4"/>
      <c r="X470" s="4"/>
      <c r="Y470" s="4"/>
      <c r="Z470" s="4"/>
    </row>
    <row r="471" ht="12.75" customHeight="1">
      <c r="A471" s="3" t="s">
        <v>157</v>
      </c>
      <c r="B471" s="3">
        <v>35.01</v>
      </c>
      <c r="C471" s="27">
        <v>69.0</v>
      </c>
      <c r="D471" s="4"/>
      <c r="E471" s="27" t="s">
        <v>154</v>
      </c>
      <c r="F471" s="27">
        <v>0.0</v>
      </c>
      <c r="G471" s="27">
        <v>27.0</v>
      </c>
      <c r="H471" s="4"/>
      <c r="I471" s="28"/>
      <c r="J471" s="28"/>
      <c r="K471" s="28"/>
      <c r="L471" s="4"/>
      <c r="M471" s="28"/>
      <c r="N471" s="28"/>
      <c r="O471" s="28"/>
      <c r="P471" s="4"/>
      <c r="Q471" s="28"/>
      <c r="R471" s="28"/>
      <c r="S471" s="28"/>
      <c r="T471" s="4"/>
      <c r="U471" s="4"/>
      <c r="V471" s="4"/>
      <c r="W471" s="4"/>
      <c r="X471" s="4"/>
      <c r="Y471" s="4"/>
      <c r="Z471" s="4"/>
    </row>
    <row r="472" ht="12.75" customHeight="1">
      <c r="A472" s="3" t="s">
        <v>60</v>
      </c>
      <c r="B472" s="3">
        <v>34.98</v>
      </c>
      <c r="C472" s="27">
        <v>71.0</v>
      </c>
      <c r="D472" s="4"/>
      <c r="E472" s="27" t="s">
        <v>95</v>
      </c>
      <c r="F472" s="27">
        <v>0.0</v>
      </c>
      <c r="G472" s="27">
        <v>27.0</v>
      </c>
      <c r="H472" s="4"/>
      <c r="I472" s="28"/>
      <c r="J472" s="28"/>
      <c r="K472" s="28"/>
      <c r="L472" s="4"/>
      <c r="M472" s="28"/>
      <c r="N472" s="28"/>
      <c r="O472" s="28"/>
      <c r="P472" s="4"/>
      <c r="Q472" s="28"/>
      <c r="R472" s="28"/>
      <c r="S472" s="28"/>
      <c r="T472" s="4"/>
      <c r="U472" s="4"/>
      <c r="V472" s="4"/>
      <c r="W472" s="4"/>
      <c r="X472" s="4"/>
      <c r="Y472" s="4"/>
      <c r="Z472" s="4"/>
    </row>
    <row r="473" ht="12.75" customHeight="1">
      <c r="A473" s="3" t="s">
        <v>158</v>
      </c>
      <c r="B473" s="3">
        <v>34.91</v>
      </c>
      <c r="C473" s="27">
        <v>72.0</v>
      </c>
      <c r="D473" s="4"/>
      <c r="E473" s="27" t="s">
        <v>186</v>
      </c>
      <c r="F473" s="27">
        <v>0.0</v>
      </c>
      <c r="G473" s="27">
        <v>27.0</v>
      </c>
      <c r="H473" s="4"/>
      <c r="I473" s="28"/>
      <c r="J473" s="28"/>
      <c r="K473" s="28"/>
      <c r="L473" s="4"/>
      <c r="M473" s="28"/>
      <c r="N473" s="28"/>
      <c r="O473" s="28"/>
      <c r="P473" s="4"/>
      <c r="Q473" s="28"/>
      <c r="R473" s="28"/>
      <c r="S473" s="28"/>
      <c r="T473" s="4"/>
      <c r="U473" s="4"/>
      <c r="V473" s="4"/>
      <c r="W473" s="4"/>
      <c r="X473" s="4"/>
      <c r="Y473" s="4"/>
      <c r="Z473" s="4"/>
    </row>
    <row r="474" ht="12.75" customHeight="1">
      <c r="A474" s="3" t="s">
        <v>136</v>
      </c>
      <c r="B474" s="3">
        <v>34.87</v>
      </c>
      <c r="C474" s="27">
        <v>73.0</v>
      </c>
      <c r="D474" s="4"/>
      <c r="E474" s="27" t="s">
        <v>43</v>
      </c>
      <c r="F474" s="27">
        <v>0.0</v>
      </c>
      <c r="G474" s="27">
        <v>27.0</v>
      </c>
      <c r="H474" s="4"/>
      <c r="I474" s="28"/>
      <c r="J474" s="28"/>
      <c r="K474" s="28"/>
      <c r="L474" s="4"/>
      <c r="M474" s="28"/>
      <c r="N474" s="28"/>
      <c r="O474" s="28"/>
      <c r="P474" s="4"/>
      <c r="Q474" s="28"/>
      <c r="R474" s="28"/>
      <c r="S474" s="28"/>
      <c r="T474" s="4"/>
      <c r="U474" s="4"/>
      <c r="V474" s="4"/>
      <c r="W474" s="4"/>
      <c r="X474" s="4"/>
      <c r="Y474" s="4"/>
      <c r="Z474" s="4"/>
    </row>
    <row r="475" ht="12.75" customHeight="1">
      <c r="A475" s="3" t="s">
        <v>169</v>
      </c>
      <c r="B475" s="3">
        <v>34.87</v>
      </c>
      <c r="C475" s="27">
        <v>73.0</v>
      </c>
      <c r="D475" s="4"/>
      <c r="E475" s="27" t="s">
        <v>182</v>
      </c>
      <c r="F475" s="27">
        <v>0.0</v>
      </c>
      <c r="G475" s="27">
        <v>27.0</v>
      </c>
      <c r="H475" s="4"/>
      <c r="I475" s="28"/>
      <c r="J475" s="28"/>
      <c r="K475" s="28"/>
      <c r="L475" s="4"/>
      <c r="M475" s="28"/>
      <c r="N475" s="28"/>
      <c r="O475" s="28"/>
      <c r="P475" s="4"/>
      <c r="Q475" s="28"/>
      <c r="R475" s="28"/>
      <c r="S475" s="28"/>
      <c r="T475" s="4"/>
      <c r="U475" s="4"/>
      <c r="V475" s="4"/>
      <c r="W475" s="4"/>
      <c r="X475" s="4"/>
      <c r="Y475" s="4"/>
      <c r="Z475" s="4"/>
    </row>
    <row r="476" ht="12.75" customHeight="1">
      <c r="A476" s="3" t="s">
        <v>133</v>
      </c>
      <c r="B476" s="3">
        <v>34.81</v>
      </c>
      <c r="C476" s="27">
        <v>75.0</v>
      </c>
      <c r="D476" s="4"/>
      <c r="E476" s="27" t="s">
        <v>116</v>
      </c>
      <c r="F476" s="27">
        <v>0.0</v>
      </c>
      <c r="G476" s="27">
        <v>27.0</v>
      </c>
      <c r="H476" s="4"/>
      <c r="I476" s="28"/>
      <c r="J476" s="28"/>
      <c r="K476" s="28"/>
      <c r="L476" s="4"/>
      <c r="M476" s="28"/>
      <c r="N476" s="28"/>
      <c r="O476" s="28"/>
      <c r="P476" s="4"/>
      <c r="Q476" s="28"/>
      <c r="R476" s="28"/>
      <c r="S476" s="28"/>
      <c r="T476" s="4"/>
      <c r="U476" s="4"/>
      <c r="V476" s="4"/>
      <c r="W476" s="4"/>
      <c r="X476" s="4"/>
      <c r="Y476" s="4"/>
      <c r="Z476" s="4"/>
    </row>
    <row r="477" ht="12.75" customHeight="1">
      <c r="A477" s="3" t="s">
        <v>86</v>
      </c>
      <c r="B477" s="3">
        <v>34.63</v>
      </c>
      <c r="C477" s="27">
        <v>76.0</v>
      </c>
      <c r="D477" s="4"/>
      <c r="E477" s="27" t="s">
        <v>150</v>
      </c>
      <c r="F477" s="27">
        <v>0.0</v>
      </c>
      <c r="G477" s="27">
        <v>27.0</v>
      </c>
      <c r="H477" s="4"/>
      <c r="I477" s="28"/>
      <c r="J477" s="28"/>
      <c r="K477" s="28"/>
      <c r="L477" s="4"/>
      <c r="M477" s="28"/>
      <c r="N477" s="28"/>
      <c r="O477" s="28"/>
      <c r="P477" s="4"/>
      <c r="Q477" s="28"/>
      <c r="R477" s="28"/>
      <c r="S477" s="28"/>
      <c r="T477" s="4"/>
      <c r="U477" s="4"/>
      <c r="V477" s="4"/>
      <c r="W477" s="4"/>
      <c r="X477" s="4"/>
      <c r="Y477" s="4"/>
      <c r="Z477" s="4"/>
    </row>
    <row r="478" ht="12.75" customHeight="1">
      <c r="A478" s="3" t="s">
        <v>173</v>
      </c>
      <c r="B478" s="3">
        <v>34.43</v>
      </c>
      <c r="C478" s="27">
        <v>77.0</v>
      </c>
      <c r="D478" s="4"/>
      <c r="E478" s="27" t="s">
        <v>166</v>
      </c>
      <c r="F478" s="27">
        <v>0.0</v>
      </c>
      <c r="G478" s="27">
        <v>27.0</v>
      </c>
      <c r="H478" s="4"/>
      <c r="I478" s="28"/>
      <c r="J478" s="28"/>
      <c r="K478" s="28"/>
      <c r="L478" s="4"/>
      <c r="M478" s="28"/>
      <c r="N478" s="28"/>
      <c r="O478" s="28"/>
      <c r="P478" s="4"/>
      <c r="Q478" s="28"/>
      <c r="R478" s="28"/>
      <c r="S478" s="28"/>
      <c r="T478" s="4"/>
      <c r="U478" s="4"/>
      <c r="V478" s="4"/>
      <c r="W478" s="4"/>
      <c r="X478" s="4"/>
      <c r="Y478" s="4"/>
      <c r="Z478" s="4"/>
    </row>
    <row r="479" ht="12.75" customHeight="1">
      <c r="A479" s="3" t="s">
        <v>105</v>
      </c>
      <c r="B479" s="3">
        <v>34.38</v>
      </c>
      <c r="C479" s="27">
        <v>78.0</v>
      </c>
      <c r="D479" s="4"/>
      <c r="E479" s="27" t="s">
        <v>128</v>
      </c>
      <c r="F479" s="27">
        <v>0.0</v>
      </c>
      <c r="G479" s="27">
        <v>27.0</v>
      </c>
      <c r="H479" s="4"/>
      <c r="I479" s="28"/>
      <c r="J479" s="28"/>
      <c r="K479" s="28"/>
      <c r="L479" s="4"/>
      <c r="M479" s="28"/>
      <c r="N479" s="28"/>
      <c r="O479" s="28"/>
      <c r="P479" s="4"/>
      <c r="Q479" s="28"/>
      <c r="R479" s="28"/>
      <c r="S479" s="28"/>
      <c r="T479" s="4"/>
      <c r="U479" s="4"/>
      <c r="V479" s="4"/>
      <c r="W479" s="4"/>
      <c r="X479" s="4"/>
      <c r="Y479" s="4"/>
      <c r="Z479" s="4"/>
    </row>
    <row r="480" ht="12.75" customHeight="1">
      <c r="A480" s="3" t="s">
        <v>148</v>
      </c>
      <c r="B480" s="3">
        <v>34.36</v>
      </c>
      <c r="C480" s="27">
        <v>79.0</v>
      </c>
      <c r="D480" s="4"/>
      <c r="E480" s="27" t="s">
        <v>151</v>
      </c>
      <c r="F480" s="27">
        <v>0.0</v>
      </c>
      <c r="G480" s="27">
        <v>27.0</v>
      </c>
      <c r="H480" s="4"/>
      <c r="I480" s="28"/>
      <c r="J480" s="28"/>
      <c r="K480" s="28"/>
      <c r="L480" s="4"/>
      <c r="M480" s="28"/>
      <c r="N480" s="28"/>
      <c r="O480" s="28"/>
      <c r="P480" s="4"/>
      <c r="Q480" s="28"/>
      <c r="R480" s="28"/>
      <c r="S480" s="28"/>
      <c r="T480" s="4"/>
      <c r="U480" s="4"/>
      <c r="V480" s="4"/>
      <c r="W480" s="4"/>
      <c r="X480" s="4"/>
      <c r="Y480" s="4"/>
      <c r="Z480" s="4"/>
    </row>
    <row r="481" ht="12.75" customHeight="1">
      <c r="A481" s="3" t="s">
        <v>196</v>
      </c>
      <c r="B481" s="3">
        <v>34.28</v>
      </c>
      <c r="C481" s="27">
        <v>80.0</v>
      </c>
      <c r="D481" s="4"/>
      <c r="E481" s="27" t="s">
        <v>177</v>
      </c>
      <c r="F481" s="27">
        <v>0.0</v>
      </c>
      <c r="G481" s="27">
        <v>27.0</v>
      </c>
      <c r="H481" s="4"/>
      <c r="I481" s="28"/>
      <c r="J481" s="28"/>
      <c r="K481" s="28"/>
      <c r="L481" s="4"/>
      <c r="M481" s="28"/>
      <c r="N481" s="28"/>
      <c r="O481" s="28"/>
      <c r="P481" s="4"/>
      <c r="Q481" s="28"/>
      <c r="R481" s="28"/>
      <c r="S481" s="28"/>
      <c r="T481" s="4"/>
      <c r="U481" s="4"/>
      <c r="V481" s="4"/>
      <c r="W481" s="4"/>
      <c r="X481" s="4"/>
      <c r="Y481" s="4"/>
      <c r="Z481" s="4"/>
    </row>
    <row r="482" ht="12.75" customHeight="1">
      <c r="A482" s="3" t="s">
        <v>65</v>
      </c>
      <c r="B482" s="3">
        <v>34.08</v>
      </c>
      <c r="C482" s="27">
        <v>81.0</v>
      </c>
      <c r="D482" s="4"/>
      <c r="E482" s="27" t="s">
        <v>196</v>
      </c>
      <c r="F482" s="27">
        <v>0.0</v>
      </c>
      <c r="G482" s="27">
        <v>27.0</v>
      </c>
      <c r="H482" s="4"/>
      <c r="I482" s="28"/>
      <c r="J482" s="28"/>
      <c r="K482" s="28"/>
      <c r="L482" s="4"/>
      <c r="M482" s="28"/>
      <c r="N482" s="28"/>
      <c r="O482" s="28"/>
      <c r="P482" s="4"/>
      <c r="Q482" s="28"/>
      <c r="R482" s="28"/>
      <c r="S482" s="28"/>
      <c r="T482" s="4"/>
      <c r="U482" s="4"/>
      <c r="V482" s="4"/>
      <c r="W482" s="4"/>
      <c r="X482" s="4"/>
      <c r="Y482" s="4"/>
      <c r="Z482" s="4"/>
    </row>
    <row r="483" ht="12.75" customHeight="1">
      <c r="A483" s="3" t="s">
        <v>124</v>
      </c>
      <c r="B483" s="3">
        <v>34.03</v>
      </c>
      <c r="C483" s="27">
        <v>82.0</v>
      </c>
      <c r="D483" s="4"/>
      <c r="E483" s="27" t="s">
        <v>179</v>
      </c>
      <c r="F483" s="27">
        <v>0.0</v>
      </c>
      <c r="G483" s="27">
        <v>27.0</v>
      </c>
      <c r="H483" s="4"/>
      <c r="I483" s="28"/>
      <c r="J483" s="28"/>
      <c r="K483" s="28"/>
      <c r="L483" s="4"/>
      <c r="M483" s="28"/>
      <c r="N483" s="28"/>
      <c r="O483" s="28"/>
      <c r="P483" s="4"/>
      <c r="Q483" s="28"/>
      <c r="R483" s="28"/>
      <c r="S483" s="28"/>
      <c r="T483" s="4"/>
      <c r="U483" s="4"/>
      <c r="V483" s="4"/>
      <c r="W483" s="4"/>
      <c r="X483" s="4"/>
      <c r="Y483" s="4"/>
      <c r="Z483" s="4"/>
    </row>
    <row r="484" ht="12.75" customHeight="1">
      <c r="A484" s="3" t="s">
        <v>172</v>
      </c>
      <c r="B484" s="3">
        <v>33.85</v>
      </c>
      <c r="C484" s="27">
        <v>83.0</v>
      </c>
      <c r="D484" s="4"/>
      <c r="E484" s="27" t="s">
        <v>114</v>
      </c>
      <c r="F484" s="27">
        <v>0.0</v>
      </c>
      <c r="G484" s="27">
        <v>27.0</v>
      </c>
      <c r="H484" s="4"/>
      <c r="I484" s="28"/>
      <c r="J484" s="28"/>
      <c r="K484" s="28"/>
      <c r="L484" s="4"/>
      <c r="M484" s="28"/>
      <c r="N484" s="28"/>
      <c r="O484" s="28"/>
      <c r="P484" s="4"/>
      <c r="Q484" s="28"/>
      <c r="R484" s="28"/>
      <c r="S484" s="28"/>
      <c r="T484" s="4"/>
      <c r="U484" s="4"/>
      <c r="V484" s="4"/>
      <c r="W484" s="4"/>
      <c r="X484" s="4"/>
      <c r="Y484" s="4"/>
      <c r="Z484" s="4"/>
    </row>
    <row r="485" ht="12.75" customHeight="1">
      <c r="A485" s="3" t="s">
        <v>150</v>
      </c>
      <c r="B485" s="3">
        <v>33.85</v>
      </c>
      <c r="C485" s="27">
        <v>83.0</v>
      </c>
      <c r="D485" s="4"/>
      <c r="E485" s="27" t="s">
        <v>142</v>
      </c>
      <c r="F485" s="27">
        <v>0.0</v>
      </c>
      <c r="G485" s="27">
        <v>27.0</v>
      </c>
      <c r="H485" s="4"/>
      <c r="I485" s="28"/>
      <c r="J485" s="28"/>
      <c r="K485" s="28"/>
      <c r="L485" s="4"/>
      <c r="M485" s="28"/>
      <c r="N485" s="28"/>
      <c r="O485" s="28"/>
      <c r="P485" s="4"/>
      <c r="Q485" s="28"/>
      <c r="R485" s="28"/>
      <c r="S485" s="28"/>
      <c r="T485" s="4"/>
      <c r="U485" s="4"/>
      <c r="V485" s="4"/>
      <c r="W485" s="4"/>
      <c r="X485" s="4"/>
      <c r="Y485" s="4"/>
      <c r="Z485" s="4"/>
    </row>
    <row r="486" ht="12.75" customHeight="1">
      <c r="A486" s="3" t="s">
        <v>185</v>
      </c>
      <c r="B486" s="3">
        <v>33.43</v>
      </c>
      <c r="C486" s="27">
        <v>85.0</v>
      </c>
      <c r="D486" s="4"/>
      <c r="E486" s="27" t="s">
        <v>136</v>
      </c>
      <c r="F486" s="27">
        <v>0.0</v>
      </c>
      <c r="G486" s="27">
        <v>27.0</v>
      </c>
      <c r="H486" s="4"/>
      <c r="I486" s="28"/>
      <c r="J486" s="28"/>
      <c r="K486" s="28"/>
      <c r="L486" s="4"/>
      <c r="M486" s="28"/>
      <c r="N486" s="28"/>
      <c r="O486" s="28"/>
      <c r="P486" s="4"/>
      <c r="Q486" s="28"/>
      <c r="R486" s="28"/>
      <c r="S486" s="28"/>
      <c r="T486" s="4"/>
      <c r="U486" s="4"/>
      <c r="V486" s="4"/>
      <c r="W486" s="4"/>
      <c r="X486" s="4"/>
      <c r="Y486" s="4"/>
      <c r="Z486" s="4"/>
    </row>
    <row r="487" ht="12.75" customHeight="1">
      <c r="A487" s="3" t="s">
        <v>81</v>
      </c>
      <c r="B487" s="3">
        <v>33.28</v>
      </c>
      <c r="C487" s="27">
        <v>86.0</v>
      </c>
      <c r="D487" s="4"/>
      <c r="E487" s="27" t="s">
        <v>161</v>
      </c>
      <c r="F487" s="27">
        <v>0.0</v>
      </c>
      <c r="G487" s="27">
        <v>27.0</v>
      </c>
      <c r="H487" s="4"/>
      <c r="I487" s="28"/>
      <c r="J487" s="28"/>
      <c r="K487" s="28"/>
      <c r="L487" s="4"/>
      <c r="M487" s="28"/>
      <c r="N487" s="28"/>
      <c r="O487" s="28"/>
      <c r="P487" s="4"/>
      <c r="Q487" s="28"/>
      <c r="R487" s="28"/>
      <c r="S487" s="28"/>
      <c r="T487" s="4"/>
      <c r="U487" s="4"/>
      <c r="V487" s="4"/>
      <c r="W487" s="4"/>
      <c r="X487" s="4"/>
      <c r="Y487" s="4"/>
      <c r="Z487" s="4"/>
    </row>
    <row r="488" ht="12.75" customHeight="1">
      <c r="A488" s="3" t="s">
        <v>200</v>
      </c>
      <c r="B488" s="3">
        <v>33.19</v>
      </c>
      <c r="C488" s="27">
        <v>87.0</v>
      </c>
      <c r="D488" s="4"/>
      <c r="E488" s="27" t="s">
        <v>130</v>
      </c>
      <c r="F488" s="27">
        <v>0.0</v>
      </c>
      <c r="G488" s="27">
        <v>27.0</v>
      </c>
      <c r="H488" s="4"/>
      <c r="I488" s="28"/>
      <c r="J488" s="28"/>
      <c r="K488" s="28"/>
      <c r="L488" s="4"/>
      <c r="M488" s="28"/>
      <c r="N488" s="28"/>
      <c r="O488" s="28"/>
      <c r="P488" s="4"/>
      <c r="Q488" s="28"/>
      <c r="R488" s="28"/>
      <c r="S488" s="28"/>
      <c r="T488" s="4"/>
      <c r="U488" s="4"/>
      <c r="V488" s="4"/>
      <c r="W488" s="4"/>
      <c r="X488" s="4"/>
      <c r="Y488" s="4"/>
      <c r="Z488" s="4"/>
    </row>
    <row r="489" ht="12.75" customHeight="1">
      <c r="A489" s="3" t="s">
        <v>156</v>
      </c>
      <c r="B489" s="3">
        <v>32.92</v>
      </c>
      <c r="C489" s="27">
        <v>88.0</v>
      </c>
      <c r="D489" s="4"/>
      <c r="E489" s="27" t="s">
        <v>147</v>
      </c>
      <c r="F489" s="27">
        <v>0.0</v>
      </c>
      <c r="G489" s="27">
        <v>27.0</v>
      </c>
      <c r="H489" s="4"/>
      <c r="I489" s="28"/>
      <c r="J489" s="28"/>
      <c r="K489" s="28"/>
      <c r="L489" s="4"/>
      <c r="M489" s="28"/>
      <c r="N489" s="28"/>
      <c r="O489" s="28"/>
      <c r="P489" s="4"/>
      <c r="Q489" s="28"/>
      <c r="R489" s="28"/>
      <c r="S489" s="28"/>
      <c r="T489" s="4"/>
      <c r="U489" s="4"/>
      <c r="V489" s="4"/>
      <c r="W489" s="4"/>
      <c r="X489" s="4"/>
      <c r="Y489" s="4"/>
      <c r="Z489" s="4"/>
    </row>
    <row r="490" ht="12.75" customHeight="1">
      <c r="A490" s="3" t="s">
        <v>131</v>
      </c>
      <c r="B490" s="3">
        <v>32.78</v>
      </c>
      <c r="C490" s="27">
        <v>89.0</v>
      </c>
      <c r="D490" s="4"/>
      <c r="E490" s="27" t="s">
        <v>176</v>
      </c>
      <c r="F490" s="27">
        <v>0.0</v>
      </c>
      <c r="G490" s="27">
        <v>27.0</v>
      </c>
      <c r="H490" s="4"/>
      <c r="I490" s="28"/>
      <c r="J490" s="28"/>
      <c r="K490" s="28"/>
      <c r="L490" s="4"/>
      <c r="M490" s="28"/>
      <c r="N490" s="28"/>
      <c r="O490" s="28"/>
      <c r="P490" s="4"/>
      <c r="Q490" s="28"/>
      <c r="R490" s="28"/>
      <c r="S490" s="28"/>
      <c r="T490" s="4"/>
      <c r="U490" s="4"/>
      <c r="V490" s="4"/>
      <c r="W490" s="4"/>
      <c r="X490" s="4"/>
      <c r="Y490" s="4"/>
      <c r="Z490" s="4"/>
    </row>
    <row r="491" ht="12.75" customHeight="1">
      <c r="A491" s="3" t="s">
        <v>186</v>
      </c>
      <c r="B491" s="3">
        <v>32.78</v>
      </c>
      <c r="C491" s="27">
        <v>89.0</v>
      </c>
      <c r="D491" s="4"/>
      <c r="E491" s="27" t="s">
        <v>157</v>
      </c>
      <c r="F491" s="27">
        <v>0.0</v>
      </c>
      <c r="G491" s="27">
        <v>27.0</v>
      </c>
      <c r="H491" s="4"/>
      <c r="I491" s="28"/>
      <c r="J491" s="28"/>
      <c r="K491" s="28"/>
      <c r="L491" s="4"/>
      <c r="M491" s="28"/>
      <c r="N491" s="28"/>
      <c r="O491" s="28"/>
      <c r="P491" s="4"/>
      <c r="Q491" s="28"/>
      <c r="R491" s="28"/>
      <c r="S491" s="28"/>
      <c r="T491" s="4"/>
      <c r="U491" s="4"/>
      <c r="V491" s="4"/>
      <c r="W491" s="4"/>
      <c r="X491" s="4"/>
      <c r="Y491" s="4"/>
      <c r="Z491" s="4"/>
    </row>
    <row r="492" ht="12.75" customHeight="1">
      <c r="A492" s="3" t="s">
        <v>147</v>
      </c>
      <c r="B492" s="3">
        <v>32.53</v>
      </c>
      <c r="C492" s="27">
        <v>91.0</v>
      </c>
      <c r="D492" s="4"/>
      <c r="E492" s="27" t="s">
        <v>89</v>
      </c>
      <c r="F492" s="27">
        <v>0.0</v>
      </c>
      <c r="G492" s="27">
        <v>27.0</v>
      </c>
      <c r="H492" s="4"/>
      <c r="I492" s="28"/>
      <c r="J492" s="28"/>
      <c r="K492" s="28"/>
      <c r="L492" s="4"/>
      <c r="M492" s="28"/>
      <c r="N492" s="28"/>
      <c r="O492" s="28"/>
      <c r="P492" s="4"/>
      <c r="Q492" s="28"/>
      <c r="R492" s="28"/>
      <c r="S492" s="28"/>
      <c r="T492" s="4"/>
      <c r="U492" s="4"/>
      <c r="V492" s="4"/>
      <c r="W492" s="4"/>
      <c r="X492" s="4"/>
      <c r="Y492" s="4"/>
      <c r="Z492" s="4"/>
    </row>
    <row r="493" ht="12.75" customHeight="1">
      <c r="A493" s="3" t="s">
        <v>119</v>
      </c>
      <c r="B493" s="3">
        <v>32.43</v>
      </c>
      <c r="C493" s="27">
        <v>92.0</v>
      </c>
      <c r="D493" s="4"/>
      <c r="E493" s="27" t="s">
        <v>184</v>
      </c>
      <c r="F493" s="27">
        <v>0.0</v>
      </c>
      <c r="G493" s="27">
        <v>27.0</v>
      </c>
      <c r="H493" s="4"/>
      <c r="I493" s="28"/>
      <c r="J493" s="28"/>
      <c r="K493" s="28"/>
      <c r="L493" s="4"/>
      <c r="M493" s="28"/>
      <c r="N493" s="28"/>
      <c r="O493" s="28"/>
      <c r="P493" s="4"/>
      <c r="Q493" s="28"/>
      <c r="R493" s="28"/>
      <c r="S493" s="28"/>
      <c r="T493" s="4"/>
      <c r="U493" s="4"/>
      <c r="V493" s="4"/>
      <c r="W493" s="4"/>
      <c r="X493" s="4"/>
      <c r="Y493" s="4"/>
      <c r="Z493" s="4"/>
    </row>
    <row r="494" ht="12.75" customHeight="1">
      <c r="A494" s="3" t="s">
        <v>115</v>
      </c>
      <c r="B494" s="3">
        <v>32.34</v>
      </c>
      <c r="C494" s="27">
        <v>93.0</v>
      </c>
      <c r="D494" s="4"/>
      <c r="E494" s="27" t="s">
        <v>122</v>
      </c>
      <c r="F494" s="27">
        <v>0.0</v>
      </c>
      <c r="G494" s="27">
        <v>27.0</v>
      </c>
      <c r="H494" s="4"/>
      <c r="I494" s="28"/>
      <c r="J494" s="28"/>
      <c r="K494" s="28"/>
      <c r="L494" s="4"/>
      <c r="M494" s="28"/>
      <c r="N494" s="28"/>
      <c r="O494" s="28"/>
      <c r="P494" s="4"/>
      <c r="Q494" s="28"/>
      <c r="R494" s="28"/>
      <c r="S494" s="28"/>
      <c r="T494" s="4"/>
      <c r="U494" s="4"/>
      <c r="V494" s="4"/>
      <c r="W494" s="4"/>
      <c r="X494" s="4"/>
      <c r="Y494" s="4"/>
      <c r="Z494" s="4"/>
    </row>
    <row r="495" ht="12.75" customHeight="1">
      <c r="A495" s="3" t="s">
        <v>152</v>
      </c>
      <c r="B495" s="3">
        <v>32.29</v>
      </c>
      <c r="C495" s="27">
        <v>94.0</v>
      </c>
      <c r="D495" s="4"/>
      <c r="E495" s="27" t="s">
        <v>171</v>
      </c>
      <c r="F495" s="27">
        <v>0.0</v>
      </c>
      <c r="G495" s="27">
        <v>27.0</v>
      </c>
      <c r="H495" s="4"/>
      <c r="I495" s="28"/>
      <c r="J495" s="28"/>
      <c r="K495" s="28"/>
      <c r="L495" s="4"/>
      <c r="M495" s="28"/>
      <c r="N495" s="28"/>
      <c r="O495" s="28"/>
      <c r="P495" s="4"/>
      <c r="Q495" s="28"/>
      <c r="R495" s="28"/>
      <c r="S495" s="28"/>
      <c r="T495" s="4"/>
      <c r="U495" s="4"/>
      <c r="V495" s="4"/>
      <c r="W495" s="4"/>
      <c r="X495" s="4"/>
      <c r="Y495" s="4"/>
      <c r="Z495" s="4"/>
    </row>
    <row r="496" ht="12.75" customHeight="1">
      <c r="A496" s="3" t="s">
        <v>175</v>
      </c>
      <c r="B496" s="3">
        <v>31.9</v>
      </c>
      <c r="C496" s="27">
        <v>95.0</v>
      </c>
      <c r="D496" s="4"/>
      <c r="E496" s="27" t="s">
        <v>191</v>
      </c>
      <c r="F496" s="27">
        <v>0.0</v>
      </c>
      <c r="G496" s="27">
        <v>27.0</v>
      </c>
      <c r="H496" s="4"/>
      <c r="I496" s="28"/>
      <c r="J496" s="28"/>
      <c r="K496" s="28"/>
      <c r="L496" s="4"/>
      <c r="M496" s="28"/>
      <c r="N496" s="28"/>
      <c r="O496" s="28"/>
      <c r="P496" s="4"/>
      <c r="Q496" s="28"/>
      <c r="R496" s="28"/>
      <c r="S496" s="28"/>
      <c r="T496" s="4"/>
      <c r="U496" s="4"/>
      <c r="V496" s="4"/>
      <c r="W496" s="4"/>
      <c r="X496" s="4"/>
      <c r="Y496" s="4"/>
      <c r="Z496" s="4"/>
    </row>
    <row r="497" ht="12.75" customHeight="1">
      <c r="A497" s="3" t="s">
        <v>87</v>
      </c>
      <c r="B497" s="3">
        <v>31.65</v>
      </c>
      <c r="C497" s="27">
        <v>96.0</v>
      </c>
      <c r="D497" s="4"/>
      <c r="E497" s="27" t="s">
        <v>148</v>
      </c>
      <c r="F497" s="27">
        <v>0.0</v>
      </c>
      <c r="G497" s="27">
        <v>27.0</v>
      </c>
      <c r="H497" s="4"/>
      <c r="I497" s="28"/>
      <c r="J497" s="28"/>
      <c r="K497" s="28"/>
      <c r="L497" s="4"/>
      <c r="M497" s="28"/>
      <c r="N497" s="28"/>
      <c r="O497" s="28"/>
      <c r="P497" s="4"/>
      <c r="Q497" s="28"/>
      <c r="R497" s="28"/>
      <c r="S497" s="28"/>
      <c r="T497" s="4"/>
      <c r="U497" s="4"/>
      <c r="V497" s="4"/>
      <c r="W497" s="4"/>
      <c r="X497" s="4"/>
      <c r="Y497" s="4"/>
      <c r="Z497" s="4"/>
    </row>
    <row r="498" ht="12.75" customHeight="1">
      <c r="A498" s="3" t="s">
        <v>166</v>
      </c>
      <c r="B498" s="3">
        <v>31.57</v>
      </c>
      <c r="C498" s="27">
        <v>97.0</v>
      </c>
      <c r="D498" s="4"/>
      <c r="E498" s="27" t="s">
        <v>101</v>
      </c>
      <c r="F498" s="27">
        <v>0.0</v>
      </c>
      <c r="G498" s="27">
        <v>27.0</v>
      </c>
      <c r="H498" s="4"/>
      <c r="I498" s="28"/>
      <c r="J498" s="28"/>
      <c r="K498" s="28"/>
      <c r="L498" s="4"/>
      <c r="M498" s="28"/>
      <c r="N498" s="28"/>
      <c r="O498" s="28"/>
      <c r="P498" s="4"/>
      <c r="Q498" s="28"/>
      <c r="R498" s="28"/>
      <c r="S498" s="28"/>
      <c r="T498" s="4"/>
      <c r="U498" s="4"/>
      <c r="V498" s="4"/>
      <c r="W498" s="4"/>
      <c r="X498" s="4"/>
      <c r="Y498" s="4"/>
      <c r="Z498" s="4"/>
    </row>
    <row r="499" ht="12.75" customHeight="1">
      <c r="A499" s="3" t="s">
        <v>184</v>
      </c>
      <c r="B499" s="3">
        <v>31.56</v>
      </c>
      <c r="C499" s="27">
        <v>98.0</v>
      </c>
      <c r="D499" s="4"/>
      <c r="E499" s="27" t="s">
        <v>146</v>
      </c>
      <c r="F499" s="27">
        <v>0.0</v>
      </c>
      <c r="G499" s="27">
        <v>27.0</v>
      </c>
      <c r="H499" s="4"/>
      <c r="I499" s="28"/>
      <c r="J499" s="28"/>
      <c r="K499" s="28"/>
      <c r="L499" s="4"/>
      <c r="M499" s="28"/>
      <c r="N499" s="28"/>
      <c r="O499" s="28"/>
      <c r="P499" s="4"/>
      <c r="Q499" s="28"/>
      <c r="R499" s="28"/>
      <c r="S499" s="28"/>
      <c r="T499" s="4"/>
      <c r="U499" s="4"/>
      <c r="V499" s="4"/>
      <c r="W499" s="4"/>
      <c r="X499" s="4"/>
      <c r="Y499" s="4"/>
      <c r="Z499" s="4"/>
    </row>
    <row r="500" ht="12.75" customHeight="1">
      <c r="A500" s="3" t="s">
        <v>137</v>
      </c>
      <c r="B500" s="3">
        <v>31.53</v>
      </c>
      <c r="C500" s="27">
        <v>99.0</v>
      </c>
      <c r="D500" s="4"/>
      <c r="E500" s="27" t="s">
        <v>105</v>
      </c>
      <c r="F500" s="27">
        <v>0.0</v>
      </c>
      <c r="G500" s="27">
        <v>27.0</v>
      </c>
      <c r="H500" s="4"/>
      <c r="I500" s="28"/>
      <c r="J500" s="28"/>
      <c r="K500" s="28"/>
      <c r="L500" s="4"/>
      <c r="M500" s="28"/>
      <c r="N500" s="28"/>
      <c r="O500" s="28"/>
      <c r="P500" s="4"/>
      <c r="Q500" s="28"/>
      <c r="R500" s="28"/>
      <c r="S500" s="28"/>
      <c r="T500" s="4"/>
      <c r="U500" s="4"/>
      <c r="V500" s="4"/>
      <c r="W500" s="4"/>
      <c r="X500" s="4"/>
      <c r="Y500" s="4"/>
      <c r="Z500" s="4"/>
    </row>
    <row r="501" ht="12.75" customHeight="1">
      <c r="A501" s="3" t="s">
        <v>116</v>
      </c>
      <c r="B501" s="3">
        <v>31.51</v>
      </c>
      <c r="C501" s="27">
        <v>100.0</v>
      </c>
      <c r="D501" s="4"/>
      <c r="E501" s="27" t="s">
        <v>133</v>
      </c>
      <c r="F501" s="27">
        <v>0.0</v>
      </c>
      <c r="G501" s="27">
        <v>27.0</v>
      </c>
      <c r="H501" s="4"/>
      <c r="I501" s="28"/>
      <c r="J501" s="28"/>
      <c r="K501" s="28"/>
      <c r="L501" s="4"/>
      <c r="M501" s="28"/>
      <c r="N501" s="28"/>
      <c r="O501" s="28"/>
      <c r="P501" s="4"/>
      <c r="Q501" s="28"/>
      <c r="R501" s="28"/>
      <c r="S501" s="28"/>
      <c r="T501" s="4"/>
      <c r="U501" s="4"/>
      <c r="V501" s="4"/>
      <c r="W501" s="4"/>
      <c r="X501" s="4"/>
      <c r="Y501" s="4"/>
      <c r="Z501" s="4"/>
    </row>
    <row r="502" ht="12.75" customHeight="1">
      <c r="A502" s="3" t="s">
        <v>143</v>
      </c>
      <c r="B502" s="3">
        <v>31.42</v>
      </c>
      <c r="C502" s="27">
        <v>101.0</v>
      </c>
      <c r="D502" s="4"/>
      <c r="E502" s="27" t="s">
        <v>86</v>
      </c>
      <c r="F502" s="27">
        <v>0.0</v>
      </c>
      <c r="G502" s="27">
        <v>27.0</v>
      </c>
      <c r="H502" s="4"/>
      <c r="I502" s="28"/>
      <c r="J502" s="28"/>
      <c r="K502" s="28"/>
      <c r="L502" s="4"/>
      <c r="M502" s="28"/>
      <c r="N502" s="28"/>
      <c r="O502" s="28"/>
      <c r="P502" s="4"/>
      <c r="Q502" s="28"/>
      <c r="R502" s="28"/>
      <c r="S502" s="28"/>
      <c r="T502" s="4"/>
      <c r="U502" s="4"/>
      <c r="V502" s="4"/>
      <c r="W502" s="4"/>
      <c r="X502" s="4"/>
      <c r="Y502" s="4"/>
      <c r="Z502" s="4"/>
    </row>
    <row r="503" ht="12.75" customHeight="1">
      <c r="A503" s="3" t="s">
        <v>114</v>
      </c>
      <c r="B503" s="3">
        <v>31.23</v>
      </c>
      <c r="C503" s="27">
        <v>102.0</v>
      </c>
      <c r="D503" s="4"/>
      <c r="E503" s="27" t="s">
        <v>124</v>
      </c>
      <c r="F503" s="27">
        <v>0.0</v>
      </c>
      <c r="G503" s="27">
        <v>27.0</v>
      </c>
      <c r="H503" s="4"/>
      <c r="I503" s="28"/>
      <c r="J503" s="28"/>
      <c r="K503" s="28"/>
      <c r="L503" s="4"/>
      <c r="M503" s="28"/>
      <c r="N503" s="28"/>
      <c r="O503" s="28"/>
      <c r="P503" s="4"/>
      <c r="Q503" s="28"/>
      <c r="R503" s="28"/>
      <c r="S503" s="28"/>
      <c r="T503" s="4"/>
      <c r="U503" s="4"/>
      <c r="V503" s="4"/>
      <c r="W503" s="4"/>
      <c r="X503" s="4"/>
      <c r="Y503" s="4"/>
      <c r="Z503" s="4"/>
    </row>
    <row r="504" ht="12.75" customHeight="1">
      <c r="A504" s="3" t="s">
        <v>102</v>
      </c>
      <c r="B504" s="3">
        <v>31.18</v>
      </c>
      <c r="C504" s="27">
        <v>103.0</v>
      </c>
      <c r="D504" s="4"/>
      <c r="E504" s="27" t="s">
        <v>175</v>
      </c>
      <c r="F504" s="27">
        <v>0.0</v>
      </c>
      <c r="G504" s="27">
        <v>27.0</v>
      </c>
      <c r="H504" s="4"/>
      <c r="I504" s="28"/>
      <c r="J504" s="28"/>
      <c r="K504" s="28"/>
      <c r="L504" s="4"/>
      <c r="M504" s="28"/>
      <c r="N504" s="28"/>
      <c r="O504" s="28"/>
      <c r="P504" s="4"/>
      <c r="Q504" s="28"/>
      <c r="R504" s="28"/>
      <c r="S504" s="28"/>
      <c r="T504" s="4"/>
      <c r="U504" s="4"/>
      <c r="V504" s="4"/>
      <c r="W504" s="4"/>
      <c r="X504" s="4"/>
      <c r="Y504" s="4"/>
      <c r="Z504" s="4"/>
    </row>
    <row r="505" ht="12.75" customHeight="1">
      <c r="A505" s="3" t="s">
        <v>161</v>
      </c>
      <c r="B505" s="3">
        <v>31.09</v>
      </c>
      <c r="C505" s="27">
        <v>104.0</v>
      </c>
      <c r="D505" s="4"/>
      <c r="E505" s="27" t="s">
        <v>160</v>
      </c>
      <c r="F505" s="27">
        <v>0.0</v>
      </c>
      <c r="G505" s="27">
        <v>27.0</v>
      </c>
      <c r="H505" s="4"/>
      <c r="I505" s="28"/>
      <c r="J505" s="28"/>
      <c r="K505" s="28"/>
      <c r="L505" s="4"/>
      <c r="M505" s="28"/>
      <c r="N505" s="28"/>
      <c r="O505" s="28"/>
      <c r="P505" s="4"/>
      <c r="Q505" s="28"/>
      <c r="R505" s="28"/>
      <c r="S505" s="28"/>
      <c r="T505" s="4"/>
      <c r="U505" s="4"/>
      <c r="V505" s="4"/>
      <c r="W505" s="4"/>
      <c r="X505" s="4"/>
      <c r="Y505" s="4"/>
      <c r="Z505" s="4"/>
    </row>
    <row r="506" ht="12.75" customHeight="1">
      <c r="A506" s="3" t="s">
        <v>141</v>
      </c>
      <c r="B506" s="3">
        <v>31.08</v>
      </c>
      <c r="C506" s="27">
        <v>105.0</v>
      </c>
      <c r="D506" s="4"/>
      <c r="E506" s="27" t="s">
        <v>193</v>
      </c>
      <c r="F506" s="27">
        <v>0.0</v>
      </c>
      <c r="G506" s="27">
        <v>27.0</v>
      </c>
      <c r="H506" s="4"/>
      <c r="I506" s="28"/>
      <c r="J506" s="28"/>
      <c r="K506" s="28"/>
      <c r="L506" s="4"/>
      <c r="M506" s="28"/>
      <c r="N506" s="28"/>
      <c r="O506" s="28"/>
      <c r="P506" s="4"/>
      <c r="Q506" s="28"/>
      <c r="R506" s="28"/>
      <c r="S506" s="28"/>
      <c r="T506" s="4"/>
      <c r="U506" s="4"/>
      <c r="V506" s="4"/>
      <c r="W506" s="4"/>
      <c r="X506" s="4"/>
      <c r="Y506" s="4"/>
      <c r="Z506" s="4"/>
    </row>
    <row r="507" ht="12.75" customHeight="1">
      <c r="A507" s="3" t="s">
        <v>178</v>
      </c>
      <c r="B507" s="3">
        <v>31.06</v>
      </c>
      <c r="C507" s="27">
        <v>106.0</v>
      </c>
      <c r="D507" s="4"/>
      <c r="E507" s="27" t="s">
        <v>189</v>
      </c>
      <c r="F507" s="27">
        <v>0.0</v>
      </c>
      <c r="G507" s="27">
        <v>27.0</v>
      </c>
      <c r="H507" s="4"/>
      <c r="I507" s="28"/>
      <c r="J507" s="28"/>
      <c r="K507" s="28"/>
      <c r="L507" s="4"/>
      <c r="M507" s="28"/>
      <c r="N507" s="28"/>
      <c r="O507" s="28"/>
      <c r="P507" s="4"/>
      <c r="Q507" s="28"/>
      <c r="R507" s="28"/>
      <c r="S507" s="28"/>
      <c r="T507" s="4"/>
      <c r="U507" s="4"/>
      <c r="V507" s="4"/>
      <c r="W507" s="4"/>
      <c r="X507" s="4"/>
      <c r="Y507" s="4"/>
      <c r="Z507" s="4"/>
    </row>
    <row r="508" ht="12.75" customHeight="1">
      <c r="A508" s="3" t="s">
        <v>108</v>
      </c>
      <c r="B508" s="3">
        <v>31.01</v>
      </c>
      <c r="C508" s="27">
        <v>107.0</v>
      </c>
      <c r="D508" s="4"/>
      <c r="E508" s="27" t="s">
        <v>172</v>
      </c>
      <c r="F508" s="27">
        <v>0.0</v>
      </c>
      <c r="G508" s="27">
        <v>27.0</v>
      </c>
      <c r="H508" s="4"/>
      <c r="I508" s="28"/>
      <c r="J508" s="28"/>
      <c r="K508" s="28"/>
      <c r="L508" s="4"/>
      <c r="M508" s="28"/>
      <c r="N508" s="28"/>
      <c r="O508" s="28"/>
      <c r="P508" s="4"/>
      <c r="Q508" s="28"/>
      <c r="R508" s="28"/>
      <c r="S508" s="28"/>
      <c r="T508" s="4"/>
      <c r="U508" s="4"/>
      <c r="V508" s="4"/>
      <c r="W508" s="4"/>
      <c r="X508" s="4"/>
      <c r="Y508" s="4"/>
      <c r="Z508" s="4"/>
    </row>
    <row r="509" ht="12.75" customHeight="1">
      <c r="A509" s="3" t="s">
        <v>104</v>
      </c>
      <c r="B509" s="3">
        <v>30.99</v>
      </c>
      <c r="C509" s="27">
        <v>108.0</v>
      </c>
      <c r="D509" s="4"/>
      <c r="E509" s="27" t="s">
        <v>164</v>
      </c>
      <c r="F509" s="27">
        <v>0.0</v>
      </c>
      <c r="G509" s="27">
        <v>27.0</v>
      </c>
      <c r="H509" s="4"/>
      <c r="I509" s="28"/>
      <c r="J509" s="28"/>
      <c r="K509" s="28"/>
      <c r="L509" s="4"/>
      <c r="M509" s="28"/>
      <c r="N509" s="28"/>
      <c r="O509" s="28"/>
      <c r="P509" s="4"/>
      <c r="Q509" s="28"/>
      <c r="R509" s="28"/>
      <c r="S509" s="28"/>
      <c r="T509" s="4"/>
      <c r="U509" s="4"/>
      <c r="V509" s="4"/>
      <c r="W509" s="4"/>
      <c r="X509" s="4"/>
      <c r="Y509" s="4"/>
      <c r="Z509" s="4"/>
    </row>
    <row r="510" ht="12.75" customHeight="1">
      <c r="A510" s="3" t="s">
        <v>188</v>
      </c>
      <c r="B510" s="3">
        <v>30.88</v>
      </c>
      <c r="C510" s="27">
        <v>109.0</v>
      </c>
      <c r="D510" s="4"/>
      <c r="E510" s="27" t="s">
        <v>132</v>
      </c>
      <c r="F510" s="27">
        <v>0.0</v>
      </c>
      <c r="G510" s="27">
        <v>27.0</v>
      </c>
      <c r="H510" s="4"/>
      <c r="I510" s="28"/>
      <c r="J510" s="28"/>
      <c r="K510" s="28"/>
      <c r="L510" s="4"/>
      <c r="M510" s="28"/>
      <c r="N510" s="28"/>
      <c r="O510" s="28"/>
      <c r="P510" s="4"/>
      <c r="Q510" s="28"/>
      <c r="R510" s="28"/>
      <c r="S510" s="28"/>
      <c r="T510" s="4"/>
      <c r="U510" s="4"/>
      <c r="V510" s="4"/>
      <c r="W510" s="4"/>
      <c r="X510" s="4"/>
      <c r="Y510" s="4"/>
      <c r="Z510" s="4"/>
    </row>
    <row r="511" ht="12.75" customHeight="1">
      <c r="A511" s="3" t="s">
        <v>193</v>
      </c>
      <c r="B511" s="3">
        <v>30.88</v>
      </c>
      <c r="C511" s="27">
        <v>109.0</v>
      </c>
      <c r="D511" s="4"/>
      <c r="E511" s="27" t="s">
        <v>187</v>
      </c>
      <c r="F511" s="27">
        <v>0.0</v>
      </c>
      <c r="G511" s="27">
        <v>27.0</v>
      </c>
      <c r="H511" s="4"/>
      <c r="I511" s="28"/>
      <c r="J511" s="28"/>
      <c r="K511" s="28"/>
      <c r="L511" s="4"/>
      <c r="M511" s="28"/>
      <c r="N511" s="28"/>
      <c r="O511" s="28"/>
      <c r="P511" s="4"/>
      <c r="Q511" s="28"/>
      <c r="R511" s="28"/>
      <c r="S511" s="28"/>
      <c r="T511" s="4"/>
      <c r="U511" s="4"/>
      <c r="V511" s="4"/>
      <c r="W511" s="4"/>
      <c r="X511" s="4"/>
      <c r="Y511" s="4"/>
      <c r="Z511" s="4"/>
    </row>
    <row r="512" ht="12.75" customHeight="1">
      <c r="A512" s="3" t="s">
        <v>154</v>
      </c>
      <c r="B512" s="3">
        <v>30.88</v>
      </c>
      <c r="C512" s="27">
        <v>109.0</v>
      </c>
      <c r="D512" s="4"/>
      <c r="E512" s="27" t="s">
        <v>156</v>
      </c>
      <c r="F512" s="27">
        <v>0.0</v>
      </c>
      <c r="G512" s="27">
        <v>27.0</v>
      </c>
      <c r="H512" s="4"/>
      <c r="I512" s="28"/>
      <c r="J512" s="28"/>
      <c r="K512" s="28"/>
      <c r="L512" s="4"/>
      <c r="M512" s="28"/>
      <c r="N512" s="28"/>
      <c r="O512" s="28"/>
      <c r="P512" s="4"/>
      <c r="Q512" s="28"/>
      <c r="R512" s="28"/>
      <c r="S512" s="28"/>
      <c r="T512" s="4"/>
      <c r="U512" s="4"/>
      <c r="V512" s="4"/>
      <c r="W512" s="4"/>
      <c r="X512" s="4"/>
      <c r="Y512" s="4"/>
      <c r="Z512" s="4"/>
    </row>
    <row r="513" ht="12.75" customHeight="1">
      <c r="A513" s="3" t="s">
        <v>155</v>
      </c>
      <c r="B513" s="3">
        <v>30.88</v>
      </c>
      <c r="C513" s="27">
        <v>109.0</v>
      </c>
      <c r="D513" s="4"/>
      <c r="E513" s="27" t="s">
        <v>174</v>
      </c>
      <c r="F513" s="27">
        <v>0.0</v>
      </c>
      <c r="G513" s="27">
        <v>27.0</v>
      </c>
      <c r="H513" s="4"/>
      <c r="I513" s="28"/>
      <c r="J513" s="28"/>
      <c r="K513" s="28"/>
      <c r="L513" s="4"/>
      <c r="M513" s="28"/>
      <c r="N513" s="28"/>
      <c r="O513" s="28"/>
      <c r="P513" s="4"/>
      <c r="Q513" s="28"/>
      <c r="R513" s="28"/>
      <c r="S513" s="28"/>
      <c r="T513" s="4"/>
      <c r="U513" s="4"/>
      <c r="V513" s="4"/>
      <c r="W513" s="4"/>
      <c r="X513" s="4"/>
      <c r="Y513" s="4"/>
      <c r="Z513" s="4"/>
    </row>
    <row r="514" ht="12.75" customHeight="1">
      <c r="A514" s="3" t="s">
        <v>177</v>
      </c>
      <c r="B514" s="3">
        <v>30.65</v>
      </c>
      <c r="C514" s="27">
        <v>113.0</v>
      </c>
      <c r="D514" s="4"/>
      <c r="E514" s="27" t="s">
        <v>81</v>
      </c>
      <c r="F514" s="27">
        <v>0.0</v>
      </c>
      <c r="G514" s="27">
        <v>27.0</v>
      </c>
      <c r="H514" s="4"/>
      <c r="I514" s="28"/>
      <c r="J514" s="28"/>
      <c r="K514" s="28"/>
      <c r="L514" s="4"/>
      <c r="M514" s="28"/>
      <c r="N514" s="28"/>
      <c r="O514" s="28"/>
      <c r="P514" s="4"/>
      <c r="Q514" s="28"/>
      <c r="R514" s="28"/>
      <c r="S514" s="28"/>
      <c r="T514" s="4"/>
      <c r="U514" s="4"/>
      <c r="V514" s="4"/>
      <c r="W514" s="4"/>
      <c r="X514" s="4"/>
      <c r="Y514" s="4"/>
      <c r="Z514" s="4"/>
    </row>
    <row r="515" ht="12.75" customHeight="1">
      <c r="A515" s="3" t="s">
        <v>130</v>
      </c>
      <c r="B515" s="3">
        <v>30.64</v>
      </c>
      <c r="C515" s="27">
        <v>114.0</v>
      </c>
      <c r="D515" s="4"/>
      <c r="E515" s="27" t="s">
        <v>58</v>
      </c>
      <c r="F515" s="27">
        <v>0.0</v>
      </c>
      <c r="G515" s="27">
        <v>27.0</v>
      </c>
      <c r="H515" s="4"/>
      <c r="I515" s="28"/>
      <c r="J515" s="28"/>
      <c r="K515" s="28"/>
      <c r="L515" s="4"/>
      <c r="M515" s="28"/>
      <c r="N515" s="28"/>
      <c r="O515" s="28"/>
      <c r="P515" s="4"/>
      <c r="Q515" s="28"/>
      <c r="R515" s="28"/>
      <c r="S515" s="28"/>
      <c r="T515" s="4"/>
      <c r="U515" s="4"/>
      <c r="V515" s="4"/>
      <c r="W515" s="4"/>
      <c r="X515" s="4"/>
      <c r="Y515" s="4"/>
      <c r="Z515" s="4"/>
    </row>
    <row r="516" ht="12.75" customHeight="1">
      <c r="A516" s="3" t="s">
        <v>167</v>
      </c>
      <c r="B516" s="3">
        <v>29.91</v>
      </c>
      <c r="C516" s="27">
        <v>115.0</v>
      </c>
      <c r="D516" s="4"/>
      <c r="E516" s="27" t="s">
        <v>60</v>
      </c>
      <c r="F516" s="27">
        <v>0.0</v>
      </c>
      <c r="G516" s="27">
        <v>27.0</v>
      </c>
      <c r="H516" s="4"/>
      <c r="I516" s="28"/>
      <c r="J516" s="28"/>
      <c r="K516" s="28"/>
      <c r="L516" s="4"/>
      <c r="M516" s="28"/>
      <c r="N516" s="28"/>
      <c r="O516" s="28"/>
      <c r="P516" s="4"/>
      <c r="Q516" s="28"/>
      <c r="R516" s="28"/>
      <c r="S516" s="28"/>
      <c r="T516" s="4"/>
      <c r="U516" s="4"/>
      <c r="V516" s="4"/>
      <c r="W516" s="4"/>
      <c r="X516" s="4"/>
      <c r="Y516" s="4"/>
      <c r="Z516" s="4"/>
    </row>
    <row r="517" ht="12.75" customHeight="1">
      <c r="A517" s="3" t="s">
        <v>111</v>
      </c>
      <c r="B517" s="3">
        <v>29.83</v>
      </c>
      <c r="C517" s="27">
        <v>116.0</v>
      </c>
      <c r="D517" s="4"/>
      <c r="E517" s="27" t="s">
        <v>112</v>
      </c>
      <c r="F517" s="27">
        <v>0.0</v>
      </c>
      <c r="G517" s="27">
        <v>27.0</v>
      </c>
      <c r="H517" s="4"/>
      <c r="I517" s="28"/>
      <c r="J517" s="28"/>
      <c r="K517" s="28"/>
      <c r="L517" s="4"/>
      <c r="M517" s="28"/>
      <c r="N517" s="28"/>
      <c r="O517" s="28"/>
      <c r="P517" s="4"/>
      <c r="Q517" s="28"/>
      <c r="R517" s="28"/>
      <c r="S517" s="28"/>
      <c r="T517" s="4"/>
      <c r="U517" s="4"/>
      <c r="V517" s="4"/>
      <c r="W517" s="4"/>
      <c r="X517" s="4"/>
      <c r="Y517" s="4"/>
      <c r="Z517" s="4"/>
    </row>
    <row r="518" ht="12.75" customHeight="1">
      <c r="A518" s="3" t="s">
        <v>146</v>
      </c>
      <c r="B518" s="3">
        <v>29.61</v>
      </c>
      <c r="C518" s="27">
        <v>117.0</v>
      </c>
      <c r="D518" s="4"/>
      <c r="E518" s="27" t="s">
        <v>181</v>
      </c>
      <c r="F518" s="27">
        <v>0.0</v>
      </c>
      <c r="G518" s="27">
        <v>27.0</v>
      </c>
      <c r="H518" s="4"/>
      <c r="I518" s="28"/>
      <c r="J518" s="28"/>
      <c r="K518" s="28"/>
      <c r="L518" s="4"/>
      <c r="M518" s="28"/>
      <c r="N518" s="28"/>
      <c r="O518" s="28"/>
      <c r="P518" s="4"/>
      <c r="Q518" s="28"/>
      <c r="R518" s="28"/>
      <c r="S518" s="28"/>
      <c r="T518" s="4"/>
      <c r="U518" s="4"/>
      <c r="V518" s="4"/>
      <c r="W518" s="4"/>
      <c r="X518" s="4"/>
      <c r="Y518" s="4"/>
      <c r="Z518" s="4"/>
    </row>
    <row r="519" ht="12.75" customHeight="1">
      <c r="A519" s="3" t="s">
        <v>145</v>
      </c>
      <c r="B519" s="3">
        <v>29.54</v>
      </c>
      <c r="C519" s="27">
        <v>118.0</v>
      </c>
      <c r="D519" s="4"/>
      <c r="E519" s="27" t="s">
        <v>185</v>
      </c>
      <c r="F519" s="27">
        <v>0.0</v>
      </c>
      <c r="G519" s="27">
        <v>27.0</v>
      </c>
      <c r="H519" s="4"/>
      <c r="I519" s="28"/>
      <c r="J519" s="28"/>
      <c r="K519" s="28"/>
      <c r="L519" s="4"/>
      <c r="M519" s="28"/>
      <c r="N519" s="28"/>
      <c r="O519" s="28"/>
      <c r="P519" s="4"/>
      <c r="Q519" s="28"/>
      <c r="R519" s="28"/>
      <c r="S519" s="28"/>
      <c r="T519" s="4"/>
      <c r="U519" s="4"/>
      <c r="V519" s="4"/>
      <c r="W519" s="4"/>
      <c r="X519" s="4"/>
      <c r="Y519" s="4"/>
      <c r="Z519" s="4"/>
    </row>
    <row r="520" ht="12.75" customHeight="1">
      <c r="A520" s="3" t="s">
        <v>187</v>
      </c>
      <c r="B520" s="3">
        <v>29.21</v>
      </c>
      <c r="C520" s="27">
        <v>119.0</v>
      </c>
      <c r="D520" s="4"/>
      <c r="E520" s="27" t="s">
        <v>125</v>
      </c>
      <c r="F520" s="27">
        <v>0.0</v>
      </c>
      <c r="G520" s="27">
        <v>27.0</v>
      </c>
      <c r="H520" s="4"/>
      <c r="I520" s="28"/>
      <c r="J520" s="28"/>
      <c r="K520" s="28"/>
      <c r="L520" s="4"/>
      <c r="M520" s="28"/>
      <c r="N520" s="28"/>
      <c r="O520" s="28"/>
      <c r="P520" s="4"/>
      <c r="Q520" s="28"/>
      <c r="R520" s="28"/>
      <c r="S520" s="28"/>
      <c r="T520" s="4"/>
      <c r="U520" s="4"/>
      <c r="V520" s="4"/>
      <c r="W520" s="4"/>
      <c r="X520" s="4"/>
      <c r="Y520" s="4"/>
      <c r="Z520" s="4"/>
    </row>
    <row r="521" ht="12.75" customHeight="1">
      <c r="A521" s="3" t="s">
        <v>139</v>
      </c>
      <c r="B521" s="3">
        <v>28.94</v>
      </c>
      <c r="C521" s="27">
        <v>120.0</v>
      </c>
      <c r="D521" s="4"/>
      <c r="E521" s="27" t="s">
        <v>98</v>
      </c>
      <c r="F521" s="27">
        <v>0.0</v>
      </c>
      <c r="G521" s="27">
        <v>27.0</v>
      </c>
      <c r="H521" s="4"/>
      <c r="I521" s="28"/>
      <c r="J521" s="28"/>
      <c r="K521" s="28"/>
      <c r="L521" s="4"/>
      <c r="M521" s="28"/>
      <c r="N521" s="28"/>
      <c r="O521" s="28"/>
      <c r="P521" s="4"/>
      <c r="Q521" s="28"/>
      <c r="R521" s="28"/>
      <c r="S521" s="28"/>
      <c r="T521" s="4"/>
      <c r="U521" s="4"/>
      <c r="V521" s="4"/>
      <c r="W521" s="4"/>
      <c r="X521" s="4"/>
      <c r="Y521" s="4"/>
      <c r="Z521" s="4"/>
    </row>
    <row r="522" ht="12.75" customHeight="1">
      <c r="A522" s="3" t="s">
        <v>170</v>
      </c>
      <c r="B522" s="3">
        <v>28.42</v>
      </c>
      <c r="C522" s="27">
        <v>121.0</v>
      </c>
      <c r="D522" s="4"/>
      <c r="E522" s="27" t="s">
        <v>102</v>
      </c>
      <c r="F522" s="27">
        <v>0.0</v>
      </c>
      <c r="G522" s="27">
        <v>27.0</v>
      </c>
      <c r="H522" s="4"/>
      <c r="I522" s="28"/>
      <c r="J522" s="28"/>
      <c r="K522" s="28"/>
      <c r="L522" s="4"/>
      <c r="M522" s="28"/>
      <c r="N522" s="28"/>
      <c r="O522" s="28"/>
      <c r="P522" s="4"/>
      <c r="Q522" s="28"/>
      <c r="R522" s="28"/>
      <c r="S522" s="28"/>
      <c r="T522" s="4"/>
      <c r="U522" s="4"/>
      <c r="V522" s="4"/>
      <c r="W522" s="4"/>
      <c r="X522" s="4"/>
      <c r="Y522" s="4"/>
      <c r="Z522" s="4"/>
    </row>
    <row r="523" ht="12.75" customHeight="1">
      <c r="A523" s="3" t="s">
        <v>168</v>
      </c>
      <c r="B523" s="3">
        <v>27.44</v>
      </c>
      <c r="C523" s="27">
        <v>122.0</v>
      </c>
      <c r="D523" s="4"/>
      <c r="E523" s="27" t="s">
        <v>115</v>
      </c>
      <c r="F523" s="27">
        <v>0.0</v>
      </c>
      <c r="G523" s="27">
        <v>27.0</v>
      </c>
      <c r="H523" s="4"/>
      <c r="I523" s="28"/>
      <c r="J523" s="28"/>
      <c r="K523" s="28"/>
      <c r="L523" s="4"/>
      <c r="M523" s="28"/>
      <c r="N523" s="28"/>
      <c r="O523" s="28"/>
      <c r="P523" s="4"/>
      <c r="Q523" s="28"/>
      <c r="R523" s="28"/>
      <c r="S523" s="28"/>
      <c r="T523" s="4"/>
      <c r="U523" s="4"/>
      <c r="V523" s="4"/>
      <c r="W523" s="4"/>
      <c r="X523" s="4"/>
      <c r="Y523" s="4"/>
      <c r="Z523" s="4"/>
    </row>
    <row r="524" ht="12.75" customHeight="1">
      <c r="A524" s="3" t="s">
        <v>128</v>
      </c>
      <c r="B524" s="3">
        <v>27.16</v>
      </c>
      <c r="C524" s="27">
        <v>123.0</v>
      </c>
      <c r="D524" s="4"/>
      <c r="E524" s="27" t="s">
        <v>188</v>
      </c>
      <c r="F524" s="27">
        <v>0.0</v>
      </c>
      <c r="G524" s="27">
        <v>27.0</v>
      </c>
      <c r="H524" s="4"/>
      <c r="I524" s="28"/>
      <c r="J524" s="28"/>
      <c r="K524" s="28"/>
      <c r="L524" s="4"/>
      <c r="M524" s="28"/>
      <c r="N524" s="28"/>
      <c r="O524" s="28"/>
      <c r="P524" s="4"/>
      <c r="Q524" s="28"/>
      <c r="R524" s="28"/>
      <c r="S524" s="28"/>
      <c r="T524" s="4"/>
      <c r="U524" s="4"/>
      <c r="V524" s="4"/>
      <c r="W524" s="4"/>
      <c r="X524" s="4"/>
      <c r="Y524" s="4"/>
      <c r="Z524" s="4"/>
    </row>
    <row r="525" ht="12.75" customHeight="1">
      <c r="A525" s="3" t="s">
        <v>122</v>
      </c>
      <c r="B525" s="3">
        <v>25.91</v>
      </c>
      <c r="C525" s="27">
        <v>124.0</v>
      </c>
      <c r="D525" s="4"/>
      <c r="E525" s="27" t="s">
        <v>123</v>
      </c>
      <c r="F525" s="27">
        <v>0.0</v>
      </c>
      <c r="G525" s="27">
        <v>27.0</v>
      </c>
      <c r="H525" s="4"/>
      <c r="I525" s="28"/>
      <c r="J525" s="28"/>
      <c r="K525" s="28"/>
      <c r="L525" s="4"/>
      <c r="M525" s="28"/>
      <c r="N525" s="28"/>
      <c r="O525" s="28"/>
      <c r="P525" s="4"/>
      <c r="Q525" s="28"/>
      <c r="R525" s="28"/>
      <c r="S525" s="28"/>
      <c r="T525" s="4"/>
      <c r="U525" s="4"/>
      <c r="V525" s="4"/>
      <c r="W525" s="4"/>
      <c r="X525" s="4"/>
      <c r="Y525" s="4"/>
      <c r="Z525" s="4"/>
    </row>
    <row r="526" ht="12.75" customHeight="1">
      <c r="A526" s="3" t="s">
        <v>181</v>
      </c>
      <c r="B526" s="3">
        <v>25.41</v>
      </c>
      <c r="C526" s="27">
        <v>125.0</v>
      </c>
      <c r="D526" s="4"/>
      <c r="E526" s="27" t="s">
        <v>99</v>
      </c>
      <c r="F526" s="27">
        <v>0.0</v>
      </c>
      <c r="G526" s="27">
        <v>27.0</v>
      </c>
      <c r="H526" s="4"/>
      <c r="I526" s="28"/>
      <c r="J526" s="28"/>
      <c r="K526" s="28"/>
      <c r="L526" s="4"/>
      <c r="M526" s="28"/>
      <c r="N526" s="28"/>
      <c r="O526" s="28"/>
      <c r="P526" s="4"/>
      <c r="Q526" s="28"/>
      <c r="R526" s="28"/>
      <c r="S526" s="28"/>
      <c r="T526" s="4"/>
      <c r="U526" s="4"/>
      <c r="V526" s="4"/>
      <c r="W526" s="4"/>
      <c r="X526" s="4"/>
      <c r="Y526" s="4"/>
      <c r="Z526" s="4"/>
    </row>
    <row r="527" ht="12.75" customHeight="1">
      <c r="A527" s="3" t="s">
        <v>140</v>
      </c>
      <c r="B527" s="3">
        <v>22.66</v>
      </c>
      <c r="C527" s="27">
        <v>126.0</v>
      </c>
      <c r="D527" s="4"/>
      <c r="E527" s="27" t="s">
        <v>108</v>
      </c>
      <c r="F527" s="27">
        <v>0.0</v>
      </c>
      <c r="G527" s="27">
        <v>27.0</v>
      </c>
      <c r="H527" s="4"/>
      <c r="I527" s="28"/>
      <c r="J527" s="28"/>
      <c r="K527" s="28"/>
      <c r="L527" s="4"/>
      <c r="M527" s="28"/>
      <c r="N527" s="28"/>
      <c r="O527" s="28"/>
      <c r="P527" s="4"/>
      <c r="Q527" s="28"/>
      <c r="R527" s="28"/>
      <c r="S527" s="28"/>
      <c r="T527" s="4"/>
      <c r="U527" s="4"/>
      <c r="V527" s="4"/>
      <c r="W527" s="4"/>
      <c r="X527" s="4"/>
      <c r="Y527" s="4"/>
      <c r="Z527" s="4"/>
    </row>
    <row r="528" ht="12.75" customHeight="1">
      <c r="A528" s="3" t="s">
        <v>110</v>
      </c>
      <c r="B528" s="3">
        <v>21.68</v>
      </c>
      <c r="C528" s="27">
        <v>127.0</v>
      </c>
      <c r="D528" s="4"/>
      <c r="E528" s="27" t="s">
        <v>109</v>
      </c>
      <c r="F528" s="27">
        <v>0.0</v>
      </c>
      <c r="G528" s="27">
        <v>27.0</v>
      </c>
      <c r="H528" s="4"/>
      <c r="I528" s="28"/>
      <c r="J528" s="28"/>
      <c r="K528" s="28"/>
      <c r="L528" s="4"/>
      <c r="M528" s="28"/>
      <c r="N528" s="28"/>
      <c r="O528" s="28"/>
      <c r="P528" s="4"/>
      <c r="Q528" s="28"/>
      <c r="R528" s="28"/>
      <c r="S528" s="28"/>
      <c r="T528" s="4"/>
      <c r="U528" s="4"/>
      <c r="V528" s="4"/>
      <c r="W528" s="4"/>
      <c r="X528" s="4"/>
      <c r="Y528" s="4"/>
      <c r="Z528" s="4"/>
    </row>
    <row r="529" ht="12.75" customHeight="1">
      <c r="A529" s="3" t="s">
        <v>192</v>
      </c>
      <c r="B529" s="3">
        <v>21.49</v>
      </c>
      <c r="C529" s="27">
        <v>128.0</v>
      </c>
      <c r="D529" s="4"/>
      <c r="E529" s="27" t="s">
        <v>106</v>
      </c>
      <c r="F529" s="27">
        <v>0.0</v>
      </c>
      <c r="G529" s="27">
        <v>27.0</v>
      </c>
      <c r="H529" s="4"/>
      <c r="I529" s="28"/>
      <c r="J529" s="28"/>
      <c r="K529" s="28"/>
      <c r="L529" s="4"/>
      <c r="M529" s="28"/>
      <c r="N529" s="28"/>
      <c r="O529" s="28"/>
      <c r="P529" s="4"/>
      <c r="Q529" s="28"/>
      <c r="R529" s="28"/>
      <c r="S529" s="28"/>
      <c r="T529" s="4"/>
      <c r="U529" s="4"/>
      <c r="V529" s="4"/>
      <c r="W529" s="4"/>
      <c r="X529" s="4"/>
      <c r="Y529" s="4"/>
      <c r="Z529" s="4"/>
    </row>
    <row r="530" ht="12.75" customHeight="1">
      <c r="A530" s="3" t="s">
        <v>123</v>
      </c>
      <c r="B530" s="3">
        <v>14.5</v>
      </c>
      <c r="C530" s="27">
        <v>129.0</v>
      </c>
      <c r="D530" s="4"/>
      <c r="E530" s="27" t="s">
        <v>180</v>
      </c>
      <c r="F530" s="27">
        <v>0.0</v>
      </c>
      <c r="G530" s="27">
        <v>27.0</v>
      </c>
      <c r="H530" s="4"/>
      <c r="I530" s="28"/>
      <c r="J530" s="28"/>
      <c r="K530" s="28"/>
      <c r="L530" s="4"/>
      <c r="M530" s="28"/>
      <c r="N530" s="28"/>
      <c r="O530" s="28"/>
      <c r="P530" s="4"/>
      <c r="Q530" s="28"/>
      <c r="R530" s="28"/>
      <c r="S530" s="28"/>
      <c r="T530" s="4"/>
      <c r="U530" s="4"/>
      <c r="V530" s="4"/>
      <c r="W530" s="4"/>
      <c r="X530" s="4"/>
      <c r="Y530" s="4"/>
      <c r="Z530" s="4"/>
    </row>
    <row r="531" ht="12.75" customHeight="1">
      <c r="A531" s="3" t="s">
        <v>43</v>
      </c>
      <c r="B531" s="3">
        <v>11.91</v>
      </c>
      <c r="C531" s="27">
        <v>130.0</v>
      </c>
      <c r="D531" s="4"/>
      <c r="E531" s="27" t="s">
        <v>94</v>
      </c>
      <c r="F531" s="27">
        <v>0.0</v>
      </c>
      <c r="G531" s="27">
        <v>27.0</v>
      </c>
      <c r="H531" s="4"/>
      <c r="I531" s="28"/>
      <c r="J531" s="28"/>
      <c r="K531" s="28"/>
      <c r="L531" s="4"/>
      <c r="M531" s="28"/>
      <c r="N531" s="28"/>
      <c r="O531" s="28"/>
      <c r="P531" s="4"/>
      <c r="Q531" s="28"/>
      <c r="R531" s="28"/>
      <c r="S531" s="28"/>
      <c r="T531" s="4"/>
      <c r="U531" s="4"/>
      <c r="V531" s="4"/>
      <c r="W531" s="4"/>
      <c r="X531" s="4"/>
      <c r="Y531" s="4"/>
      <c r="Z531" s="4"/>
    </row>
    <row r="532" ht="12.75" customHeight="1">
      <c r="A532" s="28"/>
      <c r="B532" s="28"/>
      <c r="C532" s="28"/>
      <c r="D532" s="4"/>
      <c r="E532" s="28"/>
      <c r="F532" s="28"/>
      <c r="G532" s="28"/>
      <c r="H532" s="4"/>
      <c r="I532" s="28"/>
      <c r="J532" s="28"/>
      <c r="K532" s="28"/>
      <c r="L532" s="4"/>
      <c r="M532" s="28"/>
      <c r="N532" s="28"/>
      <c r="O532" s="28"/>
      <c r="P532" s="4"/>
      <c r="Q532" s="28"/>
      <c r="R532" s="28"/>
      <c r="S532" s="28"/>
      <c r="T532" s="4"/>
      <c r="U532" s="4"/>
      <c r="V532" s="4"/>
      <c r="W532" s="4"/>
      <c r="X532" s="4"/>
      <c r="Y532" s="4"/>
      <c r="Z532" s="4"/>
    </row>
    <row r="533" ht="12.75" customHeight="1">
      <c r="A533" s="28"/>
      <c r="B533" s="28"/>
      <c r="C533" s="28"/>
      <c r="D533" s="4"/>
      <c r="E533" s="28"/>
      <c r="F533" s="28"/>
      <c r="G533" s="28"/>
      <c r="H533" s="4"/>
      <c r="I533" s="28"/>
      <c r="J533" s="28"/>
      <c r="K533" s="28"/>
      <c r="L533" s="4"/>
      <c r="M533" s="28"/>
      <c r="N533" s="28"/>
      <c r="O533" s="28"/>
      <c r="P533" s="4"/>
      <c r="Q533" s="28"/>
      <c r="R533" s="28"/>
      <c r="S533" s="28"/>
      <c r="T533" s="4"/>
      <c r="U533" s="4"/>
      <c r="V533" s="4"/>
      <c r="W533" s="4"/>
      <c r="X533" s="4"/>
      <c r="Y533" s="4"/>
      <c r="Z533" s="4"/>
    </row>
    <row r="534" ht="12.75" customHeight="1">
      <c r="A534" s="28"/>
      <c r="B534" s="28"/>
      <c r="C534" s="28"/>
      <c r="D534" s="4"/>
      <c r="E534" s="28"/>
      <c r="F534" s="28"/>
      <c r="G534" s="28"/>
      <c r="H534" s="4"/>
      <c r="I534" s="28"/>
      <c r="J534" s="28"/>
      <c r="K534" s="28"/>
      <c r="L534" s="4"/>
      <c r="M534" s="28"/>
      <c r="N534" s="28"/>
      <c r="O534" s="28"/>
      <c r="P534" s="4"/>
      <c r="Q534" s="28"/>
      <c r="R534" s="28"/>
      <c r="S534" s="28"/>
      <c r="T534" s="4"/>
      <c r="U534" s="4"/>
      <c r="V534" s="4"/>
      <c r="W534" s="4"/>
      <c r="X534" s="4"/>
      <c r="Y534" s="4"/>
      <c r="Z534" s="4"/>
    </row>
    <row r="535" ht="12.75" customHeight="1">
      <c r="A535" s="28"/>
      <c r="B535" s="28"/>
      <c r="C535" s="28"/>
      <c r="D535" s="4"/>
      <c r="E535" s="28"/>
      <c r="F535" s="28"/>
      <c r="G535" s="28"/>
      <c r="H535" s="4"/>
      <c r="I535" s="28"/>
      <c r="J535" s="28"/>
      <c r="K535" s="28"/>
      <c r="L535" s="4"/>
      <c r="M535" s="28"/>
      <c r="N535" s="28"/>
      <c r="O535" s="28"/>
      <c r="P535" s="4"/>
      <c r="Q535" s="28"/>
      <c r="R535" s="28"/>
      <c r="S535" s="28"/>
      <c r="T535" s="4"/>
      <c r="U535" s="4"/>
      <c r="V535" s="4"/>
      <c r="W535" s="4"/>
      <c r="X535" s="4"/>
      <c r="Y535" s="4"/>
      <c r="Z535" s="4"/>
    </row>
    <row r="536" ht="12.75" customHeight="1">
      <c r="A536" s="28"/>
      <c r="B536" s="28"/>
      <c r="C536" s="28"/>
      <c r="D536" s="4"/>
      <c r="E536" s="28"/>
      <c r="F536" s="28"/>
      <c r="G536" s="28"/>
      <c r="H536" s="4"/>
      <c r="I536" s="28"/>
      <c r="J536" s="28"/>
      <c r="K536" s="28"/>
      <c r="L536" s="4"/>
      <c r="M536" s="28"/>
      <c r="N536" s="28"/>
      <c r="O536" s="28"/>
      <c r="P536" s="4"/>
      <c r="Q536" s="28"/>
      <c r="R536" s="28"/>
      <c r="S536" s="28"/>
      <c r="T536" s="4"/>
      <c r="U536" s="4"/>
      <c r="V536" s="4"/>
      <c r="W536" s="4"/>
      <c r="X536" s="4"/>
      <c r="Y536" s="4"/>
      <c r="Z536" s="4"/>
    </row>
    <row r="537" ht="12.75" customHeight="1">
      <c r="A537" s="28"/>
      <c r="B537" s="28"/>
      <c r="C537" s="28"/>
      <c r="D537" s="4"/>
      <c r="E537" s="28"/>
      <c r="F537" s="28"/>
      <c r="G537" s="28"/>
      <c r="H537" s="4"/>
      <c r="I537" s="28"/>
      <c r="J537" s="28"/>
      <c r="K537" s="28"/>
      <c r="L537" s="4"/>
      <c r="M537" s="28"/>
      <c r="N537" s="28"/>
      <c r="O537" s="28"/>
      <c r="P537" s="4"/>
      <c r="Q537" s="28"/>
      <c r="R537" s="28"/>
      <c r="S537" s="28"/>
      <c r="T537" s="4"/>
      <c r="U537" s="4"/>
      <c r="V537" s="4"/>
      <c r="W537" s="4"/>
      <c r="X537" s="4"/>
      <c r="Y537" s="4"/>
      <c r="Z537" s="4"/>
    </row>
    <row r="538" ht="12.75" customHeight="1">
      <c r="A538" s="28"/>
      <c r="B538" s="28"/>
      <c r="C538" s="28"/>
      <c r="D538" s="4"/>
      <c r="E538" s="28"/>
      <c r="F538" s="28"/>
      <c r="G538" s="28"/>
      <c r="H538" s="4"/>
      <c r="I538" s="28"/>
      <c r="J538" s="28"/>
      <c r="K538" s="28"/>
      <c r="L538" s="4"/>
      <c r="M538" s="28"/>
      <c r="N538" s="28"/>
      <c r="O538" s="28"/>
      <c r="P538" s="4"/>
      <c r="Q538" s="28"/>
      <c r="R538" s="28"/>
      <c r="S538" s="28"/>
      <c r="T538" s="4"/>
      <c r="U538" s="4"/>
      <c r="V538" s="4"/>
      <c r="W538" s="4"/>
      <c r="X538" s="4"/>
      <c r="Y538" s="4"/>
      <c r="Z538" s="4"/>
    </row>
    <row r="539" ht="12.75" customHeight="1">
      <c r="A539" s="28"/>
      <c r="B539" s="28"/>
      <c r="C539" s="28"/>
      <c r="D539" s="4"/>
      <c r="E539" s="28"/>
      <c r="F539" s="28"/>
      <c r="G539" s="28"/>
      <c r="H539" s="4"/>
      <c r="I539" s="28"/>
      <c r="J539" s="28"/>
      <c r="K539" s="28"/>
      <c r="L539" s="4"/>
      <c r="M539" s="28"/>
      <c r="N539" s="28"/>
      <c r="O539" s="28"/>
      <c r="P539" s="4"/>
      <c r="Q539" s="28"/>
      <c r="R539" s="28"/>
      <c r="S539" s="28"/>
      <c r="T539" s="4"/>
      <c r="U539" s="4"/>
      <c r="V539" s="4"/>
      <c r="W539" s="4"/>
      <c r="X539" s="4"/>
      <c r="Y539" s="4"/>
      <c r="Z539" s="4"/>
    </row>
    <row r="540" ht="12.75" customHeight="1">
      <c r="A540" s="28"/>
      <c r="B540" s="28"/>
      <c r="C540" s="28"/>
      <c r="D540" s="4"/>
      <c r="E540" s="28"/>
      <c r="F540" s="28"/>
      <c r="G540" s="28"/>
      <c r="H540" s="4"/>
      <c r="I540" s="28"/>
      <c r="J540" s="28"/>
      <c r="K540" s="28"/>
      <c r="L540" s="4"/>
      <c r="M540" s="28"/>
      <c r="N540" s="28"/>
      <c r="O540" s="28"/>
      <c r="P540" s="4"/>
      <c r="Q540" s="28"/>
      <c r="R540" s="28"/>
      <c r="S540" s="28"/>
      <c r="T540" s="4"/>
      <c r="U540" s="4"/>
      <c r="V540" s="4"/>
      <c r="W540" s="4"/>
      <c r="X540" s="4"/>
      <c r="Y540" s="4"/>
      <c r="Z540" s="4"/>
    </row>
    <row r="541" ht="12.75" customHeight="1">
      <c r="A541" s="28"/>
      <c r="B541" s="28"/>
      <c r="C541" s="28"/>
      <c r="D541" s="4"/>
      <c r="E541" s="28"/>
      <c r="F541" s="28"/>
      <c r="G541" s="28"/>
      <c r="H541" s="4"/>
      <c r="I541" s="28"/>
      <c r="J541" s="28"/>
      <c r="K541" s="28"/>
      <c r="L541" s="4"/>
      <c r="M541" s="28"/>
      <c r="N541" s="28"/>
      <c r="O541" s="28"/>
      <c r="P541" s="4"/>
      <c r="Q541" s="28"/>
      <c r="R541" s="28"/>
      <c r="S541" s="28"/>
      <c r="T541" s="4"/>
      <c r="U541" s="4"/>
      <c r="V541" s="4"/>
      <c r="W541" s="4"/>
      <c r="X541" s="4"/>
      <c r="Y541" s="4"/>
      <c r="Z541" s="4"/>
    </row>
    <row r="542" ht="12.75" customHeight="1">
      <c r="A542" s="28"/>
      <c r="B542" s="28"/>
      <c r="C542" s="28"/>
      <c r="D542" s="4"/>
      <c r="E542" s="28"/>
      <c r="F542" s="28"/>
      <c r="G542" s="28"/>
      <c r="H542" s="4"/>
      <c r="I542" s="28"/>
      <c r="J542" s="28"/>
      <c r="K542" s="28"/>
      <c r="L542" s="4"/>
      <c r="M542" s="28"/>
      <c r="N542" s="28"/>
      <c r="O542" s="28"/>
      <c r="P542" s="4"/>
      <c r="Q542" s="28"/>
      <c r="R542" s="28"/>
      <c r="S542" s="28"/>
      <c r="T542" s="4"/>
      <c r="U542" s="4"/>
      <c r="V542" s="4"/>
      <c r="W542" s="4"/>
      <c r="X542" s="4"/>
      <c r="Y542" s="4"/>
      <c r="Z542" s="4"/>
    </row>
    <row r="543" ht="12.75" customHeight="1">
      <c r="A543" s="28"/>
      <c r="B543" s="28"/>
      <c r="C543" s="28"/>
      <c r="D543" s="4"/>
      <c r="E543" s="28"/>
      <c r="F543" s="28"/>
      <c r="G543" s="28"/>
      <c r="H543" s="4"/>
      <c r="I543" s="28"/>
      <c r="J543" s="28"/>
      <c r="K543" s="28"/>
      <c r="L543" s="4"/>
      <c r="M543" s="28"/>
      <c r="N543" s="28"/>
      <c r="O543" s="28"/>
      <c r="P543" s="4"/>
      <c r="Q543" s="28"/>
      <c r="R543" s="28"/>
      <c r="S543" s="28"/>
      <c r="T543" s="4"/>
      <c r="U543" s="4"/>
      <c r="V543" s="4"/>
      <c r="W543" s="4"/>
      <c r="X543" s="4"/>
      <c r="Y543" s="4"/>
      <c r="Z543" s="4"/>
    </row>
    <row r="544" ht="12.75" customHeight="1">
      <c r="A544" s="28"/>
      <c r="B544" s="28"/>
      <c r="C544" s="28"/>
      <c r="D544" s="4"/>
      <c r="E544" s="28"/>
      <c r="F544" s="28"/>
      <c r="G544" s="28"/>
      <c r="H544" s="4"/>
      <c r="I544" s="28"/>
      <c r="J544" s="28"/>
      <c r="K544" s="28"/>
      <c r="L544" s="4"/>
      <c r="M544" s="28"/>
      <c r="N544" s="28"/>
      <c r="O544" s="28"/>
      <c r="P544" s="4"/>
      <c r="Q544" s="28"/>
      <c r="R544" s="28"/>
      <c r="S544" s="28"/>
      <c r="T544" s="4"/>
      <c r="U544" s="4"/>
      <c r="V544" s="4"/>
      <c r="W544" s="4"/>
      <c r="X544" s="4"/>
      <c r="Y544" s="4"/>
      <c r="Z544" s="4"/>
    </row>
    <row r="545" ht="12.75" customHeight="1">
      <c r="A545" s="28"/>
      <c r="B545" s="28"/>
      <c r="C545" s="28"/>
      <c r="D545" s="4"/>
      <c r="E545" s="28"/>
      <c r="F545" s="28"/>
      <c r="G545" s="28"/>
      <c r="H545" s="4"/>
      <c r="I545" s="28"/>
      <c r="J545" s="28"/>
      <c r="K545" s="28"/>
      <c r="L545" s="4"/>
      <c r="M545" s="28"/>
      <c r="N545" s="28"/>
      <c r="O545" s="28"/>
      <c r="P545" s="4"/>
      <c r="Q545" s="28"/>
      <c r="R545" s="28"/>
      <c r="S545" s="28"/>
      <c r="T545" s="4"/>
      <c r="U545" s="4"/>
      <c r="V545" s="4"/>
      <c r="W545" s="4"/>
      <c r="X545" s="4"/>
      <c r="Y545" s="4"/>
      <c r="Z545" s="4"/>
    </row>
    <row r="546" ht="12.75" customHeight="1">
      <c r="A546" s="28"/>
      <c r="B546" s="28"/>
      <c r="C546" s="28"/>
      <c r="D546" s="4"/>
      <c r="E546" s="28"/>
      <c r="F546" s="28"/>
      <c r="G546" s="28"/>
      <c r="H546" s="4"/>
      <c r="I546" s="28"/>
      <c r="J546" s="28"/>
      <c r="K546" s="28"/>
      <c r="L546" s="4"/>
      <c r="M546" s="28"/>
      <c r="N546" s="28"/>
      <c r="O546" s="28"/>
      <c r="P546" s="4"/>
      <c r="Q546" s="28"/>
      <c r="R546" s="28"/>
      <c r="S546" s="28"/>
      <c r="T546" s="4"/>
      <c r="U546" s="4"/>
      <c r="V546" s="4"/>
      <c r="W546" s="4"/>
      <c r="X546" s="4"/>
      <c r="Y546" s="4"/>
      <c r="Z546" s="4"/>
    </row>
    <row r="547" ht="12.75" customHeight="1">
      <c r="A547" s="28"/>
      <c r="B547" s="28"/>
      <c r="C547" s="28"/>
      <c r="D547" s="4"/>
      <c r="E547" s="28"/>
      <c r="F547" s="28"/>
      <c r="G547" s="28"/>
      <c r="H547" s="4"/>
      <c r="I547" s="28"/>
      <c r="J547" s="28"/>
      <c r="K547" s="28"/>
      <c r="L547" s="4"/>
      <c r="M547" s="28"/>
      <c r="N547" s="28"/>
      <c r="O547" s="28"/>
      <c r="P547" s="4"/>
      <c r="Q547" s="28"/>
      <c r="R547" s="28"/>
      <c r="S547" s="28"/>
      <c r="T547" s="4"/>
      <c r="U547" s="4"/>
      <c r="V547" s="4"/>
      <c r="W547" s="4"/>
      <c r="X547" s="4"/>
      <c r="Y547" s="4"/>
      <c r="Z547" s="4"/>
    </row>
    <row r="548" ht="12.75" customHeight="1">
      <c r="A548" s="28"/>
      <c r="B548" s="28"/>
      <c r="C548" s="28"/>
      <c r="D548" s="4"/>
      <c r="E548" s="28"/>
      <c r="F548" s="28"/>
      <c r="G548" s="28"/>
      <c r="H548" s="4"/>
      <c r="I548" s="28"/>
      <c r="J548" s="28"/>
      <c r="K548" s="28"/>
      <c r="L548" s="4"/>
      <c r="M548" s="28"/>
      <c r="N548" s="28"/>
      <c r="O548" s="28"/>
      <c r="P548" s="4"/>
      <c r="Q548" s="28"/>
      <c r="R548" s="28"/>
      <c r="S548" s="28"/>
      <c r="T548" s="4"/>
      <c r="U548" s="4"/>
      <c r="V548" s="4"/>
      <c r="W548" s="4"/>
      <c r="X548" s="4"/>
      <c r="Y548" s="4"/>
      <c r="Z548" s="4"/>
    </row>
    <row r="549" ht="12.75" customHeight="1">
      <c r="A549" s="28"/>
      <c r="B549" s="28"/>
      <c r="C549" s="28"/>
      <c r="D549" s="4"/>
      <c r="E549" s="28"/>
      <c r="F549" s="28"/>
      <c r="G549" s="28"/>
      <c r="H549" s="4"/>
      <c r="I549" s="28"/>
      <c r="J549" s="28"/>
      <c r="K549" s="28"/>
      <c r="L549" s="4"/>
      <c r="M549" s="28"/>
      <c r="N549" s="28"/>
      <c r="O549" s="28"/>
      <c r="P549" s="4"/>
      <c r="Q549" s="28"/>
      <c r="R549" s="28"/>
      <c r="S549" s="28"/>
      <c r="T549" s="4"/>
      <c r="U549" s="4"/>
      <c r="V549" s="4"/>
      <c r="W549" s="4"/>
      <c r="X549" s="4"/>
      <c r="Y549" s="4"/>
      <c r="Z549" s="4"/>
    </row>
    <row r="550" ht="12.75" customHeight="1">
      <c r="A550" s="28"/>
      <c r="B550" s="28"/>
      <c r="C550" s="28"/>
      <c r="D550" s="4"/>
      <c r="E550" s="28"/>
      <c r="F550" s="28"/>
      <c r="G550" s="28"/>
      <c r="H550" s="4"/>
      <c r="I550" s="28"/>
      <c r="J550" s="28"/>
      <c r="K550" s="28"/>
      <c r="L550" s="4"/>
      <c r="M550" s="28"/>
      <c r="N550" s="28"/>
      <c r="O550" s="28"/>
      <c r="P550" s="4"/>
      <c r="Q550" s="28"/>
      <c r="R550" s="28"/>
      <c r="S550" s="28"/>
      <c r="T550" s="4"/>
      <c r="U550" s="4"/>
      <c r="V550" s="4"/>
      <c r="W550" s="4"/>
      <c r="X550" s="4"/>
      <c r="Y550" s="4"/>
      <c r="Z550" s="4"/>
    </row>
    <row r="551" ht="12.75" customHeight="1">
      <c r="A551" s="28"/>
      <c r="B551" s="28"/>
      <c r="C551" s="28"/>
      <c r="D551" s="4"/>
      <c r="E551" s="28"/>
      <c r="F551" s="28"/>
      <c r="G551" s="28"/>
      <c r="H551" s="4"/>
      <c r="I551" s="28"/>
      <c r="J551" s="28"/>
      <c r="K551" s="28"/>
      <c r="L551" s="4"/>
      <c r="M551" s="28"/>
      <c r="N551" s="28"/>
      <c r="O551" s="28"/>
      <c r="P551" s="4"/>
      <c r="Q551" s="28"/>
      <c r="R551" s="28"/>
      <c r="S551" s="28"/>
      <c r="T551" s="4"/>
      <c r="U551" s="4"/>
      <c r="V551" s="4"/>
      <c r="W551" s="4"/>
      <c r="X551" s="4"/>
      <c r="Y551" s="4"/>
      <c r="Z551" s="4"/>
    </row>
    <row r="552" ht="12.75" customHeight="1">
      <c r="A552" s="28"/>
      <c r="B552" s="28"/>
      <c r="C552" s="28"/>
      <c r="D552" s="4"/>
      <c r="E552" s="28"/>
      <c r="F552" s="28"/>
      <c r="G552" s="28"/>
      <c r="H552" s="4"/>
      <c r="I552" s="28"/>
      <c r="J552" s="28"/>
      <c r="K552" s="28"/>
      <c r="L552" s="4"/>
      <c r="M552" s="28"/>
      <c r="N552" s="28"/>
      <c r="O552" s="28"/>
      <c r="P552" s="4"/>
      <c r="Q552" s="28"/>
      <c r="R552" s="28"/>
      <c r="S552" s="28"/>
      <c r="T552" s="4"/>
      <c r="U552" s="4"/>
      <c r="V552" s="4"/>
      <c r="W552" s="4"/>
      <c r="X552" s="4"/>
      <c r="Y552" s="4"/>
      <c r="Z552" s="4"/>
    </row>
    <row r="553" ht="12.75" customHeight="1">
      <c r="A553" s="28"/>
      <c r="B553" s="28"/>
      <c r="C553" s="28"/>
      <c r="D553" s="4"/>
      <c r="E553" s="28"/>
      <c r="F553" s="28"/>
      <c r="G553" s="28"/>
      <c r="H553" s="4"/>
      <c r="I553" s="28"/>
      <c r="J553" s="28"/>
      <c r="K553" s="28"/>
      <c r="L553" s="4"/>
      <c r="M553" s="28"/>
      <c r="N553" s="28"/>
      <c r="O553" s="28"/>
      <c r="P553" s="4"/>
      <c r="Q553" s="28"/>
      <c r="R553" s="28"/>
      <c r="S553" s="28"/>
      <c r="T553" s="4"/>
      <c r="U553" s="4"/>
      <c r="V553" s="4"/>
      <c r="W553" s="4"/>
      <c r="X553" s="4"/>
      <c r="Y553" s="4"/>
      <c r="Z553" s="4"/>
    </row>
    <row r="554" ht="12.75" customHeight="1">
      <c r="A554" s="28"/>
      <c r="B554" s="28"/>
      <c r="C554" s="28"/>
      <c r="D554" s="4"/>
      <c r="E554" s="28"/>
      <c r="F554" s="28"/>
      <c r="G554" s="28"/>
      <c r="H554" s="4"/>
      <c r="I554" s="28"/>
      <c r="J554" s="28"/>
      <c r="K554" s="28"/>
      <c r="L554" s="4"/>
      <c r="M554" s="28"/>
      <c r="N554" s="28"/>
      <c r="O554" s="28"/>
      <c r="P554" s="4"/>
      <c r="Q554" s="28"/>
      <c r="R554" s="28"/>
      <c r="S554" s="28"/>
      <c r="T554" s="4"/>
      <c r="U554" s="4"/>
      <c r="V554" s="4"/>
      <c r="W554" s="4"/>
      <c r="X554" s="4"/>
      <c r="Y554" s="4"/>
      <c r="Z554" s="4"/>
    </row>
    <row r="555" ht="12.75" customHeight="1">
      <c r="A555" s="28"/>
      <c r="B555" s="28"/>
      <c r="C555" s="28"/>
      <c r="D555" s="4"/>
      <c r="E555" s="28"/>
      <c r="F555" s="28"/>
      <c r="G555" s="28"/>
      <c r="H555" s="4"/>
      <c r="I555" s="28"/>
      <c r="J555" s="28"/>
      <c r="K555" s="28"/>
      <c r="L555" s="4"/>
      <c r="M555" s="28"/>
      <c r="N555" s="28"/>
      <c r="O555" s="28"/>
      <c r="P555" s="4"/>
      <c r="Q555" s="28"/>
      <c r="R555" s="28"/>
      <c r="S555" s="28"/>
      <c r="T555" s="4"/>
      <c r="U555" s="4"/>
      <c r="V555" s="4"/>
      <c r="W555" s="4"/>
      <c r="X555" s="4"/>
      <c r="Y555" s="4"/>
      <c r="Z555" s="4"/>
    </row>
    <row r="556" ht="12.75" customHeight="1">
      <c r="A556" s="28"/>
      <c r="B556" s="28"/>
      <c r="C556" s="28"/>
      <c r="D556" s="4"/>
      <c r="E556" s="28"/>
      <c r="F556" s="28"/>
      <c r="G556" s="28"/>
      <c r="H556" s="4"/>
      <c r="I556" s="28"/>
      <c r="J556" s="28"/>
      <c r="K556" s="28"/>
      <c r="L556" s="4"/>
      <c r="M556" s="28"/>
      <c r="N556" s="28"/>
      <c r="O556" s="28"/>
      <c r="P556" s="4"/>
      <c r="Q556" s="28"/>
      <c r="R556" s="28"/>
      <c r="S556" s="28"/>
      <c r="T556" s="4"/>
      <c r="U556" s="4"/>
      <c r="V556" s="4"/>
      <c r="W556" s="4"/>
      <c r="X556" s="4"/>
      <c r="Y556" s="4"/>
      <c r="Z556" s="4"/>
    </row>
    <row r="557" ht="12.75" customHeight="1">
      <c r="A557" s="28"/>
      <c r="B557" s="28"/>
      <c r="C557" s="28"/>
      <c r="D557" s="4"/>
      <c r="E557" s="28"/>
      <c r="F557" s="28"/>
      <c r="G557" s="28"/>
      <c r="H557" s="4"/>
      <c r="I557" s="28"/>
      <c r="J557" s="28"/>
      <c r="K557" s="28"/>
      <c r="L557" s="4"/>
      <c r="M557" s="28"/>
      <c r="N557" s="28"/>
      <c r="O557" s="28"/>
      <c r="P557" s="4"/>
      <c r="Q557" s="28"/>
      <c r="R557" s="28"/>
      <c r="S557" s="28"/>
      <c r="T557" s="4"/>
      <c r="U557" s="4"/>
      <c r="V557" s="4"/>
      <c r="W557" s="4"/>
      <c r="X557" s="4"/>
      <c r="Y557" s="4"/>
      <c r="Z557" s="4"/>
    </row>
    <row r="558" ht="12.75" customHeight="1">
      <c r="A558" s="28"/>
      <c r="B558" s="28"/>
      <c r="C558" s="28"/>
      <c r="D558" s="4"/>
      <c r="E558" s="28"/>
      <c r="F558" s="28"/>
      <c r="G558" s="28"/>
      <c r="H558" s="4"/>
      <c r="I558" s="28"/>
      <c r="J558" s="28"/>
      <c r="K558" s="28"/>
      <c r="L558" s="4"/>
      <c r="M558" s="28"/>
      <c r="N558" s="28"/>
      <c r="O558" s="28"/>
      <c r="P558" s="4"/>
      <c r="Q558" s="28"/>
      <c r="R558" s="28"/>
      <c r="S558" s="28"/>
      <c r="T558" s="4"/>
      <c r="U558" s="4"/>
      <c r="V558" s="4"/>
      <c r="W558" s="4"/>
      <c r="X558" s="4"/>
      <c r="Y558" s="4"/>
      <c r="Z558" s="4"/>
    </row>
    <row r="559" ht="12.75" customHeight="1">
      <c r="A559" s="28"/>
      <c r="B559" s="28"/>
      <c r="C559" s="28"/>
      <c r="D559" s="4"/>
      <c r="E559" s="28"/>
      <c r="F559" s="28"/>
      <c r="G559" s="28"/>
      <c r="H559" s="4"/>
      <c r="I559" s="28"/>
      <c r="J559" s="28"/>
      <c r="K559" s="28"/>
      <c r="L559" s="4"/>
      <c r="M559" s="28"/>
      <c r="N559" s="28"/>
      <c r="O559" s="28"/>
      <c r="P559" s="4"/>
      <c r="Q559" s="28"/>
      <c r="R559" s="28"/>
      <c r="S559" s="28"/>
      <c r="T559" s="4"/>
      <c r="U559" s="4"/>
      <c r="V559" s="4"/>
      <c r="W559" s="4"/>
      <c r="X559" s="4"/>
      <c r="Y559" s="4"/>
      <c r="Z559" s="4"/>
    </row>
    <row r="560" ht="12.75" customHeight="1">
      <c r="A560" s="28"/>
      <c r="B560" s="28"/>
      <c r="C560" s="28"/>
      <c r="D560" s="4"/>
      <c r="E560" s="28"/>
      <c r="F560" s="28"/>
      <c r="G560" s="28"/>
      <c r="H560" s="4"/>
      <c r="I560" s="28"/>
      <c r="J560" s="28"/>
      <c r="K560" s="28"/>
      <c r="L560" s="4"/>
      <c r="M560" s="28"/>
      <c r="N560" s="28"/>
      <c r="O560" s="28"/>
      <c r="P560" s="4"/>
      <c r="Q560" s="28"/>
      <c r="R560" s="28"/>
      <c r="S560" s="28"/>
      <c r="T560" s="4"/>
      <c r="U560" s="4"/>
      <c r="V560" s="4"/>
      <c r="W560" s="4"/>
      <c r="X560" s="4"/>
      <c r="Y560" s="4"/>
      <c r="Z560" s="4"/>
    </row>
    <row r="561" ht="12.75" customHeight="1">
      <c r="A561" s="28"/>
      <c r="B561" s="28"/>
      <c r="C561" s="28"/>
      <c r="D561" s="4"/>
      <c r="E561" s="28"/>
      <c r="F561" s="28"/>
      <c r="G561" s="28"/>
      <c r="H561" s="4"/>
      <c r="I561" s="28"/>
      <c r="J561" s="28"/>
      <c r="K561" s="28"/>
      <c r="L561" s="4"/>
      <c r="M561" s="28"/>
      <c r="N561" s="28"/>
      <c r="O561" s="28"/>
      <c r="P561" s="4"/>
      <c r="Q561" s="28"/>
      <c r="R561" s="28"/>
      <c r="S561" s="28"/>
      <c r="T561" s="4"/>
      <c r="U561" s="4"/>
      <c r="V561" s="4"/>
      <c r="W561" s="4"/>
      <c r="X561" s="4"/>
      <c r="Y561" s="4"/>
      <c r="Z561" s="4"/>
    </row>
    <row r="562" ht="12.75" customHeight="1">
      <c r="A562" s="28"/>
      <c r="B562" s="28"/>
      <c r="C562" s="28"/>
      <c r="D562" s="4"/>
      <c r="E562" s="28"/>
      <c r="F562" s="28"/>
      <c r="G562" s="28"/>
      <c r="H562" s="4"/>
      <c r="I562" s="28"/>
      <c r="J562" s="28"/>
      <c r="K562" s="28"/>
      <c r="L562" s="4"/>
      <c r="M562" s="28"/>
      <c r="N562" s="28"/>
      <c r="O562" s="28"/>
      <c r="P562" s="4"/>
      <c r="Q562" s="28"/>
      <c r="R562" s="28"/>
      <c r="S562" s="28"/>
      <c r="T562" s="4"/>
      <c r="U562" s="4"/>
      <c r="V562" s="4"/>
      <c r="W562" s="4"/>
      <c r="X562" s="4"/>
      <c r="Y562" s="4"/>
      <c r="Z562" s="4"/>
    </row>
    <row r="563" ht="12.75" customHeight="1">
      <c r="A563" s="28"/>
      <c r="B563" s="28"/>
      <c r="C563" s="28"/>
      <c r="D563" s="4"/>
      <c r="E563" s="28"/>
      <c r="F563" s="28"/>
      <c r="G563" s="28"/>
      <c r="H563" s="4"/>
      <c r="I563" s="28"/>
      <c r="J563" s="28"/>
      <c r="K563" s="28"/>
      <c r="L563" s="4"/>
      <c r="M563" s="28"/>
      <c r="N563" s="28"/>
      <c r="O563" s="28"/>
      <c r="P563" s="4"/>
      <c r="Q563" s="28"/>
      <c r="R563" s="28"/>
      <c r="S563" s="28"/>
      <c r="T563" s="4"/>
      <c r="U563" s="4"/>
      <c r="V563" s="4"/>
      <c r="W563" s="4"/>
      <c r="X563" s="4"/>
      <c r="Y563" s="4"/>
      <c r="Z563" s="4"/>
    </row>
    <row r="564" ht="12.75" customHeight="1">
      <c r="A564" s="28"/>
      <c r="B564" s="28"/>
      <c r="C564" s="28"/>
      <c r="D564" s="4"/>
      <c r="E564" s="28"/>
      <c r="F564" s="28"/>
      <c r="G564" s="28"/>
      <c r="H564" s="4"/>
      <c r="I564" s="28"/>
      <c r="J564" s="28"/>
      <c r="K564" s="28"/>
      <c r="L564" s="4"/>
      <c r="M564" s="28"/>
      <c r="N564" s="28"/>
      <c r="O564" s="28"/>
      <c r="P564" s="4"/>
      <c r="Q564" s="28"/>
      <c r="R564" s="28"/>
      <c r="S564" s="28"/>
      <c r="T564" s="4"/>
      <c r="U564" s="4"/>
      <c r="V564" s="4"/>
      <c r="W564" s="4"/>
      <c r="X564" s="4"/>
      <c r="Y564" s="4"/>
      <c r="Z564" s="4"/>
    </row>
    <row r="565" ht="12.75" customHeight="1">
      <c r="A565" s="28"/>
      <c r="B565" s="28"/>
      <c r="C565" s="28"/>
      <c r="D565" s="4"/>
      <c r="E565" s="28"/>
      <c r="F565" s="28"/>
      <c r="G565" s="28"/>
      <c r="H565" s="4"/>
      <c r="I565" s="28"/>
      <c r="J565" s="28"/>
      <c r="K565" s="28"/>
      <c r="L565" s="4"/>
      <c r="M565" s="28"/>
      <c r="N565" s="28"/>
      <c r="O565" s="28"/>
      <c r="P565" s="4"/>
      <c r="Q565" s="28"/>
      <c r="R565" s="28"/>
      <c r="S565" s="28"/>
      <c r="T565" s="4"/>
      <c r="U565" s="4"/>
      <c r="V565" s="4"/>
      <c r="W565" s="4"/>
      <c r="X565" s="4"/>
      <c r="Y565" s="4"/>
      <c r="Z565" s="4"/>
    </row>
    <row r="566" ht="12.75" customHeight="1">
      <c r="A566" s="28"/>
      <c r="B566" s="28"/>
      <c r="C566" s="28"/>
      <c r="D566" s="4"/>
      <c r="E566" s="28"/>
      <c r="F566" s="28"/>
      <c r="G566" s="28"/>
      <c r="H566" s="4"/>
      <c r="I566" s="28"/>
      <c r="J566" s="28"/>
      <c r="K566" s="28"/>
      <c r="L566" s="4"/>
      <c r="M566" s="28"/>
      <c r="N566" s="28"/>
      <c r="O566" s="28"/>
      <c r="P566" s="4"/>
      <c r="Q566" s="28"/>
      <c r="R566" s="28"/>
      <c r="S566" s="28"/>
      <c r="T566" s="4"/>
      <c r="U566" s="4"/>
      <c r="V566" s="4"/>
      <c r="W566" s="4"/>
      <c r="X566" s="4"/>
      <c r="Y566" s="4"/>
      <c r="Z566" s="4"/>
    </row>
    <row r="567" ht="12.75" customHeight="1">
      <c r="A567" s="28"/>
      <c r="B567" s="28"/>
      <c r="C567" s="28"/>
      <c r="D567" s="4"/>
      <c r="E567" s="28"/>
      <c r="F567" s="28"/>
      <c r="G567" s="28"/>
      <c r="H567" s="4"/>
      <c r="I567" s="28"/>
      <c r="J567" s="28"/>
      <c r="K567" s="28"/>
      <c r="L567" s="4"/>
      <c r="M567" s="28"/>
      <c r="N567" s="28"/>
      <c r="O567" s="28"/>
      <c r="P567" s="4"/>
      <c r="Q567" s="28"/>
      <c r="R567" s="28"/>
      <c r="S567" s="28"/>
      <c r="T567" s="4"/>
      <c r="U567" s="4"/>
      <c r="V567" s="4"/>
      <c r="W567" s="4"/>
      <c r="X567" s="4"/>
      <c r="Y567" s="4"/>
      <c r="Z567" s="4"/>
    </row>
    <row r="568" ht="12.75" customHeight="1">
      <c r="A568" s="28"/>
      <c r="B568" s="28"/>
      <c r="C568" s="28"/>
      <c r="D568" s="4"/>
      <c r="E568" s="28"/>
      <c r="F568" s="28"/>
      <c r="G568" s="28"/>
      <c r="H568" s="4"/>
      <c r="I568" s="28"/>
      <c r="J568" s="28"/>
      <c r="K568" s="28"/>
      <c r="L568" s="4"/>
      <c r="M568" s="28"/>
      <c r="N568" s="28"/>
      <c r="O568" s="28"/>
      <c r="P568" s="4"/>
      <c r="Q568" s="28"/>
      <c r="R568" s="28"/>
      <c r="S568" s="28"/>
      <c r="T568" s="4"/>
      <c r="U568" s="4"/>
      <c r="V568" s="4"/>
      <c r="W568" s="4"/>
      <c r="X568" s="4"/>
      <c r="Y568" s="4"/>
      <c r="Z568" s="4"/>
    </row>
    <row r="569" ht="12.75" customHeight="1">
      <c r="A569" s="28"/>
      <c r="B569" s="28"/>
      <c r="C569" s="28"/>
      <c r="D569" s="4"/>
      <c r="E569" s="28"/>
      <c r="F569" s="28"/>
      <c r="G569" s="28"/>
      <c r="H569" s="4"/>
      <c r="I569" s="28"/>
      <c r="J569" s="28"/>
      <c r="K569" s="28"/>
      <c r="L569" s="4"/>
      <c r="M569" s="28"/>
      <c r="N569" s="28"/>
      <c r="O569" s="28"/>
      <c r="P569" s="4"/>
      <c r="Q569" s="28"/>
      <c r="R569" s="28"/>
      <c r="S569" s="28"/>
      <c r="T569" s="4"/>
      <c r="U569" s="4"/>
      <c r="V569" s="4"/>
      <c r="W569" s="4"/>
      <c r="X569" s="4"/>
      <c r="Y569" s="4"/>
      <c r="Z569" s="4"/>
    </row>
    <row r="570" ht="12.75" customHeight="1">
      <c r="A570" s="28"/>
      <c r="B570" s="28"/>
      <c r="C570" s="28"/>
      <c r="D570" s="4"/>
      <c r="E570" s="28"/>
      <c r="F570" s="28"/>
      <c r="G570" s="28"/>
      <c r="H570" s="4"/>
      <c r="I570" s="28"/>
      <c r="J570" s="28"/>
      <c r="K570" s="28"/>
      <c r="L570" s="4"/>
      <c r="M570" s="28"/>
      <c r="N570" s="28"/>
      <c r="O570" s="28"/>
      <c r="P570" s="4"/>
      <c r="Q570" s="28"/>
      <c r="R570" s="28"/>
      <c r="S570" s="28"/>
      <c r="T570" s="4"/>
      <c r="U570" s="4"/>
      <c r="V570" s="4"/>
      <c r="W570" s="4"/>
      <c r="X570" s="4"/>
      <c r="Y570" s="4"/>
      <c r="Z570" s="4"/>
    </row>
    <row r="571" ht="12.75" customHeight="1">
      <c r="A571" s="28"/>
      <c r="B571" s="28"/>
      <c r="C571" s="28"/>
      <c r="D571" s="4"/>
      <c r="E571" s="28"/>
      <c r="F571" s="28"/>
      <c r="G571" s="28"/>
      <c r="H571" s="4"/>
      <c r="I571" s="28"/>
      <c r="J571" s="28"/>
      <c r="K571" s="28"/>
      <c r="L571" s="4"/>
      <c r="M571" s="28"/>
      <c r="N571" s="28"/>
      <c r="O571" s="28"/>
      <c r="P571" s="4"/>
      <c r="Q571" s="28"/>
      <c r="R571" s="28"/>
      <c r="S571" s="28"/>
      <c r="T571" s="4"/>
      <c r="U571" s="4"/>
      <c r="V571" s="4"/>
      <c r="W571" s="4"/>
      <c r="X571" s="4"/>
      <c r="Y571" s="4"/>
      <c r="Z571" s="4"/>
    </row>
    <row r="572" ht="12.75" customHeight="1">
      <c r="A572" s="28"/>
      <c r="B572" s="28"/>
      <c r="C572" s="28"/>
      <c r="D572" s="4"/>
      <c r="E572" s="28"/>
      <c r="F572" s="28"/>
      <c r="G572" s="28"/>
      <c r="H572" s="4"/>
      <c r="I572" s="28"/>
      <c r="J572" s="28"/>
      <c r="K572" s="28"/>
      <c r="L572" s="4"/>
      <c r="M572" s="28"/>
      <c r="N572" s="28"/>
      <c r="O572" s="28"/>
      <c r="P572" s="4"/>
      <c r="Q572" s="28"/>
      <c r="R572" s="28"/>
      <c r="S572" s="28"/>
      <c r="T572" s="4"/>
      <c r="U572" s="4"/>
      <c r="V572" s="4"/>
      <c r="W572" s="4"/>
      <c r="X572" s="4"/>
      <c r="Y572" s="4"/>
      <c r="Z572" s="4"/>
    </row>
    <row r="573" ht="12.75" customHeight="1">
      <c r="A573" s="28"/>
      <c r="B573" s="28"/>
      <c r="C573" s="28"/>
      <c r="D573" s="4"/>
      <c r="E573" s="28"/>
      <c r="F573" s="28"/>
      <c r="G573" s="28"/>
      <c r="H573" s="4"/>
      <c r="I573" s="28"/>
      <c r="J573" s="28"/>
      <c r="K573" s="28"/>
      <c r="L573" s="4"/>
      <c r="M573" s="28"/>
      <c r="N573" s="28"/>
      <c r="O573" s="28"/>
      <c r="P573" s="4"/>
      <c r="Q573" s="28"/>
      <c r="R573" s="28"/>
      <c r="S573" s="28"/>
      <c r="T573" s="4"/>
      <c r="U573" s="4"/>
      <c r="V573" s="4"/>
      <c r="W573" s="4"/>
      <c r="X573" s="4"/>
      <c r="Y573" s="4"/>
      <c r="Z573" s="4"/>
    </row>
    <row r="574" ht="12.75" customHeight="1">
      <c r="A574" s="28"/>
      <c r="B574" s="28"/>
      <c r="C574" s="28"/>
      <c r="D574" s="4"/>
      <c r="E574" s="28"/>
      <c r="F574" s="28"/>
      <c r="G574" s="28"/>
      <c r="H574" s="4"/>
      <c r="I574" s="28"/>
      <c r="J574" s="28"/>
      <c r="K574" s="28"/>
      <c r="L574" s="4"/>
      <c r="M574" s="28"/>
      <c r="N574" s="28"/>
      <c r="O574" s="28"/>
      <c r="P574" s="4"/>
      <c r="Q574" s="28"/>
      <c r="R574" s="28"/>
      <c r="S574" s="28"/>
      <c r="T574" s="4"/>
      <c r="U574" s="4"/>
      <c r="V574" s="4"/>
      <c r="W574" s="4"/>
      <c r="X574" s="4"/>
      <c r="Y574" s="4"/>
      <c r="Z574" s="4"/>
    </row>
    <row r="575" ht="12.75" customHeight="1">
      <c r="A575" s="28"/>
      <c r="B575" s="28"/>
      <c r="C575" s="28"/>
      <c r="D575" s="4"/>
      <c r="E575" s="28"/>
      <c r="F575" s="28"/>
      <c r="G575" s="28"/>
      <c r="H575" s="4"/>
      <c r="I575" s="28"/>
      <c r="J575" s="28"/>
      <c r="K575" s="28"/>
      <c r="L575" s="4"/>
      <c r="M575" s="28"/>
      <c r="N575" s="28"/>
      <c r="O575" s="28"/>
      <c r="P575" s="4"/>
      <c r="Q575" s="28"/>
      <c r="R575" s="28"/>
      <c r="S575" s="28"/>
      <c r="T575" s="4"/>
      <c r="U575" s="4"/>
      <c r="V575" s="4"/>
      <c r="W575" s="4"/>
      <c r="X575" s="4"/>
      <c r="Y575" s="4"/>
      <c r="Z575" s="4"/>
    </row>
    <row r="576" ht="12.75" customHeight="1">
      <c r="A576" s="28"/>
      <c r="B576" s="28"/>
      <c r="C576" s="28"/>
      <c r="D576" s="4"/>
      <c r="E576" s="28"/>
      <c r="F576" s="28"/>
      <c r="G576" s="28"/>
      <c r="H576" s="4"/>
      <c r="I576" s="28"/>
      <c r="J576" s="28"/>
      <c r="K576" s="28"/>
      <c r="L576" s="4"/>
      <c r="M576" s="28"/>
      <c r="N576" s="28"/>
      <c r="O576" s="28"/>
      <c r="P576" s="4"/>
      <c r="Q576" s="28"/>
      <c r="R576" s="28"/>
      <c r="S576" s="28"/>
      <c r="T576" s="4"/>
      <c r="U576" s="4"/>
      <c r="V576" s="4"/>
      <c r="W576" s="4"/>
      <c r="X576" s="4"/>
      <c r="Y576" s="4"/>
      <c r="Z576" s="4"/>
    </row>
    <row r="577" ht="12.75" customHeight="1">
      <c r="A577" s="28"/>
      <c r="B577" s="28"/>
      <c r="C577" s="28"/>
      <c r="D577" s="4"/>
      <c r="E577" s="28"/>
      <c r="F577" s="28"/>
      <c r="G577" s="28"/>
      <c r="H577" s="4"/>
      <c r="I577" s="28"/>
      <c r="J577" s="28"/>
      <c r="K577" s="28"/>
      <c r="L577" s="4"/>
      <c r="M577" s="28"/>
      <c r="N577" s="28"/>
      <c r="O577" s="28"/>
      <c r="P577" s="4"/>
      <c r="Q577" s="28"/>
      <c r="R577" s="28"/>
      <c r="S577" s="28"/>
      <c r="T577" s="4"/>
      <c r="U577" s="4"/>
      <c r="V577" s="4"/>
      <c r="W577" s="4"/>
      <c r="X577" s="4"/>
      <c r="Y577" s="4"/>
      <c r="Z577" s="4"/>
    </row>
    <row r="578" ht="12.75" customHeight="1">
      <c r="A578" s="28"/>
      <c r="B578" s="28"/>
      <c r="C578" s="28"/>
      <c r="D578" s="4"/>
      <c r="E578" s="28"/>
      <c r="F578" s="28"/>
      <c r="G578" s="28"/>
      <c r="H578" s="4"/>
      <c r="I578" s="28"/>
      <c r="J578" s="28"/>
      <c r="K578" s="28"/>
      <c r="L578" s="4"/>
      <c r="M578" s="28"/>
      <c r="N578" s="28"/>
      <c r="O578" s="28"/>
      <c r="P578" s="4"/>
      <c r="Q578" s="28"/>
      <c r="R578" s="28"/>
      <c r="S578" s="28"/>
      <c r="T578" s="4"/>
      <c r="U578" s="4"/>
      <c r="V578" s="4"/>
      <c r="W578" s="4"/>
      <c r="X578" s="4"/>
      <c r="Y578" s="4"/>
      <c r="Z578" s="4"/>
    </row>
    <row r="579" ht="12.75" customHeight="1">
      <c r="A579" s="28"/>
      <c r="B579" s="28"/>
      <c r="C579" s="28"/>
      <c r="D579" s="4"/>
      <c r="E579" s="28"/>
      <c r="F579" s="28"/>
      <c r="G579" s="28"/>
      <c r="H579" s="4"/>
      <c r="I579" s="28"/>
      <c r="J579" s="28"/>
      <c r="K579" s="28"/>
      <c r="L579" s="4"/>
      <c r="M579" s="28"/>
      <c r="N579" s="28"/>
      <c r="O579" s="28"/>
      <c r="P579" s="4"/>
      <c r="Q579" s="28"/>
      <c r="R579" s="28"/>
      <c r="S579" s="28"/>
      <c r="T579" s="4"/>
      <c r="U579" s="4"/>
      <c r="V579" s="4"/>
      <c r="W579" s="4"/>
      <c r="X579" s="4"/>
      <c r="Y579" s="4"/>
      <c r="Z579" s="4"/>
    </row>
    <row r="580" ht="12.75" customHeight="1">
      <c r="A580" s="28"/>
      <c r="B580" s="28"/>
      <c r="C580" s="28"/>
      <c r="D580" s="4"/>
      <c r="E580" s="28"/>
      <c r="F580" s="28"/>
      <c r="G580" s="28"/>
      <c r="H580" s="4"/>
      <c r="I580" s="28"/>
      <c r="J580" s="28"/>
      <c r="K580" s="28"/>
      <c r="L580" s="4"/>
      <c r="M580" s="28"/>
      <c r="N580" s="28"/>
      <c r="O580" s="28"/>
      <c r="P580" s="4"/>
      <c r="Q580" s="28"/>
      <c r="R580" s="28"/>
      <c r="S580" s="28"/>
      <c r="T580" s="4"/>
      <c r="U580" s="4"/>
      <c r="V580" s="4"/>
      <c r="W580" s="4"/>
      <c r="X580" s="4"/>
      <c r="Y580" s="4"/>
      <c r="Z580" s="4"/>
    </row>
    <row r="581" ht="12.75" customHeight="1">
      <c r="A581" s="28"/>
      <c r="B581" s="28"/>
      <c r="C581" s="28"/>
      <c r="D581" s="4"/>
      <c r="E581" s="28"/>
      <c r="F581" s="28"/>
      <c r="G581" s="28"/>
      <c r="H581" s="4"/>
      <c r="I581" s="28"/>
      <c r="J581" s="28"/>
      <c r="K581" s="28"/>
      <c r="L581" s="4"/>
      <c r="M581" s="28"/>
      <c r="N581" s="28"/>
      <c r="O581" s="28"/>
      <c r="P581" s="4"/>
      <c r="Q581" s="28"/>
      <c r="R581" s="28"/>
      <c r="S581" s="28"/>
      <c r="T581" s="4"/>
      <c r="U581" s="4"/>
      <c r="V581" s="4"/>
      <c r="W581" s="4"/>
      <c r="X581" s="4"/>
      <c r="Y581" s="4"/>
      <c r="Z581" s="4"/>
    </row>
    <row r="582" ht="12.75" customHeight="1">
      <c r="A582" s="28"/>
      <c r="B582" s="28"/>
      <c r="C582" s="28"/>
      <c r="D582" s="4"/>
      <c r="E582" s="28"/>
      <c r="F582" s="28"/>
      <c r="G582" s="28"/>
      <c r="H582" s="4"/>
      <c r="I582" s="28"/>
      <c r="J582" s="28"/>
      <c r="K582" s="28"/>
      <c r="L582" s="4"/>
      <c r="M582" s="28"/>
      <c r="N582" s="28"/>
      <c r="O582" s="28"/>
      <c r="P582" s="4"/>
      <c r="Q582" s="28"/>
      <c r="R582" s="28"/>
      <c r="S582" s="28"/>
      <c r="T582" s="4"/>
      <c r="U582" s="4"/>
      <c r="V582" s="4"/>
      <c r="W582" s="4"/>
      <c r="X582" s="4"/>
      <c r="Y582" s="4"/>
      <c r="Z582" s="4"/>
    </row>
    <row r="583" ht="12.75" customHeight="1">
      <c r="A583" s="28"/>
      <c r="B583" s="28"/>
      <c r="C583" s="28"/>
      <c r="D583" s="4"/>
      <c r="E583" s="28"/>
      <c r="F583" s="28"/>
      <c r="G583" s="28"/>
      <c r="H583" s="4"/>
      <c r="I583" s="28"/>
      <c r="J583" s="28"/>
      <c r="K583" s="28"/>
      <c r="L583" s="4"/>
      <c r="M583" s="28"/>
      <c r="N583" s="28"/>
      <c r="O583" s="28"/>
      <c r="P583" s="4"/>
      <c r="Q583" s="28"/>
      <c r="R583" s="28"/>
      <c r="S583" s="28"/>
      <c r="T583" s="4"/>
      <c r="U583" s="4"/>
      <c r="V583" s="4"/>
      <c r="W583" s="4"/>
      <c r="X583" s="4"/>
      <c r="Y583" s="4"/>
      <c r="Z583" s="4"/>
    </row>
    <row r="584" ht="12.75" customHeight="1">
      <c r="A584" s="28"/>
      <c r="B584" s="28"/>
      <c r="C584" s="28"/>
      <c r="D584" s="4"/>
      <c r="E584" s="28"/>
      <c r="F584" s="28"/>
      <c r="G584" s="28"/>
      <c r="H584" s="4"/>
      <c r="I584" s="28"/>
      <c r="J584" s="28"/>
      <c r="K584" s="28"/>
      <c r="L584" s="4"/>
      <c r="M584" s="28"/>
      <c r="N584" s="28"/>
      <c r="O584" s="28"/>
      <c r="P584" s="4"/>
      <c r="Q584" s="28"/>
      <c r="R584" s="28"/>
      <c r="S584" s="28"/>
      <c r="T584" s="4"/>
      <c r="U584" s="4"/>
      <c r="V584" s="4"/>
      <c r="W584" s="4"/>
      <c r="X584" s="4"/>
      <c r="Y584" s="4"/>
      <c r="Z584" s="4"/>
    </row>
    <row r="585" ht="12.75" customHeight="1">
      <c r="A585" s="28"/>
      <c r="B585" s="28"/>
      <c r="C585" s="28"/>
      <c r="D585" s="4"/>
      <c r="E585" s="28"/>
      <c r="F585" s="28"/>
      <c r="G585" s="28"/>
      <c r="H585" s="4"/>
      <c r="I585" s="28"/>
      <c r="J585" s="28"/>
      <c r="K585" s="28"/>
      <c r="L585" s="4"/>
      <c r="M585" s="28"/>
      <c r="N585" s="28"/>
      <c r="O585" s="28"/>
      <c r="P585" s="4"/>
      <c r="Q585" s="28"/>
      <c r="R585" s="28"/>
      <c r="S585" s="28"/>
      <c r="T585" s="4"/>
      <c r="U585" s="4"/>
      <c r="V585" s="4"/>
      <c r="W585" s="4"/>
      <c r="X585" s="4"/>
      <c r="Y585" s="4"/>
      <c r="Z585" s="4"/>
    </row>
    <row r="586" ht="12.75" customHeight="1">
      <c r="A586" s="28"/>
      <c r="B586" s="28"/>
      <c r="C586" s="28"/>
      <c r="D586" s="4"/>
      <c r="E586" s="28"/>
      <c r="F586" s="28"/>
      <c r="G586" s="28"/>
      <c r="H586" s="4"/>
      <c r="I586" s="28"/>
      <c r="J586" s="28"/>
      <c r="K586" s="28"/>
      <c r="L586" s="4"/>
      <c r="M586" s="28"/>
      <c r="N586" s="28"/>
      <c r="O586" s="28"/>
      <c r="P586" s="4"/>
      <c r="Q586" s="28"/>
      <c r="R586" s="28"/>
      <c r="S586" s="28"/>
      <c r="T586" s="4"/>
      <c r="U586" s="4"/>
      <c r="V586" s="4"/>
      <c r="W586" s="4"/>
      <c r="X586" s="4"/>
      <c r="Y586" s="4"/>
      <c r="Z586" s="4"/>
    </row>
    <row r="587" ht="12.75" customHeight="1">
      <c r="A587" s="28"/>
      <c r="B587" s="28"/>
      <c r="C587" s="28"/>
      <c r="D587" s="4"/>
      <c r="E587" s="28"/>
      <c r="F587" s="28"/>
      <c r="G587" s="28"/>
      <c r="H587" s="4"/>
      <c r="I587" s="28"/>
      <c r="J587" s="28"/>
      <c r="K587" s="28"/>
      <c r="L587" s="4"/>
      <c r="M587" s="28"/>
      <c r="N587" s="28"/>
      <c r="O587" s="28"/>
      <c r="P587" s="4"/>
      <c r="Q587" s="28"/>
      <c r="R587" s="28"/>
      <c r="S587" s="28"/>
      <c r="T587" s="4"/>
      <c r="U587" s="4"/>
      <c r="V587" s="4"/>
      <c r="W587" s="4"/>
      <c r="X587" s="4"/>
      <c r="Y587" s="4"/>
      <c r="Z587" s="4"/>
    </row>
    <row r="588" ht="12.75" customHeight="1">
      <c r="A588" s="28"/>
      <c r="B588" s="28"/>
      <c r="C588" s="28"/>
      <c r="D588" s="4"/>
      <c r="E588" s="28"/>
      <c r="F588" s="28"/>
      <c r="G588" s="28"/>
      <c r="H588" s="4"/>
      <c r="I588" s="28"/>
      <c r="J588" s="28"/>
      <c r="K588" s="28"/>
      <c r="L588" s="4"/>
      <c r="M588" s="28"/>
      <c r="N588" s="28"/>
      <c r="O588" s="28"/>
      <c r="P588" s="4"/>
      <c r="Q588" s="28"/>
      <c r="R588" s="28"/>
      <c r="S588" s="28"/>
      <c r="T588" s="4"/>
      <c r="U588" s="4"/>
      <c r="V588" s="4"/>
      <c r="W588" s="4"/>
      <c r="X588" s="4"/>
      <c r="Y588" s="4"/>
      <c r="Z588" s="4"/>
    </row>
    <row r="589" ht="12.75" customHeight="1">
      <c r="A589" s="28"/>
      <c r="B589" s="28"/>
      <c r="C589" s="28"/>
      <c r="D589" s="4"/>
      <c r="E589" s="28"/>
      <c r="F589" s="28"/>
      <c r="G589" s="28"/>
      <c r="H589" s="4"/>
      <c r="I589" s="28"/>
      <c r="J589" s="28"/>
      <c r="K589" s="28"/>
      <c r="L589" s="4"/>
      <c r="M589" s="28"/>
      <c r="N589" s="28"/>
      <c r="O589" s="28"/>
      <c r="P589" s="4"/>
      <c r="Q589" s="28"/>
      <c r="R589" s="28"/>
      <c r="S589" s="28"/>
      <c r="T589" s="4"/>
      <c r="U589" s="4"/>
      <c r="V589" s="4"/>
      <c r="W589" s="4"/>
      <c r="X589" s="4"/>
      <c r="Y589" s="4"/>
      <c r="Z589" s="4"/>
    </row>
    <row r="590" ht="12.75" customHeight="1">
      <c r="A590" s="28"/>
      <c r="B590" s="28"/>
      <c r="C590" s="28"/>
      <c r="D590" s="4"/>
      <c r="E590" s="28"/>
      <c r="F590" s="28"/>
      <c r="G590" s="28"/>
      <c r="H590" s="4"/>
      <c r="I590" s="28"/>
      <c r="J590" s="28"/>
      <c r="K590" s="28"/>
      <c r="L590" s="4"/>
      <c r="M590" s="28"/>
      <c r="N590" s="28"/>
      <c r="O590" s="28"/>
      <c r="P590" s="4"/>
      <c r="Q590" s="28"/>
      <c r="R590" s="28"/>
      <c r="S590" s="28"/>
      <c r="T590" s="4"/>
      <c r="U590" s="4"/>
      <c r="V590" s="4"/>
      <c r="W590" s="4"/>
      <c r="X590" s="4"/>
      <c r="Y590" s="4"/>
      <c r="Z590" s="4"/>
    </row>
    <row r="591" ht="12.75" customHeight="1">
      <c r="A591" s="28"/>
      <c r="B591" s="28"/>
      <c r="C591" s="28"/>
      <c r="D591" s="4"/>
      <c r="E591" s="28"/>
      <c r="F591" s="28"/>
      <c r="G591" s="28"/>
      <c r="H591" s="4"/>
      <c r="I591" s="28"/>
      <c r="J591" s="28"/>
      <c r="K591" s="28"/>
      <c r="L591" s="4"/>
      <c r="M591" s="28"/>
      <c r="N591" s="28"/>
      <c r="O591" s="28"/>
      <c r="P591" s="4"/>
      <c r="Q591" s="28"/>
      <c r="R591" s="28"/>
      <c r="S591" s="28"/>
      <c r="T591" s="4"/>
      <c r="U591" s="4"/>
      <c r="V591" s="4"/>
      <c r="W591" s="4"/>
      <c r="X591" s="4"/>
      <c r="Y591" s="4"/>
      <c r="Z591" s="4"/>
    </row>
    <row r="592" ht="12.75" customHeight="1">
      <c r="A592" s="28"/>
      <c r="B592" s="28"/>
      <c r="C592" s="28"/>
      <c r="D592" s="4"/>
      <c r="E592" s="28"/>
      <c r="F592" s="28"/>
      <c r="G592" s="28"/>
      <c r="H592" s="4"/>
      <c r="I592" s="28"/>
      <c r="J592" s="28"/>
      <c r="K592" s="28"/>
      <c r="L592" s="4"/>
      <c r="M592" s="28"/>
      <c r="N592" s="28"/>
      <c r="O592" s="28"/>
      <c r="P592" s="4"/>
      <c r="Q592" s="28"/>
      <c r="R592" s="28"/>
      <c r="S592" s="28"/>
      <c r="T592" s="4"/>
      <c r="U592" s="4"/>
      <c r="V592" s="4"/>
      <c r="W592" s="4"/>
      <c r="X592" s="4"/>
      <c r="Y592" s="4"/>
      <c r="Z592" s="4"/>
    </row>
    <row r="593" ht="12.75" customHeight="1">
      <c r="A593" s="28"/>
      <c r="B593" s="28"/>
      <c r="C593" s="28"/>
      <c r="D593" s="4"/>
      <c r="E593" s="28"/>
      <c r="F593" s="28"/>
      <c r="G593" s="28"/>
      <c r="H593" s="4"/>
      <c r="I593" s="28"/>
      <c r="J593" s="28"/>
      <c r="K593" s="28"/>
      <c r="L593" s="4"/>
      <c r="M593" s="28"/>
      <c r="N593" s="28"/>
      <c r="O593" s="28"/>
      <c r="P593" s="4"/>
      <c r="Q593" s="28"/>
      <c r="R593" s="28"/>
      <c r="S593" s="28"/>
      <c r="T593" s="4"/>
      <c r="U593" s="4"/>
      <c r="V593" s="4"/>
      <c r="W593" s="4"/>
      <c r="X593" s="4"/>
      <c r="Y593" s="4"/>
      <c r="Z593" s="4"/>
    </row>
    <row r="594" ht="12.75" customHeight="1">
      <c r="A594" s="28"/>
      <c r="B594" s="28"/>
      <c r="C594" s="28"/>
      <c r="D594" s="4"/>
      <c r="E594" s="28"/>
      <c r="F594" s="28"/>
      <c r="G594" s="28"/>
      <c r="H594" s="4"/>
      <c r="I594" s="28"/>
      <c r="J594" s="28"/>
      <c r="K594" s="28"/>
      <c r="L594" s="4"/>
      <c r="M594" s="28"/>
      <c r="N594" s="28"/>
      <c r="O594" s="28"/>
      <c r="P594" s="4"/>
      <c r="Q594" s="28"/>
      <c r="R594" s="28"/>
      <c r="S594" s="28"/>
      <c r="T594" s="4"/>
      <c r="U594" s="4"/>
      <c r="V594" s="4"/>
      <c r="W594" s="4"/>
      <c r="X594" s="4"/>
      <c r="Y594" s="4"/>
      <c r="Z594" s="4"/>
    </row>
    <row r="595" ht="12.75" customHeight="1">
      <c r="A595" s="28"/>
      <c r="B595" s="28"/>
      <c r="C595" s="28"/>
      <c r="D595" s="4"/>
      <c r="E595" s="28"/>
      <c r="F595" s="28"/>
      <c r="G595" s="28"/>
      <c r="H595" s="4"/>
      <c r="I595" s="28"/>
      <c r="J595" s="28"/>
      <c r="K595" s="28"/>
      <c r="L595" s="4"/>
      <c r="M595" s="28"/>
      <c r="N595" s="28"/>
      <c r="O595" s="28"/>
      <c r="P595" s="4"/>
      <c r="Q595" s="28"/>
      <c r="R595" s="28"/>
      <c r="S595" s="28"/>
      <c r="T595" s="4"/>
      <c r="U595" s="4"/>
      <c r="V595" s="4"/>
      <c r="W595" s="4"/>
      <c r="X595" s="4"/>
      <c r="Y595" s="4"/>
      <c r="Z595" s="4"/>
    </row>
    <row r="596" ht="12.75" customHeight="1">
      <c r="A596" s="28"/>
      <c r="B596" s="28"/>
      <c r="C596" s="28"/>
      <c r="D596" s="4"/>
      <c r="E596" s="28"/>
      <c r="F596" s="28"/>
      <c r="G596" s="28"/>
      <c r="H596" s="4"/>
      <c r="I596" s="28"/>
      <c r="J596" s="28"/>
      <c r="K596" s="28"/>
      <c r="L596" s="4"/>
      <c r="M596" s="28"/>
      <c r="N596" s="28"/>
      <c r="O596" s="28"/>
      <c r="P596" s="4"/>
      <c r="Q596" s="28"/>
      <c r="R596" s="28"/>
      <c r="S596" s="28"/>
      <c r="T596" s="4"/>
      <c r="U596" s="4"/>
      <c r="V596" s="4"/>
      <c r="W596" s="4"/>
      <c r="X596" s="4"/>
      <c r="Y596" s="4"/>
      <c r="Z596" s="4"/>
    </row>
    <row r="597" ht="12.75" customHeight="1">
      <c r="A597" s="28"/>
      <c r="B597" s="28"/>
      <c r="C597" s="28"/>
      <c r="D597" s="4"/>
      <c r="E597" s="28"/>
      <c r="F597" s="28"/>
      <c r="G597" s="28"/>
      <c r="H597" s="4"/>
      <c r="I597" s="28"/>
      <c r="J597" s="28"/>
      <c r="K597" s="28"/>
      <c r="L597" s="4"/>
      <c r="M597" s="28"/>
      <c r="N597" s="28"/>
      <c r="O597" s="28"/>
      <c r="P597" s="4"/>
      <c r="Q597" s="28"/>
      <c r="R597" s="28"/>
      <c r="S597" s="28"/>
      <c r="T597" s="4"/>
      <c r="U597" s="4"/>
      <c r="V597" s="4"/>
      <c r="W597" s="4"/>
      <c r="X597" s="4"/>
      <c r="Y597" s="4"/>
      <c r="Z597" s="4"/>
    </row>
    <row r="598" ht="12.75" customHeight="1">
      <c r="A598" s="28"/>
      <c r="B598" s="28"/>
      <c r="C598" s="28"/>
      <c r="D598" s="4"/>
      <c r="E598" s="28"/>
      <c r="F598" s="28"/>
      <c r="G598" s="28"/>
      <c r="H598" s="4"/>
      <c r="I598" s="28"/>
      <c r="J598" s="28"/>
      <c r="K598" s="28"/>
      <c r="L598" s="4"/>
      <c r="M598" s="28"/>
      <c r="N598" s="28"/>
      <c r="O598" s="28"/>
      <c r="P598" s="4"/>
      <c r="Q598" s="28"/>
      <c r="R598" s="28"/>
      <c r="S598" s="28"/>
      <c r="T598" s="4"/>
      <c r="U598" s="4"/>
      <c r="V598" s="4"/>
      <c r="W598" s="4"/>
      <c r="X598" s="4"/>
      <c r="Y598" s="4"/>
      <c r="Z598" s="4"/>
    </row>
    <row r="599" ht="12.75" customHeight="1">
      <c r="A599" s="28"/>
      <c r="B599" s="28"/>
      <c r="C599" s="28"/>
      <c r="D599" s="4"/>
      <c r="E599" s="28"/>
      <c r="F599" s="28"/>
      <c r="G599" s="28"/>
      <c r="H599" s="4"/>
      <c r="I599" s="28"/>
      <c r="J599" s="28"/>
      <c r="K599" s="28"/>
      <c r="L599" s="4"/>
      <c r="M599" s="28"/>
      <c r="N599" s="28"/>
      <c r="O599" s="28"/>
      <c r="P599" s="4"/>
      <c r="Q599" s="28"/>
      <c r="R599" s="28"/>
      <c r="S599" s="28"/>
      <c r="T599" s="4"/>
      <c r="U599" s="4"/>
      <c r="V599" s="4"/>
      <c r="W599" s="4"/>
      <c r="X599" s="4"/>
      <c r="Y599" s="4"/>
      <c r="Z599" s="4"/>
    </row>
    <row r="600" ht="12.75" customHeight="1">
      <c r="A600" s="28"/>
      <c r="B600" s="28"/>
      <c r="C600" s="28"/>
      <c r="D600" s="4"/>
      <c r="E600" s="28"/>
      <c r="F600" s="28"/>
      <c r="G600" s="28"/>
      <c r="H600" s="4"/>
      <c r="I600" s="28"/>
      <c r="J600" s="28"/>
      <c r="K600" s="28"/>
      <c r="L600" s="4"/>
      <c r="M600" s="28"/>
      <c r="N600" s="28"/>
      <c r="O600" s="28"/>
      <c r="P600" s="4"/>
      <c r="Q600" s="28"/>
      <c r="R600" s="28"/>
      <c r="S600" s="28"/>
      <c r="T600" s="4"/>
      <c r="U600" s="4"/>
      <c r="V600" s="4"/>
      <c r="W600" s="4"/>
      <c r="X600" s="4"/>
      <c r="Y600" s="4"/>
      <c r="Z600" s="4"/>
    </row>
    <row r="601" ht="12.75" customHeight="1">
      <c r="A601" s="28"/>
      <c r="B601" s="28"/>
      <c r="C601" s="28"/>
      <c r="D601" s="4"/>
      <c r="E601" s="28"/>
      <c r="F601" s="28"/>
      <c r="G601" s="28"/>
      <c r="H601" s="4"/>
      <c r="I601" s="28"/>
      <c r="J601" s="28"/>
      <c r="K601" s="28"/>
      <c r="L601" s="4"/>
      <c r="M601" s="28"/>
      <c r="N601" s="28"/>
      <c r="O601" s="28"/>
      <c r="P601" s="4"/>
      <c r="Q601" s="28"/>
      <c r="R601" s="28"/>
      <c r="S601" s="28"/>
      <c r="T601" s="4"/>
      <c r="U601" s="4"/>
      <c r="V601" s="4"/>
      <c r="W601" s="4"/>
      <c r="X601" s="4"/>
      <c r="Y601" s="4"/>
      <c r="Z601" s="4"/>
    </row>
    <row r="602" ht="12.75" customHeight="1">
      <c r="A602" s="28"/>
      <c r="B602" s="28"/>
      <c r="C602" s="28"/>
      <c r="D602" s="4"/>
      <c r="E602" s="28"/>
      <c r="F602" s="28"/>
      <c r="G602" s="28"/>
      <c r="H602" s="4"/>
      <c r="I602" s="28"/>
      <c r="J602" s="28"/>
      <c r="K602" s="28"/>
      <c r="L602" s="4"/>
      <c r="M602" s="28"/>
      <c r="N602" s="28"/>
      <c r="O602" s="28"/>
      <c r="P602" s="4"/>
      <c r="Q602" s="28"/>
      <c r="R602" s="28"/>
      <c r="S602" s="28"/>
      <c r="T602" s="4"/>
      <c r="U602" s="4"/>
      <c r="V602" s="4"/>
      <c r="W602" s="4"/>
      <c r="X602" s="4"/>
      <c r="Y602" s="4"/>
      <c r="Z602" s="4"/>
    </row>
    <row r="603" ht="12.75" customHeight="1">
      <c r="A603" s="28"/>
      <c r="B603" s="28"/>
      <c r="C603" s="28"/>
      <c r="D603" s="4"/>
      <c r="E603" s="28"/>
      <c r="F603" s="28"/>
      <c r="G603" s="28"/>
      <c r="H603" s="4"/>
      <c r="I603" s="28"/>
      <c r="J603" s="28"/>
      <c r="K603" s="28"/>
      <c r="L603" s="4"/>
      <c r="M603" s="28"/>
      <c r="N603" s="28"/>
      <c r="O603" s="28"/>
      <c r="P603" s="4"/>
      <c r="Q603" s="28"/>
      <c r="R603" s="28"/>
      <c r="S603" s="28"/>
      <c r="T603" s="4"/>
      <c r="U603" s="4"/>
      <c r="V603" s="4"/>
      <c r="W603" s="4"/>
      <c r="X603" s="4"/>
      <c r="Y603" s="4"/>
      <c r="Z603" s="4"/>
    </row>
    <row r="604" ht="12.75" customHeight="1">
      <c r="A604" s="28"/>
      <c r="B604" s="28"/>
      <c r="C604" s="28"/>
      <c r="D604" s="4"/>
      <c r="E604" s="28"/>
      <c r="F604" s="28"/>
      <c r="G604" s="28"/>
      <c r="H604" s="4"/>
      <c r="I604" s="28"/>
      <c r="J604" s="28"/>
      <c r="K604" s="28"/>
      <c r="L604" s="4"/>
      <c r="M604" s="28"/>
      <c r="N604" s="28"/>
      <c r="O604" s="28"/>
      <c r="P604" s="4"/>
      <c r="Q604" s="28"/>
      <c r="R604" s="28"/>
      <c r="S604" s="28"/>
      <c r="T604" s="4"/>
      <c r="U604" s="4"/>
      <c r="V604" s="4"/>
      <c r="W604" s="4"/>
      <c r="X604" s="4"/>
      <c r="Y604" s="4"/>
      <c r="Z604" s="4"/>
    </row>
    <row r="605" ht="12.75" customHeight="1">
      <c r="A605" s="28"/>
      <c r="B605" s="28"/>
      <c r="C605" s="28"/>
      <c r="D605" s="4"/>
      <c r="E605" s="28"/>
      <c r="F605" s="28"/>
      <c r="G605" s="28"/>
      <c r="H605" s="4"/>
      <c r="I605" s="28"/>
      <c r="J605" s="28"/>
      <c r="K605" s="28"/>
      <c r="L605" s="4"/>
      <c r="M605" s="28"/>
      <c r="N605" s="28"/>
      <c r="O605" s="28"/>
      <c r="P605" s="4"/>
      <c r="Q605" s="28"/>
      <c r="R605" s="28"/>
      <c r="S605" s="28"/>
      <c r="T605" s="4"/>
      <c r="U605" s="4"/>
      <c r="V605" s="4"/>
      <c r="W605" s="4"/>
      <c r="X605" s="4"/>
      <c r="Y605" s="4"/>
      <c r="Z605" s="4"/>
    </row>
    <row r="606" ht="12.75" customHeight="1">
      <c r="A606" s="28"/>
      <c r="B606" s="28"/>
      <c r="C606" s="28"/>
      <c r="D606" s="4"/>
      <c r="E606" s="28"/>
      <c r="F606" s="28"/>
      <c r="G606" s="28"/>
      <c r="H606" s="4"/>
      <c r="I606" s="28"/>
      <c r="J606" s="28"/>
      <c r="K606" s="28"/>
      <c r="L606" s="4"/>
      <c r="M606" s="28"/>
      <c r="N606" s="28"/>
      <c r="O606" s="28"/>
      <c r="P606" s="4"/>
      <c r="Q606" s="28"/>
      <c r="R606" s="28"/>
      <c r="S606" s="28"/>
      <c r="T606" s="4"/>
      <c r="U606" s="4"/>
      <c r="V606" s="4"/>
      <c r="W606" s="4"/>
      <c r="X606" s="4"/>
      <c r="Y606" s="4"/>
      <c r="Z606" s="4"/>
    </row>
    <row r="607" ht="12.75" customHeight="1">
      <c r="A607" s="28"/>
      <c r="B607" s="28"/>
      <c r="C607" s="28"/>
      <c r="D607" s="4"/>
      <c r="E607" s="28"/>
      <c r="F607" s="28"/>
      <c r="G607" s="28"/>
      <c r="H607" s="4"/>
      <c r="I607" s="28"/>
      <c r="J607" s="28"/>
      <c r="K607" s="28"/>
      <c r="L607" s="4"/>
      <c r="M607" s="28"/>
      <c r="N607" s="28"/>
      <c r="O607" s="28"/>
      <c r="P607" s="4"/>
      <c r="Q607" s="28"/>
      <c r="R607" s="28"/>
      <c r="S607" s="28"/>
      <c r="T607" s="4"/>
      <c r="U607" s="4"/>
      <c r="V607" s="4"/>
      <c r="W607" s="4"/>
      <c r="X607" s="4"/>
      <c r="Y607" s="4"/>
      <c r="Z607" s="4"/>
    </row>
    <row r="608" ht="12.75" customHeight="1">
      <c r="A608" s="28"/>
      <c r="B608" s="28"/>
      <c r="C608" s="28"/>
      <c r="D608" s="4"/>
      <c r="E608" s="28"/>
      <c r="F608" s="28"/>
      <c r="G608" s="28"/>
      <c r="H608" s="4"/>
      <c r="I608" s="28"/>
      <c r="J608" s="28"/>
      <c r="K608" s="28"/>
      <c r="L608" s="4"/>
      <c r="M608" s="28"/>
      <c r="N608" s="28"/>
      <c r="O608" s="28"/>
      <c r="P608" s="4"/>
      <c r="Q608" s="28"/>
      <c r="R608" s="28"/>
      <c r="S608" s="28"/>
      <c r="T608" s="4"/>
      <c r="U608" s="4"/>
      <c r="V608" s="4"/>
      <c r="W608" s="4"/>
      <c r="X608" s="4"/>
      <c r="Y608" s="4"/>
      <c r="Z608" s="4"/>
    </row>
    <row r="609" ht="12.75" customHeight="1">
      <c r="A609" s="28"/>
      <c r="B609" s="28"/>
      <c r="C609" s="28"/>
      <c r="D609" s="4"/>
      <c r="E609" s="28"/>
      <c r="F609" s="28"/>
      <c r="G609" s="28"/>
      <c r="H609" s="4"/>
      <c r="I609" s="28"/>
      <c r="J609" s="28"/>
      <c r="K609" s="28"/>
      <c r="L609" s="4"/>
      <c r="M609" s="28"/>
      <c r="N609" s="28"/>
      <c r="O609" s="28"/>
      <c r="P609" s="4"/>
      <c r="Q609" s="28"/>
      <c r="R609" s="28"/>
      <c r="S609" s="28"/>
      <c r="T609" s="4"/>
      <c r="U609" s="4"/>
      <c r="V609" s="4"/>
      <c r="W609" s="4"/>
      <c r="X609" s="4"/>
      <c r="Y609" s="4"/>
      <c r="Z609" s="4"/>
    </row>
    <row r="610" ht="12.75" customHeight="1">
      <c r="A610" s="28"/>
      <c r="B610" s="28"/>
      <c r="C610" s="28"/>
      <c r="D610" s="4"/>
      <c r="E610" s="28"/>
      <c r="F610" s="28"/>
      <c r="G610" s="28"/>
      <c r="H610" s="4"/>
      <c r="I610" s="28"/>
      <c r="J610" s="28"/>
      <c r="K610" s="28"/>
      <c r="L610" s="4"/>
      <c r="M610" s="28"/>
      <c r="N610" s="28"/>
      <c r="O610" s="28"/>
      <c r="P610" s="4"/>
      <c r="Q610" s="28"/>
      <c r="R610" s="28"/>
      <c r="S610" s="28"/>
      <c r="T610" s="4"/>
      <c r="U610" s="4"/>
      <c r="V610" s="4"/>
      <c r="W610" s="4"/>
      <c r="X610" s="4"/>
      <c r="Y610" s="4"/>
      <c r="Z610" s="4"/>
    </row>
    <row r="611" ht="12.75" customHeight="1">
      <c r="A611" s="28"/>
      <c r="B611" s="28"/>
      <c r="C611" s="28"/>
      <c r="D611" s="4"/>
      <c r="E611" s="28"/>
      <c r="F611" s="28"/>
      <c r="G611" s="28"/>
      <c r="H611" s="4"/>
      <c r="I611" s="28"/>
      <c r="J611" s="28"/>
      <c r="K611" s="28"/>
      <c r="L611" s="4"/>
      <c r="M611" s="28"/>
      <c r="N611" s="28"/>
      <c r="O611" s="28"/>
      <c r="P611" s="4"/>
      <c r="Q611" s="28"/>
      <c r="R611" s="28"/>
      <c r="S611" s="28"/>
      <c r="T611" s="4"/>
      <c r="U611" s="4"/>
      <c r="V611" s="4"/>
      <c r="W611" s="4"/>
      <c r="X611" s="4"/>
      <c r="Y611" s="4"/>
      <c r="Z611" s="4"/>
    </row>
    <row r="612" ht="12.75" customHeight="1">
      <c r="A612" s="28"/>
      <c r="B612" s="28"/>
      <c r="C612" s="28"/>
      <c r="D612" s="4"/>
      <c r="E612" s="28"/>
      <c r="F612" s="28"/>
      <c r="G612" s="28"/>
      <c r="H612" s="4"/>
      <c r="I612" s="28"/>
      <c r="J612" s="28"/>
      <c r="K612" s="28"/>
      <c r="L612" s="4"/>
      <c r="M612" s="28"/>
      <c r="N612" s="28"/>
      <c r="O612" s="28"/>
      <c r="P612" s="4"/>
      <c r="Q612" s="28"/>
      <c r="R612" s="28"/>
      <c r="S612" s="28"/>
      <c r="T612" s="4"/>
      <c r="U612" s="4"/>
      <c r="V612" s="4"/>
      <c r="W612" s="4"/>
      <c r="X612" s="4"/>
      <c r="Y612" s="4"/>
      <c r="Z612" s="4"/>
    </row>
    <row r="613" ht="12.75" customHeight="1">
      <c r="A613" s="28"/>
      <c r="B613" s="28"/>
      <c r="C613" s="28"/>
      <c r="D613" s="4"/>
      <c r="E613" s="28"/>
      <c r="F613" s="28"/>
      <c r="G613" s="28"/>
      <c r="H613" s="4"/>
      <c r="I613" s="28"/>
      <c r="J613" s="28"/>
      <c r="K613" s="28"/>
      <c r="L613" s="4"/>
      <c r="M613" s="28"/>
      <c r="N613" s="28"/>
      <c r="O613" s="28"/>
      <c r="P613" s="4"/>
      <c r="Q613" s="28"/>
      <c r="R613" s="28"/>
      <c r="S613" s="28"/>
      <c r="T613" s="4"/>
      <c r="U613" s="4"/>
      <c r="V613" s="4"/>
      <c r="W613" s="4"/>
      <c r="X613" s="4"/>
      <c r="Y613" s="4"/>
      <c r="Z613" s="4"/>
    </row>
    <row r="614" ht="12.75" customHeight="1">
      <c r="A614" s="28"/>
      <c r="B614" s="28"/>
      <c r="C614" s="28"/>
      <c r="D614" s="4"/>
      <c r="E614" s="28"/>
      <c r="F614" s="28"/>
      <c r="G614" s="28"/>
      <c r="H614" s="4"/>
      <c r="I614" s="28"/>
      <c r="J614" s="28"/>
      <c r="K614" s="28"/>
      <c r="L614" s="4"/>
      <c r="M614" s="28"/>
      <c r="N614" s="28"/>
      <c r="O614" s="28"/>
      <c r="P614" s="4"/>
      <c r="Q614" s="28"/>
      <c r="R614" s="28"/>
      <c r="S614" s="28"/>
      <c r="T614" s="4"/>
      <c r="U614" s="4"/>
      <c r="V614" s="4"/>
      <c r="W614" s="4"/>
      <c r="X614" s="4"/>
      <c r="Y614" s="4"/>
      <c r="Z614" s="4"/>
    </row>
    <row r="615" ht="12.75" customHeight="1">
      <c r="A615" s="28"/>
      <c r="B615" s="28"/>
      <c r="C615" s="28"/>
      <c r="D615" s="4"/>
      <c r="E615" s="28"/>
      <c r="F615" s="28"/>
      <c r="G615" s="28"/>
      <c r="H615" s="4"/>
      <c r="I615" s="28"/>
      <c r="J615" s="28"/>
      <c r="K615" s="28"/>
      <c r="L615" s="4"/>
      <c r="M615" s="28"/>
      <c r="N615" s="28"/>
      <c r="O615" s="28"/>
      <c r="P615" s="4"/>
      <c r="Q615" s="28"/>
      <c r="R615" s="28"/>
      <c r="S615" s="28"/>
      <c r="T615" s="4"/>
      <c r="U615" s="4"/>
      <c r="V615" s="4"/>
      <c r="W615" s="4"/>
      <c r="X615" s="4"/>
      <c r="Y615" s="4"/>
      <c r="Z615" s="4"/>
    </row>
    <row r="616" ht="12.75" customHeight="1">
      <c r="A616" s="28"/>
      <c r="B616" s="28"/>
      <c r="C616" s="28"/>
      <c r="D616" s="4"/>
      <c r="E616" s="28"/>
      <c r="F616" s="28"/>
      <c r="G616" s="28"/>
      <c r="H616" s="4"/>
      <c r="I616" s="28"/>
      <c r="J616" s="28"/>
      <c r="K616" s="28"/>
      <c r="L616" s="4"/>
      <c r="M616" s="28"/>
      <c r="N616" s="28"/>
      <c r="O616" s="28"/>
      <c r="P616" s="4"/>
      <c r="Q616" s="28"/>
      <c r="R616" s="28"/>
      <c r="S616" s="28"/>
      <c r="T616" s="4"/>
      <c r="U616" s="4"/>
      <c r="V616" s="4"/>
      <c r="W616" s="4"/>
      <c r="X616" s="4"/>
      <c r="Y616" s="4"/>
      <c r="Z616" s="4"/>
    </row>
    <row r="617" ht="12.75" customHeight="1">
      <c r="A617" s="28"/>
      <c r="B617" s="28"/>
      <c r="C617" s="28"/>
      <c r="D617" s="4"/>
      <c r="E617" s="28"/>
      <c r="F617" s="28"/>
      <c r="G617" s="28"/>
      <c r="H617" s="4"/>
      <c r="I617" s="28"/>
      <c r="J617" s="28"/>
      <c r="K617" s="28"/>
      <c r="L617" s="4"/>
      <c r="M617" s="28"/>
      <c r="N617" s="28"/>
      <c r="O617" s="28"/>
      <c r="P617" s="4"/>
      <c r="Q617" s="28"/>
      <c r="R617" s="28"/>
      <c r="S617" s="28"/>
      <c r="T617" s="4"/>
      <c r="U617" s="4"/>
      <c r="V617" s="4"/>
      <c r="W617" s="4"/>
      <c r="X617" s="4"/>
      <c r="Y617" s="4"/>
      <c r="Z617" s="4"/>
    </row>
    <row r="618" ht="12.75" customHeight="1">
      <c r="A618" s="28"/>
      <c r="B618" s="28"/>
      <c r="C618" s="28"/>
      <c r="D618" s="4"/>
      <c r="E618" s="28"/>
      <c r="F618" s="28"/>
      <c r="G618" s="28"/>
      <c r="H618" s="4"/>
      <c r="I618" s="28"/>
      <c r="J618" s="28"/>
      <c r="K618" s="28"/>
      <c r="L618" s="4"/>
      <c r="M618" s="28"/>
      <c r="N618" s="28"/>
      <c r="O618" s="28"/>
      <c r="P618" s="4"/>
      <c r="Q618" s="28"/>
      <c r="R618" s="28"/>
      <c r="S618" s="28"/>
      <c r="T618" s="4"/>
      <c r="U618" s="4"/>
      <c r="V618" s="4"/>
      <c r="W618" s="4"/>
      <c r="X618" s="4"/>
      <c r="Y618" s="4"/>
      <c r="Z618" s="4"/>
    </row>
    <row r="619" ht="12.75" customHeight="1">
      <c r="A619" s="28"/>
      <c r="B619" s="28"/>
      <c r="C619" s="28"/>
      <c r="D619" s="4"/>
      <c r="E619" s="28"/>
      <c r="F619" s="28"/>
      <c r="G619" s="28"/>
      <c r="H619" s="4"/>
      <c r="I619" s="28"/>
      <c r="J619" s="28"/>
      <c r="K619" s="28"/>
      <c r="L619" s="4"/>
      <c r="M619" s="28"/>
      <c r="N619" s="28"/>
      <c r="O619" s="28"/>
      <c r="P619" s="4"/>
      <c r="Q619" s="28"/>
      <c r="R619" s="28"/>
      <c r="S619" s="28"/>
      <c r="T619" s="4"/>
      <c r="U619" s="4"/>
      <c r="V619" s="4"/>
      <c r="W619" s="4"/>
      <c r="X619" s="4"/>
      <c r="Y619" s="4"/>
      <c r="Z619" s="4"/>
    </row>
    <row r="620" ht="12.75" customHeight="1">
      <c r="A620" s="28"/>
      <c r="B620" s="28"/>
      <c r="C620" s="28"/>
      <c r="D620" s="4"/>
      <c r="E620" s="28"/>
      <c r="F620" s="28"/>
      <c r="G620" s="28"/>
      <c r="H620" s="4"/>
      <c r="I620" s="28"/>
      <c r="J620" s="28"/>
      <c r="K620" s="28"/>
      <c r="L620" s="4"/>
      <c r="M620" s="28"/>
      <c r="N620" s="28"/>
      <c r="O620" s="28"/>
      <c r="P620" s="4"/>
      <c r="Q620" s="28"/>
      <c r="R620" s="28"/>
      <c r="S620" s="28"/>
      <c r="T620" s="4"/>
      <c r="U620" s="4"/>
      <c r="V620" s="4"/>
      <c r="W620" s="4"/>
      <c r="X620" s="4"/>
      <c r="Y620" s="4"/>
      <c r="Z620" s="4"/>
    </row>
    <row r="621" ht="12.75" customHeight="1">
      <c r="A621" s="28"/>
      <c r="B621" s="28"/>
      <c r="C621" s="28"/>
      <c r="D621" s="4"/>
      <c r="E621" s="28"/>
      <c r="F621" s="28"/>
      <c r="G621" s="28"/>
      <c r="H621" s="4"/>
      <c r="I621" s="28"/>
      <c r="J621" s="28"/>
      <c r="K621" s="28"/>
      <c r="L621" s="4"/>
      <c r="M621" s="28"/>
      <c r="N621" s="28"/>
      <c r="O621" s="28"/>
      <c r="P621" s="4"/>
      <c r="Q621" s="28"/>
      <c r="R621" s="28"/>
      <c r="S621" s="28"/>
      <c r="T621" s="4"/>
      <c r="U621" s="4"/>
      <c r="V621" s="4"/>
      <c r="W621" s="4"/>
      <c r="X621" s="4"/>
      <c r="Y621" s="4"/>
      <c r="Z621" s="4"/>
    </row>
    <row r="622" ht="12.75" customHeight="1">
      <c r="A622" s="28"/>
      <c r="B622" s="28"/>
      <c r="C622" s="28"/>
      <c r="D622" s="4"/>
      <c r="E622" s="28"/>
      <c r="F622" s="28"/>
      <c r="G622" s="28"/>
      <c r="H622" s="4"/>
      <c r="I622" s="28"/>
      <c r="J622" s="28"/>
      <c r="K622" s="28"/>
      <c r="L622" s="4"/>
      <c r="M622" s="28"/>
      <c r="N622" s="28"/>
      <c r="O622" s="28"/>
      <c r="P622" s="4"/>
      <c r="Q622" s="28"/>
      <c r="R622" s="28"/>
      <c r="S622" s="28"/>
      <c r="T622" s="4"/>
      <c r="U622" s="4"/>
      <c r="V622" s="4"/>
      <c r="W622" s="4"/>
      <c r="X622" s="4"/>
      <c r="Y622" s="4"/>
      <c r="Z622" s="4"/>
    </row>
    <row r="623" ht="12.75" customHeight="1">
      <c r="A623" s="28"/>
      <c r="B623" s="28"/>
      <c r="C623" s="28"/>
      <c r="D623" s="4"/>
      <c r="E623" s="28"/>
      <c r="F623" s="28"/>
      <c r="G623" s="28"/>
      <c r="H623" s="4"/>
      <c r="I623" s="28"/>
      <c r="J623" s="28"/>
      <c r="K623" s="28"/>
      <c r="L623" s="4"/>
      <c r="M623" s="28"/>
      <c r="N623" s="28"/>
      <c r="O623" s="28"/>
      <c r="P623" s="4"/>
      <c r="Q623" s="28"/>
      <c r="R623" s="28"/>
      <c r="S623" s="28"/>
      <c r="T623" s="4"/>
      <c r="U623" s="4"/>
      <c r="V623" s="4"/>
      <c r="W623" s="4"/>
      <c r="X623" s="4"/>
      <c r="Y623" s="4"/>
      <c r="Z623" s="4"/>
    </row>
    <row r="624" ht="12.75" customHeight="1">
      <c r="A624" s="28"/>
      <c r="B624" s="28"/>
      <c r="C624" s="28"/>
      <c r="D624" s="4"/>
      <c r="E624" s="28"/>
      <c r="F624" s="28"/>
      <c r="G624" s="28"/>
      <c r="H624" s="4"/>
      <c r="I624" s="28"/>
      <c r="J624" s="28"/>
      <c r="K624" s="28"/>
      <c r="L624" s="4"/>
      <c r="M624" s="28"/>
      <c r="N624" s="28"/>
      <c r="O624" s="28"/>
      <c r="P624" s="4"/>
      <c r="Q624" s="28"/>
      <c r="R624" s="28"/>
      <c r="S624" s="28"/>
      <c r="T624" s="4"/>
      <c r="U624" s="4"/>
      <c r="V624" s="4"/>
      <c r="W624" s="4"/>
      <c r="X624" s="4"/>
      <c r="Y624" s="4"/>
      <c r="Z624" s="4"/>
    </row>
    <row r="625" ht="12.75" customHeight="1">
      <c r="A625" s="28"/>
      <c r="B625" s="28"/>
      <c r="C625" s="28"/>
      <c r="D625" s="4"/>
      <c r="E625" s="28"/>
      <c r="F625" s="28"/>
      <c r="G625" s="28"/>
      <c r="H625" s="4"/>
      <c r="I625" s="28"/>
      <c r="J625" s="28"/>
      <c r="K625" s="28"/>
      <c r="L625" s="4"/>
      <c r="M625" s="28"/>
      <c r="N625" s="28"/>
      <c r="O625" s="28"/>
      <c r="P625" s="4"/>
      <c r="Q625" s="28"/>
      <c r="R625" s="28"/>
      <c r="S625" s="28"/>
      <c r="T625" s="4"/>
      <c r="U625" s="4"/>
      <c r="V625" s="4"/>
      <c r="W625" s="4"/>
      <c r="X625" s="4"/>
      <c r="Y625" s="4"/>
      <c r="Z625" s="4"/>
    </row>
    <row r="626" ht="12.75" customHeight="1">
      <c r="A626" s="28"/>
      <c r="B626" s="28"/>
      <c r="C626" s="28"/>
      <c r="D626" s="4"/>
      <c r="E626" s="28"/>
      <c r="F626" s="28"/>
      <c r="G626" s="28"/>
      <c r="H626" s="4"/>
      <c r="I626" s="28"/>
      <c r="J626" s="28"/>
      <c r="K626" s="28"/>
      <c r="L626" s="4"/>
      <c r="M626" s="28"/>
      <c r="N626" s="28"/>
      <c r="O626" s="28"/>
      <c r="P626" s="4"/>
      <c r="Q626" s="28"/>
      <c r="R626" s="28"/>
      <c r="S626" s="28"/>
      <c r="T626" s="4"/>
      <c r="U626" s="4"/>
      <c r="V626" s="4"/>
      <c r="W626" s="4"/>
      <c r="X626" s="4"/>
      <c r="Y626" s="4"/>
      <c r="Z626" s="4"/>
    </row>
    <row r="627" ht="12.75" customHeight="1">
      <c r="A627" s="28"/>
      <c r="B627" s="28"/>
      <c r="C627" s="28"/>
      <c r="D627" s="4"/>
      <c r="E627" s="28"/>
      <c r="F627" s="28"/>
      <c r="G627" s="28"/>
      <c r="H627" s="4"/>
      <c r="I627" s="28"/>
      <c r="J627" s="28"/>
      <c r="K627" s="28"/>
      <c r="L627" s="4"/>
      <c r="M627" s="28"/>
      <c r="N627" s="28"/>
      <c r="O627" s="28"/>
      <c r="P627" s="4"/>
      <c r="Q627" s="28"/>
      <c r="R627" s="28"/>
      <c r="S627" s="28"/>
      <c r="T627" s="4"/>
      <c r="U627" s="4"/>
      <c r="V627" s="4"/>
      <c r="W627" s="4"/>
      <c r="X627" s="4"/>
      <c r="Y627" s="4"/>
      <c r="Z627" s="4"/>
    </row>
    <row r="628" ht="12.75" customHeight="1">
      <c r="A628" s="28"/>
      <c r="B628" s="28"/>
      <c r="C628" s="28"/>
      <c r="D628" s="4"/>
      <c r="E628" s="28"/>
      <c r="F628" s="28"/>
      <c r="G628" s="28"/>
      <c r="H628" s="4"/>
      <c r="I628" s="28"/>
      <c r="J628" s="28"/>
      <c r="K628" s="28"/>
      <c r="L628" s="4"/>
      <c r="M628" s="28"/>
      <c r="N628" s="28"/>
      <c r="O628" s="28"/>
      <c r="P628" s="4"/>
      <c r="Q628" s="28"/>
      <c r="R628" s="28"/>
      <c r="S628" s="28"/>
      <c r="T628" s="4"/>
      <c r="U628" s="4"/>
      <c r="V628" s="4"/>
      <c r="W628" s="4"/>
      <c r="X628" s="4"/>
      <c r="Y628" s="4"/>
      <c r="Z628" s="4"/>
    </row>
    <row r="629" ht="12.75" customHeight="1">
      <c r="A629" s="28"/>
      <c r="B629" s="28"/>
      <c r="C629" s="28"/>
      <c r="D629" s="4"/>
      <c r="E629" s="28"/>
      <c r="F629" s="28"/>
      <c r="G629" s="28"/>
      <c r="H629" s="4"/>
      <c r="I629" s="28"/>
      <c r="J629" s="28"/>
      <c r="K629" s="28"/>
      <c r="L629" s="4"/>
      <c r="M629" s="28"/>
      <c r="N629" s="28"/>
      <c r="O629" s="28"/>
      <c r="P629" s="4"/>
      <c r="Q629" s="28"/>
      <c r="R629" s="28"/>
      <c r="S629" s="28"/>
      <c r="T629" s="4"/>
      <c r="U629" s="4"/>
      <c r="V629" s="4"/>
      <c r="W629" s="4"/>
      <c r="X629" s="4"/>
      <c r="Y629" s="4"/>
      <c r="Z629" s="4"/>
    </row>
    <row r="630" ht="12.75" customHeight="1">
      <c r="A630" s="28"/>
      <c r="B630" s="28"/>
      <c r="C630" s="28"/>
      <c r="D630" s="4"/>
      <c r="E630" s="28"/>
      <c r="F630" s="28"/>
      <c r="G630" s="28"/>
      <c r="H630" s="4"/>
      <c r="I630" s="28"/>
      <c r="J630" s="28"/>
      <c r="K630" s="28"/>
      <c r="L630" s="4"/>
      <c r="M630" s="28"/>
      <c r="N630" s="28"/>
      <c r="O630" s="28"/>
      <c r="P630" s="4"/>
      <c r="Q630" s="28"/>
      <c r="R630" s="28"/>
      <c r="S630" s="28"/>
      <c r="T630" s="4"/>
      <c r="U630" s="4"/>
      <c r="V630" s="4"/>
      <c r="W630" s="4"/>
      <c r="X630" s="4"/>
      <c r="Y630" s="4"/>
      <c r="Z630" s="4"/>
    </row>
    <row r="631" ht="12.75" customHeight="1">
      <c r="A631" s="28"/>
      <c r="B631" s="28"/>
      <c r="C631" s="28"/>
      <c r="D631" s="4"/>
      <c r="E631" s="28"/>
      <c r="F631" s="28"/>
      <c r="G631" s="28"/>
      <c r="H631" s="4"/>
      <c r="I631" s="28"/>
      <c r="J631" s="28"/>
      <c r="K631" s="28"/>
      <c r="L631" s="4"/>
      <c r="M631" s="28"/>
      <c r="N631" s="28"/>
      <c r="O631" s="28"/>
      <c r="P631" s="4"/>
      <c r="Q631" s="28"/>
      <c r="R631" s="28"/>
      <c r="S631" s="28"/>
      <c r="T631" s="4"/>
      <c r="U631" s="4"/>
      <c r="V631" s="4"/>
      <c r="W631" s="4"/>
      <c r="X631" s="4"/>
      <c r="Y631" s="4"/>
      <c r="Z631" s="4"/>
    </row>
    <row r="632" ht="12.75" customHeight="1">
      <c r="A632" s="28"/>
      <c r="B632" s="28"/>
      <c r="C632" s="28"/>
      <c r="D632" s="4"/>
      <c r="E632" s="28"/>
      <c r="F632" s="28"/>
      <c r="G632" s="28"/>
      <c r="H632" s="4"/>
      <c r="I632" s="28"/>
      <c r="J632" s="28"/>
      <c r="K632" s="28"/>
      <c r="L632" s="4"/>
      <c r="M632" s="28"/>
      <c r="N632" s="28"/>
      <c r="O632" s="28"/>
      <c r="P632" s="4"/>
      <c r="Q632" s="28"/>
      <c r="R632" s="28"/>
      <c r="S632" s="28"/>
      <c r="T632" s="4"/>
      <c r="U632" s="4"/>
      <c r="V632" s="4"/>
      <c r="W632" s="4"/>
      <c r="X632" s="4"/>
      <c r="Y632" s="4"/>
      <c r="Z632" s="4"/>
    </row>
    <row r="633" ht="12.75" customHeight="1">
      <c r="A633" s="28"/>
      <c r="B633" s="28"/>
      <c r="C633" s="28"/>
      <c r="D633" s="4"/>
      <c r="E633" s="28"/>
      <c r="F633" s="28"/>
      <c r="G633" s="28"/>
      <c r="H633" s="4"/>
      <c r="I633" s="28"/>
      <c r="J633" s="28"/>
      <c r="K633" s="28"/>
      <c r="L633" s="4"/>
      <c r="M633" s="28"/>
      <c r="N633" s="28"/>
      <c r="O633" s="28"/>
      <c r="P633" s="4"/>
      <c r="Q633" s="28"/>
      <c r="R633" s="28"/>
      <c r="S633" s="28"/>
      <c r="T633" s="4"/>
      <c r="U633" s="4"/>
      <c r="V633" s="4"/>
      <c r="W633" s="4"/>
      <c r="X633" s="4"/>
      <c r="Y633" s="4"/>
      <c r="Z633" s="4"/>
    </row>
    <row r="634" ht="12.75" customHeight="1">
      <c r="A634" s="28"/>
      <c r="B634" s="28"/>
      <c r="C634" s="28"/>
      <c r="D634" s="4"/>
      <c r="E634" s="28"/>
      <c r="F634" s="28"/>
      <c r="G634" s="28"/>
      <c r="H634" s="4"/>
      <c r="I634" s="28"/>
      <c r="J634" s="28"/>
      <c r="K634" s="28"/>
      <c r="L634" s="4"/>
      <c r="M634" s="28"/>
      <c r="N634" s="28"/>
      <c r="O634" s="28"/>
      <c r="P634" s="4"/>
      <c r="Q634" s="28"/>
      <c r="R634" s="28"/>
      <c r="S634" s="28"/>
      <c r="T634" s="4"/>
      <c r="U634" s="4"/>
      <c r="V634" s="4"/>
      <c r="W634" s="4"/>
      <c r="X634" s="4"/>
      <c r="Y634" s="4"/>
      <c r="Z634" s="4"/>
    </row>
    <row r="635" ht="12.75" customHeight="1">
      <c r="A635" s="28"/>
      <c r="B635" s="28"/>
      <c r="C635" s="28"/>
      <c r="D635" s="4"/>
      <c r="E635" s="28"/>
      <c r="F635" s="28"/>
      <c r="G635" s="28"/>
      <c r="H635" s="4"/>
      <c r="I635" s="28"/>
      <c r="J635" s="28"/>
      <c r="K635" s="28"/>
      <c r="L635" s="4"/>
      <c r="M635" s="28"/>
      <c r="N635" s="28"/>
      <c r="O635" s="28"/>
      <c r="P635" s="4"/>
      <c r="Q635" s="28"/>
      <c r="R635" s="28"/>
      <c r="S635" s="28"/>
      <c r="T635" s="4"/>
      <c r="U635" s="4"/>
      <c r="V635" s="4"/>
      <c r="W635" s="4"/>
      <c r="X635" s="4"/>
      <c r="Y635" s="4"/>
      <c r="Z635" s="4"/>
    </row>
    <row r="636" ht="12.75" customHeight="1">
      <c r="A636" s="28"/>
      <c r="B636" s="28"/>
      <c r="C636" s="28"/>
      <c r="D636" s="4"/>
      <c r="E636" s="28"/>
      <c r="F636" s="28"/>
      <c r="G636" s="28"/>
      <c r="H636" s="4"/>
      <c r="I636" s="28"/>
      <c r="J636" s="28"/>
      <c r="K636" s="28"/>
      <c r="L636" s="4"/>
      <c r="M636" s="28"/>
      <c r="N636" s="28"/>
      <c r="O636" s="28"/>
      <c r="P636" s="4"/>
      <c r="Q636" s="28"/>
      <c r="R636" s="28"/>
      <c r="S636" s="28"/>
      <c r="T636" s="4"/>
      <c r="U636" s="4"/>
      <c r="V636" s="4"/>
      <c r="W636" s="4"/>
      <c r="X636" s="4"/>
      <c r="Y636" s="4"/>
      <c r="Z636" s="4"/>
    </row>
    <row r="637" ht="12.75" customHeight="1">
      <c r="A637" s="28"/>
      <c r="B637" s="28"/>
      <c r="C637" s="28"/>
      <c r="D637" s="4"/>
      <c r="E637" s="28"/>
      <c r="F637" s="28"/>
      <c r="G637" s="28"/>
      <c r="H637" s="4"/>
      <c r="I637" s="28"/>
      <c r="J637" s="28"/>
      <c r="K637" s="28"/>
      <c r="L637" s="4"/>
      <c r="M637" s="28"/>
      <c r="N637" s="28"/>
      <c r="O637" s="28"/>
      <c r="P637" s="4"/>
      <c r="Q637" s="28"/>
      <c r="R637" s="28"/>
      <c r="S637" s="28"/>
      <c r="T637" s="4"/>
      <c r="U637" s="4"/>
      <c r="V637" s="4"/>
      <c r="W637" s="4"/>
      <c r="X637" s="4"/>
      <c r="Y637" s="4"/>
      <c r="Z637" s="4"/>
    </row>
    <row r="638" ht="12.75" customHeight="1">
      <c r="A638" s="28"/>
      <c r="B638" s="28"/>
      <c r="C638" s="28"/>
      <c r="D638" s="4"/>
      <c r="E638" s="28"/>
      <c r="F638" s="28"/>
      <c r="G638" s="28"/>
      <c r="H638" s="4"/>
      <c r="I638" s="28"/>
      <c r="J638" s="28"/>
      <c r="K638" s="28"/>
      <c r="L638" s="4"/>
      <c r="M638" s="28"/>
      <c r="N638" s="28"/>
      <c r="O638" s="28"/>
      <c r="P638" s="4"/>
      <c r="Q638" s="28"/>
      <c r="R638" s="28"/>
      <c r="S638" s="28"/>
      <c r="T638" s="4"/>
      <c r="U638" s="4"/>
      <c r="V638" s="4"/>
      <c r="W638" s="4"/>
      <c r="X638" s="4"/>
      <c r="Y638" s="4"/>
      <c r="Z638" s="4"/>
    </row>
    <row r="639" ht="12.75" customHeight="1">
      <c r="A639" s="28"/>
      <c r="B639" s="28"/>
      <c r="C639" s="28"/>
      <c r="D639" s="4"/>
      <c r="E639" s="28"/>
      <c r="F639" s="28"/>
      <c r="G639" s="28"/>
      <c r="H639" s="4"/>
      <c r="I639" s="28"/>
      <c r="J639" s="28"/>
      <c r="K639" s="28"/>
      <c r="L639" s="4"/>
      <c r="M639" s="28"/>
      <c r="N639" s="28"/>
      <c r="O639" s="28"/>
      <c r="P639" s="4"/>
      <c r="Q639" s="28"/>
      <c r="R639" s="28"/>
      <c r="S639" s="28"/>
      <c r="T639" s="4"/>
      <c r="U639" s="4"/>
      <c r="V639" s="4"/>
      <c r="W639" s="4"/>
      <c r="X639" s="4"/>
      <c r="Y639" s="4"/>
      <c r="Z639" s="4"/>
    </row>
    <row r="640" ht="12.75" customHeight="1">
      <c r="A640" s="28"/>
      <c r="B640" s="28"/>
      <c r="C640" s="28"/>
      <c r="D640" s="4"/>
      <c r="E640" s="28"/>
      <c r="F640" s="28"/>
      <c r="G640" s="28"/>
      <c r="H640" s="4"/>
      <c r="I640" s="28"/>
      <c r="J640" s="28"/>
      <c r="K640" s="28"/>
      <c r="L640" s="4"/>
      <c r="M640" s="28"/>
      <c r="N640" s="28"/>
      <c r="O640" s="28"/>
      <c r="P640" s="4"/>
      <c r="Q640" s="28"/>
      <c r="R640" s="28"/>
      <c r="S640" s="28"/>
      <c r="T640" s="4"/>
      <c r="U640" s="4"/>
      <c r="V640" s="4"/>
      <c r="W640" s="4"/>
      <c r="X640" s="4"/>
      <c r="Y640" s="4"/>
      <c r="Z640" s="4"/>
    </row>
    <row r="641" ht="12.75" customHeight="1">
      <c r="A641" s="28"/>
      <c r="B641" s="28"/>
      <c r="C641" s="28"/>
      <c r="D641" s="4"/>
      <c r="E641" s="28"/>
      <c r="F641" s="28"/>
      <c r="G641" s="28"/>
      <c r="H641" s="4"/>
      <c r="I641" s="28"/>
      <c r="J641" s="28"/>
      <c r="K641" s="28"/>
      <c r="L641" s="4"/>
      <c r="M641" s="28"/>
      <c r="N641" s="28"/>
      <c r="O641" s="28"/>
      <c r="P641" s="4"/>
      <c r="Q641" s="28"/>
      <c r="R641" s="28"/>
      <c r="S641" s="28"/>
      <c r="T641" s="4"/>
      <c r="U641" s="4"/>
      <c r="V641" s="4"/>
      <c r="W641" s="4"/>
      <c r="X641" s="4"/>
      <c r="Y641" s="4"/>
      <c r="Z641" s="4"/>
    </row>
    <row r="642" ht="12.75" customHeight="1">
      <c r="A642" s="28"/>
      <c r="B642" s="28"/>
      <c r="C642" s="28"/>
      <c r="D642" s="4"/>
      <c r="E642" s="28"/>
      <c r="F642" s="28"/>
      <c r="G642" s="28"/>
      <c r="H642" s="4"/>
      <c r="I642" s="28"/>
      <c r="J642" s="28"/>
      <c r="K642" s="28"/>
      <c r="L642" s="4"/>
      <c r="M642" s="28"/>
      <c r="N642" s="28"/>
      <c r="O642" s="28"/>
      <c r="P642" s="4"/>
      <c r="Q642" s="28"/>
      <c r="R642" s="28"/>
      <c r="S642" s="28"/>
      <c r="T642" s="4"/>
      <c r="U642" s="4"/>
      <c r="V642" s="4"/>
      <c r="W642" s="4"/>
      <c r="X642" s="4"/>
      <c r="Y642" s="4"/>
      <c r="Z642" s="4"/>
    </row>
    <row r="643" ht="12.75" customHeight="1">
      <c r="A643" s="28"/>
      <c r="B643" s="28"/>
      <c r="C643" s="28"/>
      <c r="D643" s="4"/>
      <c r="E643" s="28"/>
      <c r="F643" s="28"/>
      <c r="G643" s="28"/>
      <c r="H643" s="4"/>
      <c r="I643" s="28"/>
      <c r="J643" s="28"/>
      <c r="K643" s="28"/>
      <c r="L643" s="4"/>
      <c r="M643" s="28"/>
      <c r="N643" s="28"/>
      <c r="O643" s="28"/>
      <c r="P643" s="4"/>
      <c r="Q643" s="28"/>
      <c r="R643" s="28"/>
      <c r="S643" s="28"/>
      <c r="T643" s="4"/>
      <c r="U643" s="4"/>
      <c r="V643" s="4"/>
      <c r="W643" s="4"/>
      <c r="X643" s="4"/>
      <c r="Y643" s="4"/>
      <c r="Z643" s="4"/>
    </row>
    <row r="644" ht="12.75" customHeight="1">
      <c r="A644" s="28"/>
      <c r="B644" s="28"/>
      <c r="C644" s="28"/>
      <c r="D644" s="4"/>
      <c r="E644" s="28"/>
      <c r="F644" s="28"/>
      <c r="G644" s="28"/>
      <c r="H644" s="4"/>
      <c r="I644" s="28"/>
      <c r="J644" s="28"/>
      <c r="K644" s="28"/>
      <c r="L644" s="4"/>
      <c r="M644" s="28"/>
      <c r="N644" s="28"/>
      <c r="O644" s="28"/>
      <c r="P644" s="4"/>
      <c r="Q644" s="28"/>
      <c r="R644" s="28"/>
      <c r="S644" s="28"/>
      <c r="T644" s="4"/>
      <c r="U644" s="4"/>
      <c r="V644" s="4"/>
      <c r="W644" s="4"/>
      <c r="X644" s="4"/>
      <c r="Y644" s="4"/>
      <c r="Z644" s="4"/>
    </row>
    <row r="645" ht="12.75" customHeight="1">
      <c r="A645" s="28"/>
      <c r="B645" s="28"/>
      <c r="C645" s="28"/>
      <c r="D645" s="4"/>
      <c r="E645" s="28"/>
      <c r="F645" s="28"/>
      <c r="G645" s="28"/>
      <c r="H645" s="4"/>
      <c r="I645" s="28"/>
      <c r="J645" s="28"/>
      <c r="K645" s="28"/>
      <c r="L645" s="4"/>
      <c r="M645" s="28"/>
      <c r="N645" s="28"/>
      <c r="O645" s="28"/>
      <c r="P645" s="4"/>
      <c r="Q645" s="28"/>
      <c r="R645" s="28"/>
      <c r="S645" s="28"/>
      <c r="T645" s="4"/>
      <c r="U645" s="4"/>
      <c r="V645" s="4"/>
      <c r="W645" s="4"/>
      <c r="X645" s="4"/>
      <c r="Y645" s="4"/>
      <c r="Z645" s="4"/>
    </row>
    <row r="646" ht="12.75" customHeight="1">
      <c r="A646" s="28"/>
      <c r="B646" s="28"/>
      <c r="C646" s="28"/>
      <c r="D646" s="4"/>
      <c r="E646" s="28"/>
      <c r="F646" s="28"/>
      <c r="G646" s="28"/>
      <c r="H646" s="4"/>
      <c r="I646" s="28"/>
      <c r="J646" s="28"/>
      <c r="K646" s="28"/>
      <c r="L646" s="4"/>
      <c r="M646" s="28"/>
      <c r="N646" s="28"/>
      <c r="O646" s="28"/>
      <c r="P646" s="4"/>
      <c r="Q646" s="28"/>
      <c r="R646" s="28"/>
      <c r="S646" s="28"/>
      <c r="T646" s="4"/>
      <c r="U646" s="4"/>
      <c r="V646" s="4"/>
      <c r="W646" s="4"/>
      <c r="X646" s="4"/>
      <c r="Y646" s="4"/>
      <c r="Z646" s="4"/>
    </row>
    <row r="647" ht="12.75" customHeight="1">
      <c r="A647" s="28"/>
      <c r="B647" s="28"/>
      <c r="C647" s="28"/>
      <c r="D647" s="4"/>
      <c r="E647" s="28"/>
      <c r="F647" s="28"/>
      <c r="G647" s="28"/>
      <c r="H647" s="4"/>
      <c r="I647" s="28"/>
      <c r="J647" s="28"/>
      <c r="K647" s="28"/>
      <c r="L647" s="4"/>
      <c r="M647" s="28"/>
      <c r="N647" s="28"/>
      <c r="O647" s="28"/>
      <c r="P647" s="4"/>
      <c r="Q647" s="28"/>
      <c r="R647" s="28"/>
      <c r="S647" s="28"/>
      <c r="T647" s="4"/>
      <c r="U647" s="4"/>
      <c r="V647" s="4"/>
      <c r="W647" s="4"/>
      <c r="X647" s="4"/>
      <c r="Y647" s="4"/>
      <c r="Z647" s="4"/>
    </row>
    <row r="648" ht="12.75" customHeight="1">
      <c r="A648" s="28"/>
      <c r="B648" s="28"/>
      <c r="C648" s="28"/>
      <c r="D648" s="4"/>
      <c r="E648" s="28"/>
      <c r="F648" s="28"/>
      <c r="G648" s="28"/>
      <c r="H648" s="4"/>
      <c r="I648" s="28"/>
      <c r="J648" s="28"/>
      <c r="K648" s="28"/>
      <c r="L648" s="4"/>
      <c r="M648" s="28"/>
      <c r="N648" s="28"/>
      <c r="O648" s="28"/>
      <c r="P648" s="4"/>
      <c r="Q648" s="28"/>
      <c r="R648" s="28"/>
      <c r="S648" s="28"/>
      <c r="T648" s="4"/>
      <c r="U648" s="4"/>
      <c r="V648" s="4"/>
      <c r="W648" s="4"/>
      <c r="X648" s="4"/>
      <c r="Y648" s="4"/>
      <c r="Z648" s="4"/>
    </row>
    <row r="649" ht="12.75" customHeight="1">
      <c r="A649" s="28"/>
      <c r="B649" s="28"/>
      <c r="C649" s="28"/>
      <c r="D649" s="4"/>
      <c r="E649" s="28"/>
      <c r="F649" s="28"/>
      <c r="G649" s="28"/>
      <c r="H649" s="4"/>
      <c r="I649" s="28"/>
      <c r="J649" s="28"/>
      <c r="K649" s="28"/>
      <c r="L649" s="4"/>
      <c r="M649" s="28"/>
      <c r="N649" s="28"/>
      <c r="O649" s="28"/>
      <c r="P649" s="4"/>
      <c r="Q649" s="28"/>
      <c r="R649" s="28"/>
      <c r="S649" s="28"/>
      <c r="T649" s="4"/>
      <c r="U649" s="4"/>
      <c r="V649" s="4"/>
      <c r="W649" s="4"/>
      <c r="X649" s="4"/>
      <c r="Y649" s="4"/>
      <c r="Z649" s="4"/>
    </row>
    <row r="650" ht="12.75" customHeight="1">
      <c r="A650" s="28"/>
      <c r="B650" s="28"/>
      <c r="C650" s="28"/>
      <c r="D650" s="4"/>
      <c r="E650" s="28"/>
      <c r="F650" s="28"/>
      <c r="G650" s="28"/>
      <c r="H650" s="4"/>
      <c r="I650" s="28"/>
      <c r="J650" s="28"/>
      <c r="K650" s="28"/>
      <c r="L650" s="4"/>
      <c r="M650" s="28"/>
      <c r="N650" s="28"/>
      <c r="O650" s="28"/>
      <c r="P650" s="4"/>
      <c r="Q650" s="28"/>
      <c r="R650" s="28"/>
      <c r="S650" s="28"/>
      <c r="T650" s="4"/>
      <c r="U650" s="4"/>
      <c r="V650" s="4"/>
      <c r="W650" s="4"/>
      <c r="X650" s="4"/>
      <c r="Y650" s="4"/>
      <c r="Z650" s="4"/>
    </row>
    <row r="651" ht="12.75" customHeight="1">
      <c r="A651" s="28"/>
      <c r="B651" s="28"/>
      <c r="C651" s="28"/>
      <c r="D651" s="4"/>
      <c r="E651" s="28"/>
      <c r="F651" s="28"/>
      <c r="G651" s="28"/>
      <c r="H651" s="4"/>
      <c r="I651" s="28"/>
      <c r="J651" s="28"/>
      <c r="K651" s="28"/>
      <c r="L651" s="4"/>
      <c r="M651" s="28"/>
      <c r="N651" s="28"/>
      <c r="O651" s="28"/>
      <c r="P651" s="4"/>
      <c r="Q651" s="28"/>
      <c r="R651" s="28"/>
      <c r="S651" s="28"/>
      <c r="T651" s="4"/>
      <c r="U651" s="4"/>
      <c r="V651" s="4"/>
      <c r="W651" s="4"/>
      <c r="X651" s="4"/>
      <c r="Y651" s="4"/>
      <c r="Z651" s="4"/>
    </row>
    <row r="652" ht="12.75" customHeight="1">
      <c r="A652" s="28"/>
      <c r="B652" s="28"/>
      <c r="C652" s="28"/>
      <c r="D652" s="4"/>
      <c r="E652" s="28"/>
      <c r="F652" s="28"/>
      <c r="G652" s="28"/>
      <c r="H652" s="4"/>
      <c r="I652" s="28"/>
      <c r="J652" s="28"/>
      <c r="K652" s="28"/>
      <c r="L652" s="4"/>
      <c r="M652" s="28"/>
      <c r="N652" s="28"/>
      <c r="O652" s="28"/>
      <c r="P652" s="4"/>
      <c r="Q652" s="28"/>
      <c r="R652" s="28"/>
      <c r="S652" s="28"/>
      <c r="T652" s="4"/>
      <c r="U652" s="4"/>
      <c r="V652" s="4"/>
      <c r="W652" s="4"/>
      <c r="X652" s="4"/>
      <c r="Y652" s="4"/>
      <c r="Z652" s="4"/>
    </row>
    <row r="653" ht="12.75" customHeight="1">
      <c r="A653" s="28"/>
      <c r="B653" s="28"/>
      <c r="C653" s="28"/>
      <c r="D653" s="4"/>
      <c r="E653" s="28"/>
      <c r="F653" s="28"/>
      <c r="G653" s="28"/>
      <c r="H653" s="4"/>
      <c r="I653" s="28"/>
      <c r="J653" s="28"/>
      <c r="K653" s="28"/>
      <c r="L653" s="4"/>
      <c r="M653" s="28"/>
      <c r="N653" s="28"/>
      <c r="O653" s="28"/>
      <c r="P653" s="4"/>
      <c r="Q653" s="28"/>
      <c r="R653" s="28"/>
      <c r="S653" s="28"/>
      <c r="T653" s="4"/>
      <c r="U653" s="4"/>
      <c r="V653" s="4"/>
      <c r="W653" s="4"/>
      <c r="X653" s="4"/>
      <c r="Y653" s="4"/>
      <c r="Z653" s="4"/>
    </row>
    <row r="654" ht="12.75" customHeight="1">
      <c r="A654" s="28"/>
      <c r="B654" s="28"/>
      <c r="C654" s="28"/>
      <c r="D654" s="4"/>
      <c r="E654" s="28"/>
      <c r="F654" s="28"/>
      <c r="G654" s="28"/>
      <c r="H654" s="4"/>
      <c r="I654" s="28"/>
      <c r="J654" s="28"/>
      <c r="K654" s="28"/>
      <c r="L654" s="4"/>
      <c r="M654" s="28"/>
      <c r="N654" s="28"/>
      <c r="O654" s="28"/>
      <c r="P654" s="4"/>
      <c r="Q654" s="28"/>
      <c r="R654" s="28"/>
      <c r="S654" s="28"/>
      <c r="T654" s="4"/>
      <c r="U654" s="4"/>
      <c r="V654" s="4"/>
      <c r="W654" s="4"/>
      <c r="X654" s="4"/>
      <c r="Y654" s="4"/>
      <c r="Z654" s="4"/>
    </row>
    <row r="655" ht="12.75" customHeight="1">
      <c r="A655" s="28"/>
      <c r="B655" s="28"/>
      <c r="C655" s="28"/>
      <c r="D655" s="4"/>
      <c r="E655" s="28"/>
      <c r="F655" s="28"/>
      <c r="G655" s="28"/>
      <c r="H655" s="4"/>
      <c r="I655" s="28"/>
      <c r="J655" s="28"/>
      <c r="K655" s="28"/>
      <c r="L655" s="4"/>
      <c r="M655" s="28"/>
      <c r="N655" s="28"/>
      <c r="O655" s="28"/>
      <c r="P655" s="4"/>
      <c r="Q655" s="28"/>
      <c r="R655" s="28"/>
      <c r="S655" s="28"/>
      <c r="T655" s="4"/>
      <c r="U655" s="4"/>
      <c r="V655" s="4"/>
      <c r="W655" s="4"/>
      <c r="X655" s="4"/>
      <c r="Y655" s="4"/>
      <c r="Z655" s="4"/>
    </row>
    <row r="656" ht="12.75" customHeight="1">
      <c r="A656" s="28"/>
      <c r="B656" s="28"/>
      <c r="C656" s="28"/>
      <c r="D656" s="4"/>
      <c r="E656" s="28"/>
      <c r="F656" s="28"/>
      <c r="G656" s="28"/>
      <c r="H656" s="4"/>
      <c r="I656" s="28"/>
      <c r="J656" s="28"/>
      <c r="K656" s="28"/>
      <c r="L656" s="4"/>
      <c r="M656" s="28"/>
      <c r="N656" s="28"/>
      <c r="O656" s="28"/>
      <c r="P656" s="4"/>
      <c r="Q656" s="28"/>
      <c r="R656" s="28"/>
      <c r="S656" s="28"/>
      <c r="T656" s="4"/>
      <c r="U656" s="4"/>
      <c r="V656" s="4"/>
      <c r="W656" s="4"/>
      <c r="X656" s="4"/>
      <c r="Y656" s="4"/>
      <c r="Z656" s="4"/>
    </row>
    <row r="657" ht="12.75" customHeight="1">
      <c r="A657" s="28"/>
      <c r="B657" s="28"/>
      <c r="C657" s="28"/>
      <c r="D657" s="4"/>
      <c r="E657" s="28"/>
      <c r="F657" s="28"/>
      <c r="G657" s="28"/>
      <c r="H657" s="4"/>
      <c r="I657" s="28"/>
      <c r="J657" s="28"/>
      <c r="K657" s="28"/>
      <c r="L657" s="4"/>
      <c r="M657" s="28"/>
      <c r="N657" s="28"/>
      <c r="O657" s="28"/>
      <c r="P657" s="4"/>
      <c r="Q657" s="28"/>
      <c r="R657" s="28"/>
      <c r="S657" s="28"/>
      <c r="T657" s="4"/>
      <c r="U657" s="4"/>
      <c r="V657" s="4"/>
      <c r="W657" s="4"/>
      <c r="X657" s="4"/>
      <c r="Y657" s="4"/>
      <c r="Z657" s="4"/>
    </row>
    <row r="658" ht="12.75" customHeight="1">
      <c r="A658" s="28"/>
      <c r="B658" s="28"/>
      <c r="C658" s="28"/>
      <c r="D658" s="4"/>
      <c r="E658" s="28"/>
      <c r="F658" s="28"/>
      <c r="G658" s="28"/>
      <c r="H658" s="4"/>
      <c r="I658" s="28"/>
      <c r="J658" s="28"/>
      <c r="K658" s="28"/>
      <c r="L658" s="4"/>
      <c r="M658" s="28"/>
      <c r="N658" s="28"/>
      <c r="O658" s="28"/>
      <c r="P658" s="4"/>
      <c r="Q658" s="28"/>
      <c r="R658" s="28"/>
      <c r="S658" s="28"/>
      <c r="T658" s="4"/>
      <c r="U658" s="4"/>
      <c r="V658" s="4"/>
      <c r="W658" s="4"/>
      <c r="X658" s="4"/>
      <c r="Y658" s="4"/>
      <c r="Z658" s="4"/>
    </row>
    <row r="659" ht="12.75" customHeight="1">
      <c r="A659" s="28"/>
      <c r="B659" s="28"/>
      <c r="C659" s="28"/>
      <c r="D659" s="4"/>
      <c r="E659" s="28"/>
      <c r="F659" s="28"/>
      <c r="G659" s="28"/>
      <c r="H659" s="4"/>
      <c r="I659" s="28"/>
      <c r="J659" s="28"/>
      <c r="K659" s="28"/>
      <c r="L659" s="4"/>
      <c r="M659" s="28"/>
      <c r="N659" s="28"/>
      <c r="O659" s="28"/>
      <c r="P659" s="4"/>
      <c r="Q659" s="28"/>
      <c r="R659" s="28"/>
      <c r="S659" s="28"/>
      <c r="T659" s="4"/>
      <c r="U659" s="4"/>
      <c r="V659" s="4"/>
      <c r="W659" s="4"/>
      <c r="X659" s="4"/>
      <c r="Y659" s="4"/>
      <c r="Z659" s="4"/>
    </row>
    <row r="660" ht="12.75" customHeight="1">
      <c r="A660" s="28"/>
      <c r="B660" s="28"/>
      <c r="C660" s="28"/>
      <c r="D660" s="4"/>
      <c r="E660" s="28"/>
      <c r="F660" s="28"/>
      <c r="G660" s="28"/>
      <c r="H660" s="4"/>
      <c r="I660" s="28"/>
      <c r="J660" s="28"/>
      <c r="K660" s="28"/>
      <c r="L660" s="4"/>
      <c r="M660" s="28"/>
      <c r="N660" s="28"/>
      <c r="O660" s="28"/>
      <c r="P660" s="4"/>
      <c r="Q660" s="28"/>
      <c r="R660" s="28"/>
      <c r="S660" s="28"/>
      <c r="T660" s="4"/>
      <c r="U660" s="4"/>
      <c r="V660" s="4"/>
      <c r="W660" s="4"/>
      <c r="X660" s="4"/>
      <c r="Y660" s="4"/>
      <c r="Z660" s="4"/>
    </row>
    <row r="661" ht="12.75" customHeight="1">
      <c r="A661" s="28"/>
      <c r="B661" s="28"/>
      <c r="C661" s="28"/>
      <c r="D661" s="4"/>
      <c r="E661" s="28"/>
      <c r="F661" s="28"/>
      <c r="G661" s="28"/>
      <c r="H661" s="4"/>
      <c r="I661" s="28"/>
      <c r="J661" s="28"/>
      <c r="K661" s="28"/>
      <c r="L661" s="4"/>
      <c r="M661" s="28"/>
      <c r="N661" s="28"/>
      <c r="O661" s="28"/>
      <c r="P661" s="4"/>
      <c r="Q661" s="28"/>
      <c r="R661" s="28"/>
      <c r="S661" s="28"/>
      <c r="T661" s="4"/>
      <c r="U661" s="4"/>
      <c r="V661" s="4"/>
      <c r="W661" s="4"/>
      <c r="X661" s="4"/>
      <c r="Y661" s="4"/>
      <c r="Z661" s="4"/>
    </row>
    <row r="662" ht="12.75" customHeight="1">
      <c r="A662" s="28"/>
      <c r="B662" s="28"/>
      <c r="C662" s="28"/>
      <c r="D662" s="4"/>
      <c r="E662" s="28"/>
      <c r="F662" s="28"/>
      <c r="G662" s="28"/>
      <c r="H662" s="4"/>
      <c r="I662" s="28"/>
      <c r="J662" s="28"/>
      <c r="K662" s="28"/>
      <c r="L662" s="4"/>
      <c r="M662" s="28"/>
      <c r="N662" s="28"/>
      <c r="O662" s="28"/>
      <c r="P662" s="4"/>
      <c r="Q662" s="28"/>
      <c r="R662" s="28"/>
      <c r="S662" s="28"/>
      <c r="T662" s="4"/>
      <c r="U662" s="4"/>
      <c r="V662" s="4"/>
      <c r="W662" s="4"/>
      <c r="X662" s="4"/>
      <c r="Y662" s="4"/>
      <c r="Z662" s="4"/>
    </row>
    <row r="663" ht="12.75" customHeight="1">
      <c r="A663" s="28"/>
      <c r="B663" s="28"/>
      <c r="C663" s="28"/>
      <c r="D663" s="4"/>
      <c r="E663" s="28"/>
      <c r="F663" s="28"/>
      <c r="G663" s="28"/>
      <c r="H663" s="4"/>
      <c r="I663" s="28"/>
      <c r="J663" s="28"/>
      <c r="K663" s="28"/>
      <c r="L663" s="4"/>
      <c r="M663" s="28"/>
      <c r="N663" s="28"/>
      <c r="O663" s="28"/>
      <c r="P663" s="4"/>
      <c r="Q663" s="28"/>
      <c r="R663" s="28"/>
      <c r="S663" s="28"/>
      <c r="T663" s="4"/>
      <c r="U663" s="4"/>
      <c r="V663" s="4"/>
      <c r="W663" s="4"/>
      <c r="X663" s="4"/>
      <c r="Y663" s="4"/>
      <c r="Z663" s="4"/>
    </row>
    <row r="664" ht="12.75" customHeight="1">
      <c r="A664" s="28"/>
      <c r="B664" s="28"/>
      <c r="C664" s="28"/>
      <c r="D664" s="4"/>
      <c r="E664" s="28"/>
      <c r="F664" s="28"/>
      <c r="G664" s="28"/>
      <c r="H664" s="4"/>
      <c r="I664" s="28"/>
      <c r="J664" s="28"/>
      <c r="K664" s="28"/>
      <c r="L664" s="4"/>
      <c r="M664" s="28"/>
      <c r="N664" s="28"/>
      <c r="O664" s="28"/>
      <c r="P664" s="4"/>
      <c r="Q664" s="28"/>
      <c r="R664" s="28"/>
      <c r="S664" s="28"/>
      <c r="T664" s="4"/>
      <c r="U664" s="4"/>
      <c r="V664" s="4"/>
      <c r="W664" s="4"/>
      <c r="X664" s="4"/>
      <c r="Y664" s="4"/>
      <c r="Z664" s="4"/>
    </row>
    <row r="665" ht="12.75" customHeight="1">
      <c r="A665" s="28"/>
      <c r="B665" s="28"/>
      <c r="C665" s="28"/>
      <c r="D665" s="4"/>
      <c r="E665" s="28"/>
      <c r="F665" s="28"/>
      <c r="G665" s="28"/>
      <c r="H665" s="4"/>
      <c r="I665" s="28"/>
      <c r="J665" s="28"/>
      <c r="K665" s="28"/>
      <c r="L665" s="4"/>
      <c r="M665" s="28"/>
      <c r="N665" s="28"/>
      <c r="O665" s="28"/>
      <c r="P665" s="4"/>
      <c r="Q665" s="28"/>
      <c r="R665" s="28"/>
      <c r="S665" s="28"/>
      <c r="T665" s="4"/>
      <c r="U665" s="4"/>
      <c r="V665" s="4"/>
      <c r="W665" s="4"/>
      <c r="X665" s="4"/>
      <c r="Y665" s="4"/>
      <c r="Z665" s="4"/>
    </row>
    <row r="666" ht="12.75" customHeight="1">
      <c r="A666" s="28"/>
      <c r="B666" s="28"/>
      <c r="C666" s="28"/>
      <c r="D666" s="4"/>
      <c r="E666" s="28"/>
      <c r="F666" s="28"/>
      <c r="G666" s="28"/>
      <c r="H666" s="4"/>
      <c r="I666" s="28"/>
      <c r="J666" s="28"/>
      <c r="K666" s="28"/>
      <c r="L666" s="4"/>
      <c r="M666" s="28"/>
      <c r="N666" s="28"/>
      <c r="O666" s="28"/>
      <c r="P666" s="4"/>
      <c r="Q666" s="28"/>
      <c r="R666" s="28"/>
      <c r="S666" s="28"/>
      <c r="T666" s="4"/>
      <c r="U666" s="4"/>
      <c r="V666" s="4"/>
      <c r="W666" s="4"/>
      <c r="X666" s="4"/>
      <c r="Y666" s="4"/>
      <c r="Z666" s="4"/>
    </row>
    <row r="667" ht="12.75" customHeight="1">
      <c r="A667" s="28"/>
      <c r="B667" s="28"/>
      <c r="C667" s="28"/>
      <c r="D667" s="4"/>
      <c r="E667" s="28"/>
      <c r="F667" s="28"/>
      <c r="G667" s="28"/>
      <c r="H667" s="4"/>
      <c r="I667" s="28"/>
      <c r="J667" s="28"/>
      <c r="K667" s="28"/>
      <c r="L667" s="4"/>
      <c r="M667" s="28"/>
      <c r="N667" s="28"/>
      <c r="O667" s="28"/>
      <c r="P667" s="4"/>
      <c r="Q667" s="28"/>
      <c r="R667" s="28"/>
      <c r="S667" s="28"/>
      <c r="T667" s="4"/>
      <c r="U667" s="4"/>
      <c r="V667" s="4"/>
      <c r="W667" s="4"/>
      <c r="X667" s="4"/>
      <c r="Y667" s="4"/>
      <c r="Z667" s="4"/>
    </row>
    <row r="668" ht="12.75" customHeight="1">
      <c r="A668" s="28"/>
      <c r="B668" s="28"/>
      <c r="C668" s="28"/>
      <c r="D668" s="4"/>
      <c r="E668" s="28"/>
      <c r="F668" s="28"/>
      <c r="G668" s="28"/>
      <c r="H668" s="4"/>
      <c r="I668" s="28"/>
      <c r="J668" s="28"/>
      <c r="K668" s="28"/>
      <c r="L668" s="4"/>
      <c r="M668" s="28"/>
      <c r="N668" s="28"/>
      <c r="O668" s="28"/>
      <c r="P668" s="4"/>
      <c r="Q668" s="28"/>
      <c r="R668" s="28"/>
      <c r="S668" s="28"/>
      <c r="T668" s="4"/>
      <c r="U668" s="4"/>
      <c r="V668" s="4"/>
      <c r="W668" s="4"/>
      <c r="X668" s="4"/>
      <c r="Y668" s="4"/>
      <c r="Z668" s="4"/>
    </row>
    <row r="669" ht="12.75" customHeight="1">
      <c r="A669" s="28"/>
      <c r="B669" s="28"/>
      <c r="C669" s="28"/>
      <c r="D669" s="4"/>
      <c r="E669" s="28"/>
      <c r="F669" s="28"/>
      <c r="G669" s="28"/>
      <c r="H669" s="4"/>
      <c r="I669" s="28"/>
      <c r="J669" s="28"/>
      <c r="K669" s="28"/>
      <c r="L669" s="4"/>
      <c r="M669" s="28"/>
      <c r="N669" s="28"/>
      <c r="O669" s="28"/>
      <c r="P669" s="4"/>
      <c r="Q669" s="28"/>
      <c r="R669" s="28"/>
      <c r="S669" s="28"/>
      <c r="T669" s="4"/>
      <c r="U669" s="4"/>
      <c r="V669" s="4"/>
      <c r="W669" s="4"/>
      <c r="X669" s="4"/>
      <c r="Y669" s="4"/>
      <c r="Z669" s="4"/>
    </row>
    <row r="670" ht="12.75" customHeight="1">
      <c r="A670" s="28"/>
      <c r="B670" s="28"/>
      <c r="C670" s="28"/>
      <c r="D670" s="4"/>
      <c r="E670" s="28"/>
      <c r="F670" s="28"/>
      <c r="G670" s="28"/>
      <c r="H670" s="4"/>
      <c r="I670" s="28"/>
      <c r="J670" s="28"/>
      <c r="K670" s="28"/>
      <c r="L670" s="4"/>
      <c r="M670" s="28"/>
      <c r="N670" s="28"/>
      <c r="O670" s="28"/>
      <c r="P670" s="4"/>
      <c r="Q670" s="28"/>
      <c r="R670" s="28"/>
      <c r="S670" s="28"/>
      <c r="T670" s="4"/>
      <c r="U670" s="4"/>
      <c r="V670" s="4"/>
      <c r="W670" s="4"/>
      <c r="X670" s="4"/>
      <c r="Y670" s="4"/>
      <c r="Z670" s="4"/>
    </row>
    <row r="671" ht="12.75" customHeight="1">
      <c r="A671" s="28"/>
      <c r="B671" s="28"/>
      <c r="C671" s="28"/>
      <c r="D671" s="4"/>
      <c r="E671" s="28"/>
      <c r="F671" s="28"/>
      <c r="G671" s="28"/>
      <c r="H671" s="4"/>
      <c r="I671" s="28"/>
      <c r="J671" s="28"/>
      <c r="K671" s="28"/>
      <c r="L671" s="4"/>
      <c r="M671" s="28"/>
      <c r="N671" s="28"/>
      <c r="O671" s="28"/>
      <c r="P671" s="4"/>
      <c r="Q671" s="28"/>
      <c r="R671" s="28"/>
      <c r="S671" s="28"/>
      <c r="T671" s="4"/>
      <c r="U671" s="4"/>
      <c r="V671" s="4"/>
      <c r="W671" s="4"/>
      <c r="X671" s="4"/>
      <c r="Y671" s="4"/>
      <c r="Z671" s="4"/>
    </row>
    <row r="672" ht="12.75" customHeight="1">
      <c r="A672" s="28"/>
      <c r="B672" s="28"/>
      <c r="C672" s="28"/>
      <c r="D672" s="4"/>
      <c r="E672" s="28"/>
      <c r="F672" s="28"/>
      <c r="G672" s="28"/>
      <c r="H672" s="4"/>
      <c r="I672" s="28"/>
      <c r="J672" s="28"/>
      <c r="K672" s="28"/>
      <c r="L672" s="4"/>
      <c r="M672" s="28"/>
      <c r="N672" s="28"/>
      <c r="O672" s="28"/>
      <c r="P672" s="4"/>
      <c r="Q672" s="28"/>
      <c r="R672" s="28"/>
      <c r="S672" s="28"/>
      <c r="T672" s="4"/>
      <c r="U672" s="4"/>
      <c r="V672" s="4"/>
      <c r="W672" s="4"/>
      <c r="X672" s="4"/>
      <c r="Y672" s="4"/>
      <c r="Z672" s="4"/>
    </row>
    <row r="673" ht="12.75" customHeight="1">
      <c r="A673" s="28"/>
      <c r="B673" s="28"/>
      <c r="C673" s="28"/>
      <c r="D673" s="4"/>
      <c r="E673" s="28"/>
      <c r="F673" s="28"/>
      <c r="G673" s="28"/>
      <c r="H673" s="4"/>
      <c r="I673" s="28"/>
      <c r="J673" s="28"/>
      <c r="K673" s="28"/>
      <c r="L673" s="4"/>
      <c r="M673" s="28"/>
      <c r="N673" s="28"/>
      <c r="O673" s="28"/>
      <c r="P673" s="4"/>
      <c r="Q673" s="28"/>
      <c r="R673" s="28"/>
      <c r="S673" s="28"/>
      <c r="T673" s="4"/>
      <c r="U673" s="4"/>
      <c r="V673" s="4"/>
      <c r="W673" s="4"/>
      <c r="X673" s="4"/>
      <c r="Y673" s="4"/>
      <c r="Z673" s="4"/>
    </row>
    <row r="674" ht="12.75" customHeight="1">
      <c r="A674" s="28"/>
      <c r="B674" s="28"/>
      <c r="C674" s="28"/>
      <c r="D674" s="4"/>
      <c r="E674" s="28"/>
      <c r="F674" s="28"/>
      <c r="G674" s="28"/>
      <c r="H674" s="4"/>
      <c r="I674" s="28"/>
      <c r="J674" s="28"/>
      <c r="K674" s="28"/>
      <c r="L674" s="4"/>
      <c r="M674" s="28"/>
      <c r="N674" s="28"/>
      <c r="O674" s="28"/>
      <c r="P674" s="4"/>
      <c r="Q674" s="28"/>
      <c r="R674" s="28"/>
      <c r="S674" s="28"/>
      <c r="T674" s="4"/>
      <c r="U674" s="4"/>
      <c r="V674" s="4"/>
      <c r="W674" s="4"/>
      <c r="X674" s="4"/>
      <c r="Y674" s="4"/>
      <c r="Z674" s="4"/>
    </row>
    <row r="675" ht="12.75" customHeight="1">
      <c r="A675" s="28"/>
      <c r="B675" s="28"/>
      <c r="C675" s="28"/>
      <c r="D675" s="4"/>
      <c r="E675" s="28"/>
      <c r="F675" s="28"/>
      <c r="G675" s="28"/>
      <c r="H675" s="4"/>
      <c r="I675" s="28"/>
      <c r="J675" s="28"/>
      <c r="K675" s="28"/>
      <c r="L675" s="4"/>
      <c r="M675" s="28"/>
      <c r="N675" s="28"/>
      <c r="O675" s="28"/>
      <c r="P675" s="4"/>
      <c r="Q675" s="28"/>
      <c r="R675" s="28"/>
      <c r="S675" s="28"/>
      <c r="T675" s="4"/>
      <c r="U675" s="4"/>
      <c r="V675" s="4"/>
      <c r="W675" s="4"/>
      <c r="X675" s="4"/>
      <c r="Y675" s="4"/>
      <c r="Z675" s="4"/>
    </row>
    <row r="676" ht="12.75" customHeight="1">
      <c r="A676" s="28"/>
      <c r="B676" s="28"/>
      <c r="C676" s="28"/>
      <c r="D676" s="4"/>
      <c r="E676" s="28"/>
      <c r="F676" s="28"/>
      <c r="G676" s="28"/>
      <c r="H676" s="4"/>
      <c r="I676" s="28"/>
      <c r="J676" s="28"/>
      <c r="K676" s="28"/>
      <c r="L676" s="4"/>
      <c r="M676" s="28"/>
      <c r="N676" s="28"/>
      <c r="O676" s="28"/>
      <c r="P676" s="4"/>
      <c r="Q676" s="28"/>
      <c r="R676" s="28"/>
      <c r="S676" s="28"/>
      <c r="T676" s="4"/>
      <c r="U676" s="4"/>
      <c r="V676" s="4"/>
      <c r="W676" s="4"/>
      <c r="X676" s="4"/>
      <c r="Y676" s="4"/>
      <c r="Z676" s="4"/>
    </row>
    <row r="677" ht="12.75" customHeight="1">
      <c r="A677" s="28"/>
      <c r="B677" s="28"/>
      <c r="C677" s="28"/>
      <c r="D677" s="4"/>
      <c r="E677" s="28"/>
      <c r="F677" s="28"/>
      <c r="G677" s="28"/>
      <c r="H677" s="4"/>
      <c r="I677" s="28"/>
      <c r="J677" s="28"/>
      <c r="K677" s="28"/>
      <c r="L677" s="4"/>
      <c r="M677" s="28"/>
      <c r="N677" s="28"/>
      <c r="O677" s="28"/>
      <c r="P677" s="4"/>
      <c r="Q677" s="28"/>
      <c r="R677" s="28"/>
      <c r="S677" s="28"/>
      <c r="T677" s="4"/>
      <c r="U677" s="4"/>
      <c r="V677" s="4"/>
      <c r="W677" s="4"/>
      <c r="X677" s="4"/>
      <c r="Y677" s="4"/>
      <c r="Z677" s="4"/>
    </row>
    <row r="678" ht="12.75" customHeight="1">
      <c r="A678" s="28"/>
      <c r="B678" s="28"/>
      <c r="C678" s="28"/>
      <c r="D678" s="4"/>
      <c r="E678" s="28"/>
      <c r="F678" s="28"/>
      <c r="G678" s="28"/>
      <c r="H678" s="4"/>
      <c r="I678" s="28"/>
      <c r="J678" s="28"/>
      <c r="K678" s="28"/>
      <c r="L678" s="4"/>
      <c r="M678" s="28"/>
      <c r="N678" s="28"/>
      <c r="O678" s="28"/>
      <c r="P678" s="4"/>
      <c r="Q678" s="28"/>
      <c r="R678" s="28"/>
      <c r="S678" s="28"/>
      <c r="T678" s="4"/>
      <c r="U678" s="4"/>
      <c r="V678" s="4"/>
      <c r="W678" s="4"/>
      <c r="X678" s="4"/>
      <c r="Y678" s="4"/>
      <c r="Z678" s="4"/>
    </row>
    <row r="679" ht="12.75" customHeight="1">
      <c r="A679" s="28"/>
      <c r="B679" s="28"/>
      <c r="C679" s="28"/>
      <c r="D679" s="4"/>
      <c r="E679" s="28"/>
      <c r="F679" s="28"/>
      <c r="G679" s="28"/>
      <c r="H679" s="4"/>
      <c r="I679" s="28"/>
      <c r="J679" s="28"/>
      <c r="K679" s="28"/>
      <c r="L679" s="4"/>
      <c r="M679" s="28"/>
      <c r="N679" s="28"/>
      <c r="O679" s="28"/>
      <c r="P679" s="4"/>
      <c r="Q679" s="28"/>
      <c r="R679" s="28"/>
      <c r="S679" s="28"/>
      <c r="T679" s="4"/>
      <c r="U679" s="4"/>
      <c r="V679" s="4"/>
      <c r="W679" s="4"/>
      <c r="X679" s="4"/>
      <c r="Y679" s="4"/>
      <c r="Z679" s="4"/>
    </row>
    <row r="680" ht="12.75" customHeight="1">
      <c r="A680" s="28"/>
      <c r="B680" s="28"/>
      <c r="C680" s="28"/>
      <c r="D680" s="4"/>
      <c r="E680" s="28"/>
      <c r="F680" s="28"/>
      <c r="G680" s="28"/>
      <c r="H680" s="4"/>
      <c r="I680" s="28"/>
      <c r="J680" s="28"/>
      <c r="K680" s="28"/>
      <c r="L680" s="4"/>
      <c r="M680" s="28"/>
      <c r="N680" s="28"/>
      <c r="O680" s="28"/>
      <c r="P680" s="4"/>
      <c r="Q680" s="28"/>
      <c r="R680" s="28"/>
      <c r="S680" s="28"/>
      <c r="T680" s="4"/>
      <c r="U680" s="4"/>
      <c r="V680" s="4"/>
      <c r="W680" s="4"/>
      <c r="X680" s="4"/>
      <c r="Y680" s="4"/>
      <c r="Z680" s="4"/>
    </row>
    <row r="681" ht="12.75" customHeight="1">
      <c r="A681" s="28"/>
      <c r="B681" s="28"/>
      <c r="C681" s="28"/>
      <c r="D681" s="4"/>
      <c r="E681" s="28"/>
      <c r="F681" s="28"/>
      <c r="G681" s="28"/>
      <c r="H681" s="4"/>
      <c r="I681" s="28"/>
      <c r="J681" s="28"/>
      <c r="K681" s="28"/>
      <c r="L681" s="4"/>
      <c r="M681" s="28"/>
      <c r="N681" s="28"/>
      <c r="O681" s="28"/>
      <c r="P681" s="4"/>
      <c r="Q681" s="28"/>
      <c r="R681" s="28"/>
      <c r="S681" s="28"/>
      <c r="T681" s="4"/>
      <c r="U681" s="4"/>
      <c r="V681" s="4"/>
      <c r="W681" s="4"/>
      <c r="X681" s="4"/>
      <c r="Y681" s="4"/>
      <c r="Z681" s="4"/>
    </row>
    <row r="682" ht="12.75" customHeight="1">
      <c r="A682" s="28"/>
      <c r="B682" s="28"/>
      <c r="C682" s="28"/>
      <c r="D682" s="4"/>
      <c r="E682" s="28"/>
      <c r="F682" s="28"/>
      <c r="G682" s="28"/>
      <c r="H682" s="4"/>
      <c r="I682" s="28"/>
      <c r="J682" s="28"/>
      <c r="K682" s="28"/>
      <c r="L682" s="4"/>
      <c r="M682" s="28"/>
      <c r="N682" s="28"/>
      <c r="O682" s="28"/>
      <c r="P682" s="4"/>
      <c r="Q682" s="28"/>
      <c r="R682" s="28"/>
      <c r="S682" s="28"/>
      <c r="T682" s="4"/>
      <c r="U682" s="4"/>
      <c r="V682" s="4"/>
      <c r="W682" s="4"/>
      <c r="X682" s="4"/>
      <c r="Y682" s="4"/>
      <c r="Z682" s="4"/>
    </row>
    <row r="683" ht="12.75" customHeight="1">
      <c r="A683" s="28"/>
      <c r="B683" s="28"/>
      <c r="C683" s="28"/>
      <c r="D683" s="4"/>
      <c r="E683" s="28"/>
      <c r="F683" s="28"/>
      <c r="G683" s="28"/>
      <c r="H683" s="4"/>
      <c r="I683" s="28"/>
      <c r="J683" s="28"/>
      <c r="K683" s="28"/>
      <c r="L683" s="4"/>
      <c r="M683" s="28"/>
      <c r="N683" s="28"/>
      <c r="O683" s="28"/>
      <c r="P683" s="4"/>
      <c r="Q683" s="28"/>
      <c r="R683" s="28"/>
      <c r="S683" s="28"/>
      <c r="T683" s="4"/>
      <c r="U683" s="4"/>
      <c r="V683" s="4"/>
      <c r="W683" s="4"/>
      <c r="X683" s="4"/>
      <c r="Y683" s="4"/>
      <c r="Z683" s="4"/>
    </row>
    <row r="684" ht="12.75" customHeight="1">
      <c r="A684" s="28"/>
      <c r="B684" s="28"/>
      <c r="C684" s="28"/>
      <c r="D684" s="4"/>
      <c r="E684" s="28"/>
      <c r="F684" s="28"/>
      <c r="G684" s="28"/>
      <c r="H684" s="4"/>
      <c r="I684" s="28"/>
      <c r="J684" s="28"/>
      <c r="K684" s="28"/>
      <c r="L684" s="4"/>
      <c r="M684" s="28"/>
      <c r="N684" s="28"/>
      <c r="O684" s="28"/>
      <c r="P684" s="4"/>
      <c r="Q684" s="28"/>
      <c r="R684" s="28"/>
      <c r="S684" s="28"/>
      <c r="T684" s="4"/>
      <c r="U684" s="4"/>
      <c r="V684" s="4"/>
      <c r="W684" s="4"/>
      <c r="X684" s="4"/>
      <c r="Y684" s="4"/>
      <c r="Z684" s="4"/>
    </row>
    <row r="685" ht="12.75" customHeight="1">
      <c r="A685" s="28"/>
      <c r="B685" s="28"/>
      <c r="C685" s="28"/>
      <c r="D685" s="4"/>
      <c r="E685" s="28"/>
      <c r="F685" s="28"/>
      <c r="G685" s="28"/>
      <c r="H685" s="4"/>
      <c r="I685" s="28"/>
      <c r="J685" s="28"/>
      <c r="K685" s="28"/>
      <c r="L685" s="4"/>
      <c r="M685" s="28"/>
      <c r="N685" s="28"/>
      <c r="O685" s="28"/>
      <c r="P685" s="4"/>
      <c r="Q685" s="28"/>
      <c r="R685" s="28"/>
      <c r="S685" s="28"/>
      <c r="T685" s="4"/>
      <c r="U685" s="4"/>
      <c r="V685" s="4"/>
      <c r="W685" s="4"/>
      <c r="X685" s="4"/>
      <c r="Y685" s="4"/>
      <c r="Z685" s="4"/>
    </row>
    <row r="686" ht="12.75" customHeight="1">
      <c r="A686" s="28"/>
      <c r="B686" s="28"/>
      <c r="C686" s="28"/>
      <c r="D686" s="4"/>
      <c r="E686" s="28"/>
      <c r="F686" s="28"/>
      <c r="G686" s="28"/>
      <c r="H686" s="4"/>
      <c r="I686" s="28"/>
      <c r="J686" s="28"/>
      <c r="K686" s="28"/>
      <c r="L686" s="4"/>
      <c r="M686" s="28"/>
      <c r="N686" s="28"/>
      <c r="O686" s="28"/>
      <c r="P686" s="4"/>
      <c r="Q686" s="28"/>
      <c r="R686" s="28"/>
      <c r="S686" s="28"/>
      <c r="T686" s="4"/>
      <c r="U686" s="4"/>
      <c r="V686" s="4"/>
      <c r="W686" s="4"/>
      <c r="X686" s="4"/>
      <c r="Y686" s="4"/>
      <c r="Z686" s="4"/>
    </row>
    <row r="687" ht="12.75" customHeight="1">
      <c r="A687" s="28"/>
      <c r="B687" s="28"/>
      <c r="C687" s="28"/>
      <c r="D687" s="4"/>
      <c r="E687" s="28"/>
      <c r="F687" s="28"/>
      <c r="G687" s="28"/>
      <c r="H687" s="4"/>
      <c r="I687" s="28"/>
      <c r="J687" s="28"/>
      <c r="K687" s="28"/>
      <c r="L687" s="4"/>
      <c r="M687" s="28"/>
      <c r="N687" s="28"/>
      <c r="O687" s="28"/>
      <c r="P687" s="4"/>
      <c r="Q687" s="28"/>
      <c r="R687" s="28"/>
      <c r="S687" s="28"/>
      <c r="T687" s="4"/>
      <c r="U687" s="4"/>
      <c r="V687" s="4"/>
      <c r="W687" s="4"/>
      <c r="X687" s="4"/>
      <c r="Y687" s="4"/>
      <c r="Z687" s="4"/>
    </row>
    <row r="688" ht="12.75" customHeight="1">
      <c r="A688" s="28"/>
      <c r="B688" s="28"/>
      <c r="C688" s="28"/>
      <c r="D688" s="4"/>
      <c r="E688" s="28"/>
      <c r="F688" s="28"/>
      <c r="G688" s="28"/>
      <c r="H688" s="4"/>
      <c r="I688" s="28"/>
      <c r="J688" s="28"/>
      <c r="K688" s="28"/>
      <c r="L688" s="4"/>
      <c r="M688" s="28"/>
      <c r="N688" s="28"/>
      <c r="O688" s="28"/>
      <c r="P688" s="4"/>
      <c r="Q688" s="28"/>
      <c r="R688" s="28"/>
      <c r="S688" s="28"/>
      <c r="T688" s="4"/>
      <c r="U688" s="4"/>
      <c r="V688" s="4"/>
      <c r="W688" s="4"/>
      <c r="X688" s="4"/>
      <c r="Y688" s="4"/>
      <c r="Z688" s="4"/>
    </row>
    <row r="689" ht="12.75" customHeight="1">
      <c r="A689" s="28"/>
      <c r="B689" s="28"/>
      <c r="C689" s="28"/>
      <c r="D689" s="4"/>
      <c r="E689" s="28"/>
      <c r="F689" s="28"/>
      <c r="G689" s="28"/>
      <c r="H689" s="4"/>
      <c r="I689" s="28"/>
      <c r="J689" s="28"/>
      <c r="K689" s="28"/>
      <c r="L689" s="4"/>
      <c r="M689" s="28"/>
      <c r="N689" s="28"/>
      <c r="O689" s="28"/>
      <c r="P689" s="4"/>
      <c r="Q689" s="28"/>
      <c r="R689" s="28"/>
      <c r="S689" s="28"/>
      <c r="T689" s="4"/>
      <c r="U689" s="4"/>
      <c r="V689" s="4"/>
      <c r="W689" s="4"/>
      <c r="X689" s="4"/>
      <c r="Y689" s="4"/>
      <c r="Z689" s="4"/>
    </row>
    <row r="690" ht="12.75" customHeight="1">
      <c r="A690" s="28"/>
      <c r="B690" s="28"/>
      <c r="C690" s="28"/>
      <c r="D690" s="4"/>
      <c r="E690" s="28"/>
      <c r="F690" s="28"/>
      <c r="G690" s="28"/>
      <c r="H690" s="4"/>
      <c r="I690" s="28"/>
      <c r="J690" s="28"/>
      <c r="K690" s="28"/>
      <c r="L690" s="4"/>
      <c r="M690" s="28"/>
      <c r="N690" s="28"/>
      <c r="O690" s="28"/>
      <c r="P690" s="4"/>
      <c r="Q690" s="28"/>
      <c r="R690" s="28"/>
      <c r="S690" s="28"/>
      <c r="T690" s="4"/>
      <c r="U690" s="4"/>
      <c r="V690" s="4"/>
      <c r="W690" s="4"/>
      <c r="X690" s="4"/>
      <c r="Y690" s="4"/>
      <c r="Z690" s="4"/>
    </row>
    <row r="691" ht="12.75" customHeight="1">
      <c r="A691" s="28"/>
      <c r="B691" s="28"/>
      <c r="C691" s="28"/>
      <c r="D691" s="4"/>
      <c r="E691" s="28"/>
      <c r="F691" s="28"/>
      <c r="G691" s="28"/>
      <c r="H691" s="4"/>
      <c r="I691" s="28"/>
      <c r="J691" s="28"/>
      <c r="K691" s="28"/>
      <c r="L691" s="4"/>
      <c r="M691" s="28"/>
      <c r="N691" s="28"/>
      <c r="O691" s="28"/>
      <c r="P691" s="4"/>
      <c r="Q691" s="28"/>
      <c r="R691" s="28"/>
      <c r="S691" s="28"/>
      <c r="T691" s="4"/>
      <c r="U691" s="4"/>
      <c r="V691" s="4"/>
      <c r="W691" s="4"/>
      <c r="X691" s="4"/>
      <c r="Y691" s="4"/>
      <c r="Z691" s="4"/>
    </row>
    <row r="692" ht="12.75" customHeight="1">
      <c r="A692" s="28"/>
      <c r="B692" s="28"/>
      <c r="C692" s="28"/>
      <c r="D692" s="4"/>
      <c r="E692" s="28"/>
      <c r="F692" s="28"/>
      <c r="G692" s="28"/>
      <c r="H692" s="4"/>
      <c r="I692" s="28"/>
      <c r="J692" s="28"/>
      <c r="K692" s="28"/>
      <c r="L692" s="4"/>
      <c r="M692" s="28"/>
      <c r="N692" s="28"/>
      <c r="O692" s="28"/>
      <c r="P692" s="4"/>
      <c r="Q692" s="28"/>
      <c r="R692" s="28"/>
      <c r="S692" s="28"/>
      <c r="T692" s="4"/>
      <c r="U692" s="4"/>
      <c r="V692" s="4"/>
      <c r="W692" s="4"/>
      <c r="X692" s="4"/>
      <c r="Y692" s="4"/>
      <c r="Z692" s="4"/>
    </row>
    <row r="693" ht="12.75" customHeight="1">
      <c r="A693" s="28"/>
      <c r="B693" s="28"/>
      <c r="C693" s="28"/>
      <c r="D693" s="4"/>
      <c r="E693" s="28"/>
      <c r="F693" s="28"/>
      <c r="G693" s="28"/>
      <c r="H693" s="4"/>
      <c r="I693" s="28"/>
      <c r="J693" s="28"/>
      <c r="K693" s="28"/>
      <c r="L693" s="4"/>
      <c r="M693" s="28"/>
      <c r="N693" s="28"/>
      <c r="O693" s="28"/>
      <c r="P693" s="4"/>
      <c r="Q693" s="28"/>
      <c r="R693" s="28"/>
      <c r="S693" s="28"/>
      <c r="T693" s="4"/>
      <c r="U693" s="4"/>
      <c r="V693" s="4"/>
      <c r="W693" s="4"/>
      <c r="X693" s="4"/>
      <c r="Y693" s="4"/>
      <c r="Z693" s="4"/>
    </row>
    <row r="694" ht="12.75" customHeight="1">
      <c r="A694" s="28"/>
      <c r="B694" s="28"/>
      <c r="C694" s="28"/>
      <c r="D694" s="4"/>
      <c r="E694" s="28"/>
      <c r="F694" s="28"/>
      <c r="G694" s="28"/>
      <c r="H694" s="4"/>
      <c r="I694" s="28"/>
      <c r="J694" s="28"/>
      <c r="K694" s="28"/>
      <c r="L694" s="4"/>
      <c r="M694" s="28"/>
      <c r="N694" s="28"/>
      <c r="O694" s="28"/>
      <c r="P694" s="4"/>
      <c r="Q694" s="28"/>
      <c r="R694" s="28"/>
      <c r="S694" s="28"/>
      <c r="T694" s="4"/>
      <c r="U694" s="4"/>
      <c r="V694" s="4"/>
      <c r="W694" s="4"/>
      <c r="X694" s="4"/>
      <c r="Y694" s="4"/>
      <c r="Z694" s="4"/>
    </row>
    <row r="695" ht="12.75" customHeight="1">
      <c r="A695" s="28"/>
      <c r="B695" s="28"/>
      <c r="C695" s="28"/>
      <c r="D695" s="4"/>
      <c r="E695" s="28"/>
      <c r="F695" s="28"/>
      <c r="G695" s="28"/>
      <c r="H695" s="4"/>
      <c r="I695" s="28"/>
      <c r="J695" s="28"/>
      <c r="K695" s="28"/>
      <c r="L695" s="4"/>
      <c r="M695" s="28"/>
      <c r="N695" s="28"/>
      <c r="O695" s="28"/>
      <c r="P695" s="4"/>
      <c r="Q695" s="28"/>
      <c r="R695" s="28"/>
      <c r="S695" s="28"/>
      <c r="T695" s="4"/>
      <c r="U695" s="4"/>
      <c r="V695" s="4"/>
      <c r="W695" s="4"/>
      <c r="X695" s="4"/>
      <c r="Y695" s="4"/>
      <c r="Z695" s="4"/>
    </row>
    <row r="696" ht="12.75" customHeight="1">
      <c r="A696" s="28"/>
      <c r="B696" s="28"/>
      <c r="C696" s="28"/>
      <c r="D696" s="4"/>
      <c r="E696" s="28"/>
      <c r="F696" s="28"/>
      <c r="G696" s="28"/>
      <c r="H696" s="4"/>
      <c r="I696" s="28"/>
      <c r="J696" s="28"/>
      <c r="K696" s="28"/>
      <c r="L696" s="4"/>
      <c r="M696" s="28"/>
      <c r="N696" s="28"/>
      <c r="O696" s="28"/>
      <c r="P696" s="4"/>
      <c r="Q696" s="28"/>
      <c r="R696" s="28"/>
      <c r="S696" s="28"/>
      <c r="T696" s="4"/>
      <c r="U696" s="4"/>
      <c r="V696" s="4"/>
      <c r="W696" s="4"/>
      <c r="X696" s="4"/>
      <c r="Y696" s="4"/>
      <c r="Z696" s="4"/>
    </row>
    <row r="697" ht="12.75" customHeight="1">
      <c r="A697" s="28"/>
      <c r="B697" s="28"/>
      <c r="C697" s="28"/>
      <c r="D697" s="4"/>
      <c r="E697" s="28"/>
      <c r="F697" s="28"/>
      <c r="G697" s="28"/>
      <c r="H697" s="4"/>
      <c r="I697" s="28"/>
      <c r="J697" s="28"/>
      <c r="K697" s="28"/>
      <c r="L697" s="4"/>
      <c r="M697" s="28"/>
      <c r="N697" s="28"/>
      <c r="O697" s="28"/>
      <c r="P697" s="4"/>
      <c r="Q697" s="28"/>
      <c r="R697" s="28"/>
      <c r="S697" s="28"/>
      <c r="T697" s="4"/>
      <c r="U697" s="4"/>
      <c r="V697" s="4"/>
      <c r="W697" s="4"/>
      <c r="X697" s="4"/>
      <c r="Y697" s="4"/>
      <c r="Z697" s="4"/>
    </row>
    <row r="698" ht="12.75" customHeight="1">
      <c r="A698" s="28"/>
      <c r="B698" s="28"/>
      <c r="C698" s="28"/>
      <c r="D698" s="4"/>
      <c r="E698" s="28"/>
      <c r="F698" s="28"/>
      <c r="G698" s="28"/>
      <c r="H698" s="4"/>
      <c r="I698" s="28"/>
      <c r="J698" s="28"/>
      <c r="K698" s="28"/>
      <c r="L698" s="4"/>
      <c r="M698" s="28"/>
      <c r="N698" s="28"/>
      <c r="O698" s="28"/>
      <c r="P698" s="4"/>
      <c r="Q698" s="28"/>
      <c r="R698" s="28"/>
      <c r="S698" s="28"/>
      <c r="T698" s="4"/>
      <c r="U698" s="4"/>
      <c r="V698" s="4"/>
      <c r="W698" s="4"/>
      <c r="X698" s="4"/>
      <c r="Y698" s="4"/>
      <c r="Z698" s="4"/>
    </row>
    <row r="699" ht="12.75" customHeight="1">
      <c r="A699" s="28"/>
      <c r="B699" s="28"/>
      <c r="C699" s="28"/>
      <c r="D699" s="4"/>
      <c r="E699" s="28"/>
      <c r="F699" s="28"/>
      <c r="G699" s="28"/>
      <c r="H699" s="4"/>
      <c r="I699" s="28"/>
      <c r="J699" s="28"/>
      <c r="K699" s="28"/>
      <c r="L699" s="4"/>
      <c r="M699" s="28"/>
      <c r="N699" s="28"/>
      <c r="O699" s="28"/>
      <c r="P699" s="4"/>
      <c r="Q699" s="28"/>
      <c r="R699" s="28"/>
      <c r="S699" s="28"/>
      <c r="T699" s="4"/>
      <c r="U699" s="4"/>
      <c r="V699" s="4"/>
      <c r="W699" s="4"/>
      <c r="X699" s="4"/>
      <c r="Y699" s="4"/>
      <c r="Z699" s="4"/>
    </row>
    <row r="700" ht="12.75" customHeight="1">
      <c r="A700" s="28"/>
      <c r="B700" s="28"/>
      <c r="C700" s="28"/>
      <c r="D700" s="4"/>
      <c r="E700" s="28"/>
      <c r="F700" s="28"/>
      <c r="G700" s="28"/>
      <c r="H700" s="4"/>
      <c r="I700" s="28"/>
      <c r="J700" s="28"/>
      <c r="K700" s="28"/>
      <c r="L700" s="4"/>
      <c r="M700" s="28"/>
      <c r="N700" s="28"/>
      <c r="O700" s="28"/>
      <c r="P700" s="4"/>
      <c r="Q700" s="28"/>
      <c r="R700" s="28"/>
      <c r="S700" s="28"/>
      <c r="T700" s="4"/>
      <c r="U700" s="4"/>
      <c r="V700" s="4"/>
      <c r="W700" s="4"/>
      <c r="X700" s="4"/>
      <c r="Y700" s="4"/>
      <c r="Z700" s="4"/>
    </row>
    <row r="701" ht="12.75" customHeight="1">
      <c r="A701" s="28"/>
      <c r="B701" s="28"/>
      <c r="C701" s="28"/>
      <c r="D701" s="4"/>
      <c r="E701" s="28"/>
      <c r="F701" s="28"/>
      <c r="G701" s="28"/>
      <c r="H701" s="4"/>
      <c r="I701" s="28"/>
      <c r="J701" s="28"/>
      <c r="K701" s="28"/>
      <c r="L701" s="4"/>
      <c r="M701" s="28"/>
      <c r="N701" s="28"/>
      <c r="O701" s="28"/>
      <c r="P701" s="4"/>
      <c r="Q701" s="28"/>
      <c r="R701" s="28"/>
      <c r="S701" s="28"/>
      <c r="T701" s="4"/>
      <c r="U701" s="4"/>
      <c r="V701" s="4"/>
      <c r="W701" s="4"/>
      <c r="X701" s="4"/>
      <c r="Y701" s="4"/>
      <c r="Z701" s="4"/>
    </row>
    <row r="702" ht="12.75" customHeight="1">
      <c r="A702" s="28"/>
      <c r="B702" s="28"/>
      <c r="C702" s="28"/>
      <c r="D702" s="4"/>
      <c r="E702" s="28"/>
      <c r="F702" s="28"/>
      <c r="G702" s="28"/>
      <c r="H702" s="4"/>
      <c r="I702" s="28"/>
      <c r="J702" s="28"/>
      <c r="K702" s="28"/>
      <c r="L702" s="4"/>
      <c r="M702" s="28"/>
      <c r="N702" s="28"/>
      <c r="O702" s="28"/>
      <c r="P702" s="4"/>
      <c r="Q702" s="28"/>
      <c r="R702" s="28"/>
      <c r="S702" s="28"/>
      <c r="T702" s="4"/>
      <c r="U702" s="4"/>
      <c r="V702" s="4"/>
      <c r="W702" s="4"/>
      <c r="X702" s="4"/>
      <c r="Y702" s="4"/>
      <c r="Z702" s="4"/>
    </row>
    <row r="703" ht="12.75" customHeight="1">
      <c r="A703" s="28"/>
      <c r="B703" s="28"/>
      <c r="C703" s="28"/>
      <c r="D703" s="4"/>
      <c r="E703" s="28"/>
      <c r="F703" s="28"/>
      <c r="G703" s="28"/>
      <c r="H703" s="4"/>
      <c r="I703" s="28"/>
      <c r="J703" s="28"/>
      <c r="K703" s="28"/>
      <c r="L703" s="4"/>
      <c r="M703" s="28"/>
      <c r="N703" s="28"/>
      <c r="O703" s="28"/>
      <c r="P703" s="4"/>
      <c r="Q703" s="28"/>
      <c r="R703" s="28"/>
      <c r="S703" s="28"/>
      <c r="T703" s="4"/>
      <c r="U703" s="4"/>
      <c r="V703" s="4"/>
      <c r="W703" s="4"/>
      <c r="X703" s="4"/>
      <c r="Y703" s="4"/>
      <c r="Z703" s="4"/>
    </row>
    <row r="704" ht="12.75" customHeight="1">
      <c r="A704" s="28"/>
      <c r="B704" s="28"/>
      <c r="C704" s="28"/>
      <c r="D704" s="4"/>
      <c r="E704" s="28"/>
      <c r="F704" s="28"/>
      <c r="G704" s="28"/>
      <c r="H704" s="4"/>
      <c r="I704" s="28"/>
      <c r="J704" s="28"/>
      <c r="K704" s="28"/>
      <c r="L704" s="4"/>
      <c r="M704" s="28"/>
      <c r="N704" s="28"/>
      <c r="O704" s="28"/>
      <c r="P704" s="4"/>
      <c r="Q704" s="28"/>
      <c r="R704" s="28"/>
      <c r="S704" s="28"/>
      <c r="T704" s="4"/>
      <c r="U704" s="4"/>
      <c r="V704" s="4"/>
      <c r="W704" s="4"/>
      <c r="X704" s="4"/>
      <c r="Y704" s="4"/>
      <c r="Z704" s="4"/>
    </row>
    <row r="705" ht="12.75" customHeight="1">
      <c r="A705" s="28"/>
      <c r="B705" s="28"/>
      <c r="C705" s="28"/>
      <c r="D705" s="4"/>
      <c r="E705" s="28"/>
      <c r="F705" s="28"/>
      <c r="G705" s="28"/>
      <c r="H705" s="4"/>
      <c r="I705" s="28"/>
      <c r="J705" s="28"/>
      <c r="K705" s="28"/>
      <c r="L705" s="4"/>
      <c r="M705" s="28"/>
      <c r="N705" s="28"/>
      <c r="O705" s="28"/>
      <c r="P705" s="4"/>
      <c r="Q705" s="28"/>
      <c r="R705" s="28"/>
      <c r="S705" s="28"/>
      <c r="T705" s="4"/>
      <c r="U705" s="4"/>
      <c r="V705" s="4"/>
      <c r="W705" s="4"/>
      <c r="X705" s="4"/>
      <c r="Y705" s="4"/>
      <c r="Z705" s="4"/>
    </row>
    <row r="706" ht="12.75" customHeight="1">
      <c r="A706" s="28"/>
      <c r="B706" s="28"/>
      <c r="C706" s="28"/>
      <c r="D706" s="4"/>
      <c r="E706" s="28"/>
      <c r="F706" s="28"/>
      <c r="G706" s="28"/>
      <c r="H706" s="4"/>
      <c r="I706" s="28"/>
      <c r="J706" s="28"/>
      <c r="K706" s="28"/>
      <c r="L706" s="4"/>
      <c r="M706" s="28"/>
      <c r="N706" s="28"/>
      <c r="O706" s="28"/>
      <c r="P706" s="4"/>
      <c r="Q706" s="28"/>
      <c r="R706" s="28"/>
      <c r="S706" s="28"/>
      <c r="T706" s="4"/>
      <c r="U706" s="4"/>
      <c r="V706" s="4"/>
      <c r="W706" s="4"/>
      <c r="X706" s="4"/>
      <c r="Y706" s="4"/>
      <c r="Z706" s="4"/>
    </row>
    <row r="707" ht="12.75" customHeight="1">
      <c r="A707" s="28"/>
      <c r="B707" s="28"/>
      <c r="C707" s="28"/>
      <c r="D707" s="4"/>
      <c r="E707" s="28"/>
      <c r="F707" s="28"/>
      <c r="G707" s="28"/>
      <c r="H707" s="4"/>
      <c r="I707" s="28"/>
      <c r="J707" s="28"/>
      <c r="K707" s="28"/>
      <c r="L707" s="4"/>
      <c r="M707" s="28"/>
      <c r="N707" s="28"/>
      <c r="O707" s="28"/>
      <c r="P707" s="4"/>
      <c r="Q707" s="28"/>
      <c r="R707" s="28"/>
      <c r="S707" s="28"/>
      <c r="T707" s="4"/>
      <c r="U707" s="4"/>
      <c r="V707" s="4"/>
      <c r="W707" s="4"/>
      <c r="X707" s="4"/>
      <c r="Y707" s="4"/>
      <c r="Z707" s="4"/>
    </row>
    <row r="708" ht="12.75" customHeight="1">
      <c r="A708" s="28"/>
      <c r="B708" s="28"/>
      <c r="C708" s="28"/>
      <c r="D708" s="4"/>
      <c r="E708" s="28"/>
      <c r="F708" s="28"/>
      <c r="G708" s="28"/>
      <c r="H708" s="4"/>
      <c r="I708" s="28"/>
      <c r="J708" s="28"/>
      <c r="K708" s="28"/>
      <c r="L708" s="4"/>
      <c r="M708" s="28"/>
      <c r="N708" s="28"/>
      <c r="O708" s="28"/>
      <c r="P708" s="4"/>
      <c r="Q708" s="28"/>
      <c r="R708" s="28"/>
      <c r="S708" s="28"/>
      <c r="T708" s="4"/>
      <c r="U708" s="4"/>
      <c r="V708" s="4"/>
      <c r="W708" s="4"/>
      <c r="X708" s="4"/>
      <c r="Y708" s="4"/>
      <c r="Z708" s="4"/>
    </row>
    <row r="709" ht="12.75" customHeight="1">
      <c r="A709" s="28"/>
      <c r="B709" s="28"/>
      <c r="C709" s="28"/>
      <c r="D709" s="4"/>
      <c r="E709" s="28"/>
      <c r="F709" s="28"/>
      <c r="G709" s="28"/>
      <c r="H709" s="4"/>
      <c r="I709" s="28"/>
      <c r="J709" s="28"/>
      <c r="K709" s="28"/>
      <c r="L709" s="4"/>
      <c r="M709" s="28"/>
      <c r="N709" s="28"/>
      <c r="O709" s="28"/>
      <c r="P709" s="4"/>
      <c r="Q709" s="28"/>
      <c r="R709" s="28"/>
      <c r="S709" s="28"/>
      <c r="T709" s="4"/>
      <c r="U709" s="4"/>
      <c r="V709" s="4"/>
      <c r="W709" s="4"/>
      <c r="X709" s="4"/>
      <c r="Y709" s="4"/>
      <c r="Z709" s="4"/>
    </row>
    <row r="710" ht="12.75" customHeight="1">
      <c r="A710" s="28"/>
      <c r="B710" s="28"/>
      <c r="C710" s="28"/>
      <c r="D710" s="4"/>
      <c r="E710" s="28"/>
      <c r="F710" s="28"/>
      <c r="G710" s="28"/>
      <c r="H710" s="4"/>
      <c r="I710" s="28"/>
      <c r="J710" s="28"/>
      <c r="K710" s="28"/>
      <c r="L710" s="4"/>
      <c r="M710" s="28"/>
      <c r="N710" s="28"/>
      <c r="O710" s="28"/>
      <c r="P710" s="4"/>
      <c r="Q710" s="28"/>
      <c r="R710" s="28"/>
      <c r="S710" s="28"/>
      <c r="T710" s="4"/>
      <c r="U710" s="4"/>
      <c r="V710" s="4"/>
      <c r="W710" s="4"/>
      <c r="X710" s="4"/>
      <c r="Y710" s="4"/>
      <c r="Z710" s="4"/>
    </row>
    <row r="711" ht="12.75" customHeight="1">
      <c r="A711" s="28"/>
      <c r="B711" s="28"/>
      <c r="C711" s="28"/>
      <c r="D711" s="4"/>
      <c r="E711" s="28"/>
      <c r="F711" s="28"/>
      <c r="G711" s="28"/>
      <c r="H711" s="4"/>
      <c r="I711" s="28"/>
      <c r="J711" s="28"/>
      <c r="K711" s="28"/>
      <c r="L711" s="4"/>
      <c r="M711" s="28"/>
      <c r="N711" s="28"/>
      <c r="O711" s="28"/>
      <c r="P711" s="4"/>
      <c r="Q711" s="28"/>
      <c r="R711" s="28"/>
      <c r="S711" s="28"/>
      <c r="T711" s="4"/>
      <c r="U711" s="4"/>
      <c r="V711" s="4"/>
      <c r="W711" s="4"/>
      <c r="X711" s="4"/>
      <c r="Y711" s="4"/>
      <c r="Z711" s="4"/>
    </row>
    <row r="712" ht="12.75" customHeight="1">
      <c r="A712" s="28"/>
      <c r="B712" s="28"/>
      <c r="C712" s="28"/>
      <c r="D712" s="4"/>
      <c r="E712" s="28"/>
      <c r="F712" s="28"/>
      <c r="G712" s="28"/>
      <c r="H712" s="4"/>
      <c r="I712" s="28"/>
      <c r="J712" s="28"/>
      <c r="K712" s="28"/>
      <c r="L712" s="4"/>
      <c r="M712" s="28"/>
      <c r="N712" s="28"/>
      <c r="O712" s="28"/>
      <c r="P712" s="4"/>
      <c r="Q712" s="28"/>
      <c r="R712" s="28"/>
      <c r="S712" s="28"/>
      <c r="T712" s="4"/>
      <c r="U712" s="4"/>
      <c r="V712" s="4"/>
      <c r="W712" s="4"/>
      <c r="X712" s="4"/>
      <c r="Y712" s="4"/>
      <c r="Z712" s="4"/>
    </row>
    <row r="713" ht="12.75" customHeight="1">
      <c r="A713" s="28"/>
      <c r="B713" s="28"/>
      <c r="C713" s="28"/>
      <c r="D713" s="4"/>
      <c r="E713" s="28"/>
      <c r="F713" s="28"/>
      <c r="G713" s="28"/>
      <c r="H713" s="4"/>
      <c r="I713" s="28"/>
      <c r="J713" s="28"/>
      <c r="K713" s="28"/>
      <c r="L713" s="4"/>
      <c r="M713" s="28"/>
      <c r="N713" s="28"/>
      <c r="O713" s="28"/>
      <c r="P713" s="4"/>
      <c r="Q713" s="28"/>
      <c r="R713" s="28"/>
      <c r="S713" s="28"/>
      <c r="T713" s="4"/>
      <c r="U713" s="4"/>
      <c r="V713" s="4"/>
      <c r="W713" s="4"/>
      <c r="X713" s="4"/>
      <c r="Y713" s="4"/>
      <c r="Z713" s="4"/>
    </row>
    <row r="714" ht="12.75" customHeight="1">
      <c r="A714" s="28"/>
      <c r="B714" s="28"/>
      <c r="C714" s="28"/>
      <c r="D714" s="4"/>
      <c r="E714" s="28"/>
      <c r="F714" s="28"/>
      <c r="G714" s="28"/>
      <c r="H714" s="4"/>
      <c r="I714" s="28"/>
      <c r="J714" s="28"/>
      <c r="K714" s="28"/>
      <c r="L714" s="4"/>
      <c r="M714" s="28"/>
      <c r="N714" s="28"/>
      <c r="O714" s="28"/>
      <c r="P714" s="4"/>
      <c r="Q714" s="28"/>
      <c r="R714" s="28"/>
      <c r="S714" s="28"/>
      <c r="T714" s="4"/>
      <c r="U714" s="4"/>
      <c r="V714" s="4"/>
      <c r="W714" s="4"/>
      <c r="X714" s="4"/>
      <c r="Y714" s="4"/>
      <c r="Z714" s="4"/>
    </row>
    <row r="715" ht="12.75" customHeight="1">
      <c r="A715" s="28"/>
      <c r="B715" s="28"/>
      <c r="C715" s="28"/>
      <c r="D715" s="4"/>
      <c r="E715" s="28"/>
      <c r="F715" s="28"/>
      <c r="G715" s="28"/>
      <c r="H715" s="4"/>
      <c r="I715" s="28"/>
      <c r="J715" s="28"/>
      <c r="K715" s="28"/>
      <c r="L715" s="4"/>
      <c r="M715" s="28"/>
      <c r="N715" s="28"/>
      <c r="O715" s="28"/>
      <c r="P715" s="4"/>
      <c r="Q715" s="28"/>
      <c r="R715" s="28"/>
      <c r="S715" s="28"/>
      <c r="T715" s="4"/>
      <c r="U715" s="4"/>
      <c r="V715" s="4"/>
      <c r="W715" s="4"/>
      <c r="X715" s="4"/>
      <c r="Y715" s="4"/>
      <c r="Z715" s="4"/>
    </row>
    <row r="716" ht="12.75" customHeight="1">
      <c r="A716" s="28"/>
      <c r="B716" s="28"/>
      <c r="C716" s="28"/>
      <c r="D716" s="4"/>
      <c r="E716" s="28"/>
      <c r="F716" s="28"/>
      <c r="G716" s="28"/>
      <c r="H716" s="4"/>
      <c r="I716" s="28"/>
      <c r="J716" s="28"/>
      <c r="K716" s="28"/>
      <c r="L716" s="4"/>
      <c r="M716" s="28"/>
      <c r="N716" s="28"/>
      <c r="O716" s="28"/>
      <c r="P716" s="4"/>
      <c r="Q716" s="28"/>
      <c r="R716" s="28"/>
      <c r="S716" s="28"/>
      <c r="T716" s="4"/>
      <c r="U716" s="4"/>
      <c r="V716" s="4"/>
      <c r="W716" s="4"/>
      <c r="X716" s="4"/>
      <c r="Y716" s="4"/>
      <c r="Z716" s="4"/>
    </row>
    <row r="717" ht="12.75" customHeight="1">
      <c r="A717" s="28"/>
      <c r="B717" s="28"/>
      <c r="C717" s="28"/>
      <c r="D717" s="4"/>
      <c r="E717" s="28"/>
      <c r="F717" s="28"/>
      <c r="G717" s="28"/>
      <c r="H717" s="4"/>
      <c r="I717" s="28"/>
      <c r="J717" s="28"/>
      <c r="K717" s="28"/>
      <c r="L717" s="4"/>
      <c r="M717" s="28"/>
      <c r="N717" s="28"/>
      <c r="O717" s="28"/>
      <c r="P717" s="4"/>
      <c r="Q717" s="28"/>
      <c r="R717" s="28"/>
      <c r="S717" s="28"/>
      <c r="T717" s="4"/>
      <c r="U717" s="4"/>
      <c r="V717" s="4"/>
      <c r="W717" s="4"/>
      <c r="X717" s="4"/>
      <c r="Y717" s="4"/>
      <c r="Z717" s="4"/>
    </row>
    <row r="718" ht="12.75" customHeight="1">
      <c r="A718" s="28"/>
      <c r="B718" s="28"/>
      <c r="C718" s="28"/>
      <c r="D718" s="4"/>
      <c r="E718" s="28"/>
      <c r="F718" s="28"/>
      <c r="G718" s="28"/>
      <c r="H718" s="4"/>
      <c r="I718" s="28"/>
      <c r="J718" s="28"/>
      <c r="K718" s="28"/>
      <c r="L718" s="4"/>
      <c r="M718" s="28"/>
      <c r="N718" s="28"/>
      <c r="O718" s="28"/>
      <c r="P718" s="4"/>
      <c r="Q718" s="28"/>
      <c r="R718" s="28"/>
      <c r="S718" s="28"/>
      <c r="T718" s="4"/>
      <c r="U718" s="4"/>
      <c r="V718" s="4"/>
      <c r="W718" s="4"/>
      <c r="X718" s="4"/>
      <c r="Y718" s="4"/>
      <c r="Z718" s="4"/>
    </row>
    <row r="719" ht="12.75" customHeight="1">
      <c r="A719" s="28"/>
      <c r="B719" s="28"/>
      <c r="C719" s="28"/>
      <c r="D719" s="4"/>
      <c r="E719" s="28"/>
      <c r="F719" s="28"/>
      <c r="G719" s="28"/>
      <c r="H719" s="4"/>
      <c r="I719" s="28"/>
      <c r="J719" s="28"/>
      <c r="K719" s="28"/>
      <c r="L719" s="4"/>
      <c r="M719" s="28"/>
      <c r="N719" s="28"/>
      <c r="O719" s="28"/>
      <c r="P719" s="4"/>
      <c r="Q719" s="28"/>
      <c r="R719" s="28"/>
      <c r="S719" s="28"/>
      <c r="T719" s="4"/>
      <c r="U719" s="4"/>
      <c r="V719" s="4"/>
      <c r="W719" s="4"/>
      <c r="X719" s="4"/>
      <c r="Y719" s="4"/>
      <c r="Z719" s="4"/>
    </row>
    <row r="720" ht="12.75" customHeight="1">
      <c r="A720" s="28"/>
      <c r="B720" s="28"/>
      <c r="C720" s="28"/>
      <c r="D720" s="4"/>
      <c r="E720" s="28"/>
      <c r="F720" s="28"/>
      <c r="G720" s="28"/>
      <c r="H720" s="4"/>
      <c r="I720" s="28"/>
      <c r="J720" s="28"/>
      <c r="K720" s="28"/>
      <c r="L720" s="4"/>
      <c r="M720" s="28"/>
      <c r="N720" s="28"/>
      <c r="O720" s="28"/>
      <c r="P720" s="4"/>
      <c r="Q720" s="28"/>
      <c r="R720" s="28"/>
      <c r="S720" s="28"/>
      <c r="T720" s="4"/>
      <c r="U720" s="4"/>
      <c r="V720" s="4"/>
      <c r="W720" s="4"/>
      <c r="X720" s="4"/>
      <c r="Y720" s="4"/>
      <c r="Z720" s="4"/>
    </row>
    <row r="721" ht="12.75" customHeight="1">
      <c r="A721" s="28"/>
      <c r="B721" s="28"/>
      <c r="C721" s="28"/>
      <c r="D721" s="4"/>
      <c r="E721" s="28"/>
      <c r="F721" s="28"/>
      <c r="G721" s="28"/>
      <c r="H721" s="4"/>
      <c r="I721" s="28"/>
      <c r="J721" s="28"/>
      <c r="K721" s="28"/>
      <c r="L721" s="4"/>
      <c r="M721" s="28"/>
      <c r="N721" s="28"/>
      <c r="O721" s="28"/>
      <c r="P721" s="4"/>
      <c r="Q721" s="28"/>
      <c r="R721" s="28"/>
      <c r="S721" s="28"/>
      <c r="T721" s="4"/>
      <c r="U721" s="4"/>
      <c r="V721" s="4"/>
      <c r="W721" s="4"/>
      <c r="X721" s="4"/>
      <c r="Y721" s="4"/>
      <c r="Z721" s="4"/>
    </row>
    <row r="722" ht="12.75" customHeight="1">
      <c r="A722" s="28"/>
      <c r="B722" s="28"/>
      <c r="C722" s="28"/>
      <c r="D722" s="4"/>
      <c r="E722" s="28"/>
      <c r="F722" s="28"/>
      <c r="G722" s="28"/>
      <c r="H722" s="4"/>
      <c r="I722" s="28"/>
      <c r="J722" s="28"/>
      <c r="K722" s="28"/>
      <c r="L722" s="4"/>
      <c r="M722" s="28"/>
      <c r="N722" s="28"/>
      <c r="O722" s="28"/>
      <c r="P722" s="4"/>
      <c r="Q722" s="28"/>
      <c r="R722" s="28"/>
      <c r="S722" s="28"/>
      <c r="T722" s="4"/>
      <c r="U722" s="4"/>
      <c r="V722" s="4"/>
      <c r="W722" s="4"/>
      <c r="X722" s="4"/>
      <c r="Y722" s="4"/>
      <c r="Z722" s="4"/>
    </row>
    <row r="723" ht="12.75" customHeight="1">
      <c r="A723" s="28"/>
      <c r="B723" s="28"/>
      <c r="C723" s="28"/>
      <c r="D723" s="4"/>
      <c r="E723" s="28"/>
      <c r="F723" s="28"/>
      <c r="G723" s="28"/>
      <c r="H723" s="4"/>
      <c r="I723" s="28"/>
      <c r="J723" s="28"/>
      <c r="K723" s="28"/>
      <c r="L723" s="4"/>
      <c r="M723" s="28"/>
      <c r="N723" s="28"/>
      <c r="O723" s="28"/>
      <c r="P723" s="4"/>
      <c r="Q723" s="28"/>
      <c r="R723" s="28"/>
      <c r="S723" s="28"/>
      <c r="T723" s="4"/>
      <c r="U723" s="4"/>
      <c r="V723" s="4"/>
      <c r="W723" s="4"/>
      <c r="X723" s="4"/>
      <c r="Y723" s="4"/>
      <c r="Z723" s="4"/>
    </row>
    <row r="724" ht="12.75" customHeight="1">
      <c r="A724" s="28"/>
      <c r="B724" s="28"/>
      <c r="C724" s="28"/>
      <c r="D724" s="4"/>
      <c r="E724" s="28"/>
      <c r="F724" s="28"/>
      <c r="G724" s="28"/>
      <c r="H724" s="4"/>
      <c r="I724" s="28"/>
      <c r="J724" s="28"/>
      <c r="K724" s="28"/>
      <c r="L724" s="4"/>
      <c r="M724" s="28"/>
      <c r="N724" s="28"/>
      <c r="O724" s="28"/>
      <c r="P724" s="4"/>
      <c r="Q724" s="28"/>
      <c r="R724" s="28"/>
      <c r="S724" s="28"/>
      <c r="T724" s="4"/>
      <c r="U724" s="4"/>
      <c r="V724" s="4"/>
      <c r="W724" s="4"/>
      <c r="X724" s="4"/>
      <c r="Y724" s="4"/>
      <c r="Z724" s="4"/>
    </row>
    <row r="725" ht="12.75" customHeight="1">
      <c r="A725" s="28"/>
      <c r="B725" s="28"/>
      <c r="C725" s="28"/>
      <c r="D725" s="4"/>
      <c r="E725" s="28"/>
      <c r="F725" s="28"/>
      <c r="G725" s="28"/>
      <c r="H725" s="4"/>
      <c r="I725" s="28"/>
      <c r="J725" s="28"/>
      <c r="K725" s="28"/>
      <c r="L725" s="4"/>
      <c r="M725" s="28"/>
      <c r="N725" s="28"/>
      <c r="O725" s="28"/>
      <c r="P725" s="4"/>
      <c r="Q725" s="28"/>
      <c r="R725" s="28"/>
      <c r="S725" s="28"/>
      <c r="T725" s="4"/>
      <c r="U725" s="4"/>
      <c r="V725" s="4"/>
      <c r="W725" s="4"/>
      <c r="X725" s="4"/>
      <c r="Y725" s="4"/>
      <c r="Z725" s="4"/>
    </row>
    <row r="726" ht="12.75" customHeight="1">
      <c r="A726" s="28"/>
      <c r="B726" s="28"/>
      <c r="C726" s="28"/>
      <c r="D726" s="4"/>
      <c r="E726" s="28"/>
      <c r="F726" s="28"/>
      <c r="G726" s="28"/>
      <c r="H726" s="4"/>
      <c r="I726" s="28"/>
      <c r="J726" s="28"/>
      <c r="K726" s="28"/>
      <c r="L726" s="4"/>
      <c r="M726" s="28"/>
      <c r="N726" s="28"/>
      <c r="O726" s="28"/>
      <c r="P726" s="4"/>
      <c r="Q726" s="28"/>
      <c r="R726" s="28"/>
      <c r="S726" s="28"/>
      <c r="T726" s="4"/>
      <c r="U726" s="4"/>
      <c r="V726" s="4"/>
      <c r="W726" s="4"/>
      <c r="X726" s="4"/>
      <c r="Y726" s="4"/>
      <c r="Z726" s="4"/>
    </row>
    <row r="727" ht="12.75" customHeight="1">
      <c r="A727" s="28"/>
      <c r="B727" s="28"/>
      <c r="C727" s="28"/>
      <c r="D727" s="4"/>
      <c r="E727" s="28"/>
      <c r="F727" s="28"/>
      <c r="G727" s="28"/>
      <c r="H727" s="4"/>
      <c r="I727" s="28"/>
      <c r="J727" s="28"/>
      <c r="K727" s="28"/>
      <c r="L727" s="4"/>
      <c r="M727" s="28"/>
      <c r="N727" s="28"/>
      <c r="O727" s="28"/>
      <c r="P727" s="4"/>
      <c r="Q727" s="28"/>
      <c r="R727" s="28"/>
      <c r="S727" s="28"/>
      <c r="T727" s="4"/>
      <c r="U727" s="4"/>
      <c r="V727" s="4"/>
      <c r="W727" s="4"/>
      <c r="X727" s="4"/>
      <c r="Y727" s="4"/>
      <c r="Z727" s="4"/>
    </row>
    <row r="728" ht="12.75" customHeight="1">
      <c r="A728" s="28"/>
      <c r="B728" s="28"/>
      <c r="C728" s="28"/>
      <c r="D728" s="4"/>
      <c r="E728" s="28"/>
      <c r="F728" s="28"/>
      <c r="G728" s="28"/>
      <c r="H728" s="4"/>
      <c r="I728" s="28"/>
      <c r="J728" s="28"/>
      <c r="K728" s="28"/>
      <c r="L728" s="4"/>
      <c r="M728" s="28"/>
      <c r="N728" s="28"/>
      <c r="O728" s="28"/>
      <c r="P728" s="4"/>
      <c r="Q728" s="28"/>
      <c r="R728" s="28"/>
      <c r="S728" s="28"/>
      <c r="T728" s="4"/>
      <c r="U728" s="4"/>
      <c r="V728" s="4"/>
      <c r="W728" s="4"/>
      <c r="X728" s="4"/>
      <c r="Y728" s="4"/>
      <c r="Z728" s="4"/>
    </row>
    <row r="729" ht="12.75" customHeight="1">
      <c r="A729" s="28"/>
      <c r="B729" s="28"/>
      <c r="C729" s="28"/>
      <c r="D729" s="4"/>
      <c r="E729" s="28"/>
      <c r="F729" s="28"/>
      <c r="G729" s="28"/>
      <c r="H729" s="4"/>
      <c r="I729" s="28"/>
      <c r="J729" s="28"/>
      <c r="K729" s="28"/>
      <c r="L729" s="4"/>
      <c r="M729" s="28"/>
      <c r="N729" s="28"/>
      <c r="O729" s="28"/>
      <c r="P729" s="4"/>
      <c r="Q729" s="28"/>
      <c r="R729" s="28"/>
      <c r="S729" s="28"/>
      <c r="T729" s="4"/>
      <c r="U729" s="4"/>
      <c r="V729" s="4"/>
      <c r="W729" s="4"/>
      <c r="X729" s="4"/>
      <c r="Y729" s="4"/>
      <c r="Z729" s="4"/>
    </row>
    <row r="730" ht="12.75" customHeight="1">
      <c r="A730" s="28"/>
      <c r="B730" s="28"/>
      <c r="C730" s="28"/>
      <c r="D730" s="4"/>
      <c r="E730" s="28"/>
      <c r="F730" s="28"/>
      <c r="G730" s="28"/>
      <c r="H730" s="4"/>
      <c r="I730" s="28"/>
      <c r="J730" s="28"/>
      <c r="K730" s="28"/>
      <c r="L730" s="4"/>
      <c r="M730" s="28"/>
      <c r="N730" s="28"/>
      <c r="O730" s="28"/>
      <c r="P730" s="4"/>
      <c r="Q730" s="28"/>
      <c r="R730" s="28"/>
      <c r="S730" s="28"/>
      <c r="T730" s="4"/>
      <c r="U730" s="4"/>
      <c r="V730" s="4"/>
      <c r="W730" s="4"/>
      <c r="X730" s="4"/>
      <c r="Y730" s="4"/>
      <c r="Z730" s="4"/>
    </row>
    <row r="731" ht="12.75" customHeight="1">
      <c r="A731" s="28"/>
      <c r="B731" s="28"/>
      <c r="C731" s="28"/>
      <c r="D731" s="4"/>
      <c r="E731" s="28"/>
      <c r="F731" s="28"/>
      <c r="G731" s="28"/>
      <c r="H731" s="4"/>
      <c r="I731" s="28"/>
      <c r="J731" s="28"/>
      <c r="K731" s="28"/>
      <c r="L731" s="4"/>
      <c r="M731" s="28"/>
      <c r="N731" s="28"/>
      <c r="O731" s="28"/>
      <c r="P731" s="4"/>
      <c r="Q731" s="28"/>
      <c r="R731" s="28"/>
      <c r="S731" s="28"/>
      <c r="T731" s="4"/>
      <c r="U731" s="4"/>
      <c r="V731" s="4"/>
      <c r="W731" s="4"/>
      <c r="X731" s="4"/>
      <c r="Y731" s="4"/>
      <c r="Z731" s="4"/>
    </row>
    <row r="732" ht="12.75" customHeight="1">
      <c r="A732" s="28"/>
      <c r="B732" s="28"/>
      <c r="C732" s="28"/>
      <c r="D732" s="4"/>
      <c r="E732" s="28"/>
      <c r="F732" s="28"/>
      <c r="G732" s="28"/>
      <c r="H732" s="4"/>
      <c r="I732" s="28"/>
      <c r="J732" s="28"/>
      <c r="K732" s="28"/>
      <c r="L732" s="4"/>
      <c r="M732" s="28"/>
      <c r="N732" s="28"/>
      <c r="O732" s="28"/>
      <c r="P732" s="4"/>
      <c r="Q732" s="28"/>
      <c r="R732" s="28"/>
      <c r="S732" s="28"/>
      <c r="T732" s="4"/>
      <c r="U732" s="4"/>
      <c r="V732" s="4"/>
      <c r="W732" s="4"/>
      <c r="X732" s="4"/>
      <c r="Y732" s="4"/>
      <c r="Z732" s="4"/>
    </row>
    <row r="733" ht="12.75" customHeight="1">
      <c r="A733" s="28"/>
      <c r="B733" s="28"/>
      <c r="C733" s="28"/>
      <c r="D733" s="4"/>
      <c r="E733" s="28"/>
      <c r="F733" s="28"/>
      <c r="G733" s="28"/>
      <c r="H733" s="4"/>
      <c r="I733" s="28"/>
      <c r="J733" s="28"/>
      <c r="K733" s="28"/>
      <c r="L733" s="4"/>
      <c r="M733" s="28"/>
      <c r="N733" s="28"/>
      <c r="O733" s="28"/>
      <c r="P733" s="4"/>
      <c r="Q733" s="28"/>
      <c r="R733" s="28"/>
      <c r="S733" s="28"/>
      <c r="T733" s="4"/>
      <c r="U733" s="4"/>
      <c r="V733" s="4"/>
      <c r="W733" s="4"/>
      <c r="X733" s="4"/>
      <c r="Y733" s="4"/>
      <c r="Z733" s="4"/>
    </row>
    <row r="734" ht="12.75" customHeight="1">
      <c r="A734" s="28"/>
      <c r="B734" s="28"/>
      <c r="C734" s="28"/>
      <c r="D734" s="4"/>
      <c r="E734" s="28"/>
      <c r="F734" s="28"/>
      <c r="G734" s="28"/>
      <c r="H734" s="4"/>
      <c r="I734" s="28"/>
      <c r="J734" s="28"/>
      <c r="K734" s="28"/>
      <c r="L734" s="4"/>
      <c r="M734" s="28"/>
      <c r="N734" s="28"/>
      <c r="O734" s="28"/>
      <c r="P734" s="4"/>
      <c r="Q734" s="28"/>
      <c r="R734" s="28"/>
      <c r="S734" s="28"/>
      <c r="T734" s="4"/>
      <c r="U734" s="4"/>
      <c r="V734" s="4"/>
      <c r="W734" s="4"/>
      <c r="X734" s="4"/>
      <c r="Y734" s="4"/>
      <c r="Z734" s="4"/>
    </row>
    <row r="735" ht="12.75" customHeight="1">
      <c r="A735" s="28"/>
      <c r="B735" s="28"/>
      <c r="C735" s="28"/>
      <c r="D735" s="4"/>
      <c r="E735" s="28"/>
      <c r="F735" s="28"/>
      <c r="G735" s="28"/>
      <c r="H735" s="4"/>
      <c r="I735" s="28"/>
      <c r="J735" s="28"/>
      <c r="K735" s="28"/>
      <c r="L735" s="4"/>
      <c r="M735" s="28"/>
      <c r="N735" s="28"/>
      <c r="O735" s="28"/>
      <c r="P735" s="4"/>
      <c r="Q735" s="28"/>
      <c r="R735" s="28"/>
      <c r="S735" s="28"/>
      <c r="T735" s="4"/>
      <c r="U735" s="4"/>
      <c r="V735" s="4"/>
      <c r="W735" s="4"/>
      <c r="X735" s="4"/>
      <c r="Y735" s="4"/>
      <c r="Z735" s="4"/>
    </row>
    <row r="736" ht="12.75" customHeight="1">
      <c r="A736" s="28"/>
      <c r="B736" s="28"/>
      <c r="C736" s="28"/>
      <c r="D736" s="4"/>
      <c r="E736" s="28"/>
      <c r="F736" s="28"/>
      <c r="G736" s="28"/>
      <c r="H736" s="4"/>
      <c r="I736" s="28"/>
      <c r="J736" s="28"/>
      <c r="K736" s="28"/>
      <c r="L736" s="4"/>
      <c r="M736" s="28"/>
      <c r="N736" s="28"/>
      <c r="O736" s="28"/>
      <c r="P736" s="4"/>
      <c r="Q736" s="28"/>
      <c r="R736" s="28"/>
      <c r="S736" s="28"/>
      <c r="T736" s="4"/>
      <c r="U736" s="4"/>
      <c r="V736" s="4"/>
      <c r="W736" s="4"/>
      <c r="X736" s="4"/>
      <c r="Y736" s="4"/>
      <c r="Z736" s="4"/>
    </row>
    <row r="737" ht="12.75" customHeight="1">
      <c r="A737" s="28"/>
      <c r="B737" s="28"/>
      <c r="C737" s="28"/>
      <c r="D737" s="4"/>
      <c r="E737" s="28"/>
      <c r="F737" s="28"/>
      <c r="G737" s="28"/>
      <c r="H737" s="4"/>
      <c r="I737" s="28"/>
      <c r="J737" s="28"/>
      <c r="K737" s="28"/>
      <c r="L737" s="4"/>
      <c r="M737" s="28"/>
      <c r="N737" s="28"/>
      <c r="O737" s="28"/>
      <c r="P737" s="4"/>
      <c r="Q737" s="28"/>
      <c r="R737" s="28"/>
      <c r="S737" s="28"/>
      <c r="T737" s="4"/>
      <c r="U737" s="4"/>
      <c r="V737" s="4"/>
      <c r="W737" s="4"/>
      <c r="X737" s="4"/>
      <c r="Y737" s="4"/>
      <c r="Z737" s="4"/>
    </row>
    <row r="738" ht="12.75" customHeight="1">
      <c r="A738" s="28"/>
      <c r="B738" s="28"/>
      <c r="C738" s="28"/>
      <c r="D738" s="4"/>
      <c r="E738" s="28"/>
      <c r="F738" s="28"/>
      <c r="G738" s="28"/>
      <c r="H738" s="4"/>
      <c r="I738" s="28"/>
      <c r="J738" s="28"/>
      <c r="K738" s="28"/>
      <c r="L738" s="4"/>
      <c r="M738" s="28"/>
      <c r="N738" s="28"/>
      <c r="O738" s="28"/>
      <c r="P738" s="4"/>
      <c r="Q738" s="28"/>
      <c r="R738" s="28"/>
      <c r="S738" s="28"/>
      <c r="T738" s="4"/>
      <c r="U738" s="4"/>
      <c r="V738" s="4"/>
      <c r="W738" s="4"/>
      <c r="X738" s="4"/>
      <c r="Y738" s="4"/>
      <c r="Z738" s="4"/>
    </row>
    <row r="739" ht="12.75" customHeight="1">
      <c r="A739" s="28"/>
      <c r="B739" s="28"/>
      <c r="C739" s="28"/>
      <c r="D739" s="4"/>
      <c r="E739" s="28"/>
      <c r="F739" s="28"/>
      <c r="G739" s="28"/>
      <c r="H739" s="4"/>
      <c r="I739" s="28"/>
      <c r="J739" s="28"/>
      <c r="K739" s="28"/>
      <c r="L739" s="4"/>
      <c r="M739" s="28"/>
      <c r="N739" s="28"/>
      <c r="O739" s="28"/>
      <c r="P739" s="4"/>
      <c r="Q739" s="28"/>
      <c r="R739" s="28"/>
      <c r="S739" s="28"/>
      <c r="T739" s="4"/>
      <c r="U739" s="4"/>
      <c r="V739" s="4"/>
      <c r="W739" s="4"/>
      <c r="X739" s="4"/>
      <c r="Y739" s="4"/>
      <c r="Z739" s="4"/>
    </row>
    <row r="740" ht="12.75" customHeight="1">
      <c r="A740" s="28"/>
      <c r="B740" s="28"/>
      <c r="C740" s="28"/>
      <c r="D740" s="4"/>
      <c r="E740" s="28"/>
      <c r="F740" s="28"/>
      <c r="G740" s="28"/>
      <c r="H740" s="4"/>
      <c r="I740" s="28"/>
      <c r="J740" s="28"/>
      <c r="K740" s="28"/>
      <c r="L740" s="4"/>
      <c r="M740" s="28"/>
      <c r="N740" s="28"/>
      <c r="O740" s="28"/>
      <c r="P740" s="4"/>
      <c r="Q740" s="28"/>
      <c r="R740" s="28"/>
      <c r="S740" s="28"/>
      <c r="T740" s="4"/>
      <c r="U740" s="4"/>
      <c r="V740" s="4"/>
      <c r="W740" s="4"/>
      <c r="X740" s="4"/>
      <c r="Y740" s="4"/>
      <c r="Z740" s="4"/>
    </row>
    <row r="741" ht="12.75" customHeight="1">
      <c r="A741" s="28"/>
      <c r="B741" s="28"/>
      <c r="C741" s="28"/>
      <c r="D741" s="4"/>
      <c r="E741" s="28"/>
      <c r="F741" s="28"/>
      <c r="G741" s="28"/>
      <c r="H741" s="4"/>
      <c r="I741" s="28"/>
      <c r="J741" s="28"/>
      <c r="K741" s="28"/>
      <c r="L741" s="4"/>
      <c r="M741" s="28"/>
      <c r="N741" s="28"/>
      <c r="O741" s="28"/>
      <c r="P741" s="4"/>
      <c r="Q741" s="28"/>
      <c r="R741" s="28"/>
      <c r="S741" s="28"/>
      <c r="T741" s="4"/>
      <c r="U741" s="4"/>
      <c r="V741" s="4"/>
      <c r="W741" s="4"/>
      <c r="X741" s="4"/>
      <c r="Y741" s="4"/>
      <c r="Z741" s="4"/>
    </row>
    <row r="742" ht="12.75" customHeight="1">
      <c r="A742" s="28"/>
      <c r="B742" s="28"/>
      <c r="C742" s="28"/>
      <c r="D742" s="4"/>
      <c r="E742" s="28"/>
      <c r="F742" s="28"/>
      <c r="G742" s="28"/>
      <c r="H742" s="4"/>
      <c r="I742" s="28"/>
      <c r="J742" s="28"/>
      <c r="K742" s="28"/>
      <c r="L742" s="4"/>
      <c r="M742" s="28"/>
      <c r="N742" s="28"/>
      <c r="O742" s="28"/>
      <c r="P742" s="4"/>
      <c r="Q742" s="28"/>
      <c r="R742" s="28"/>
      <c r="S742" s="28"/>
      <c r="T742" s="4"/>
      <c r="U742" s="4"/>
      <c r="V742" s="4"/>
      <c r="W742" s="4"/>
      <c r="X742" s="4"/>
      <c r="Y742" s="4"/>
      <c r="Z742" s="4"/>
    </row>
    <row r="743" ht="12.75" customHeight="1">
      <c r="A743" s="28"/>
      <c r="B743" s="28"/>
      <c r="C743" s="28"/>
      <c r="D743" s="4"/>
      <c r="E743" s="28"/>
      <c r="F743" s="28"/>
      <c r="G743" s="28"/>
      <c r="H743" s="4"/>
      <c r="I743" s="28"/>
      <c r="J743" s="28"/>
      <c r="K743" s="28"/>
      <c r="L743" s="4"/>
      <c r="M743" s="28"/>
      <c r="N743" s="28"/>
      <c r="O743" s="28"/>
      <c r="P743" s="4"/>
      <c r="Q743" s="28"/>
      <c r="R743" s="28"/>
      <c r="S743" s="28"/>
      <c r="T743" s="4"/>
      <c r="U743" s="4"/>
      <c r="V743" s="4"/>
      <c r="W743" s="4"/>
      <c r="X743" s="4"/>
      <c r="Y743" s="4"/>
      <c r="Z743" s="4"/>
    </row>
    <row r="744" ht="12.75" customHeight="1">
      <c r="A744" s="28"/>
      <c r="B744" s="28"/>
      <c r="C744" s="28"/>
      <c r="D744" s="4"/>
      <c r="E744" s="28"/>
      <c r="F744" s="28"/>
      <c r="G744" s="28"/>
      <c r="H744" s="4"/>
      <c r="I744" s="28"/>
      <c r="J744" s="28"/>
      <c r="K744" s="28"/>
      <c r="L744" s="4"/>
      <c r="M744" s="28"/>
      <c r="N744" s="28"/>
      <c r="O744" s="28"/>
      <c r="P744" s="4"/>
      <c r="Q744" s="28"/>
      <c r="R744" s="28"/>
      <c r="S744" s="28"/>
      <c r="T744" s="4"/>
      <c r="U744" s="4"/>
      <c r="V744" s="4"/>
      <c r="W744" s="4"/>
      <c r="X744" s="4"/>
      <c r="Y744" s="4"/>
      <c r="Z744" s="4"/>
    </row>
    <row r="745" ht="12.75" customHeight="1">
      <c r="A745" s="28"/>
      <c r="B745" s="28"/>
      <c r="C745" s="28"/>
      <c r="D745" s="4"/>
      <c r="E745" s="28"/>
      <c r="F745" s="28"/>
      <c r="G745" s="28"/>
      <c r="H745" s="4"/>
      <c r="I745" s="28"/>
      <c r="J745" s="28"/>
      <c r="K745" s="28"/>
      <c r="L745" s="4"/>
      <c r="M745" s="28"/>
      <c r="N745" s="28"/>
      <c r="O745" s="28"/>
      <c r="P745" s="4"/>
      <c r="Q745" s="28"/>
      <c r="R745" s="28"/>
      <c r="S745" s="28"/>
      <c r="T745" s="4"/>
      <c r="U745" s="4"/>
      <c r="V745" s="4"/>
      <c r="W745" s="4"/>
      <c r="X745" s="4"/>
      <c r="Y745" s="4"/>
      <c r="Z745" s="4"/>
    </row>
    <row r="746" ht="12.75" customHeight="1">
      <c r="A746" s="28"/>
      <c r="B746" s="28"/>
      <c r="C746" s="28"/>
      <c r="D746" s="4"/>
      <c r="E746" s="28"/>
      <c r="F746" s="28"/>
      <c r="G746" s="28"/>
      <c r="H746" s="4"/>
      <c r="I746" s="28"/>
      <c r="J746" s="28"/>
      <c r="K746" s="28"/>
      <c r="L746" s="4"/>
      <c r="M746" s="28"/>
      <c r="N746" s="28"/>
      <c r="O746" s="28"/>
      <c r="P746" s="4"/>
      <c r="Q746" s="28"/>
      <c r="R746" s="28"/>
      <c r="S746" s="28"/>
      <c r="T746" s="4"/>
      <c r="U746" s="4"/>
      <c r="V746" s="4"/>
      <c r="W746" s="4"/>
      <c r="X746" s="4"/>
      <c r="Y746" s="4"/>
      <c r="Z746" s="4"/>
    </row>
    <row r="747" ht="12.75" customHeight="1">
      <c r="A747" s="28"/>
      <c r="B747" s="28"/>
      <c r="C747" s="28"/>
      <c r="D747" s="4"/>
      <c r="E747" s="28"/>
      <c r="F747" s="28"/>
      <c r="G747" s="28"/>
      <c r="H747" s="4"/>
      <c r="I747" s="28"/>
      <c r="J747" s="28"/>
      <c r="K747" s="28"/>
      <c r="L747" s="4"/>
      <c r="M747" s="28"/>
      <c r="N747" s="28"/>
      <c r="O747" s="28"/>
      <c r="P747" s="4"/>
      <c r="Q747" s="28"/>
      <c r="R747" s="28"/>
      <c r="S747" s="28"/>
      <c r="T747" s="4"/>
      <c r="U747" s="4"/>
      <c r="V747" s="4"/>
      <c r="W747" s="4"/>
      <c r="X747" s="4"/>
      <c r="Y747" s="4"/>
      <c r="Z747" s="4"/>
    </row>
    <row r="748" ht="12.75" customHeight="1">
      <c r="A748" s="28"/>
      <c r="B748" s="28"/>
      <c r="C748" s="28"/>
      <c r="D748" s="4"/>
      <c r="E748" s="28"/>
      <c r="F748" s="28"/>
      <c r="G748" s="28"/>
      <c r="H748" s="4"/>
      <c r="I748" s="28"/>
      <c r="J748" s="28"/>
      <c r="K748" s="28"/>
      <c r="L748" s="4"/>
      <c r="M748" s="28"/>
      <c r="N748" s="28"/>
      <c r="O748" s="28"/>
      <c r="P748" s="4"/>
      <c r="Q748" s="28"/>
      <c r="R748" s="28"/>
      <c r="S748" s="28"/>
      <c r="T748" s="4"/>
      <c r="U748" s="4"/>
      <c r="V748" s="4"/>
      <c r="W748" s="4"/>
      <c r="X748" s="4"/>
      <c r="Y748" s="4"/>
      <c r="Z748" s="4"/>
    </row>
    <row r="749" ht="12.75" customHeight="1">
      <c r="A749" s="28"/>
      <c r="B749" s="28"/>
      <c r="C749" s="28"/>
      <c r="D749" s="4"/>
      <c r="E749" s="28"/>
      <c r="F749" s="28"/>
      <c r="G749" s="28"/>
      <c r="H749" s="4"/>
      <c r="I749" s="28"/>
      <c r="J749" s="28"/>
      <c r="K749" s="28"/>
      <c r="L749" s="4"/>
      <c r="M749" s="28"/>
      <c r="N749" s="28"/>
      <c r="O749" s="28"/>
      <c r="P749" s="4"/>
      <c r="Q749" s="28"/>
      <c r="R749" s="28"/>
      <c r="S749" s="28"/>
      <c r="T749" s="4"/>
      <c r="U749" s="4"/>
      <c r="V749" s="4"/>
      <c r="W749" s="4"/>
      <c r="X749" s="4"/>
      <c r="Y749" s="4"/>
      <c r="Z749" s="4"/>
    </row>
    <row r="750" ht="12.75" customHeight="1">
      <c r="A750" s="28"/>
      <c r="B750" s="28"/>
      <c r="C750" s="28"/>
      <c r="D750" s="4"/>
      <c r="E750" s="28"/>
      <c r="F750" s="28"/>
      <c r="G750" s="28"/>
      <c r="H750" s="4"/>
      <c r="I750" s="28"/>
      <c r="J750" s="28"/>
      <c r="K750" s="28"/>
      <c r="L750" s="4"/>
      <c r="M750" s="28"/>
      <c r="N750" s="28"/>
      <c r="O750" s="28"/>
      <c r="P750" s="4"/>
      <c r="Q750" s="28"/>
      <c r="R750" s="28"/>
      <c r="S750" s="28"/>
      <c r="T750" s="4"/>
      <c r="U750" s="4"/>
      <c r="V750" s="4"/>
      <c r="W750" s="4"/>
      <c r="X750" s="4"/>
      <c r="Y750" s="4"/>
      <c r="Z750" s="4"/>
    </row>
    <row r="751" ht="12.75" customHeight="1">
      <c r="A751" s="28"/>
      <c r="B751" s="28"/>
      <c r="C751" s="28"/>
      <c r="D751" s="4"/>
      <c r="E751" s="28"/>
      <c r="F751" s="28"/>
      <c r="G751" s="28"/>
      <c r="H751" s="4"/>
      <c r="I751" s="28"/>
      <c r="J751" s="28"/>
      <c r="K751" s="28"/>
      <c r="L751" s="4"/>
      <c r="M751" s="28"/>
      <c r="N751" s="28"/>
      <c r="O751" s="28"/>
      <c r="P751" s="4"/>
      <c r="Q751" s="28"/>
      <c r="R751" s="28"/>
      <c r="S751" s="28"/>
      <c r="T751" s="4"/>
      <c r="U751" s="4"/>
      <c r="V751" s="4"/>
      <c r="W751" s="4"/>
      <c r="X751" s="4"/>
      <c r="Y751" s="4"/>
      <c r="Z751" s="4"/>
    </row>
    <row r="752" ht="12.75" customHeight="1">
      <c r="A752" s="28"/>
      <c r="B752" s="28"/>
      <c r="C752" s="28"/>
      <c r="D752" s="4"/>
      <c r="E752" s="28"/>
      <c r="F752" s="28"/>
      <c r="G752" s="28"/>
      <c r="H752" s="4"/>
      <c r="I752" s="28"/>
      <c r="J752" s="28"/>
      <c r="K752" s="28"/>
      <c r="L752" s="4"/>
      <c r="M752" s="28"/>
      <c r="N752" s="28"/>
      <c r="O752" s="28"/>
      <c r="P752" s="4"/>
      <c r="Q752" s="28"/>
      <c r="R752" s="28"/>
      <c r="S752" s="28"/>
      <c r="T752" s="4"/>
      <c r="U752" s="4"/>
      <c r="V752" s="4"/>
      <c r="W752" s="4"/>
      <c r="X752" s="4"/>
      <c r="Y752" s="4"/>
      <c r="Z752" s="4"/>
    </row>
    <row r="753" ht="12.75" customHeight="1">
      <c r="A753" s="28"/>
      <c r="B753" s="28"/>
      <c r="C753" s="28"/>
      <c r="D753" s="4"/>
      <c r="E753" s="28"/>
      <c r="F753" s="28"/>
      <c r="G753" s="28"/>
      <c r="H753" s="4"/>
      <c r="I753" s="28"/>
      <c r="J753" s="28"/>
      <c r="K753" s="28"/>
      <c r="L753" s="4"/>
      <c r="M753" s="28"/>
      <c r="N753" s="28"/>
      <c r="O753" s="28"/>
      <c r="P753" s="4"/>
      <c r="Q753" s="28"/>
      <c r="R753" s="28"/>
      <c r="S753" s="28"/>
      <c r="T753" s="4"/>
      <c r="U753" s="4"/>
      <c r="V753" s="4"/>
      <c r="W753" s="4"/>
      <c r="X753" s="4"/>
      <c r="Y753" s="4"/>
      <c r="Z753" s="4"/>
    </row>
    <row r="754" ht="12.75" customHeight="1">
      <c r="A754" s="28"/>
      <c r="B754" s="28"/>
      <c r="C754" s="28"/>
      <c r="D754" s="4"/>
      <c r="E754" s="28"/>
      <c r="F754" s="28"/>
      <c r="G754" s="28"/>
      <c r="H754" s="4"/>
      <c r="I754" s="28"/>
      <c r="J754" s="28"/>
      <c r="K754" s="28"/>
      <c r="L754" s="4"/>
      <c r="M754" s="28"/>
      <c r="N754" s="28"/>
      <c r="O754" s="28"/>
      <c r="P754" s="4"/>
      <c r="Q754" s="28"/>
      <c r="R754" s="28"/>
      <c r="S754" s="28"/>
      <c r="T754" s="4"/>
      <c r="U754" s="4"/>
      <c r="V754" s="4"/>
      <c r="W754" s="4"/>
      <c r="X754" s="4"/>
      <c r="Y754" s="4"/>
      <c r="Z754" s="4"/>
    </row>
    <row r="755" ht="12.75" customHeight="1">
      <c r="A755" s="28"/>
      <c r="B755" s="28"/>
      <c r="C755" s="28"/>
      <c r="D755" s="4"/>
      <c r="E755" s="28"/>
      <c r="F755" s="28"/>
      <c r="G755" s="28"/>
      <c r="H755" s="4"/>
      <c r="I755" s="28"/>
      <c r="J755" s="28"/>
      <c r="K755" s="28"/>
      <c r="L755" s="4"/>
      <c r="M755" s="28"/>
      <c r="N755" s="28"/>
      <c r="O755" s="28"/>
      <c r="P755" s="4"/>
      <c r="Q755" s="28"/>
      <c r="R755" s="28"/>
      <c r="S755" s="28"/>
      <c r="T755" s="4"/>
      <c r="U755" s="4"/>
      <c r="V755" s="4"/>
      <c r="W755" s="4"/>
      <c r="X755" s="4"/>
      <c r="Y755" s="4"/>
      <c r="Z755" s="4"/>
    </row>
    <row r="756" ht="12.75" customHeight="1">
      <c r="A756" s="28"/>
      <c r="B756" s="28"/>
      <c r="C756" s="28"/>
      <c r="D756" s="4"/>
      <c r="E756" s="28"/>
      <c r="F756" s="28"/>
      <c r="G756" s="28"/>
      <c r="H756" s="4"/>
      <c r="I756" s="28"/>
      <c r="J756" s="28"/>
      <c r="K756" s="28"/>
      <c r="L756" s="4"/>
      <c r="M756" s="28"/>
      <c r="N756" s="28"/>
      <c r="O756" s="28"/>
      <c r="P756" s="4"/>
      <c r="Q756" s="28"/>
      <c r="R756" s="28"/>
      <c r="S756" s="28"/>
      <c r="T756" s="4"/>
      <c r="U756" s="4"/>
      <c r="V756" s="4"/>
      <c r="W756" s="4"/>
      <c r="X756" s="4"/>
      <c r="Y756" s="4"/>
      <c r="Z756" s="4"/>
    </row>
    <row r="757" ht="12.75" customHeight="1">
      <c r="A757" s="28"/>
      <c r="B757" s="28"/>
      <c r="C757" s="28"/>
      <c r="D757" s="4"/>
      <c r="E757" s="28"/>
      <c r="F757" s="28"/>
      <c r="G757" s="28"/>
      <c r="H757" s="4"/>
      <c r="I757" s="28"/>
      <c r="J757" s="28"/>
      <c r="K757" s="28"/>
      <c r="L757" s="4"/>
      <c r="M757" s="28"/>
      <c r="N757" s="28"/>
      <c r="O757" s="28"/>
      <c r="P757" s="4"/>
      <c r="Q757" s="28"/>
      <c r="R757" s="28"/>
      <c r="S757" s="28"/>
      <c r="T757" s="4"/>
      <c r="U757" s="4"/>
      <c r="V757" s="4"/>
      <c r="W757" s="4"/>
      <c r="X757" s="4"/>
      <c r="Y757" s="4"/>
      <c r="Z757" s="4"/>
    </row>
    <row r="758" ht="12.75" customHeight="1">
      <c r="A758" s="28"/>
      <c r="B758" s="28"/>
      <c r="C758" s="28"/>
      <c r="D758" s="4"/>
      <c r="E758" s="28"/>
      <c r="F758" s="28"/>
      <c r="G758" s="28"/>
      <c r="H758" s="4"/>
      <c r="I758" s="28"/>
      <c r="J758" s="28"/>
      <c r="K758" s="28"/>
      <c r="L758" s="4"/>
      <c r="M758" s="28"/>
      <c r="N758" s="28"/>
      <c r="O758" s="28"/>
      <c r="P758" s="4"/>
      <c r="Q758" s="28"/>
      <c r="R758" s="28"/>
      <c r="S758" s="28"/>
      <c r="T758" s="4"/>
      <c r="U758" s="4"/>
      <c r="V758" s="4"/>
      <c r="W758" s="4"/>
      <c r="X758" s="4"/>
      <c r="Y758" s="4"/>
      <c r="Z758" s="4"/>
    </row>
    <row r="759" ht="12.75" customHeight="1">
      <c r="A759" s="28"/>
      <c r="B759" s="28"/>
      <c r="C759" s="28"/>
      <c r="D759" s="4"/>
      <c r="E759" s="28"/>
      <c r="F759" s="28"/>
      <c r="G759" s="28"/>
      <c r="H759" s="4"/>
      <c r="I759" s="28"/>
      <c r="J759" s="28"/>
      <c r="K759" s="28"/>
      <c r="L759" s="4"/>
      <c r="M759" s="28"/>
      <c r="N759" s="28"/>
      <c r="O759" s="28"/>
      <c r="P759" s="4"/>
      <c r="Q759" s="28"/>
      <c r="R759" s="28"/>
      <c r="S759" s="28"/>
      <c r="T759" s="4"/>
      <c r="U759" s="4"/>
      <c r="V759" s="4"/>
      <c r="W759" s="4"/>
      <c r="X759" s="4"/>
      <c r="Y759" s="4"/>
      <c r="Z759" s="4"/>
    </row>
    <row r="760" ht="12.75" customHeight="1">
      <c r="A760" s="28"/>
      <c r="B760" s="28"/>
      <c r="C760" s="28"/>
      <c r="D760" s="4"/>
      <c r="E760" s="28"/>
      <c r="F760" s="28"/>
      <c r="G760" s="28"/>
      <c r="H760" s="4"/>
      <c r="I760" s="28"/>
      <c r="J760" s="28"/>
      <c r="K760" s="28"/>
      <c r="L760" s="4"/>
      <c r="M760" s="28"/>
      <c r="N760" s="28"/>
      <c r="O760" s="28"/>
      <c r="P760" s="4"/>
      <c r="Q760" s="28"/>
      <c r="R760" s="28"/>
      <c r="S760" s="28"/>
      <c r="T760" s="4"/>
      <c r="U760" s="4"/>
      <c r="V760" s="4"/>
      <c r="W760" s="4"/>
      <c r="X760" s="4"/>
      <c r="Y760" s="4"/>
      <c r="Z760" s="4"/>
    </row>
    <row r="761" ht="12.75" customHeight="1">
      <c r="A761" s="28"/>
      <c r="B761" s="28"/>
      <c r="C761" s="28"/>
      <c r="D761" s="4"/>
      <c r="E761" s="28"/>
      <c r="F761" s="28"/>
      <c r="G761" s="28"/>
      <c r="H761" s="4"/>
      <c r="I761" s="28"/>
      <c r="J761" s="28"/>
      <c r="K761" s="28"/>
      <c r="L761" s="4"/>
      <c r="M761" s="28"/>
      <c r="N761" s="28"/>
      <c r="O761" s="28"/>
      <c r="P761" s="4"/>
      <c r="Q761" s="28"/>
      <c r="R761" s="28"/>
      <c r="S761" s="28"/>
      <c r="T761" s="4"/>
      <c r="U761" s="4"/>
      <c r="V761" s="4"/>
      <c r="W761" s="4"/>
      <c r="X761" s="4"/>
      <c r="Y761" s="4"/>
      <c r="Z761" s="4"/>
    </row>
    <row r="762" ht="12.75" customHeight="1">
      <c r="A762" s="28"/>
      <c r="B762" s="28"/>
      <c r="C762" s="28"/>
      <c r="D762" s="4"/>
      <c r="E762" s="28"/>
      <c r="F762" s="28"/>
      <c r="G762" s="28"/>
      <c r="H762" s="4"/>
      <c r="I762" s="28"/>
      <c r="J762" s="28"/>
      <c r="K762" s="28"/>
      <c r="L762" s="4"/>
      <c r="M762" s="28"/>
      <c r="N762" s="28"/>
      <c r="O762" s="28"/>
      <c r="P762" s="4"/>
      <c r="Q762" s="28"/>
      <c r="R762" s="28"/>
      <c r="S762" s="28"/>
      <c r="T762" s="4"/>
      <c r="U762" s="4"/>
      <c r="V762" s="4"/>
      <c r="W762" s="4"/>
      <c r="X762" s="4"/>
      <c r="Y762" s="4"/>
      <c r="Z762" s="4"/>
    </row>
    <row r="763" ht="12.75" customHeight="1">
      <c r="A763" s="28"/>
      <c r="B763" s="28"/>
      <c r="C763" s="28"/>
      <c r="D763" s="4"/>
      <c r="E763" s="28"/>
      <c r="F763" s="28"/>
      <c r="G763" s="28"/>
      <c r="H763" s="4"/>
      <c r="I763" s="28"/>
      <c r="J763" s="28"/>
      <c r="K763" s="28"/>
      <c r="L763" s="4"/>
      <c r="M763" s="28"/>
      <c r="N763" s="28"/>
      <c r="O763" s="28"/>
      <c r="P763" s="4"/>
      <c r="Q763" s="28"/>
      <c r="R763" s="28"/>
      <c r="S763" s="28"/>
      <c r="T763" s="4"/>
      <c r="U763" s="4"/>
      <c r="V763" s="4"/>
      <c r="W763" s="4"/>
      <c r="X763" s="4"/>
      <c r="Y763" s="4"/>
      <c r="Z763" s="4"/>
    </row>
    <row r="764" ht="12.75" customHeight="1">
      <c r="A764" s="28"/>
      <c r="B764" s="28"/>
      <c r="C764" s="28"/>
      <c r="D764" s="4"/>
      <c r="E764" s="28"/>
      <c r="F764" s="28"/>
      <c r="G764" s="28"/>
      <c r="H764" s="4"/>
      <c r="I764" s="28"/>
      <c r="J764" s="28"/>
      <c r="K764" s="28"/>
      <c r="L764" s="4"/>
      <c r="M764" s="28"/>
      <c r="N764" s="28"/>
      <c r="O764" s="28"/>
      <c r="P764" s="4"/>
      <c r="Q764" s="28"/>
      <c r="R764" s="28"/>
      <c r="S764" s="28"/>
      <c r="T764" s="4"/>
      <c r="U764" s="4"/>
      <c r="V764" s="4"/>
      <c r="W764" s="4"/>
      <c r="X764" s="4"/>
      <c r="Y764" s="4"/>
      <c r="Z764" s="4"/>
    </row>
    <row r="765" ht="12.75" customHeight="1">
      <c r="A765" s="28"/>
      <c r="B765" s="28"/>
      <c r="C765" s="28"/>
      <c r="D765" s="4"/>
      <c r="E765" s="28"/>
      <c r="F765" s="28"/>
      <c r="G765" s="28"/>
      <c r="H765" s="4"/>
      <c r="I765" s="28"/>
      <c r="J765" s="28"/>
      <c r="K765" s="28"/>
      <c r="L765" s="4"/>
      <c r="M765" s="28"/>
      <c r="N765" s="28"/>
      <c r="O765" s="28"/>
      <c r="P765" s="4"/>
      <c r="Q765" s="28"/>
      <c r="R765" s="28"/>
      <c r="S765" s="28"/>
      <c r="T765" s="4"/>
      <c r="U765" s="4"/>
      <c r="V765" s="4"/>
      <c r="W765" s="4"/>
      <c r="X765" s="4"/>
      <c r="Y765" s="4"/>
      <c r="Z765" s="4"/>
    </row>
    <row r="766" ht="12.75" customHeight="1">
      <c r="A766" s="28"/>
      <c r="B766" s="28"/>
      <c r="C766" s="28"/>
      <c r="D766" s="4"/>
      <c r="E766" s="28"/>
      <c r="F766" s="28"/>
      <c r="G766" s="28"/>
      <c r="H766" s="4"/>
      <c r="I766" s="28"/>
      <c r="J766" s="28"/>
      <c r="K766" s="28"/>
      <c r="L766" s="4"/>
      <c r="M766" s="28"/>
      <c r="N766" s="28"/>
      <c r="O766" s="28"/>
      <c r="P766" s="4"/>
      <c r="Q766" s="28"/>
      <c r="R766" s="28"/>
      <c r="S766" s="28"/>
      <c r="T766" s="4"/>
      <c r="U766" s="4"/>
      <c r="V766" s="4"/>
      <c r="W766" s="4"/>
      <c r="X766" s="4"/>
      <c r="Y766" s="4"/>
      <c r="Z766" s="4"/>
    </row>
    <row r="767" ht="12.75" customHeight="1">
      <c r="A767" s="28"/>
      <c r="B767" s="28"/>
      <c r="C767" s="28"/>
      <c r="D767" s="4"/>
      <c r="E767" s="28"/>
      <c r="F767" s="28"/>
      <c r="G767" s="28"/>
      <c r="H767" s="4"/>
      <c r="I767" s="28"/>
      <c r="J767" s="28"/>
      <c r="K767" s="28"/>
      <c r="L767" s="4"/>
      <c r="M767" s="28"/>
      <c r="N767" s="28"/>
      <c r="O767" s="28"/>
      <c r="P767" s="4"/>
      <c r="Q767" s="28"/>
      <c r="R767" s="28"/>
      <c r="S767" s="28"/>
      <c r="T767" s="4"/>
      <c r="U767" s="4"/>
      <c r="V767" s="4"/>
      <c r="W767" s="4"/>
      <c r="X767" s="4"/>
      <c r="Y767" s="4"/>
      <c r="Z767" s="4"/>
    </row>
    <row r="768" ht="12.75" customHeight="1">
      <c r="A768" s="28"/>
      <c r="B768" s="28"/>
      <c r="C768" s="28"/>
      <c r="D768" s="4"/>
      <c r="E768" s="28"/>
      <c r="F768" s="28"/>
      <c r="G768" s="28"/>
      <c r="H768" s="4"/>
      <c r="I768" s="28"/>
      <c r="J768" s="28"/>
      <c r="K768" s="28"/>
      <c r="L768" s="4"/>
      <c r="M768" s="28"/>
      <c r="N768" s="28"/>
      <c r="O768" s="28"/>
      <c r="P768" s="4"/>
      <c r="Q768" s="28"/>
      <c r="R768" s="28"/>
      <c r="S768" s="28"/>
      <c r="T768" s="4"/>
      <c r="U768" s="4"/>
      <c r="V768" s="4"/>
      <c r="W768" s="4"/>
      <c r="X768" s="4"/>
      <c r="Y768" s="4"/>
      <c r="Z768" s="4"/>
    </row>
    <row r="769" ht="12.75" customHeight="1">
      <c r="A769" s="28"/>
      <c r="B769" s="28"/>
      <c r="C769" s="28"/>
      <c r="D769" s="4"/>
      <c r="E769" s="28"/>
      <c r="F769" s="28"/>
      <c r="G769" s="28"/>
      <c r="H769" s="4"/>
      <c r="I769" s="28"/>
      <c r="J769" s="28"/>
      <c r="K769" s="28"/>
      <c r="L769" s="4"/>
      <c r="M769" s="28"/>
      <c r="N769" s="28"/>
      <c r="O769" s="28"/>
      <c r="P769" s="4"/>
      <c r="Q769" s="28"/>
      <c r="R769" s="28"/>
      <c r="S769" s="28"/>
      <c r="T769" s="4"/>
      <c r="U769" s="4"/>
      <c r="V769" s="4"/>
      <c r="W769" s="4"/>
      <c r="X769" s="4"/>
      <c r="Y769" s="4"/>
      <c r="Z769" s="4"/>
    </row>
    <row r="770" ht="12.75" customHeight="1">
      <c r="A770" s="28"/>
      <c r="B770" s="28"/>
      <c r="C770" s="28"/>
      <c r="D770" s="4"/>
      <c r="E770" s="28"/>
      <c r="F770" s="28"/>
      <c r="G770" s="28"/>
      <c r="H770" s="4"/>
      <c r="I770" s="28"/>
      <c r="J770" s="28"/>
      <c r="K770" s="28"/>
      <c r="L770" s="4"/>
      <c r="M770" s="28"/>
      <c r="N770" s="28"/>
      <c r="O770" s="28"/>
      <c r="P770" s="4"/>
      <c r="Q770" s="28"/>
      <c r="R770" s="28"/>
      <c r="S770" s="28"/>
      <c r="T770" s="4"/>
      <c r="U770" s="4"/>
      <c r="V770" s="4"/>
      <c r="W770" s="4"/>
      <c r="X770" s="4"/>
      <c r="Y770" s="4"/>
      <c r="Z770" s="4"/>
    </row>
    <row r="771" ht="12.75" customHeight="1">
      <c r="A771" s="28"/>
      <c r="B771" s="28"/>
      <c r="C771" s="28"/>
      <c r="D771" s="4"/>
      <c r="E771" s="28"/>
      <c r="F771" s="28"/>
      <c r="G771" s="28"/>
      <c r="H771" s="4"/>
      <c r="I771" s="28"/>
      <c r="J771" s="28"/>
      <c r="K771" s="28"/>
      <c r="L771" s="4"/>
      <c r="M771" s="28"/>
      <c r="N771" s="28"/>
      <c r="O771" s="28"/>
      <c r="P771" s="4"/>
      <c r="Q771" s="28"/>
      <c r="R771" s="28"/>
      <c r="S771" s="28"/>
      <c r="T771" s="4"/>
      <c r="U771" s="4"/>
      <c r="V771" s="4"/>
      <c r="W771" s="4"/>
      <c r="X771" s="4"/>
      <c r="Y771" s="4"/>
      <c r="Z771" s="4"/>
    </row>
    <row r="772" ht="12.75" customHeight="1">
      <c r="A772" s="28"/>
      <c r="B772" s="28"/>
      <c r="C772" s="28"/>
      <c r="D772" s="4"/>
      <c r="E772" s="28"/>
      <c r="F772" s="28"/>
      <c r="G772" s="28"/>
      <c r="H772" s="4"/>
      <c r="I772" s="28"/>
      <c r="J772" s="28"/>
      <c r="K772" s="28"/>
      <c r="L772" s="4"/>
      <c r="M772" s="28"/>
      <c r="N772" s="28"/>
      <c r="O772" s="28"/>
      <c r="P772" s="4"/>
      <c r="Q772" s="28"/>
      <c r="R772" s="28"/>
      <c r="S772" s="28"/>
      <c r="T772" s="4"/>
      <c r="U772" s="4"/>
      <c r="V772" s="4"/>
      <c r="W772" s="4"/>
      <c r="X772" s="4"/>
      <c r="Y772" s="4"/>
      <c r="Z772" s="4"/>
    </row>
    <row r="773" ht="12.75" customHeight="1">
      <c r="A773" s="28"/>
      <c r="B773" s="28"/>
      <c r="C773" s="28"/>
      <c r="D773" s="4"/>
      <c r="E773" s="28"/>
      <c r="F773" s="28"/>
      <c r="G773" s="28"/>
      <c r="H773" s="4"/>
      <c r="I773" s="28"/>
      <c r="J773" s="28"/>
      <c r="K773" s="28"/>
      <c r="L773" s="4"/>
      <c r="M773" s="28"/>
      <c r="N773" s="28"/>
      <c r="O773" s="28"/>
      <c r="P773" s="4"/>
      <c r="Q773" s="28"/>
      <c r="R773" s="28"/>
      <c r="S773" s="28"/>
      <c r="T773" s="4"/>
      <c r="U773" s="4"/>
      <c r="V773" s="4"/>
      <c r="W773" s="4"/>
      <c r="X773" s="4"/>
      <c r="Y773" s="4"/>
      <c r="Z773" s="4"/>
    </row>
    <row r="774" ht="12.75" customHeight="1">
      <c r="A774" s="28"/>
      <c r="B774" s="28"/>
      <c r="C774" s="28"/>
      <c r="D774" s="4"/>
      <c r="E774" s="28"/>
      <c r="F774" s="28"/>
      <c r="G774" s="28"/>
      <c r="H774" s="4"/>
      <c r="I774" s="28"/>
      <c r="J774" s="28"/>
      <c r="K774" s="28"/>
      <c r="L774" s="4"/>
      <c r="M774" s="28"/>
      <c r="N774" s="28"/>
      <c r="O774" s="28"/>
      <c r="P774" s="4"/>
      <c r="Q774" s="28"/>
      <c r="R774" s="28"/>
      <c r="S774" s="28"/>
      <c r="T774" s="4"/>
      <c r="U774" s="4"/>
      <c r="V774" s="4"/>
      <c r="W774" s="4"/>
      <c r="X774" s="4"/>
      <c r="Y774" s="4"/>
      <c r="Z774" s="4"/>
    </row>
    <row r="775" ht="12.75" customHeight="1">
      <c r="A775" s="28"/>
      <c r="B775" s="28"/>
      <c r="C775" s="28"/>
      <c r="D775" s="4"/>
      <c r="E775" s="28"/>
      <c r="F775" s="28"/>
      <c r="G775" s="28"/>
      <c r="H775" s="4"/>
      <c r="I775" s="28"/>
      <c r="J775" s="28"/>
      <c r="K775" s="28"/>
      <c r="L775" s="4"/>
      <c r="M775" s="28"/>
      <c r="N775" s="28"/>
      <c r="O775" s="28"/>
      <c r="P775" s="4"/>
      <c r="Q775" s="28"/>
      <c r="R775" s="28"/>
      <c r="S775" s="28"/>
      <c r="T775" s="4"/>
      <c r="U775" s="4"/>
      <c r="V775" s="4"/>
      <c r="W775" s="4"/>
      <c r="X775" s="4"/>
      <c r="Y775" s="4"/>
      <c r="Z775" s="4"/>
    </row>
    <row r="776" ht="12.75" customHeight="1">
      <c r="A776" s="28"/>
      <c r="B776" s="28"/>
      <c r="C776" s="28"/>
      <c r="D776" s="4"/>
      <c r="E776" s="28"/>
      <c r="F776" s="28"/>
      <c r="G776" s="28"/>
      <c r="H776" s="4"/>
      <c r="I776" s="28"/>
      <c r="J776" s="28"/>
      <c r="K776" s="28"/>
      <c r="L776" s="4"/>
      <c r="M776" s="28"/>
      <c r="N776" s="28"/>
      <c r="O776" s="28"/>
      <c r="P776" s="4"/>
      <c r="Q776" s="28"/>
      <c r="R776" s="28"/>
      <c r="S776" s="28"/>
      <c r="T776" s="4"/>
      <c r="U776" s="4"/>
      <c r="V776" s="4"/>
      <c r="W776" s="4"/>
      <c r="X776" s="4"/>
      <c r="Y776" s="4"/>
      <c r="Z776" s="4"/>
    </row>
    <row r="777" ht="12.75" customHeight="1">
      <c r="A777" s="28"/>
      <c r="B777" s="28"/>
      <c r="C777" s="28"/>
      <c r="D777" s="4"/>
      <c r="E777" s="28"/>
      <c r="F777" s="28"/>
      <c r="G777" s="28"/>
      <c r="H777" s="4"/>
      <c r="I777" s="28"/>
      <c r="J777" s="28"/>
      <c r="K777" s="28"/>
      <c r="L777" s="4"/>
      <c r="M777" s="28"/>
      <c r="N777" s="28"/>
      <c r="O777" s="28"/>
      <c r="P777" s="4"/>
      <c r="Q777" s="28"/>
      <c r="R777" s="28"/>
      <c r="S777" s="28"/>
      <c r="T777" s="4"/>
      <c r="U777" s="4"/>
      <c r="V777" s="4"/>
      <c r="W777" s="4"/>
      <c r="X777" s="4"/>
      <c r="Y777" s="4"/>
      <c r="Z777" s="4"/>
    </row>
    <row r="778" ht="12.75" customHeight="1">
      <c r="A778" s="28"/>
      <c r="B778" s="28"/>
      <c r="C778" s="28"/>
      <c r="D778" s="4"/>
      <c r="E778" s="28"/>
      <c r="F778" s="28"/>
      <c r="G778" s="28"/>
      <c r="H778" s="4"/>
      <c r="I778" s="28"/>
      <c r="J778" s="28"/>
      <c r="K778" s="28"/>
      <c r="L778" s="4"/>
      <c r="M778" s="28"/>
      <c r="N778" s="28"/>
      <c r="O778" s="28"/>
      <c r="P778" s="4"/>
      <c r="Q778" s="28"/>
      <c r="R778" s="28"/>
      <c r="S778" s="28"/>
      <c r="T778" s="4"/>
      <c r="U778" s="4"/>
      <c r="V778" s="4"/>
      <c r="W778" s="4"/>
      <c r="X778" s="4"/>
      <c r="Y778" s="4"/>
      <c r="Z778" s="4"/>
    </row>
    <row r="779" ht="12.75" customHeight="1">
      <c r="A779" s="28"/>
      <c r="B779" s="28"/>
      <c r="C779" s="28"/>
      <c r="D779" s="4"/>
      <c r="E779" s="28"/>
      <c r="F779" s="28"/>
      <c r="G779" s="28"/>
      <c r="H779" s="4"/>
      <c r="I779" s="28"/>
      <c r="J779" s="28"/>
      <c r="K779" s="28"/>
      <c r="L779" s="4"/>
      <c r="M779" s="28"/>
      <c r="N779" s="28"/>
      <c r="O779" s="28"/>
      <c r="P779" s="4"/>
      <c r="Q779" s="28"/>
      <c r="R779" s="28"/>
      <c r="S779" s="28"/>
      <c r="T779" s="4"/>
      <c r="U779" s="4"/>
      <c r="V779" s="4"/>
      <c r="W779" s="4"/>
      <c r="X779" s="4"/>
      <c r="Y779" s="4"/>
      <c r="Z779" s="4"/>
    </row>
    <row r="780" ht="12.75" customHeight="1">
      <c r="A780" s="28"/>
      <c r="B780" s="28"/>
      <c r="C780" s="28"/>
      <c r="D780" s="4"/>
      <c r="E780" s="28"/>
      <c r="F780" s="28"/>
      <c r="G780" s="28"/>
      <c r="H780" s="4"/>
      <c r="I780" s="28"/>
      <c r="J780" s="28"/>
      <c r="K780" s="28"/>
      <c r="L780" s="4"/>
      <c r="M780" s="28"/>
      <c r="N780" s="28"/>
      <c r="O780" s="28"/>
      <c r="P780" s="4"/>
      <c r="Q780" s="28"/>
      <c r="R780" s="28"/>
      <c r="S780" s="28"/>
      <c r="T780" s="4"/>
      <c r="U780" s="4"/>
      <c r="V780" s="4"/>
      <c r="W780" s="4"/>
      <c r="X780" s="4"/>
      <c r="Y780" s="4"/>
      <c r="Z780" s="4"/>
    </row>
    <row r="781" ht="12.75" customHeight="1">
      <c r="A781" s="28"/>
      <c r="B781" s="28"/>
      <c r="C781" s="28"/>
      <c r="D781" s="4"/>
      <c r="E781" s="28"/>
      <c r="F781" s="28"/>
      <c r="G781" s="28"/>
      <c r="H781" s="4"/>
      <c r="I781" s="28"/>
      <c r="J781" s="28"/>
      <c r="K781" s="28"/>
      <c r="L781" s="4"/>
      <c r="M781" s="28"/>
      <c r="N781" s="28"/>
      <c r="O781" s="28"/>
      <c r="P781" s="4"/>
      <c r="Q781" s="28"/>
      <c r="R781" s="28"/>
      <c r="S781" s="28"/>
      <c r="T781" s="4"/>
      <c r="U781" s="4"/>
      <c r="V781" s="4"/>
      <c r="W781" s="4"/>
      <c r="X781" s="4"/>
      <c r="Y781" s="4"/>
      <c r="Z781" s="4"/>
    </row>
    <row r="782" ht="12.75" customHeight="1">
      <c r="A782" s="28"/>
      <c r="B782" s="28"/>
      <c r="C782" s="28"/>
      <c r="D782" s="4"/>
      <c r="E782" s="28"/>
      <c r="F782" s="28"/>
      <c r="G782" s="28"/>
      <c r="H782" s="4"/>
      <c r="I782" s="28"/>
      <c r="J782" s="28"/>
      <c r="K782" s="28"/>
      <c r="L782" s="4"/>
      <c r="M782" s="28"/>
      <c r="N782" s="28"/>
      <c r="O782" s="28"/>
      <c r="P782" s="4"/>
      <c r="Q782" s="28"/>
      <c r="R782" s="28"/>
      <c r="S782" s="28"/>
      <c r="T782" s="4"/>
      <c r="U782" s="4"/>
      <c r="V782" s="4"/>
      <c r="W782" s="4"/>
      <c r="X782" s="4"/>
      <c r="Y782" s="4"/>
      <c r="Z782" s="4"/>
    </row>
    <row r="783" ht="12.75" customHeight="1">
      <c r="A783" s="28"/>
      <c r="B783" s="28"/>
      <c r="C783" s="28"/>
      <c r="D783" s="4"/>
      <c r="E783" s="28"/>
      <c r="F783" s="28"/>
      <c r="G783" s="28"/>
      <c r="H783" s="4"/>
      <c r="I783" s="28"/>
      <c r="J783" s="28"/>
      <c r="K783" s="28"/>
      <c r="L783" s="4"/>
      <c r="M783" s="28"/>
      <c r="N783" s="28"/>
      <c r="O783" s="28"/>
      <c r="P783" s="4"/>
      <c r="Q783" s="28"/>
      <c r="R783" s="28"/>
      <c r="S783" s="28"/>
      <c r="T783" s="4"/>
      <c r="U783" s="4"/>
      <c r="V783" s="4"/>
      <c r="W783" s="4"/>
      <c r="X783" s="4"/>
      <c r="Y783" s="4"/>
      <c r="Z783" s="4"/>
    </row>
    <row r="784" ht="12.75" customHeight="1">
      <c r="A784" s="28"/>
      <c r="B784" s="28"/>
      <c r="C784" s="28"/>
      <c r="D784" s="4"/>
      <c r="E784" s="28"/>
      <c r="F784" s="28"/>
      <c r="G784" s="28"/>
      <c r="H784" s="4"/>
      <c r="I784" s="28"/>
      <c r="J784" s="28"/>
      <c r="K784" s="28"/>
      <c r="L784" s="4"/>
      <c r="M784" s="28"/>
      <c r="N784" s="28"/>
      <c r="O784" s="28"/>
      <c r="P784" s="4"/>
      <c r="Q784" s="28"/>
      <c r="R784" s="28"/>
      <c r="S784" s="28"/>
      <c r="T784" s="4"/>
      <c r="U784" s="4"/>
      <c r="V784" s="4"/>
      <c r="W784" s="4"/>
      <c r="X784" s="4"/>
      <c r="Y784" s="4"/>
      <c r="Z784" s="4"/>
    </row>
    <row r="785" ht="12.75" customHeight="1">
      <c r="A785" s="28"/>
      <c r="B785" s="28"/>
      <c r="C785" s="28"/>
      <c r="D785" s="4"/>
      <c r="E785" s="28"/>
      <c r="F785" s="28"/>
      <c r="G785" s="28"/>
      <c r="H785" s="4"/>
      <c r="I785" s="28"/>
      <c r="J785" s="28"/>
      <c r="K785" s="28"/>
      <c r="L785" s="4"/>
      <c r="M785" s="28"/>
      <c r="N785" s="28"/>
      <c r="O785" s="28"/>
      <c r="P785" s="4"/>
      <c r="Q785" s="28"/>
      <c r="R785" s="28"/>
      <c r="S785" s="28"/>
      <c r="T785" s="4"/>
      <c r="U785" s="4"/>
      <c r="V785" s="4"/>
      <c r="W785" s="4"/>
      <c r="X785" s="4"/>
      <c r="Y785" s="4"/>
      <c r="Z785" s="4"/>
    </row>
    <row r="786" ht="12.75" customHeight="1">
      <c r="A786" s="28"/>
      <c r="B786" s="28"/>
      <c r="C786" s="28"/>
      <c r="D786" s="4"/>
      <c r="E786" s="28"/>
      <c r="F786" s="28"/>
      <c r="G786" s="28"/>
      <c r="H786" s="4"/>
      <c r="I786" s="28"/>
      <c r="J786" s="28"/>
      <c r="K786" s="28"/>
      <c r="L786" s="4"/>
      <c r="M786" s="28"/>
      <c r="N786" s="28"/>
      <c r="O786" s="28"/>
      <c r="P786" s="4"/>
      <c r="Q786" s="28"/>
      <c r="R786" s="28"/>
      <c r="S786" s="28"/>
      <c r="T786" s="4"/>
      <c r="U786" s="4"/>
      <c r="V786" s="4"/>
      <c r="W786" s="4"/>
      <c r="X786" s="4"/>
      <c r="Y786" s="4"/>
      <c r="Z786" s="4"/>
    </row>
    <row r="787" ht="12.75" customHeight="1">
      <c r="A787" s="28"/>
      <c r="B787" s="28"/>
      <c r="C787" s="28"/>
      <c r="D787" s="4"/>
      <c r="E787" s="28"/>
      <c r="F787" s="28"/>
      <c r="G787" s="28"/>
      <c r="H787" s="4"/>
      <c r="I787" s="28"/>
      <c r="J787" s="28"/>
      <c r="K787" s="28"/>
      <c r="L787" s="4"/>
      <c r="M787" s="28"/>
      <c r="N787" s="28"/>
      <c r="O787" s="28"/>
      <c r="P787" s="4"/>
      <c r="Q787" s="28"/>
      <c r="R787" s="28"/>
      <c r="S787" s="28"/>
      <c r="T787" s="4"/>
      <c r="U787" s="4"/>
      <c r="V787" s="4"/>
      <c r="W787" s="4"/>
      <c r="X787" s="4"/>
      <c r="Y787" s="4"/>
      <c r="Z787" s="4"/>
    </row>
    <row r="788" ht="12.75" customHeight="1">
      <c r="A788" s="28"/>
      <c r="B788" s="28"/>
      <c r="C788" s="28"/>
      <c r="D788" s="4"/>
      <c r="E788" s="28"/>
      <c r="F788" s="28"/>
      <c r="G788" s="28"/>
      <c r="H788" s="4"/>
      <c r="I788" s="28"/>
      <c r="J788" s="28"/>
      <c r="K788" s="28"/>
      <c r="L788" s="4"/>
      <c r="M788" s="28"/>
      <c r="N788" s="28"/>
      <c r="O788" s="28"/>
      <c r="P788" s="4"/>
      <c r="Q788" s="28"/>
      <c r="R788" s="28"/>
      <c r="S788" s="28"/>
      <c r="T788" s="4"/>
      <c r="U788" s="4"/>
      <c r="V788" s="4"/>
      <c r="W788" s="4"/>
      <c r="X788" s="4"/>
      <c r="Y788" s="4"/>
      <c r="Z788" s="4"/>
    </row>
    <row r="789" ht="12.75" customHeight="1">
      <c r="A789" s="28"/>
      <c r="B789" s="28"/>
      <c r="C789" s="28"/>
      <c r="D789" s="4"/>
      <c r="E789" s="28"/>
      <c r="F789" s="28"/>
      <c r="G789" s="28"/>
      <c r="H789" s="4"/>
      <c r="I789" s="28"/>
      <c r="J789" s="28"/>
      <c r="K789" s="28"/>
      <c r="L789" s="4"/>
      <c r="M789" s="28"/>
      <c r="N789" s="28"/>
      <c r="O789" s="28"/>
      <c r="P789" s="4"/>
      <c r="Q789" s="28"/>
      <c r="R789" s="28"/>
      <c r="S789" s="28"/>
      <c r="T789" s="4"/>
      <c r="U789" s="4"/>
      <c r="V789" s="4"/>
      <c r="W789" s="4"/>
      <c r="X789" s="4"/>
      <c r="Y789" s="4"/>
      <c r="Z789" s="4"/>
    </row>
    <row r="790" ht="12.75" customHeight="1">
      <c r="A790" s="28"/>
      <c r="B790" s="28"/>
      <c r="C790" s="28"/>
      <c r="D790" s="4"/>
      <c r="E790" s="28"/>
      <c r="F790" s="28"/>
      <c r="G790" s="28"/>
      <c r="H790" s="4"/>
      <c r="I790" s="28"/>
      <c r="J790" s="28"/>
      <c r="K790" s="28"/>
      <c r="L790" s="4"/>
      <c r="M790" s="28"/>
      <c r="N790" s="28"/>
      <c r="O790" s="28"/>
      <c r="P790" s="4"/>
      <c r="Q790" s="28"/>
      <c r="R790" s="28"/>
      <c r="S790" s="28"/>
      <c r="T790" s="4"/>
      <c r="U790" s="4"/>
      <c r="V790" s="4"/>
      <c r="W790" s="4"/>
      <c r="X790" s="4"/>
      <c r="Y790" s="4"/>
      <c r="Z790" s="4"/>
    </row>
    <row r="791" ht="12.75" customHeight="1">
      <c r="A791" s="28"/>
      <c r="B791" s="28"/>
      <c r="C791" s="28"/>
      <c r="D791" s="4"/>
      <c r="E791" s="28"/>
      <c r="F791" s="28"/>
      <c r="G791" s="28"/>
      <c r="H791" s="4"/>
      <c r="I791" s="28"/>
      <c r="J791" s="28"/>
      <c r="K791" s="28"/>
      <c r="L791" s="4"/>
      <c r="M791" s="28"/>
      <c r="N791" s="28"/>
      <c r="O791" s="28"/>
      <c r="P791" s="4"/>
      <c r="Q791" s="28"/>
      <c r="R791" s="28"/>
      <c r="S791" s="28"/>
      <c r="T791" s="4"/>
      <c r="U791" s="4"/>
      <c r="V791" s="4"/>
      <c r="W791" s="4"/>
      <c r="X791" s="4"/>
      <c r="Y791" s="4"/>
      <c r="Z791" s="4"/>
    </row>
    <row r="792" ht="12.75" customHeight="1">
      <c r="A792" s="28"/>
      <c r="B792" s="28"/>
      <c r="C792" s="28"/>
      <c r="D792" s="4"/>
      <c r="E792" s="28"/>
      <c r="F792" s="28"/>
      <c r="G792" s="28"/>
      <c r="H792" s="4"/>
      <c r="I792" s="28"/>
      <c r="J792" s="28"/>
      <c r="K792" s="28"/>
      <c r="L792" s="4"/>
      <c r="M792" s="28"/>
      <c r="N792" s="28"/>
      <c r="O792" s="28"/>
      <c r="P792" s="4"/>
      <c r="Q792" s="28"/>
      <c r="R792" s="28"/>
      <c r="S792" s="28"/>
      <c r="T792" s="4"/>
      <c r="U792" s="4"/>
      <c r="V792" s="4"/>
      <c r="W792" s="4"/>
      <c r="X792" s="4"/>
      <c r="Y792" s="4"/>
      <c r="Z792" s="4"/>
    </row>
    <row r="793" ht="12.75" customHeight="1">
      <c r="A793" s="28"/>
      <c r="B793" s="28"/>
      <c r="C793" s="28"/>
      <c r="D793" s="4"/>
      <c r="E793" s="28"/>
      <c r="F793" s="28"/>
      <c r="G793" s="28"/>
      <c r="H793" s="4"/>
      <c r="I793" s="28"/>
      <c r="J793" s="28"/>
      <c r="K793" s="28"/>
      <c r="L793" s="4"/>
      <c r="M793" s="28"/>
      <c r="N793" s="28"/>
      <c r="O793" s="28"/>
      <c r="P793" s="4"/>
      <c r="Q793" s="28"/>
      <c r="R793" s="28"/>
      <c r="S793" s="28"/>
      <c r="T793" s="4"/>
      <c r="U793" s="4"/>
      <c r="V793" s="4"/>
      <c r="W793" s="4"/>
      <c r="X793" s="4"/>
      <c r="Y793" s="4"/>
      <c r="Z793" s="4"/>
    </row>
    <row r="794" ht="12.75" customHeight="1">
      <c r="A794" s="28"/>
      <c r="B794" s="28"/>
      <c r="C794" s="28"/>
      <c r="D794" s="4"/>
      <c r="E794" s="28"/>
      <c r="F794" s="28"/>
      <c r="G794" s="28"/>
      <c r="H794" s="4"/>
      <c r="I794" s="28"/>
      <c r="J794" s="28"/>
      <c r="K794" s="28"/>
      <c r="L794" s="4"/>
      <c r="M794" s="28"/>
      <c r="N794" s="28"/>
      <c r="O794" s="28"/>
      <c r="P794" s="4"/>
      <c r="Q794" s="28"/>
      <c r="R794" s="28"/>
      <c r="S794" s="28"/>
      <c r="T794" s="4"/>
      <c r="U794" s="4"/>
      <c r="V794" s="4"/>
      <c r="W794" s="4"/>
      <c r="X794" s="4"/>
      <c r="Y794" s="4"/>
      <c r="Z794" s="4"/>
    </row>
    <row r="795" ht="12.75" customHeight="1">
      <c r="A795" s="28"/>
      <c r="B795" s="28"/>
      <c r="C795" s="28"/>
      <c r="D795" s="4"/>
      <c r="E795" s="28"/>
      <c r="F795" s="28"/>
      <c r="G795" s="28"/>
      <c r="H795" s="4"/>
      <c r="I795" s="28"/>
      <c r="J795" s="28"/>
      <c r="K795" s="28"/>
      <c r="L795" s="4"/>
      <c r="M795" s="28"/>
      <c r="N795" s="28"/>
      <c r="O795" s="28"/>
      <c r="P795" s="4"/>
      <c r="Q795" s="28"/>
      <c r="R795" s="28"/>
      <c r="S795" s="28"/>
      <c r="T795" s="4"/>
      <c r="U795" s="4"/>
      <c r="V795" s="4"/>
      <c r="W795" s="4"/>
      <c r="X795" s="4"/>
      <c r="Y795" s="4"/>
      <c r="Z795" s="4"/>
    </row>
    <row r="796" ht="12.75" customHeight="1">
      <c r="A796" s="28"/>
      <c r="B796" s="28"/>
      <c r="C796" s="28"/>
      <c r="D796" s="4"/>
      <c r="E796" s="28"/>
      <c r="F796" s="28"/>
      <c r="G796" s="28"/>
      <c r="H796" s="4"/>
      <c r="I796" s="28"/>
      <c r="J796" s="28"/>
      <c r="K796" s="28"/>
      <c r="L796" s="4"/>
      <c r="M796" s="28"/>
      <c r="N796" s="28"/>
      <c r="O796" s="28"/>
      <c r="P796" s="4"/>
      <c r="Q796" s="28"/>
      <c r="R796" s="28"/>
      <c r="S796" s="28"/>
      <c r="T796" s="4"/>
      <c r="U796" s="4"/>
      <c r="V796" s="4"/>
      <c r="W796" s="4"/>
      <c r="X796" s="4"/>
      <c r="Y796" s="4"/>
      <c r="Z796" s="4"/>
    </row>
    <row r="797" ht="12.75" customHeight="1">
      <c r="A797" s="28"/>
      <c r="B797" s="28"/>
      <c r="C797" s="28"/>
      <c r="D797" s="4"/>
      <c r="E797" s="28"/>
      <c r="F797" s="28"/>
      <c r="G797" s="28"/>
      <c r="H797" s="4"/>
      <c r="I797" s="28"/>
      <c r="J797" s="28"/>
      <c r="K797" s="28"/>
      <c r="L797" s="4"/>
      <c r="M797" s="28"/>
      <c r="N797" s="28"/>
      <c r="O797" s="28"/>
      <c r="P797" s="4"/>
      <c r="Q797" s="28"/>
      <c r="R797" s="28"/>
      <c r="S797" s="28"/>
      <c r="T797" s="4"/>
      <c r="U797" s="4"/>
      <c r="V797" s="4"/>
      <c r="W797" s="4"/>
      <c r="X797" s="4"/>
      <c r="Y797" s="4"/>
      <c r="Z797" s="4"/>
    </row>
    <row r="798" ht="12.75" customHeight="1">
      <c r="A798" s="28"/>
      <c r="B798" s="28"/>
      <c r="C798" s="28"/>
      <c r="D798" s="4"/>
      <c r="E798" s="28"/>
      <c r="F798" s="28"/>
      <c r="G798" s="28"/>
      <c r="H798" s="4"/>
      <c r="I798" s="28"/>
      <c r="J798" s="28"/>
      <c r="K798" s="28"/>
      <c r="L798" s="4"/>
      <c r="M798" s="28"/>
      <c r="N798" s="28"/>
      <c r="O798" s="28"/>
      <c r="P798" s="4"/>
      <c r="Q798" s="28"/>
      <c r="R798" s="28"/>
      <c r="S798" s="28"/>
      <c r="T798" s="4"/>
      <c r="U798" s="4"/>
      <c r="V798" s="4"/>
      <c r="W798" s="4"/>
      <c r="X798" s="4"/>
      <c r="Y798" s="4"/>
      <c r="Z798" s="4"/>
    </row>
    <row r="799" ht="12.75" customHeight="1">
      <c r="A799" s="28"/>
      <c r="B799" s="28"/>
      <c r="C799" s="28"/>
      <c r="D799" s="4"/>
      <c r="E799" s="28"/>
      <c r="F799" s="28"/>
      <c r="G799" s="28"/>
      <c r="H799" s="4"/>
      <c r="I799" s="28"/>
      <c r="J799" s="28"/>
      <c r="K799" s="28"/>
      <c r="L799" s="4"/>
      <c r="M799" s="28"/>
      <c r="N799" s="28"/>
      <c r="O799" s="28"/>
      <c r="P799" s="4"/>
      <c r="Q799" s="28"/>
      <c r="R799" s="28"/>
      <c r="S799" s="28"/>
      <c r="T799" s="4"/>
      <c r="U799" s="4"/>
      <c r="V799" s="4"/>
      <c r="W799" s="4"/>
      <c r="X799" s="4"/>
      <c r="Y799" s="4"/>
      <c r="Z799" s="4"/>
    </row>
    <row r="800" ht="12.75" customHeight="1">
      <c r="A800" s="28"/>
      <c r="B800" s="28"/>
      <c r="C800" s="28"/>
      <c r="D800" s="4"/>
      <c r="E800" s="28"/>
      <c r="F800" s="28"/>
      <c r="G800" s="28"/>
      <c r="H800" s="4"/>
      <c r="I800" s="28"/>
      <c r="J800" s="28"/>
      <c r="K800" s="28"/>
      <c r="L800" s="4"/>
      <c r="M800" s="28"/>
      <c r="N800" s="28"/>
      <c r="O800" s="28"/>
      <c r="P800" s="4"/>
      <c r="Q800" s="28"/>
      <c r="R800" s="28"/>
      <c r="S800" s="28"/>
      <c r="T800" s="4"/>
      <c r="U800" s="4"/>
      <c r="V800" s="4"/>
      <c r="W800" s="4"/>
      <c r="X800" s="4"/>
      <c r="Y800" s="4"/>
      <c r="Z800" s="4"/>
    </row>
    <row r="801" ht="12.75" customHeight="1">
      <c r="A801" s="28"/>
      <c r="B801" s="28"/>
      <c r="C801" s="28"/>
      <c r="D801" s="4"/>
      <c r="E801" s="28"/>
      <c r="F801" s="28"/>
      <c r="G801" s="28"/>
      <c r="H801" s="4"/>
      <c r="I801" s="28"/>
      <c r="J801" s="28"/>
      <c r="K801" s="28"/>
      <c r="L801" s="4"/>
      <c r="M801" s="28"/>
      <c r="N801" s="28"/>
      <c r="O801" s="28"/>
      <c r="P801" s="4"/>
      <c r="Q801" s="28"/>
      <c r="R801" s="28"/>
      <c r="S801" s="28"/>
      <c r="T801" s="4"/>
      <c r="U801" s="4"/>
      <c r="V801" s="4"/>
      <c r="W801" s="4"/>
      <c r="X801" s="4"/>
      <c r="Y801" s="4"/>
      <c r="Z801" s="4"/>
    </row>
    <row r="802" ht="12.75" customHeight="1">
      <c r="A802" s="28"/>
      <c r="B802" s="28"/>
      <c r="C802" s="28"/>
      <c r="D802" s="4"/>
      <c r="E802" s="28"/>
      <c r="F802" s="28"/>
      <c r="G802" s="28"/>
      <c r="H802" s="4"/>
      <c r="I802" s="28"/>
      <c r="J802" s="28"/>
      <c r="K802" s="28"/>
      <c r="L802" s="4"/>
      <c r="M802" s="28"/>
      <c r="N802" s="28"/>
      <c r="O802" s="28"/>
      <c r="P802" s="4"/>
      <c r="Q802" s="28"/>
      <c r="R802" s="28"/>
      <c r="S802" s="28"/>
      <c r="T802" s="4"/>
      <c r="U802" s="4"/>
      <c r="V802" s="4"/>
      <c r="W802" s="4"/>
      <c r="X802" s="4"/>
      <c r="Y802" s="4"/>
      <c r="Z802" s="4"/>
    </row>
    <row r="803" ht="12.75" customHeight="1">
      <c r="A803" s="28"/>
      <c r="B803" s="28"/>
      <c r="C803" s="28"/>
      <c r="D803" s="4"/>
      <c r="E803" s="28"/>
      <c r="F803" s="28"/>
      <c r="G803" s="28"/>
      <c r="H803" s="4"/>
      <c r="I803" s="28"/>
      <c r="J803" s="28"/>
      <c r="K803" s="28"/>
      <c r="L803" s="4"/>
      <c r="M803" s="28"/>
      <c r="N803" s="28"/>
      <c r="O803" s="28"/>
      <c r="P803" s="4"/>
      <c r="Q803" s="28"/>
      <c r="R803" s="28"/>
      <c r="S803" s="28"/>
      <c r="T803" s="4"/>
      <c r="U803" s="4"/>
      <c r="V803" s="4"/>
      <c r="W803" s="4"/>
      <c r="X803" s="4"/>
      <c r="Y803" s="4"/>
      <c r="Z803" s="4"/>
    </row>
    <row r="804" ht="12.75" customHeight="1">
      <c r="A804" s="28"/>
      <c r="B804" s="28"/>
      <c r="C804" s="28"/>
      <c r="D804" s="4"/>
      <c r="E804" s="28"/>
      <c r="F804" s="28"/>
      <c r="G804" s="28"/>
      <c r="H804" s="4"/>
      <c r="I804" s="28"/>
      <c r="J804" s="28"/>
      <c r="K804" s="28"/>
      <c r="L804" s="4"/>
      <c r="M804" s="28"/>
      <c r="N804" s="28"/>
      <c r="O804" s="28"/>
      <c r="P804" s="4"/>
      <c r="Q804" s="28"/>
      <c r="R804" s="28"/>
      <c r="S804" s="28"/>
      <c r="T804" s="4"/>
      <c r="U804" s="4"/>
      <c r="V804" s="4"/>
      <c r="W804" s="4"/>
      <c r="X804" s="4"/>
      <c r="Y804" s="4"/>
      <c r="Z804" s="4"/>
    </row>
    <row r="805" ht="12.75" customHeight="1">
      <c r="A805" s="28"/>
      <c r="B805" s="28"/>
      <c r="C805" s="28"/>
      <c r="D805" s="4"/>
      <c r="E805" s="28"/>
      <c r="F805" s="28"/>
      <c r="G805" s="28"/>
      <c r="H805" s="4"/>
      <c r="I805" s="28"/>
      <c r="J805" s="28"/>
      <c r="K805" s="28"/>
      <c r="L805" s="4"/>
      <c r="M805" s="28"/>
      <c r="N805" s="28"/>
      <c r="O805" s="28"/>
      <c r="P805" s="4"/>
      <c r="Q805" s="28"/>
      <c r="R805" s="28"/>
      <c r="S805" s="28"/>
      <c r="T805" s="4"/>
      <c r="U805" s="4"/>
      <c r="V805" s="4"/>
      <c r="W805" s="4"/>
      <c r="X805" s="4"/>
      <c r="Y805" s="4"/>
      <c r="Z805" s="4"/>
    </row>
    <row r="806" ht="12.75" customHeight="1">
      <c r="A806" s="28"/>
      <c r="B806" s="28"/>
      <c r="C806" s="28"/>
      <c r="D806" s="4"/>
      <c r="E806" s="28"/>
      <c r="F806" s="28"/>
      <c r="G806" s="28"/>
      <c r="H806" s="4"/>
      <c r="I806" s="28"/>
      <c r="J806" s="28"/>
      <c r="K806" s="28"/>
      <c r="L806" s="4"/>
      <c r="M806" s="28"/>
      <c r="N806" s="28"/>
      <c r="O806" s="28"/>
      <c r="P806" s="4"/>
      <c r="Q806" s="28"/>
      <c r="R806" s="28"/>
      <c r="S806" s="28"/>
      <c r="T806" s="4"/>
      <c r="U806" s="4"/>
      <c r="V806" s="4"/>
      <c r="W806" s="4"/>
      <c r="X806" s="4"/>
      <c r="Y806" s="4"/>
      <c r="Z806" s="4"/>
    </row>
    <row r="807" ht="12.75" customHeight="1">
      <c r="A807" s="28"/>
      <c r="B807" s="28"/>
      <c r="C807" s="28"/>
      <c r="D807" s="4"/>
      <c r="E807" s="28"/>
      <c r="F807" s="28"/>
      <c r="G807" s="28"/>
      <c r="H807" s="4"/>
      <c r="I807" s="28"/>
      <c r="J807" s="28"/>
      <c r="K807" s="28"/>
      <c r="L807" s="4"/>
      <c r="M807" s="28"/>
      <c r="N807" s="28"/>
      <c r="O807" s="28"/>
      <c r="P807" s="4"/>
      <c r="Q807" s="28"/>
      <c r="R807" s="28"/>
      <c r="S807" s="28"/>
      <c r="T807" s="4"/>
      <c r="U807" s="4"/>
      <c r="V807" s="4"/>
      <c r="W807" s="4"/>
      <c r="X807" s="4"/>
      <c r="Y807" s="4"/>
      <c r="Z807" s="4"/>
    </row>
    <row r="808" ht="12.75" customHeight="1">
      <c r="A808" s="28"/>
      <c r="B808" s="28"/>
      <c r="C808" s="28"/>
      <c r="D808" s="4"/>
      <c r="E808" s="28"/>
      <c r="F808" s="28"/>
      <c r="G808" s="28"/>
      <c r="H808" s="4"/>
      <c r="I808" s="28"/>
      <c r="J808" s="28"/>
      <c r="K808" s="28"/>
      <c r="L808" s="4"/>
      <c r="M808" s="28"/>
      <c r="N808" s="28"/>
      <c r="O808" s="28"/>
      <c r="P808" s="4"/>
      <c r="Q808" s="28"/>
      <c r="R808" s="28"/>
      <c r="S808" s="28"/>
      <c r="T808" s="4"/>
      <c r="U808" s="4"/>
      <c r="V808" s="4"/>
      <c r="W808" s="4"/>
      <c r="X808" s="4"/>
      <c r="Y808" s="4"/>
      <c r="Z808" s="4"/>
    </row>
    <row r="809" ht="12.75" customHeight="1">
      <c r="A809" s="28"/>
      <c r="B809" s="28"/>
      <c r="C809" s="28"/>
      <c r="D809" s="4"/>
      <c r="E809" s="28"/>
      <c r="F809" s="28"/>
      <c r="G809" s="28"/>
      <c r="H809" s="4"/>
      <c r="I809" s="28"/>
      <c r="J809" s="28"/>
      <c r="K809" s="28"/>
      <c r="L809" s="4"/>
      <c r="M809" s="28"/>
      <c r="N809" s="28"/>
      <c r="O809" s="28"/>
      <c r="P809" s="4"/>
      <c r="Q809" s="28"/>
      <c r="R809" s="28"/>
      <c r="S809" s="28"/>
      <c r="T809" s="4"/>
      <c r="U809" s="4"/>
      <c r="V809" s="4"/>
      <c r="W809" s="4"/>
      <c r="X809" s="4"/>
      <c r="Y809" s="4"/>
      <c r="Z809" s="4"/>
    </row>
    <row r="810" ht="12.75" customHeight="1">
      <c r="A810" s="28"/>
      <c r="B810" s="28"/>
      <c r="C810" s="28"/>
      <c r="D810" s="4"/>
      <c r="E810" s="28"/>
      <c r="F810" s="28"/>
      <c r="G810" s="28"/>
      <c r="H810" s="4"/>
      <c r="I810" s="28"/>
      <c r="J810" s="28"/>
      <c r="K810" s="28"/>
      <c r="L810" s="4"/>
      <c r="M810" s="28"/>
      <c r="N810" s="28"/>
      <c r="O810" s="28"/>
      <c r="P810" s="4"/>
      <c r="Q810" s="28"/>
      <c r="R810" s="28"/>
      <c r="S810" s="28"/>
      <c r="T810" s="4"/>
      <c r="U810" s="4"/>
      <c r="V810" s="4"/>
      <c r="W810" s="4"/>
      <c r="X810" s="4"/>
      <c r="Y810" s="4"/>
      <c r="Z810" s="4"/>
    </row>
    <row r="811" ht="12.75" customHeight="1">
      <c r="A811" s="28"/>
      <c r="B811" s="28"/>
      <c r="C811" s="28"/>
      <c r="D811" s="4"/>
      <c r="E811" s="28"/>
      <c r="F811" s="28"/>
      <c r="G811" s="28"/>
      <c r="H811" s="4"/>
      <c r="I811" s="28"/>
      <c r="J811" s="28"/>
      <c r="K811" s="28"/>
      <c r="L811" s="4"/>
      <c r="M811" s="28"/>
      <c r="N811" s="28"/>
      <c r="O811" s="28"/>
      <c r="P811" s="4"/>
      <c r="Q811" s="28"/>
      <c r="R811" s="28"/>
      <c r="S811" s="28"/>
      <c r="T811" s="4"/>
      <c r="U811" s="4"/>
      <c r="V811" s="4"/>
      <c r="W811" s="4"/>
      <c r="X811" s="4"/>
      <c r="Y811" s="4"/>
      <c r="Z811" s="4"/>
    </row>
    <row r="812" ht="12.75" customHeight="1">
      <c r="A812" s="28"/>
      <c r="B812" s="28"/>
      <c r="C812" s="28"/>
      <c r="D812" s="4"/>
      <c r="E812" s="28"/>
      <c r="F812" s="28"/>
      <c r="G812" s="28"/>
      <c r="H812" s="4"/>
      <c r="I812" s="28"/>
      <c r="J812" s="28"/>
      <c r="K812" s="28"/>
      <c r="L812" s="4"/>
      <c r="M812" s="28"/>
      <c r="N812" s="28"/>
      <c r="O812" s="28"/>
      <c r="P812" s="4"/>
      <c r="Q812" s="28"/>
      <c r="R812" s="28"/>
      <c r="S812" s="28"/>
      <c r="T812" s="4"/>
      <c r="U812" s="4"/>
      <c r="V812" s="4"/>
      <c r="W812" s="4"/>
      <c r="X812" s="4"/>
      <c r="Y812" s="4"/>
      <c r="Z812" s="4"/>
    </row>
    <row r="813" ht="12.75" customHeight="1">
      <c r="A813" s="28"/>
      <c r="B813" s="28"/>
      <c r="C813" s="28"/>
      <c r="D813" s="4"/>
      <c r="E813" s="28"/>
      <c r="F813" s="28"/>
      <c r="G813" s="28"/>
      <c r="H813" s="4"/>
      <c r="I813" s="28"/>
      <c r="J813" s="28"/>
      <c r="K813" s="28"/>
      <c r="L813" s="4"/>
      <c r="M813" s="28"/>
      <c r="N813" s="28"/>
      <c r="O813" s="28"/>
      <c r="P813" s="4"/>
      <c r="Q813" s="28"/>
      <c r="R813" s="28"/>
      <c r="S813" s="28"/>
      <c r="T813" s="4"/>
      <c r="U813" s="4"/>
      <c r="V813" s="4"/>
      <c r="W813" s="4"/>
      <c r="X813" s="4"/>
      <c r="Y813" s="4"/>
      <c r="Z813" s="4"/>
    </row>
    <row r="814" ht="12.75" customHeight="1">
      <c r="A814" s="28"/>
      <c r="B814" s="28"/>
      <c r="C814" s="28"/>
      <c r="D814" s="4"/>
      <c r="E814" s="28"/>
      <c r="F814" s="28"/>
      <c r="G814" s="28"/>
      <c r="H814" s="4"/>
      <c r="I814" s="28"/>
      <c r="J814" s="28"/>
      <c r="K814" s="28"/>
      <c r="L814" s="4"/>
      <c r="M814" s="28"/>
      <c r="N814" s="28"/>
      <c r="O814" s="28"/>
      <c r="P814" s="4"/>
      <c r="Q814" s="28"/>
      <c r="R814" s="28"/>
      <c r="S814" s="28"/>
      <c r="T814" s="4"/>
      <c r="U814" s="4"/>
      <c r="V814" s="4"/>
      <c r="W814" s="4"/>
      <c r="X814" s="4"/>
      <c r="Y814" s="4"/>
      <c r="Z814" s="4"/>
    </row>
    <row r="815" ht="12.75" customHeight="1">
      <c r="A815" s="28"/>
      <c r="B815" s="28"/>
      <c r="C815" s="28"/>
      <c r="D815" s="4"/>
      <c r="E815" s="28"/>
      <c r="F815" s="28"/>
      <c r="G815" s="28"/>
      <c r="H815" s="4"/>
      <c r="I815" s="28"/>
      <c r="J815" s="28"/>
      <c r="K815" s="28"/>
      <c r="L815" s="4"/>
      <c r="M815" s="28"/>
      <c r="N815" s="28"/>
      <c r="O815" s="28"/>
      <c r="P815" s="4"/>
      <c r="Q815" s="28"/>
      <c r="R815" s="28"/>
      <c r="S815" s="28"/>
      <c r="T815" s="4"/>
      <c r="U815" s="4"/>
      <c r="V815" s="4"/>
      <c r="W815" s="4"/>
      <c r="X815" s="4"/>
      <c r="Y815" s="4"/>
      <c r="Z815" s="4"/>
    </row>
    <row r="816" ht="12.75" customHeight="1">
      <c r="A816" s="28"/>
      <c r="B816" s="28"/>
      <c r="C816" s="28"/>
      <c r="D816" s="4"/>
      <c r="E816" s="28"/>
      <c r="F816" s="28"/>
      <c r="G816" s="28"/>
      <c r="H816" s="4"/>
      <c r="I816" s="28"/>
      <c r="J816" s="28"/>
      <c r="K816" s="28"/>
      <c r="L816" s="4"/>
      <c r="M816" s="28"/>
      <c r="N816" s="28"/>
      <c r="O816" s="28"/>
      <c r="P816" s="4"/>
      <c r="Q816" s="28"/>
      <c r="R816" s="28"/>
      <c r="S816" s="28"/>
      <c r="T816" s="4"/>
      <c r="U816" s="4"/>
      <c r="V816" s="4"/>
      <c r="W816" s="4"/>
      <c r="X816" s="4"/>
      <c r="Y816" s="4"/>
      <c r="Z816" s="4"/>
    </row>
    <row r="817" ht="12.75" customHeight="1">
      <c r="A817" s="28"/>
      <c r="B817" s="28"/>
      <c r="C817" s="28"/>
      <c r="D817" s="4"/>
      <c r="E817" s="28"/>
      <c r="F817" s="28"/>
      <c r="G817" s="28"/>
      <c r="H817" s="4"/>
      <c r="I817" s="28"/>
      <c r="J817" s="28"/>
      <c r="K817" s="28"/>
      <c r="L817" s="4"/>
      <c r="M817" s="28"/>
      <c r="N817" s="28"/>
      <c r="O817" s="28"/>
      <c r="P817" s="4"/>
      <c r="Q817" s="28"/>
      <c r="R817" s="28"/>
      <c r="S817" s="28"/>
      <c r="T817" s="4"/>
      <c r="U817" s="4"/>
      <c r="V817" s="4"/>
      <c r="W817" s="4"/>
      <c r="X817" s="4"/>
      <c r="Y817" s="4"/>
      <c r="Z817" s="4"/>
    </row>
    <row r="818" ht="12.75" customHeight="1">
      <c r="A818" s="28"/>
      <c r="B818" s="28"/>
      <c r="C818" s="28"/>
      <c r="D818" s="4"/>
      <c r="E818" s="28"/>
      <c r="F818" s="28"/>
      <c r="G818" s="28"/>
      <c r="H818" s="4"/>
      <c r="I818" s="28"/>
      <c r="J818" s="28"/>
      <c r="K818" s="28"/>
      <c r="L818" s="4"/>
      <c r="M818" s="28"/>
      <c r="N818" s="28"/>
      <c r="O818" s="28"/>
      <c r="P818" s="4"/>
      <c r="Q818" s="28"/>
      <c r="R818" s="28"/>
      <c r="S818" s="28"/>
      <c r="T818" s="4"/>
      <c r="U818" s="4"/>
      <c r="V818" s="4"/>
      <c r="W818" s="4"/>
      <c r="X818" s="4"/>
      <c r="Y818" s="4"/>
      <c r="Z818" s="4"/>
    </row>
    <row r="819" ht="12.75" customHeight="1">
      <c r="A819" s="28"/>
      <c r="B819" s="28"/>
      <c r="C819" s="28"/>
      <c r="D819" s="4"/>
      <c r="E819" s="28"/>
      <c r="F819" s="28"/>
      <c r="G819" s="28"/>
      <c r="H819" s="4"/>
      <c r="I819" s="28"/>
      <c r="J819" s="28"/>
      <c r="K819" s="28"/>
      <c r="L819" s="4"/>
      <c r="M819" s="28"/>
      <c r="N819" s="28"/>
      <c r="O819" s="28"/>
      <c r="P819" s="4"/>
      <c r="Q819" s="28"/>
      <c r="R819" s="28"/>
      <c r="S819" s="28"/>
      <c r="T819" s="4"/>
      <c r="U819" s="4"/>
      <c r="V819" s="4"/>
      <c r="W819" s="4"/>
      <c r="X819" s="4"/>
      <c r="Y819" s="4"/>
      <c r="Z819" s="4"/>
    </row>
    <row r="820" ht="12.75" customHeight="1">
      <c r="A820" s="28"/>
      <c r="B820" s="28"/>
      <c r="C820" s="28"/>
      <c r="D820" s="4"/>
      <c r="E820" s="28"/>
      <c r="F820" s="28"/>
      <c r="G820" s="28"/>
      <c r="H820" s="4"/>
      <c r="I820" s="28"/>
      <c r="J820" s="28"/>
      <c r="K820" s="28"/>
      <c r="L820" s="4"/>
      <c r="M820" s="28"/>
      <c r="N820" s="28"/>
      <c r="O820" s="28"/>
      <c r="P820" s="4"/>
      <c r="Q820" s="28"/>
      <c r="R820" s="28"/>
      <c r="S820" s="28"/>
      <c r="T820" s="4"/>
      <c r="U820" s="4"/>
      <c r="V820" s="4"/>
      <c r="W820" s="4"/>
      <c r="X820" s="4"/>
      <c r="Y820" s="4"/>
      <c r="Z820" s="4"/>
    </row>
    <row r="821" ht="12.75" customHeight="1">
      <c r="A821" s="28"/>
      <c r="B821" s="28"/>
      <c r="C821" s="28"/>
      <c r="D821" s="4"/>
      <c r="E821" s="28"/>
      <c r="F821" s="28"/>
      <c r="G821" s="28"/>
      <c r="H821" s="4"/>
      <c r="I821" s="28"/>
      <c r="J821" s="28"/>
      <c r="K821" s="28"/>
      <c r="L821" s="4"/>
      <c r="M821" s="28"/>
      <c r="N821" s="28"/>
      <c r="O821" s="28"/>
      <c r="P821" s="4"/>
      <c r="Q821" s="28"/>
      <c r="R821" s="28"/>
      <c r="S821" s="28"/>
      <c r="T821" s="4"/>
      <c r="U821" s="4"/>
      <c r="V821" s="4"/>
      <c r="W821" s="4"/>
      <c r="X821" s="4"/>
      <c r="Y821" s="4"/>
      <c r="Z821" s="4"/>
    </row>
    <row r="822" ht="12.75" customHeight="1">
      <c r="A822" s="28"/>
      <c r="B822" s="28"/>
      <c r="C822" s="28"/>
      <c r="D822" s="4"/>
      <c r="E822" s="28"/>
      <c r="F822" s="28"/>
      <c r="G822" s="28"/>
      <c r="H822" s="4"/>
      <c r="I822" s="28"/>
      <c r="J822" s="28"/>
      <c r="K822" s="28"/>
      <c r="L822" s="4"/>
      <c r="M822" s="28"/>
      <c r="N822" s="28"/>
      <c r="O822" s="28"/>
      <c r="P822" s="4"/>
      <c r="Q822" s="28"/>
      <c r="R822" s="28"/>
      <c r="S822" s="28"/>
      <c r="T822" s="4"/>
      <c r="U822" s="4"/>
      <c r="V822" s="4"/>
      <c r="W822" s="4"/>
      <c r="X822" s="4"/>
      <c r="Y822" s="4"/>
      <c r="Z822" s="4"/>
    </row>
    <row r="823" ht="12.75" customHeight="1">
      <c r="A823" s="28"/>
      <c r="B823" s="28"/>
      <c r="C823" s="28"/>
      <c r="D823" s="4"/>
      <c r="E823" s="28"/>
      <c r="F823" s="28"/>
      <c r="G823" s="28"/>
      <c r="H823" s="4"/>
      <c r="I823" s="28"/>
      <c r="J823" s="28"/>
      <c r="K823" s="28"/>
      <c r="L823" s="4"/>
      <c r="M823" s="28"/>
      <c r="N823" s="28"/>
      <c r="O823" s="28"/>
      <c r="P823" s="4"/>
      <c r="Q823" s="28"/>
      <c r="R823" s="28"/>
      <c r="S823" s="28"/>
      <c r="T823" s="4"/>
      <c r="U823" s="4"/>
      <c r="V823" s="4"/>
      <c r="W823" s="4"/>
      <c r="X823" s="4"/>
      <c r="Y823" s="4"/>
      <c r="Z823" s="4"/>
    </row>
    <row r="824" ht="12.75" customHeight="1">
      <c r="A824" s="28"/>
      <c r="B824" s="28"/>
      <c r="C824" s="28"/>
      <c r="D824" s="4"/>
      <c r="E824" s="28"/>
      <c r="F824" s="28"/>
      <c r="G824" s="28"/>
      <c r="H824" s="4"/>
      <c r="I824" s="28"/>
      <c r="J824" s="28"/>
      <c r="K824" s="28"/>
      <c r="L824" s="4"/>
      <c r="M824" s="28"/>
      <c r="N824" s="28"/>
      <c r="O824" s="28"/>
      <c r="P824" s="4"/>
      <c r="Q824" s="28"/>
      <c r="R824" s="28"/>
      <c r="S824" s="28"/>
      <c r="T824" s="4"/>
      <c r="U824" s="4"/>
      <c r="V824" s="4"/>
      <c r="W824" s="4"/>
      <c r="X824" s="4"/>
      <c r="Y824" s="4"/>
      <c r="Z824" s="4"/>
    </row>
    <row r="825" ht="12.75" customHeight="1">
      <c r="A825" s="28"/>
      <c r="B825" s="28"/>
      <c r="C825" s="28"/>
      <c r="D825" s="4"/>
      <c r="E825" s="28"/>
      <c r="F825" s="28"/>
      <c r="G825" s="28"/>
      <c r="H825" s="4"/>
      <c r="I825" s="28"/>
      <c r="J825" s="28"/>
      <c r="K825" s="28"/>
      <c r="L825" s="4"/>
      <c r="M825" s="28"/>
      <c r="N825" s="28"/>
      <c r="O825" s="28"/>
      <c r="P825" s="4"/>
      <c r="Q825" s="28"/>
      <c r="R825" s="28"/>
      <c r="S825" s="28"/>
      <c r="T825" s="4"/>
      <c r="U825" s="4"/>
      <c r="V825" s="4"/>
      <c r="W825" s="4"/>
      <c r="X825" s="4"/>
      <c r="Y825" s="4"/>
      <c r="Z825" s="4"/>
    </row>
    <row r="826" ht="12.75" customHeight="1">
      <c r="A826" s="28"/>
      <c r="B826" s="28"/>
      <c r="C826" s="28"/>
      <c r="D826" s="4"/>
      <c r="E826" s="28"/>
      <c r="F826" s="28"/>
      <c r="G826" s="28"/>
      <c r="H826" s="4"/>
      <c r="I826" s="28"/>
      <c r="J826" s="28"/>
      <c r="K826" s="28"/>
      <c r="L826" s="4"/>
      <c r="M826" s="28"/>
      <c r="N826" s="28"/>
      <c r="O826" s="28"/>
      <c r="P826" s="4"/>
      <c r="Q826" s="28"/>
      <c r="R826" s="28"/>
      <c r="S826" s="28"/>
      <c r="T826" s="4"/>
      <c r="U826" s="4"/>
      <c r="V826" s="4"/>
      <c r="W826" s="4"/>
      <c r="X826" s="4"/>
      <c r="Y826" s="4"/>
      <c r="Z826" s="4"/>
    </row>
    <row r="827" ht="12.75" customHeight="1">
      <c r="A827" s="28"/>
      <c r="B827" s="28"/>
      <c r="C827" s="28"/>
      <c r="D827" s="4"/>
      <c r="E827" s="28"/>
      <c r="F827" s="28"/>
      <c r="G827" s="28"/>
      <c r="H827" s="4"/>
      <c r="I827" s="28"/>
      <c r="J827" s="28"/>
      <c r="K827" s="28"/>
      <c r="L827" s="4"/>
      <c r="M827" s="28"/>
      <c r="N827" s="28"/>
      <c r="O827" s="28"/>
      <c r="P827" s="4"/>
      <c r="Q827" s="28"/>
      <c r="R827" s="28"/>
      <c r="S827" s="28"/>
      <c r="T827" s="4"/>
      <c r="U827" s="4"/>
      <c r="V827" s="4"/>
      <c r="W827" s="4"/>
      <c r="X827" s="4"/>
      <c r="Y827" s="4"/>
      <c r="Z827" s="4"/>
    </row>
    <row r="828" ht="12.75" customHeight="1">
      <c r="A828" s="28"/>
      <c r="B828" s="28"/>
      <c r="C828" s="28"/>
      <c r="D828" s="4"/>
      <c r="E828" s="28"/>
      <c r="F828" s="28"/>
      <c r="G828" s="28"/>
      <c r="H828" s="4"/>
      <c r="I828" s="28"/>
      <c r="J828" s="28"/>
      <c r="K828" s="28"/>
      <c r="L828" s="4"/>
      <c r="M828" s="28"/>
      <c r="N828" s="28"/>
      <c r="O828" s="28"/>
      <c r="P828" s="4"/>
      <c r="Q828" s="28"/>
      <c r="R828" s="28"/>
      <c r="S828" s="28"/>
      <c r="T828" s="4"/>
      <c r="U828" s="4"/>
      <c r="V828" s="4"/>
      <c r="W828" s="4"/>
      <c r="X828" s="4"/>
      <c r="Y828" s="4"/>
      <c r="Z828" s="4"/>
    </row>
    <row r="829" ht="12.75" customHeight="1">
      <c r="A829" s="28"/>
      <c r="B829" s="28"/>
      <c r="C829" s="28"/>
      <c r="D829" s="4"/>
      <c r="E829" s="28"/>
      <c r="F829" s="28"/>
      <c r="G829" s="28"/>
      <c r="H829" s="4"/>
      <c r="I829" s="28"/>
      <c r="J829" s="28"/>
      <c r="K829" s="28"/>
      <c r="L829" s="4"/>
      <c r="M829" s="28"/>
      <c r="N829" s="28"/>
      <c r="O829" s="28"/>
      <c r="P829" s="4"/>
      <c r="Q829" s="28"/>
      <c r="R829" s="28"/>
      <c r="S829" s="28"/>
      <c r="T829" s="4"/>
      <c r="U829" s="4"/>
      <c r="V829" s="4"/>
      <c r="W829" s="4"/>
      <c r="X829" s="4"/>
      <c r="Y829" s="4"/>
      <c r="Z829" s="4"/>
    </row>
    <row r="830" ht="12.75" customHeight="1">
      <c r="A830" s="28"/>
      <c r="B830" s="28"/>
      <c r="C830" s="28"/>
      <c r="D830" s="4"/>
      <c r="E830" s="28"/>
      <c r="F830" s="28"/>
      <c r="G830" s="28"/>
      <c r="H830" s="4"/>
      <c r="I830" s="28"/>
      <c r="J830" s="28"/>
      <c r="K830" s="28"/>
      <c r="L830" s="4"/>
      <c r="M830" s="28"/>
      <c r="N830" s="28"/>
      <c r="O830" s="28"/>
      <c r="P830" s="4"/>
      <c r="Q830" s="28"/>
      <c r="R830" s="28"/>
      <c r="S830" s="28"/>
      <c r="T830" s="4"/>
      <c r="U830" s="4"/>
      <c r="V830" s="4"/>
      <c r="W830" s="4"/>
      <c r="X830" s="4"/>
      <c r="Y830" s="4"/>
      <c r="Z830" s="4"/>
    </row>
    <row r="831" ht="12.75" customHeight="1">
      <c r="A831" s="28"/>
      <c r="B831" s="28"/>
      <c r="C831" s="28"/>
      <c r="D831" s="4"/>
      <c r="E831" s="28"/>
      <c r="F831" s="28"/>
      <c r="G831" s="28"/>
      <c r="H831" s="4"/>
      <c r="I831" s="28"/>
      <c r="J831" s="28"/>
      <c r="K831" s="28"/>
      <c r="L831" s="4"/>
      <c r="M831" s="28"/>
      <c r="N831" s="28"/>
      <c r="O831" s="28"/>
      <c r="P831" s="4"/>
      <c r="Q831" s="28"/>
      <c r="R831" s="28"/>
      <c r="S831" s="28"/>
      <c r="T831" s="4"/>
      <c r="U831" s="4"/>
      <c r="V831" s="4"/>
      <c r="W831" s="4"/>
      <c r="X831" s="4"/>
      <c r="Y831" s="4"/>
      <c r="Z831" s="4"/>
    </row>
    <row r="832" ht="12.75" customHeight="1">
      <c r="A832" s="28"/>
      <c r="B832" s="28"/>
      <c r="C832" s="28"/>
      <c r="D832" s="4"/>
      <c r="E832" s="28"/>
      <c r="F832" s="28"/>
      <c r="G832" s="28"/>
      <c r="H832" s="4"/>
      <c r="I832" s="28"/>
      <c r="J832" s="28"/>
      <c r="K832" s="28"/>
      <c r="L832" s="4"/>
      <c r="M832" s="28"/>
      <c r="N832" s="28"/>
      <c r="O832" s="28"/>
      <c r="P832" s="4"/>
      <c r="Q832" s="28"/>
      <c r="R832" s="28"/>
      <c r="S832" s="28"/>
      <c r="T832" s="4"/>
      <c r="U832" s="4"/>
      <c r="V832" s="4"/>
      <c r="W832" s="4"/>
      <c r="X832" s="4"/>
      <c r="Y832" s="4"/>
      <c r="Z832" s="4"/>
    </row>
    <row r="833" ht="12.75" customHeight="1">
      <c r="A833" s="28"/>
      <c r="B833" s="28"/>
      <c r="C833" s="28"/>
      <c r="D833" s="4"/>
      <c r="E833" s="28"/>
      <c r="F833" s="28"/>
      <c r="G833" s="28"/>
      <c r="H833" s="4"/>
      <c r="I833" s="28"/>
      <c r="J833" s="28"/>
      <c r="K833" s="28"/>
      <c r="L833" s="4"/>
      <c r="M833" s="28"/>
      <c r="N833" s="28"/>
      <c r="O833" s="28"/>
      <c r="P833" s="4"/>
      <c r="Q833" s="28"/>
      <c r="R833" s="28"/>
      <c r="S833" s="28"/>
      <c r="T833" s="4"/>
      <c r="U833" s="4"/>
      <c r="V833" s="4"/>
      <c r="W833" s="4"/>
      <c r="X833" s="4"/>
      <c r="Y833" s="4"/>
      <c r="Z833" s="4"/>
    </row>
    <row r="834" ht="12.75" customHeight="1">
      <c r="A834" s="28"/>
      <c r="B834" s="28"/>
      <c r="C834" s="28"/>
      <c r="D834" s="4"/>
      <c r="E834" s="28"/>
      <c r="F834" s="28"/>
      <c r="G834" s="28"/>
      <c r="H834" s="4"/>
      <c r="I834" s="28"/>
      <c r="J834" s="28"/>
      <c r="K834" s="28"/>
      <c r="L834" s="4"/>
      <c r="M834" s="28"/>
      <c r="N834" s="28"/>
      <c r="O834" s="28"/>
      <c r="P834" s="4"/>
      <c r="Q834" s="28"/>
      <c r="R834" s="28"/>
      <c r="S834" s="28"/>
      <c r="T834" s="4"/>
      <c r="U834" s="4"/>
      <c r="V834" s="4"/>
      <c r="W834" s="4"/>
      <c r="X834" s="4"/>
      <c r="Y834" s="4"/>
      <c r="Z834" s="4"/>
    </row>
    <row r="835" ht="12.75" customHeight="1">
      <c r="A835" s="28"/>
      <c r="B835" s="28"/>
      <c r="C835" s="28"/>
      <c r="D835" s="4"/>
      <c r="E835" s="28"/>
      <c r="F835" s="28"/>
      <c r="G835" s="28"/>
      <c r="H835" s="4"/>
      <c r="I835" s="28"/>
      <c r="J835" s="28"/>
      <c r="K835" s="28"/>
      <c r="L835" s="4"/>
      <c r="M835" s="28"/>
      <c r="N835" s="28"/>
      <c r="O835" s="28"/>
      <c r="P835" s="4"/>
      <c r="Q835" s="28"/>
      <c r="R835" s="28"/>
      <c r="S835" s="28"/>
      <c r="T835" s="4"/>
      <c r="U835" s="4"/>
      <c r="V835" s="4"/>
      <c r="W835" s="4"/>
      <c r="X835" s="4"/>
      <c r="Y835" s="4"/>
      <c r="Z835" s="4"/>
    </row>
    <row r="836" ht="12.75" customHeight="1">
      <c r="A836" s="28"/>
      <c r="B836" s="28"/>
      <c r="C836" s="28"/>
      <c r="D836" s="4"/>
      <c r="E836" s="28"/>
      <c r="F836" s="28"/>
      <c r="G836" s="28"/>
      <c r="H836" s="4"/>
      <c r="I836" s="28"/>
      <c r="J836" s="28"/>
      <c r="K836" s="28"/>
      <c r="L836" s="4"/>
      <c r="M836" s="28"/>
      <c r="N836" s="28"/>
      <c r="O836" s="28"/>
      <c r="P836" s="4"/>
      <c r="Q836" s="28"/>
      <c r="R836" s="28"/>
      <c r="S836" s="28"/>
      <c r="T836" s="4"/>
      <c r="U836" s="4"/>
      <c r="V836" s="4"/>
      <c r="W836" s="4"/>
      <c r="X836" s="4"/>
      <c r="Y836" s="4"/>
      <c r="Z836" s="4"/>
    </row>
    <row r="837" ht="12.75" customHeight="1">
      <c r="A837" s="28"/>
      <c r="B837" s="28"/>
      <c r="C837" s="28"/>
      <c r="D837" s="4"/>
      <c r="E837" s="28"/>
      <c r="F837" s="28"/>
      <c r="G837" s="28"/>
      <c r="H837" s="4"/>
      <c r="I837" s="28"/>
      <c r="J837" s="28"/>
      <c r="K837" s="28"/>
      <c r="L837" s="4"/>
      <c r="M837" s="28"/>
      <c r="N837" s="28"/>
      <c r="O837" s="28"/>
      <c r="P837" s="4"/>
      <c r="Q837" s="28"/>
      <c r="R837" s="28"/>
      <c r="S837" s="28"/>
      <c r="T837" s="4"/>
      <c r="U837" s="4"/>
      <c r="V837" s="4"/>
      <c r="W837" s="4"/>
      <c r="X837" s="4"/>
      <c r="Y837" s="4"/>
      <c r="Z837" s="4"/>
    </row>
    <row r="838" ht="12.75" customHeight="1">
      <c r="A838" s="28"/>
      <c r="B838" s="28"/>
      <c r="C838" s="28"/>
      <c r="D838" s="4"/>
      <c r="E838" s="28"/>
      <c r="F838" s="28"/>
      <c r="G838" s="28"/>
      <c r="H838" s="4"/>
      <c r="I838" s="28"/>
      <c r="J838" s="28"/>
      <c r="K838" s="28"/>
      <c r="L838" s="4"/>
      <c r="M838" s="28"/>
      <c r="N838" s="28"/>
      <c r="O838" s="28"/>
      <c r="P838" s="4"/>
      <c r="Q838" s="28"/>
      <c r="R838" s="28"/>
      <c r="S838" s="28"/>
      <c r="T838" s="4"/>
      <c r="U838" s="4"/>
      <c r="V838" s="4"/>
      <c r="W838" s="4"/>
      <c r="X838" s="4"/>
      <c r="Y838" s="4"/>
      <c r="Z838" s="4"/>
    </row>
    <row r="839" ht="12.75" customHeight="1">
      <c r="A839" s="28"/>
      <c r="B839" s="28"/>
      <c r="C839" s="28"/>
      <c r="D839" s="4"/>
      <c r="E839" s="28"/>
      <c r="F839" s="28"/>
      <c r="G839" s="28"/>
      <c r="H839" s="4"/>
      <c r="I839" s="28"/>
      <c r="J839" s="28"/>
      <c r="K839" s="28"/>
      <c r="L839" s="4"/>
      <c r="M839" s="28"/>
      <c r="N839" s="28"/>
      <c r="O839" s="28"/>
      <c r="P839" s="4"/>
      <c r="Q839" s="28"/>
      <c r="R839" s="28"/>
      <c r="S839" s="28"/>
      <c r="T839" s="4"/>
      <c r="U839" s="4"/>
      <c r="V839" s="4"/>
      <c r="W839" s="4"/>
      <c r="X839" s="4"/>
      <c r="Y839" s="4"/>
      <c r="Z839" s="4"/>
    </row>
    <row r="840" ht="12.75" customHeight="1">
      <c r="A840" s="28"/>
      <c r="B840" s="28"/>
      <c r="C840" s="28"/>
      <c r="D840" s="4"/>
      <c r="E840" s="28"/>
      <c r="F840" s="28"/>
      <c r="G840" s="28"/>
      <c r="H840" s="4"/>
      <c r="I840" s="28"/>
      <c r="J840" s="28"/>
      <c r="K840" s="28"/>
      <c r="L840" s="4"/>
      <c r="M840" s="28"/>
      <c r="N840" s="28"/>
      <c r="O840" s="28"/>
      <c r="P840" s="4"/>
      <c r="Q840" s="28"/>
      <c r="R840" s="28"/>
      <c r="S840" s="28"/>
      <c r="T840" s="4"/>
      <c r="U840" s="4"/>
      <c r="V840" s="4"/>
      <c r="W840" s="4"/>
      <c r="X840" s="4"/>
      <c r="Y840" s="4"/>
      <c r="Z840" s="4"/>
    </row>
    <row r="841" ht="12.75" customHeight="1">
      <c r="A841" s="28"/>
      <c r="B841" s="28"/>
      <c r="C841" s="28"/>
      <c r="D841" s="4"/>
      <c r="E841" s="28"/>
      <c r="F841" s="28"/>
      <c r="G841" s="28"/>
      <c r="H841" s="4"/>
      <c r="I841" s="28"/>
      <c r="J841" s="28"/>
      <c r="K841" s="28"/>
      <c r="L841" s="4"/>
      <c r="M841" s="28"/>
      <c r="N841" s="28"/>
      <c r="O841" s="28"/>
      <c r="P841" s="4"/>
      <c r="Q841" s="28"/>
      <c r="R841" s="28"/>
      <c r="S841" s="28"/>
      <c r="T841" s="4"/>
      <c r="U841" s="4"/>
      <c r="V841" s="4"/>
      <c r="W841" s="4"/>
      <c r="X841" s="4"/>
      <c r="Y841" s="4"/>
      <c r="Z841" s="4"/>
    </row>
    <row r="842" ht="12.75" customHeight="1">
      <c r="A842" s="28"/>
      <c r="B842" s="28"/>
      <c r="C842" s="28"/>
      <c r="D842" s="4"/>
      <c r="E842" s="28"/>
      <c r="F842" s="28"/>
      <c r="G842" s="28"/>
      <c r="H842" s="4"/>
      <c r="I842" s="28"/>
      <c r="J842" s="28"/>
      <c r="K842" s="28"/>
      <c r="L842" s="4"/>
      <c r="M842" s="28"/>
      <c r="N842" s="28"/>
      <c r="O842" s="28"/>
      <c r="P842" s="4"/>
      <c r="Q842" s="28"/>
      <c r="R842" s="28"/>
      <c r="S842" s="28"/>
      <c r="T842" s="4"/>
      <c r="U842" s="4"/>
      <c r="V842" s="4"/>
      <c r="W842" s="4"/>
      <c r="X842" s="4"/>
      <c r="Y842" s="4"/>
      <c r="Z842" s="4"/>
    </row>
    <row r="843" ht="12.75" customHeight="1">
      <c r="A843" s="28"/>
      <c r="B843" s="28"/>
      <c r="C843" s="28"/>
      <c r="D843" s="4"/>
      <c r="E843" s="28"/>
      <c r="F843" s="28"/>
      <c r="G843" s="28"/>
      <c r="H843" s="4"/>
      <c r="I843" s="28"/>
      <c r="J843" s="28"/>
      <c r="K843" s="28"/>
      <c r="L843" s="4"/>
      <c r="M843" s="28"/>
      <c r="N843" s="28"/>
      <c r="O843" s="28"/>
      <c r="P843" s="4"/>
      <c r="Q843" s="28"/>
      <c r="R843" s="28"/>
      <c r="S843" s="28"/>
      <c r="T843" s="4"/>
      <c r="U843" s="4"/>
      <c r="V843" s="4"/>
      <c r="W843" s="4"/>
      <c r="X843" s="4"/>
      <c r="Y843" s="4"/>
      <c r="Z843" s="4"/>
    </row>
    <row r="844" ht="12.75" customHeight="1">
      <c r="A844" s="28"/>
      <c r="B844" s="28"/>
      <c r="C844" s="28"/>
      <c r="D844" s="4"/>
      <c r="E844" s="28"/>
      <c r="F844" s="28"/>
      <c r="G844" s="28"/>
      <c r="H844" s="4"/>
      <c r="I844" s="28"/>
      <c r="J844" s="28"/>
      <c r="K844" s="28"/>
      <c r="L844" s="4"/>
      <c r="M844" s="28"/>
      <c r="N844" s="28"/>
      <c r="O844" s="28"/>
      <c r="P844" s="4"/>
      <c r="Q844" s="28"/>
      <c r="R844" s="28"/>
      <c r="S844" s="28"/>
      <c r="T844" s="4"/>
      <c r="U844" s="4"/>
      <c r="V844" s="4"/>
      <c r="W844" s="4"/>
      <c r="X844" s="4"/>
      <c r="Y844" s="4"/>
      <c r="Z844" s="4"/>
    </row>
    <row r="845" ht="12.75" customHeight="1">
      <c r="A845" s="28"/>
      <c r="B845" s="28"/>
      <c r="C845" s="28"/>
      <c r="D845" s="4"/>
      <c r="E845" s="28"/>
      <c r="F845" s="28"/>
      <c r="G845" s="28"/>
      <c r="H845" s="4"/>
      <c r="I845" s="28"/>
      <c r="J845" s="28"/>
      <c r="K845" s="28"/>
      <c r="L845" s="4"/>
      <c r="M845" s="28"/>
      <c r="N845" s="28"/>
      <c r="O845" s="28"/>
      <c r="P845" s="4"/>
      <c r="Q845" s="28"/>
      <c r="R845" s="28"/>
      <c r="S845" s="28"/>
      <c r="T845" s="4"/>
      <c r="U845" s="4"/>
      <c r="V845" s="4"/>
      <c r="W845" s="4"/>
      <c r="X845" s="4"/>
      <c r="Y845" s="4"/>
      <c r="Z845" s="4"/>
    </row>
    <row r="846" ht="12.75" customHeight="1">
      <c r="A846" s="28"/>
      <c r="B846" s="28"/>
      <c r="C846" s="28"/>
      <c r="D846" s="4"/>
      <c r="E846" s="28"/>
      <c r="F846" s="28"/>
      <c r="G846" s="28"/>
      <c r="H846" s="4"/>
      <c r="I846" s="28"/>
      <c r="J846" s="28"/>
      <c r="K846" s="28"/>
      <c r="L846" s="4"/>
      <c r="M846" s="28"/>
      <c r="N846" s="28"/>
      <c r="O846" s="28"/>
      <c r="P846" s="4"/>
      <c r="Q846" s="28"/>
      <c r="R846" s="28"/>
      <c r="S846" s="28"/>
      <c r="T846" s="4"/>
      <c r="U846" s="4"/>
      <c r="V846" s="4"/>
      <c r="W846" s="4"/>
      <c r="X846" s="4"/>
      <c r="Y846" s="4"/>
      <c r="Z846" s="4"/>
    </row>
    <row r="847" ht="12.75" customHeight="1">
      <c r="A847" s="28"/>
      <c r="B847" s="28"/>
      <c r="C847" s="28"/>
      <c r="D847" s="4"/>
      <c r="E847" s="28"/>
      <c r="F847" s="28"/>
      <c r="G847" s="28"/>
      <c r="H847" s="4"/>
      <c r="I847" s="28"/>
      <c r="J847" s="28"/>
      <c r="K847" s="28"/>
      <c r="L847" s="4"/>
      <c r="M847" s="28"/>
      <c r="N847" s="28"/>
      <c r="O847" s="28"/>
      <c r="P847" s="4"/>
      <c r="Q847" s="28"/>
      <c r="R847" s="28"/>
      <c r="S847" s="28"/>
      <c r="T847" s="4"/>
      <c r="U847" s="4"/>
      <c r="V847" s="4"/>
      <c r="W847" s="4"/>
      <c r="X847" s="4"/>
      <c r="Y847" s="4"/>
      <c r="Z847" s="4"/>
    </row>
    <row r="848" ht="12.75" customHeight="1">
      <c r="A848" s="28"/>
      <c r="B848" s="28"/>
      <c r="C848" s="28"/>
      <c r="D848" s="4"/>
      <c r="E848" s="28"/>
      <c r="F848" s="28"/>
      <c r="G848" s="28"/>
      <c r="H848" s="4"/>
      <c r="I848" s="28"/>
      <c r="J848" s="28"/>
      <c r="K848" s="28"/>
      <c r="L848" s="4"/>
      <c r="M848" s="28"/>
      <c r="N848" s="28"/>
      <c r="O848" s="28"/>
      <c r="P848" s="4"/>
      <c r="Q848" s="28"/>
      <c r="R848" s="28"/>
      <c r="S848" s="28"/>
      <c r="T848" s="4"/>
      <c r="U848" s="4"/>
      <c r="V848" s="4"/>
      <c r="W848" s="4"/>
      <c r="X848" s="4"/>
      <c r="Y848" s="4"/>
      <c r="Z848" s="4"/>
    </row>
    <row r="849" ht="12.75" customHeight="1">
      <c r="A849" s="28"/>
      <c r="B849" s="28"/>
      <c r="C849" s="28"/>
      <c r="D849" s="4"/>
      <c r="E849" s="28"/>
      <c r="F849" s="28"/>
      <c r="G849" s="28"/>
      <c r="H849" s="4"/>
      <c r="I849" s="28"/>
      <c r="J849" s="28"/>
      <c r="K849" s="28"/>
      <c r="L849" s="4"/>
      <c r="M849" s="28"/>
      <c r="N849" s="28"/>
      <c r="O849" s="28"/>
      <c r="P849" s="4"/>
      <c r="Q849" s="28"/>
      <c r="R849" s="28"/>
      <c r="S849" s="28"/>
      <c r="T849" s="4"/>
      <c r="U849" s="4"/>
      <c r="V849" s="4"/>
      <c r="W849" s="4"/>
      <c r="X849" s="4"/>
      <c r="Y849" s="4"/>
      <c r="Z849" s="4"/>
    </row>
    <row r="850" ht="12.75" customHeight="1">
      <c r="A850" s="28"/>
      <c r="B850" s="28"/>
      <c r="C850" s="28"/>
      <c r="D850" s="4"/>
      <c r="E850" s="28"/>
      <c r="F850" s="28"/>
      <c r="G850" s="28"/>
      <c r="H850" s="4"/>
      <c r="I850" s="28"/>
      <c r="J850" s="28"/>
      <c r="K850" s="28"/>
      <c r="L850" s="4"/>
      <c r="M850" s="28"/>
      <c r="N850" s="28"/>
      <c r="O850" s="28"/>
      <c r="P850" s="4"/>
      <c r="Q850" s="28"/>
      <c r="R850" s="28"/>
      <c r="S850" s="28"/>
      <c r="T850" s="4"/>
      <c r="U850" s="4"/>
      <c r="V850" s="4"/>
      <c r="W850" s="4"/>
      <c r="X850" s="4"/>
      <c r="Y850" s="4"/>
      <c r="Z850" s="4"/>
    </row>
    <row r="851" ht="12.75" customHeight="1">
      <c r="A851" s="28"/>
      <c r="B851" s="28"/>
      <c r="C851" s="28"/>
      <c r="D851" s="4"/>
      <c r="E851" s="28"/>
      <c r="F851" s="28"/>
      <c r="G851" s="28"/>
      <c r="H851" s="4"/>
      <c r="I851" s="28"/>
      <c r="J851" s="28"/>
      <c r="K851" s="28"/>
      <c r="L851" s="4"/>
      <c r="M851" s="28"/>
      <c r="N851" s="28"/>
      <c r="O851" s="28"/>
      <c r="P851" s="4"/>
      <c r="Q851" s="28"/>
      <c r="R851" s="28"/>
      <c r="S851" s="28"/>
      <c r="T851" s="4"/>
      <c r="U851" s="4"/>
      <c r="V851" s="4"/>
      <c r="W851" s="4"/>
      <c r="X851" s="4"/>
      <c r="Y851" s="4"/>
      <c r="Z851" s="4"/>
    </row>
    <row r="852" ht="12.75" customHeight="1">
      <c r="A852" s="28"/>
      <c r="B852" s="28"/>
      <c r="C852" s="28"/>
      <c r="D852" s="4"/>
      <c r="E852" s="28"/>
      <c r="F852" s="28"/>
      <c r="G852" s="28"/>
      <c r="H852" s="4"/>
      <c r="I852" s="28"/>
      <c r="J852" s="28"/>
      <c r="K852" s="28"/>
      <c r="L852" s="4"/>
      <c r="M852" s="28"/>
      <c r="N852" s="28"/>
      <c r="O852" s="28"/>
      <c r="P852" s="4"/>
      <c r="Q852" s="28"/>
      <c r="R852" s="28"/>
      <c r="S852" s="28"/>
      <c r="T852" s="4"/>
      <c r="U852" s="4"/>
      <c r="V852" s="4"/>
      <c r="W852" s="4"/>
      <c r="X852" s="4"/>
      <c r="Y852" s="4"/>
      <c r="Z852" s="4"/>
    </row>
    <row r="853" ht="12.75" customHeight="1">
      <c r="A853" s="28"/>
      <c r="B853" s="28"/>
      <c r="C853" s="28"/>
      <c r="D853" s="4"/>
      <c r="E853" s="28"/>
      <c r="F853" s="28"/>
      <c r="G853" s="28"/>
      <c r="H853" s="4"/>
      <c r="I853" s="28"/>
      <c r="J853" s="28"/>
      <c r="K853" s="28"/>
      <c r="L853" s="4"/>
      <c r="M853" s="28"/>
      <c r="N853" s="28"/>
      <c r="O853" s="28"/>
      <c r="P853" s="4"/>
      <c r="Q853" s="28"/>
      <c r="R853" s="28"/>
      <c r="S853" s="28"/>
      <c r="T853" s="4"/>
      <c r="U853" s="4"/>
      <c r="V853" s="4"/>
      <c r="W853" s="4"/>
      <c r="X853" s="4"/>
      <c r="Y853" s="4"/>
      <c r="Z853" s="4"/>
    </row>
    <row r="854" ht="12.75" customHeight="1">
      <c r="A854" s="28"/>
      <c r="B854" s="28"/>
      <c r="C854" s="28"/>
      <c r="D854" s="4"/>
      <c r="E854" s="28"/>
      <c r="F854" s="28"/>
      <c r="G854" s="28"/>
      <c r="H854" s="4"/>
      <c r="I854" s="28"/>
      <c r="J854" s="28"/>
      <c r="K854" s="28"/>
      <c r="L854" s="4"/>
      <c r="M854" s="28"/>
      <c r="N854" s="28"/>
      <c r="O854" s="28"/>
      <c r="P854" s="4"/>
      <c r="Q854" s="28"/>
      <c r="R854" s="28"/>
      <c r="S854" s="28"/>
      <c r="T854" s="4"/>
      <c r="U854" s="4"/>
      <c r="V854" s="4"/>
      <c r="W854" s="4"/>
      <c r="X854" s="4"/>
      <c r="Y854" s="4"/>
      <c r="Z854" s="4"/>
    </row>
    <row r="855" ht="12.75" customHeight="1">
      <c r="A855" s="28"/>
      <c r="B855" s="28"/>
      <c r="C855" s="28"/>
      <c r="D855" s="4"/>
      <c r="E855" s="28"/>
      <c r="F855" s="28"/>
      <c r="G855" s="28"/>
      <c r="H855" s="4"/>
      <c r="I855" s="28"/>
      <c r="J855" s="28"/>
      <c r="K855" s="28"/>
      <c r="L855" s="4"/>
      <c r="M855" s="28"/>
      <c r="N855" s="28"/>
      <c r="O855" s="28"/>
      <c r="P855" s="4"/>
      <c r="Q855" s="28"/>
      <c r="R855" s="28"/>
      <c r="S855" s="28"/>
      <c r="T855" s="4"/>
      <c r="U855" s="4"/>
      <c r="V855" s="4"/>
      <c r="W855" s="4"/>
      <c r="X855" s="4"/>
      <c r="Y855" s="4"/>
      <c r="Z855" s="4"/>
    </row>
    <row r="856" ht="12.75" customHeight="1">
      <c r="A856" s="28"/>
      <c r="B856" s="28"/>
      <c r="C856" s="28"/>
      <c r="D856" s="4"/>
      <c r="E856" s="28"/>
      <c r="F856" s="28"/>
      <c r="G856" s="28"/>
      <c r="H856" s="4"/>
      <c r="I856" s="28"/>
      <c r="J856" s="28"/>
      <c r="K856" s="28"/>
      <c r="L856" s="4"/>
      <c r="M856" s="28"/>
      <c r="N856" s="28"/>
      <c r="O856" s="28"/>
      <c r="P856" s="4"/>
      <c r="Q856" s="28"/>
      <c r="R856" s="28"/>
      <c r="S856" s="28"/>
      <c r="T856" s="4"/>
      <c r="U856" s="4"/>
      <c r="V856" s="4"/>
      <c r="W856" s="4"/>
      <c r="X856" s="4"/>
      <c r="Y856" s="4"/>
      <c r="Z856" s="4"/>
    </row>
    <row r="857" ht="12.75" customHeight="1">
      <c r="A857" s="28"/>
      <c r="B857" s="28"/>
      <c r="C857" s="28"/>
      <c r="D857" s="4"/>
      <c r="E857" s="28"/>
      <c r="F857" s="28"/>
      <c r="G857" s="28"/>
      <c r="H857" s="4"/>
      <c r="I857" s="28"/>
      <c r="J857" s="28"/>
      <c r="K857" s="28"/>
      <c r="L857" s="4"/>
      <c r="M857" s="28"/>
      <c r="N857" s="28"/>
      <c r="O857" s="28"/>
      <c r="P857" s="4"/>
      <c r="Q857" s="28"/>
      <c r="R857" s="28"/>
      <c r="S857" s="28"/>
      <c r="T857" s="4"/>
      <c r="U857" s="4"/>
      <c r="V857" s="4"/>
      <c r="W857" s="4"/>
      <c r="X857" s="4"/>
      <c r="Y857" s="4"/>
      <c r="Z857" s="4"/>
    </row>
    <row r="858" ht="12.75" customHeight="1">
      <c r="A858" s="28"/>
      <c r="B858" s="28"/>
      <c r="C858" s="28"/>
      <c r="D858" s="4"/>
      <c r="E858" s="28"/>
      <c r="F858" s="28"/>
      <c r="G858" s="28"/>
      <c r="H858" s="4"/>
      <c r="I858" s="28"/>
      <c r="J858" s="28"/>
      <c r="K858" s="28"/>
      <c r="L858" s="4"/>
      <c r="M858" s="28"/>
      <c r="N858" s="28"/>
      <c r="O858" s="28"/>
      <c r="P858" s="4"/>
      <c r="Q858" s="28"/>
      <c r="R858" s="28"/>
      <c r="S858" s="28"/>
      <c r="T858" s="4"/>
      <c r="U858" s="4"/>
      <c r="V858" s="4"/>
      <c r="W858" s="4"/>
      <c r="X858" s="4"/>
      <c r="Y858" s="4"/>
      <c r="Z858" s="4"/>
    </row>
    <row r="859" ht="12.75" customHeight="1">
      <c r="A859" s="28"/>
      <c r="B859" s="28"/>
      <c r="C859" s="28"/>
      <c r="D859" s="4"/>
      <c r="E859" s="28"/>
      <c r="F859" s="28"/>
      <c r="G859" s="28"/>
      <c r="H859" s="4"/>
      <c r="I859" s="28"/>
      <c r="J859" s="28"/>
      <c r="K859" s="28"/>
      <c r="L859" s="4"/>
      <c r="M859" s="28"/>
      <c r="N859" s="28"/>
      <c r="O859" s="28"/>
      <c r="P859" s="4"/>
      <c r="Q859" s="28"/>
      <c r="R859" s="28"/>
      <c r="S859" s="28"/>
      <c r="T859" s="4"/>
      <c r="U859" s="4"/>
      <c r="V859" s="4"/>
      <c r="W859" s="4"/>
      <c r="X859" s="4"/>
      <c r="Y859" s="4"/>
      <c r="Z859" s="4"/>
    </row>
    <row r="860" ht="12.75" customHeight="1">
      <c r="A860" s="28"/>
      <c r="B860" s="28"/>
      <c r="C860" s="28"/>
      <c r="D860" s="4"/>
      <c r="E860" s="28"/>
      <c r="F860" s="28"/>
      <c r="G860" s="28"/>
      <c r="H860" s="4"/>
      <c r="I860" s="28"/>
      <c r="J860" s="28"/>
      <c r="K860" s="28"/>
      <c r="L860" s="4"/>
      <c r="M860" s="28"/>
      <c r="N860" s="28"/>
      <c r="O860" s="28"/>
      <c r="P860" s="4"/>
      <c r="Q860" s="28"/>
      <c r="R860" s="28"/>
      <c r="S860" s="28"/>
      <c r="T860" s="4"/>
      <c r="U860" s="4"/>
      <c r="V860" s="4"/>
      <c r="W860" s="4"/>
      <c r="X860" s="4"/>
      <c r="Y860" s="4"/>
      <c r="Z860" s="4"/>
    </row>
    <row r="861" ht="12.75" customHeight="1">
      <c r="A861" s="28"/>
      <c r="B861" s="28"/>
      <c r="C861" s="28"/>
      <c r="D861" s="4"/>
      <c r="E861" s="28"/>
      <c r="F861" s="28"/>
      <c r="G861" s="28"/>
      <c r="H861" s="4"/>
      <c r="I861" s="28"/>
      <c r="J861" s="28"/>
      <c r="K861" s="28"/>
      <c r="L861" s="4"/>
      <c r="M861" s="28"/>
      <c r="N861" s="28"/>
      <c r="O861" s="28"/>
      <c r="P861" s="4"/>
      <c r="Q861" s="28"/>
      <c r="R861" s="28"/>
      <c r="S861" s="28"/>
      <c r="T861" s="4"/>
      <c r="U861" s="4"/>
      <c r="V861" s="4"/>
      <c r="W861" s="4"/>
      <c r="X861" s="4"/>
      <c r="Y861" s="4"/>
      <c r="Z861" s="4"/>
    </row>
    <row r="862" ht="12.75" customHeight="1">
      <c r="A862" s="28"/>
      <c r="B862" s="28"/>
      <c r="C862" s="28"/>
      <c r="D862" s="4"/>
      <c r="E862" s="28"/>
      <c r="F862" s="28"/>
      <c r="G862" s="28"/>
      <c r="H862" s="4"/>
      <c r="I862" s="28"/>
      <c r="J862" s="28"/>
      <c r="K862" s="28"/>
      <c r="L862" s="4"/>
      <c r="M862" s="28"/>
      <c r="N862" s="28"/>
      <c r="O862" s="28"/>
      <c r="P862" s="4"/>
      <c r="Q862" s="28"/>
      <c r="R862" s="28"/>
      <c r="S862" s="28"/>
      <c r="T862" s="4"/>
      <c r="U862" s="4"/>
      <c r="V862" s="4"/>
      <c r="W862" s="4"/>
      <c r="X862" s="4"/>
      <c r="Y862" s="4"/>
      <c r="Z862" s="4"/>
    </row>
    <row r="863" ht="12.75" customHeight="1">
      <c r="A863" s="28"/>
      <c r="B863" s="28"/>
      <c r="C863" s="28"/>
      <c r="D863" s="4"/>
      <c r="E863" s="28"/>
      <c r="F863" s="28"/>
      <c r="G863" s="28"/>
      <c r="H863" s="4"/>
      <c r="I863" s="28"/>
      <c r="J863" s="28"/>
      <c r="K863" s="28"/>
      <c r="L863" s="4"/>
      <c r="M863" s="28"/>
      <c r="N863" s="28"/>
      <c r="O863" s="28"/>
      <c r="P863" s="4"/>
      <c r="Q863" s="28"/>
      <c r="R863" s="28"/>
      <c r="S863" s="28"/>
      <c r="T863" s="4"/>
      <c r="U863" s="4"/>
      <c r="V863" s="4"/>
      <c r="W863" s="4"/>
      <c r="X863" s="4"/>
      <c r="Y863" s="4"/>
      <c r="Z863" s="4"/>
    </row>
    <row r="864" ht="12.75" customHeight="1">
      <c r="A864" s="28"/>
      <c r="B864" s="28"/>
      <c r="C864" s="28"/>
      <c r="D864" s="4"/>
      <c r="E864" s="28"/>
      <c r="F864" s="28"/>
      <c r="G864" s="28"/>
      <c r="H864" s="4"/>
      <c r="I864" s="28"/>
      <c r="J864" s="28"/>
      <c r="K864" s="28"/>
      <c r="L864" s="4"/>
      <c r="M864" s="28"/>
      <c r="N864" s="28"/>
      <c r="O864" s="28"/>
      <c r="P864" s="4"/>
      <c r="Q864" s="28"/>
      <c r="R864" s="28"/>
      <c r="S864" s="28"/>
      <c r="T864" s="4"/>
      <c r="U864" s="4"/>
      <c r="V864" s="4"/>
      <c r="W864" s="4"/>
      <c r="X864" s="4"/>
      <c r="Y864" s="4"/>
      <c r="Z864" s="4"/>
    </row>
    <row r="865" ht="12.75" customHeight="1">
      <c r="A865" s="28"/>
      <c r="B865" s="28"/>
      <c r="C865" s="28"/>
      <c r="D865" s="4"/>
      <c r="E865" s="28"/>
      <c r="F865" s="28"/>
      <c r="G865" s="28"/>
      <c r="H865" s="4"/>
      <c r="I865" s="28"/>
      <c r="J865" s="28"/>
      <c r="K865" s="28"/>
      <c r="L865" s="4"/>
      <c r="M865" s="28"/>
      <c r="N865" s="28"/>
      <c r="O865" s="28"/>
      <c r="P865" s="4"/>
      <c r="Q865" s="28"/>
      <c r="R865" s="28"/>
      <c r="S865" s="28"/>
      <c r="T865" s="4"/>
      <c r="U865" s="4"/>
      <c r="V865" s="4"/>
      <c r="W865" s="4"/>
      <c r="X865" s="4"/>
      <c r="Y865" s="4"/>
      <c r="Z865" s="4"/>
    </row>
    <row r="866" ht="12.75" customHeight="1">
      <c r="A866" s="28"/>
      <c r="B866" s="28"/>
      <c r="C866" s="28"/>
      <c r="D866" s="4"/>
      <c r="E866" s="28"/>
      <c r="F866" s="28"/>
      <c r="G866" s="28"/>
      <c r="H866" s="4"/>
      <c r="I866" s="28"/>
      <c r="J866" s="28"/>
      <c r="K866" s="28"/>
      <c r="L866" s="4"/>
      <c r="M866" s="28"/>
      <c r="N866" s="28"/>
      <c r="O866" s="28"/>
      <c r="P866" s="4"/>
      <c r="Q866" s="28"/>
      <c r="R866" s="28"/>
      <c r="S866" s="28"/>
      <c r="T866" s="4"/>
      <c r="U866" s="4"/>
      <c r="V866" s="4"/>
      <c r="W866" s="4"/>
      <c r="X866" s="4"/>
      <c r="Y866" s="4"/>
      <c r="Z866" s="4"/>
    </row>
    <row r="867" ht="12.75" customHeight="1">
      <c r="A867" s="28"/>
      <c r="B867" s="28"/>
      <c r="C867" s="28"/>
      <c r="D867" s="4"/>
      <c r="E867" s="28"/>
      <c r="F867" s="28"/>
      <c r="G867" s="28"/>
      <c r="H867" s="4"/>
      <c r="I867" s="28"/>
      <c r="J867" s="28"/>
      <c r="K867" s="28"/>
      <c r="L867" s="4"/>
      <c r="M867" s="28"/>
      <c r="N867" s="28"/>
      <c r="O867" s="28"/>
      <c r="P867" s="4"/>
      <c r="Q867" s="28"/>
      <c r="R867" s="28"/>
      <c r="S867" s="28"/>
      <c r="T867" s="4"/>
      <c r="U867" s="4"/>
      <c r="V867" s="4"/>
      <c r="W867" s="4"/>
      <c r="X867" s="4"/>
      <c r="Y867" s="4"/>
      <c r="Z867" s="4"/>
    </row>
    <row r="868" ht="12.75" customHeight="1">
      <c r="A868" s="28"/>
      <c r="B868" s="28"/>
      <c r="C868" s="28"/>
      <c r="D868" s="4"/>
      <c r="E868" s="28"/>
      <c r="F868" s="28"/>
      <c r="G868" s="28"/>
      <c r="H868" s="4"/>
      <c r="I868" s="28"/>
      <c r="J868" s="28"/>
      <c r="K868" s="28"/>
      <c r="L868" s="4"/>
      <c r="M868" s="28"/>
      <c r="N868" s="28"/>
      <c r="O868" s="28"/>
      <c r="P868" s="4"/>
      <c r="Q868" s="28"/>
      <c r="R868" s="28"/>
      <c r="S868" s="28"/>
      <c r="T868" s="4"/>
      <c r="U868" s="4"/>
      <c r="V868" s="4"/>
      <c r="W868" s="4"/>
      <c r="X868" s="4"/>
      <c r="Y868" s="4"/>
      <c r="Z868" s="4"/>
    </row>
    <row r="869" ht="12.75" customHeight="1">
      <c r="A869" s="28"/>
      <c r="B869" s="28"/>
      <c r="C869" s="28"/>
      <c r="D869" s="4"/>
      <c r="E869" s="28"/>
      <c r="F869" s="28"/>
      <c r="G869" s="28"/>
      <c r="H869" s="4"/>
      <c r="I869" s="28"/>
      <c r="J869" s="28"/>
      <c r="K869" s="28"/>
      <c r="L869" s="4"/>
      <c r="M869" s="28"/>
      <c r="N869" s="28"/>
      <c r="O869" s="28"/>
      <c r="P869" s="4"/>
      <c r="Q869" s="28"/>
      <c r="R869" s="28"/>
      <c r="S869" s="28"/>
      <c r="T869" s="4"/>
      <c r="U869" s="4"/>
      <c r="V869" s="4"/>
      <c r="W869" s="4"/>
      <c r="X869" s="4"/>
      <c r="Y869" s="4"/>
      <c r="Z869" s="4"/>
    </row>
    <row r="870" ht="12.75" customHeight="1">
      <c r="A870" s="28"/>
      <c r="B870" s="28"/>
      <c r="C870" s="28"/>
      <c r="D870" s="4"/>
      <c r="E870" s="28"/>
      <c r="F870" s="28"/>
      <c r="G870" s="28"/>
      <c r="H870" s="4"/>
      <c r="I870" s="28"/>
      <c r="J870" s="28"/>
      <c r="K870" s="28"/>
      <c r="L870" s="4"/>
      <c r="M870" s="28"/>
      <c r="N870" s="28"/>
      <c r="O870" s="28"/>
      <c r="P870" s="4"/>
      <c r="Q870" s="28"/>
      <c r="R870" s="28"/>
      <c r="S870" s="28"/>
      <c r="T870" s="4"/>
      <c r="U870" s="4"/>
      <c r="V870" s="4"/>
      <c r="W870" s="4"/>
      <c r="X870" s="4"/>
      <c r="Y870" s="4"/>
      <c r="Z870" s="4"/>
    </row>
    <row r="871" ht="12.75" customHeight="1">
      <c r="A871" s="28"/>
      <c r="B871" s="28"/>
      <c r="C871" s="28"/>
      <c r="D871" s="4"/>
      <c r="E871" s="28"/>
      <c r="F871" s="28"/>
      <c r="G871" s="28"/>
      <c r="H871" s="4"/>
      <c r="I871" s="28"/>
      <c r="J871" s="28"/>
      <c r="K871" s="28"/>
      <c r="L871" s="4"/>
      <c r="M871" s="28"/>
      <c r="N871" s="28"/>
      <c r="O871" s="28"/>
      <c r="P871" s="4"/>
      <c r="Q871" s="28"/>
      <c r="R871" s="28"/>
      <c r="S871" s="28"/>
      <c r="T871" s="4"/>
      <c r="U871" s="4"/>
      <c r="V871" s="4"/>
      <c r="W871" s="4"/>
      <c r="X871" s="4"/>
      <c r="Y871" s="4"/>
      <c r="Z871" s="4"/>
    </row>
    <row r="872" ht="12.75" customHeight="1">
      <c r="A872" s="28"/>
      <c r="B872" s="28"/>
      <c r="C872" s="28"/>
      <c r="D872" s="4"/>
      <c r="E872" s="28"/>
      <c r="F872" s="28"/>
      <c r="G872" s="28"/>
      <c r="H872" s="4"/>
      <c r="I872" s="28"/>
      <c r="J872" s="28"/>
      <c r="K872" s="28"/>
      <c r="L872" s="4"/>
      <c r="M872" s="28"/>
      <c r="N872" s="28"/>
      <c r="O872" s="28"/>
      <c r="P872" s="4"/>
      <c r="Q872" s="28"/>
      <c r="R872" s="28"/>
      <c r="S872" s="28"/>
      <c r="T872" s="4"/>
      <c r="U872" s="4"/>
      <c r="V872" s="4"/>
      <c r="W872" s="4"/>
      <c r="X872" s="4"/>
      <c r="Y872" s="4"/>
      <c r="Z872" s="4"/>
    </row>
    <row r="873" ht="12.75" customHeight="1">
      <c r="A873" s="28"/>
      <c r="B873" s="28"/>
      <c r="C873" s="28"/>
      <c r="D873" s="4"/>
      <c r="E873" s="28"/>
      <c r="F873" s="28"/>
      <c r="G873" s="28"/>
      <c r="H873" s="4"/>
      <c r="I873" s="28"/>
      <c r="J873" s="28"/>
      <c r="K873" s="28"/>
      <c r="L873" s="4"/>
      <c r="M873" s="28"/>
      <c r="N873" s="28"/>
      <c r="O873" s="28"/>
      <c r="P873" s="4"/>
      <c r="Q873" s="28"/>
      <c r="R873" s="28"/>
      <c r="S873" s="28"/>
      <c r="T873" s="4"/>
      <c r="U873" s="4"/>
      <c r="V873" s="4"/>
      <c r="W873" s="4"/>
      <c r="X873" s="4"/>
      <c r="Y873" s="4"/>
      <c r="Z873" s="4"/>
    </row>
    <row r="874" ht="12.75" customHeight="1">
      <c r="A874" s="28"/>
      <c r="B874" s="28"/>
      <c r="C874" s="28"/>
      <c r="D874" s="4"/>
      <c r="E874" s="28"/>
      <c r="F874" s="28"/>
      <c r="G874" s="28"/>
      <c r="H874" s="4"/>
      <c r="I874" s="28"/>
      <c r="J874" s="28"/>
      <c r="K874" s="28"/>
      <c r="L874" s="4"/>
      <c r="M874" s="28"/>
      <c r="N874" s="28"/>
      <c r="O874" s="28"/>
      <c r="P874" s="4"/>
      <c r="Q874" s="28"/>
      <c r="R874" s="28"/>
      <c r="S874" s="28"/>
      <c r="T874" s="4"/>
      <c r="U874" s="4"/>
      <c r="V874" s="4"/>
      <c r="W874" s="4"/>
      <c r="X874" s="4"/>
      <c r="Y874" s="4"/>
      <c r="Z874" s="4"/>
    </row>
    <row r="875" ht="12.75" customHeight="1">
      <c r="A875" s="28"/>
      <c r="B875" s="28"/>
      <c r="C875" s="28"/>
      <c r="D875" s="4"/>
      <c r="E875" s="28"/>
      <c r="F875" s="28"/>
      <c r="G875" s="28"/>
      <c r="H875" s="4"/>
      <c r="I875" s="28"/>
      <c r="J875" s="28"/>
      <c r="K875" s="28"/>
      <c r="L875" s="4"/>
      <c r="M875" s="28"/>
      <c r="N875" s="28"/>
      <c r="O875" s="28"/>
      <c r="P875" s="4"/>
      <c r="Q875" s="28"/>
      <c r="R875" s="28"/>
      <c r="S875" s="28"/>
      <c r="T875" s="4"/>
      <c r="U875" s="4"/>
      <c r="V875" s="4"/>
      <c r="W875" s="4"/>
      <c r="X875" s="4"/>
      <c r="Y875" s="4"/>
      <c r="Z875" s="4"/>
    </row>
    <row r="876" ht="12.75" customHeight="1">
      <c r="A876" s="28"/>
      <c r="B876" s="28"/>
      <c r="C876" s="28"/>
      <c r="D876" s="4"/>
      <c r="E876" s="28"/>
      <c r="F876" s="28"/>
      <c r="G876" s="28"/>
      <c r="H876" s="4"/>
      <c r="I876" s="28"/>
      <c r="J876" s="28"/>
      <c r="K876" s="28"/>
      <c r="L876" s="4"/>
      <c r="M876" s="28"/>
      <c r="N876" s="28"/>
      <c r="O876" s="28"/>
      <c r="P876" s="4"/>
      <c r="Q876" s="28"/>
      <c r="R876" s="28"/>
      <c r="S876" s="28"/>
      <c r="T876" s="4"/>
      <c r="U876" s="4"/>
      <c r="V876" s="4"/>
      <c r="W876" s="4"/>
      <c r="X876" s="4"/>
      <c r="Y876" s="4"/>
      <c r="Z876" s="4"/>
    </row>
    <row r="877" ht="12.75" customHeight="1">
      <c r="A877" s="28"/>
      <c r="B877" s="28"/>
      <c r="C877" s="28"/>
      <c r="D877" s="4"/>
      <c r="E877" s="28"/>
      <c r="F877" s="28"/>
      <c r="G877" s="28"/>
      <c r="H877" s="4"/>
      <c r="I877" s="28"/>
      <c r="J877" s="28"/>
      <c r="K877" s="28"/>
      <c r="L877" s="4"/>
      <c r="M877" s="28"/>
      <c r="N877" s="28"/>
      <c r="O877" s="28"/>
      <c r="P877" s="4"/>
      <c r="Q877" s="28"/>
      <c r="R877" s="28"/>
      <c r="S877" s="28"/>
      <c r="T877" s="4"/>
      <c r="U877" s="4"/>
      <c r="V877" s="4"/>
      <c r="W877" s="4"/>
      <c r="X877" s="4"/>
      <c r="Y877" s="4"/>
      <c r="Z877" s="4"/>
    </row>
    <row r="878" ht="12.75" customHeight="1">
      <c r="A878" s="28"/>
      <c r="B878" s="28"/>
      <c r="C878" s="28"/>
      <c r="D878" s="4"/>
      <c r="E878" s="28"/>
      <c r="F878" s="28"/>
      <c r="G878" s="28"/>
      <c r="H878" s="4"/>
      <c r="I878" s="28"/>
      <c r="J878" s="28"/>
      <c r="K878" s="28"/>
      <c r="L878" s="4"/>
      <c r="M878" s="28"/>
      <c r="N878" s="28"/>
      <c r="O878" s="28"/>
      <c r="P878" s="4"/>
      <c r="Q878" s="28"/>
      <c r="R878" s="28"/>
      <c r="S878" s="28"/>
      <c r="T878" s="4"/>
      <c r="U878" s="4"/>
      <c r="V878" s="4"/>
      <c r="W878" s="4"/>
      <c r="X878" s="4"/>
      <c r="Y878" s="4"/>
      <c r="Z878" s="4"/>
    </row>
    <row r="879" ht="12.75" customHeight="1">
      <c r="A879" s="28"/>
      <c r="B879" s="28"/>
      <c r="C879" s="28"/>
      <c r="D879" s="4"/>
      <c r="E879" s="28"/>
      <c r="F879" s="28"/>
      <c r="G879" s="28"/>
      <c r="H879" s="4"/>
      <c r="I879" s="28"/>
      <c r="J879" s="28"/>
      <c r="K879" s="28"/>
      <c r="L879" s="4"/>
      <c r="M879" s="28"/>
      <c r="N879" s="28"/>
      <c r="O879" s="28"/>
      <c r="P879" s="4"/>
      <c r="Q879" s="28"/>
      <c r="R879" s="28"/>
      <c r="S879" s="28"/>
      <c r="T879" s="4"/>
      <c r="U879" s="4"/>
      <c r="V879" s="4"/>
      <c r="W879" s="4"/>
      <c r="X879" s="4"/>
      <c r="Y879" s="4"/>
      <c r="Z879" s="4"/>
    </row>
    <row r="880" ht="12.75" customHeight="1">
      <c r="A880" s="28"/>
      <c r="B880" s="28"/>
      <c r="C880" s="28"/>
      <c r="D880" s="4"/>
      <c r="E880" s="28"/>
      <c r="F880" s="28"/>
      <c r="G880" s="28"/>
      <c r="H880" s="4"/>
      <c r="I880" s="28"/>
      <c r="J880" s="28"/>
      <c r="K880" s="28"/>
      <c r="L880" s="4"/>
      <c r="M880" s="28"/>
      <c r="N880" s="28"/>
      <c r="O880" s="28"/>
      <c r="P880" s="4"/>
      <c r="Q880" s="28"/>
      <c r="R880" s="28"/>
      <c r="S880" s="28"/>
      <c r="T880" s="4"/>
      <c r="U880" s="4"/>
      <c r="V880" s="4"/>
      <c r="W880" s="4"/>
      <c r="X880" s="4"/>
      <c r="Y880" s="4"/>
      <c r="Z880" s="4"/>
    </row>
    <row r="881" ht="12.75" customHeight="1">
      <c r="A881" s="28"/>
      <c r="B881" s="28"/>
      <c r="C881" s="28"/>
      <c r="D881" s="4"/>
      <c r="E881" s="28"/>
      <c r="F881" s="28"/>
      <c r="G881" s="28"/>
      <c r="H881" s="4"/>
      <c r="I881" s="28"/>
      <c r="J881" s="28"/>
      <c r="K881" s="28"/>
      <c r="L881" s="4"/>
      <c r="M881" s="28"/>
      <c r="N881" s="28"/>
      <c r="O881" s="28"/>
      <c r="P881" s="4"/>
      <c r="Q881" s="28"/>
      <c r="R881" s="28"/>
      <c r="S881" s="28"/>
      <c r="T881" s="4"/>
      <c r="U881" s="4"/>
      <c r="V881" s="4"/>
      <c r="W881" s="4"/>
      <c r="X881" s="4"/>
      <c r="Y881" s="4"/>
      <c r="Z881" s="4"/>
    </row>
    <row r="882" ht="12.75" customHeight="1">
      <c r="A882" s="28"/>
      <c r="B882" s="28"/>
      <c r="C882" s="28"/>
      <c r="D882" s="4"/>
      <c r="E882" s="28"/>
      <c r="F882" s="28"/>
      <c r="G882" s="28"/>
      <c r="H882" s="4"/>
      <c r="I882" s="28"/>
      <c r="J882" s="28"/>
      <c r="K882" s="28"/>
      <c r="L882" s="4"/>
      <c r="M882" s="28"/>
      <c r="N882" s="28"/>
      <c r="O882" s="28"/>
      <c r="P882" s="4"/>
      <c r="Q882" s="28"/>
      <c r="R882" s="28"/>
      <c r="S882" s="28"/>
      <c r="T882" s="4"/>
      <c r="U882" s="4"/>
      <c r="V882" s="4"/>
      <c r="W882" s="4"/>
      <c r="X882" s="4"/>
      <c r="Y882" s="4"/>
      <c r="Z882" s="4"/>
    </row>
    <row r="883" ht="12.75" customHeight="1">
      <c r="A883" s="28"/>
      <c r="B883" s="28"/>
      <c r="C883" s="28"/>
      <c r="D883" s="4"/>
      <c r="E883" s="28"/>
      <c r="F883" s="28"/>
      <c r="G883" s="28"/>
      <c r="H883" s="4"/>
      <c r="I883" s="28"/>
      <c r="J883" s="28"/>
      <c r="K883" s="28"/>
      <c r="L883" s="4"/>
      <c r="M883" s="28"/>
      <c r="N883" s="28"/>
      <c r="O883" s="28"/>
      <c r="P883" s="4"/>
      <c r="Q883" s="28"/>
      <c r="R883" s="28"/>
      <c r="S883" s="28"/>
      <c r="T883" s="4"/>
      <c r="U883" s="4"/>
      <c r="V883" s="4"/>
      <c r="W883" s="4"/>
      <c r="X883" s="4"/>
      <c r="Y883" s="4"/>
      <c r="Z883" s="4"/>
    </row>
    <row r="884" ht="12.75" customHeight="1">
      <c r="A884" s="28"/>
      <c r="B884" s="28"/>
      <c r="C884" s="28"/>
      <c r="D884" s="4"/>
      <c r="E884" s="28"/>
      <c r="F884" s="28"/>
      <c r="G884" s="28"/>
      <c r="H884" s="4"/>
      <c r="I884" s="28"/>
      <c r="J884" s="28"/>
      <c r="K884" s="28"/>
      <c r="L884" s="4"/>
      <c r="M884" s="28"/>
      <c r="N884" s="28"/>
      <c r="O884" s="28"/>
      <c r="P884" s="4"/>
      <c r="Q884" s="28"/>
      <c r="R884" s="28"/>
      <c r="S884" s="28"/>
      <c r="T884" s="4"/>
      <c r="U884" s="4"/>
      <c r="V884" s="4"/>
      <c r="W884" s="4"/>
      <c r="X884" s="4"/>
      <c r="Y884" s="4"/>
      <c r="Z884" s="4"/>
    </row>
    <row r="885" ht="12.75" customHeight="1">
      <c r="A885" s="28"/>
      <c r="B885" s="28"/>
      <c r="C885" s="28"/>
      <c r="D885" s="4"/>
      <c r="E885" s="28"/>
      <c r="F885" s="28"/>
      <c r="G885" s="28"/>
      <c r="H885" s="4"/>
      <c r="I885" s="28"/>
      <c r="J885" s="28"/>
      <c r="K885" s="28"/>
      <c r="L885" s="4"/>
      <c r="M885" s="28"/>
      <c r="N885" s="28"/>
      <c r="O885" s="28"/>
      <c r="P885" s="4"/>
      <c r="Q885" s="28"/>
      <c r="R885" s="28"/>
      <c r="S885" s="28"/>
      <c r="T885" s="4"/>
      <c r="U885" s="4"/>
      <c r="V885" s="4"/>
      <c r="W885" s="4"/>
      <c r="X885" s="4"/>
      <c r="Y885" s="4"/>
      <c r="Z885" s="4"/>
    </row>
    <row r="886" ht="12.75" customHeight="1">
      <c r="A886" s="28"/>
      <c r="B886" s="28"/>
      <c r="C886" s="28"/>
      <c r="D886" s="4"/>
      <c r="E886" s="28"/>
      <c r="F886" s="28"/>
      <c r="G886" s="28"/>
      <c r="H886" s="4"/>
      <c r="I886" s="28"/>
      <c r="J886" s="28"/>
      <c r="K886" s="28"/>
      <c r="L886" s="4"/>
      <c r="M886" s="28"/>
      <c r="N886" s="28"/>
      <c r="O886" s="28"/>
      <c r="P886" s="4"/>
      <c r="Q886" s="28"/>
      <c r="R886" s="28"/>
      <c r="S886" s="28"/>
      <c r="T886" s="4"/>
      <c r="U886" s="4"/>
      <c r="V886" s="4"/>
      <c r="W886" s="4"/>
      <c r="X886" s="4"/>
      <c r="Y886" s="4"/>
      <c r="Z886" s="4"/>
    </row>
    <row r="887" ht="12.75" customHeight="1">
      <c r="A887" s="28"/>
      <c r="B887" s="28"/>
      <c r="C887" s="28"/>
      <c r="D887" s="4"/>
      <c r="E887" s="28"/>
      <c r="F887" s="28"/>
      <c r="G887" s="28"/>
      <c r="H887" s="4"/>
      <c r="I887" s="28"/>
      <c r="J887" s="28"/>
      <c r="K887" s="28"/>
      <c r="L887" s="4"/>
      <c r="M887" s="28"/>
      <c r="N887" s="28"/>
      <c r="O887" s="28"/>
      <c r="P887" s="4"/>
      <c r="Q887" s="28"/>
      <c r="R887" s="28"/>
      <c r="S887" s="28"/>
      <c r="T887" s="4"/>
      <c r="U887" s="4"/>
      <c r="V887" s="4"/>
      <c r="W887" s="4"/>
      <c r="X887" s="4"/>
      <c r="Y887" s="4"/>
      <c r="Z887" s="4"/>
    </row>
    <row r="888" ht="12.75" customHeight="1">
      <c r="A888" s="28"/>
      <c r="B888" s="28"/>
      <c r="C888" s="28"/>
      <c r="D888" s="4"/>
      <c r="E888" s="28"/>
      <c r="F888" s="28"/>
      <c r="G888" s="28"/>
      <c r="H888" s="4"/>
      <c r="I888" s="28"/>
      <c r="J888" s="28"/>
      <c r="K888" s="28"/>
      <c r="L888" s="4"/>
      <c r="M888" s="28"/>
      <c r="N888" s="28"/>
      <c r="O888" s="28"/>
      <c r="P888" s="4"/>
      <c r="Q888" s="28"/>
      <c r="R888" s="28"/>
      <c r="S888" s="28"/>
      <c r="T888" s="4"/>
      <c r="U888" s="4"/>
      <c r="V888" s="4"/>
      <c r="W888" s="4"/>
      <c r="X888" s="4"/>
      <c r="Y888" s="4"/>
      <c r="Z888" s="4"/>
    </row>
    <row r="889" ht="12.75" customHeight="1">
      <c r="A889" s="28"/>
      <c r="B889" s="28"/>
      <c r="C889" s="28"/>
      <c r="D889" s="4"/>
      <c r="E889" s="28"/>
      <c r="F889" s="28"/>
      <c r="G889" s="28"/>
      <c r="H889" s="4"/>
      <c r="I889" s="28"/>
      <c r="J889" s="28"/>
      <c r="K889" s="28"/>
      <c r="L889" s="4"/>
      <c r="M889" s="28"/>
      <c r="N889" s="28"/>
      <c r="O889" s="28"/>
      <c r="P889" s="4"/>
      <c r="Q889" s="28"/>
      <c r="R889" s="28"/>
      <c r="S889" s="28"/>
      <c r="T889" s="4"/>
      <c r="U889" s="4"/>
      <c r="V889" s="4"/>
      <c r="W889" s="4"/>
      <c r="X889" s="4"/>
      <c r="Y889" s="4"/>
      <c r="Z889" s="4"/>
    </row>
    <row r="890" ht="12.75" customHeight="1">
      <c r="A890" s="28"/>
      <c r="B890" s="28"/>
      <c r="C890" s="28"/>
      <c r="D890" s="4"/>
      <c r="E890" s="28"/>
      <c r="F890" s="28"/>
      <c r="G890" s="28"/>
      <c r="H890" s="4"/>
      <c r="I890" s="28"/>
      <c r="J890" s="28"/>
      <c r="K890" s="28"/>
      <c r="L890" s="4"/>
      <c r="M890" s="28"/>
      <c r="N890" s="28"/>
      <c r="O890" s="28"/>
      <c r="P890" s="4"/>
      <c r="Q890" s="28"/>
      <c r="R890" s="28"/>
      <c r="S890" s="28"/>
      <c r="T890" s="4"/>
      <c r="U890" s="4"/>
      <c r="V890" s="4"/>
      <c r="W890" s="4"/>
      <c r="X890" s="4"/>
      <c r="Y890" s="4"/>
      <c r="Z890" s="4"/>
    </row>
    <row r="891" ht="12.75" customHeight="1">
      <c r="A891" s="28"/>
      <c r="B891" s="28"/>
      <c r="C891" s="28"/>
      <c r="D891" s="4"/>
      <c r="E891" s="28"/>
      <c r="F891" s="28"/>
      <c r="G891" s="28"/>
      <c r="H891" s="4"/>
      <c r="I891" s="28"/>
      <c r="J891" s="28"/>
      <c r="K891" s="28"/>
      <c r="L891" s="4"/>
      <c r="M891" s="28"/>
      <c r="N891" s="28"/>
      <c r="O891" s="28"/>
      <c r="P891" s="4"/>
      <c r="Q891" s="28"/>
      <c r="R891" s="28"/>
      <c r="S891" s="28"/>
      <c r="T891" s="4"/>
      <c r="U891" s="4"/>
      <c r="V891" s="4"/>
      <c r="W891" s="4"/>
      <c r="X891" s="4"/>
      <c r="Y891" s="4"/>
      <c r="Z891" s="4"/>
    </row>
    <row r="892" ht="12.75" customHeight="1">
      <c r="A892" s="28"/>
      <c r="B892" s="28"/>
      <c r="C892" s="28"/>
      <c r="D892" s="4"/>
      <c r="E892" s="28"/>
      <c r="F892" s="28"/>
      <c r="G892" s="28"/>
      <c r="H892" s="4"/>
      <c r="I892" s="28"/>
      <c r="J892" s="28"/>
      <c r="K892" s="28"/>
      <c r="L892" s="4"/>
      <c r="M892" s="28"/>
      <c r="N892" s="28"/>
      <c r="O892" s="28"/>
      <c r="P892" s="4"/>
      <c r="Q892" s="28"/>
      <c r="R892" s="28"/>
      <c r="S892" s="28"/>
      <c r="T892" s="4"/>
      <c r="U892" s="4"/>
      <c r="V892" s="4"/>
      <c r="W892" s="4"/>
      <c r="X892" s="4"/>
      <c r="Y892" s="4"/>
      <c r="Z892" s="4"/>
    </row>
    <row r="893" ht="12.75" customHeight="1">
      <c r="A893" s="28"/>
      <c r="B893" s="28"/>
      <c r="C893" s="28"/>
      <c r="D893" s="4"/>
      <c r="E893" s="28"/>
      <c r="F893" s="28"/>
      <c r="G893" s="28"/>
      <c r="H893" s="4"/>
      <c r="I893" s="28"/>
      <c r="J893" s="28"/>
      <c r="K893" s="28"/>
      <c r="L893" s="4"/>
      <c r="M893" s="28"/>
      <c r="N893" s="28"/>
      <c r="O893" s="28"/>
      <c r="P893" s="4"/>
      <c r="Q893" s="28"/>
      <c r="R893" s="28"/>
      <c r="S893" s="28"/>
      <c r="T893" s="4"/>
      <c r="U893" s="4"/>
      <c r="V893" s="4"/>
      <c r="W893" s="4"/>
      <c r="X893" s="4"/>
      <c r="Y893" s="4"/>
      <c r="Z893" s="4"/>
    </row>
    <row r="894" ht="12.75" customHeight="1">
      <c r="A894" s="28"/>
      <c r="B894" s="28"/>
      <c r="C894" s="28"/>
      <c r="D894" s="4"/>
      <c r="E894" s="28"/>
      <c r="F894" s="28"/>
      <c r="G894" s="28"/>
      <c r="H894" s="4"/>
      <c r="I894" s="28"/>
      <c r="J894" s="28"/>
      <c r="K894" s="28"/>
      <c r="L894" s="4"/>
      <c r="M894" s="28"/>
      <c r="N894" s="28"/>
      <c r="O894" s="28"/>
      <c r="P894" s="4"/>
      <c r="Q894" s="28"/>
      <c r="R894" s="28"/>
      <c r="S894" s="28"/>
      <c r="T894" s="4"/>
      <c r="U894" s="4"/>
      <c r="V894" s="4"/>
      <c r="W894" s="4"/>
      <c r="X894" s="4"/>
      <c r="Y894" s="4"/>
      <c r="Z894" s="4"/>
    </row>
    <row r="895" ht="12.75" customHeight="1">
      <c r="A895" s="28"/>
      <c r="B895" s="28"/>
      <c r="C895" s="28"/>
      <c r="D895" s="4"/>
      <c r="E895" s="28"/>
      <c r="F895" s="28"/>
      <c r="G895" s="28"/>
      <c r="H895" s="4"/>
      <c r="I895" s="28"/>
      <c r="J895" s="28"/>
      <c r="K895" s="28"/>
      <c r="L895" s="4"/>
      <c r="M895" s="28"/>
      <c r="N895" s="28"/>
      <c r="O895" s="28"/>
      <c r="P895" s="4"/>
      <c r="Q895" s="28"/>
      <c r="R895" s="28"/>
      <c r="S895" s="28"/>
      <c r="T895" s="4"/>
      <c r="U895" s="4"/>
      <c r="V895" s="4"/>
      <c r="W895" s="4"/>
      <c r="X895" s="4"/>
      <c r="Y895" s="4"/>
      <c r="Z895" s="4"/>
    </row>
    <row r="896" ht="12.75" customHeight="1">
      <c r="A896" s="28"/>
      <c r="B896" s="28"/>
      <c r="C896" s="28"/>
      <c r="D896" s="4"/>
      <c r="E896" s="28"/>
      <c r="F896" s="28"/>
      <c r="G896" s="28"/>
      <c r="H896" s="4"/>
      <c r="I896" s="28"/>
      <c r="J896" s="28"/>
      <c r="K896" s="28"/>
      <c r="L896" s="4"/>
      <c r="M896" s="28"/>
      <c r="N896" s="28"/>
      <c r="O896" s="28"/>
      <c r="P896" s="4"/>
      <c r="Q896" s="28"/>
      <c r="R896" s="28"/>
      <c r="S896" s="28"/>
      <c r="T896" s="4"/>
      <c r="U896" s="4"/>
      <c r="V896" s="4"/>
      <c r="W896" s="4"/>
      <c r="X896" s="4"/>
      <c r="Y896" s="4"/>
      <c r="Z896" s="4"/>
    </row>
    <row r="897" ht="12.75" customHeight="1">
      <c r="A897" s="28"/>
      <c r="B897" s="28"/>
      <c r="C897" s="28"/>
      <c r="D897" s="4"/>
      <c r="E897" s="28"/>
      <c r="F897" s="28"/>
      <c r="G897" s="28"/>
      <c r="H897" s="4"/>
      <c r="I897" s="28"/>
      <c r="J897" s="28"/>
      <c r="K897" s="28"/>
      <c r="L897" s="4"/>
      <c r="M897" s="28"/>
      <c r="N897" s="28"/>
      <c r="O897" s="28"/>
      <c r="P897" s="4"/>
      <c r="Q897" s="28"/>
      <c r="R897" s="28"/>
      <c r="S897" s="28"/>
      <c r="T897" s="4"/>
      <c r="U897" s="4"/>
      <c r="V897" s="4"/>
      <c r="W897" s="4"/>
      <c r="X897" s="4"/>
      <c r="Y897" s="4"/>
      <c r="Z897" s="4"/>
    </row>
    <row r="898" ht="12.75" customHeight="1">
      <c r="A898" s="28"/>
      <c r="B898" s="28"/>
      <c r="C898" s="28"/>
      <c r="D898" s="4"/>
      <c r="E898" s="28"/>
      <c r="F898" s="28"/>
      <c r="G898" s="28"/>
      <c r="H898" s="4"/>
      <c r="I898" s="28"/>
      <c r="J898" s="28"/>
      <c r="K898" s="28"/>
      <c r="L898" s="4"/>
      <c r="M898" s="28"/>
      <c r="N898" s="28"/>
      <c r="O898" s="28"/>
      <c r="P898" s="4"/>
      <c r="Q898" s="28"/>
      <c r="R898" s="28"/>
      <c r="S898" s="28"/>
      <c r="T898" s="4"/>
      <c r="U898" s="4"/>
      <c r="V898" s="4"/>
      <c r="W898" s="4"/>
      <c r="X898" s="4"/>
      <c r="Y898" s="4"/>
      <c r="Z898" s="4"/>
    </row>
    <row r="899" ht="12.75" customHeight="1">
      <c r="A899" s="28"/>
      <c r="B899" s="28"/>
      <c r="C899" s="28"/>
      <c r="D899" s="4"/>
      <c r="E899" s="28"/>
      <c r="F899" s="28"/>
      <c r="G899" s="28"/>
      <c r="H899" s="4"/>
      <c r="I899" s="28"/>
      <c r="J899" s="28"/>
      <c r="K899" s="28"/>
      <c r="L899" s="4"/>
      <c r="M899" s="28"/>
      <c r="N899" s="28"/>
      <c r="O899" s="28"/>
      <c r="P899" s="4"/>
      <c r="Q899" s="28"/>
      <c r="R899" s="28"/>
      <c r="S899" s="28"/>
      <c r="T899" s="4"/>
      <c r="U899" s="4"/>
      <c r="V899" s="4"/>
      <c r="W899" s="4"/>
      <c r="X899" s="4"/>
      <c r="Y899" s="4"/>
      <c r="Z899" s="4"/>
    </row>
    <row r="900" ht="12.75" customHeight="1">
      <c r="A900" s="28"/>
      <c r="B900" s="28"/>
      <c r="C900" s="28"/>
      <c r="D900" s="4"/>
      <c r="E900" s="28"/>
      <c r="F900" s="28"/>
      <c r="G900" s="28"/>
      <c r="H900" s="4"/>
      <c r="I900" s="28"/>
      <c r="J900" s="28"/>
      <c r="K900" s="28"/>
      <c r="L900" s="4"/>
      <c r="M900" s="28"/>
      <c r="N900" s="28"/>
      <c r="O900" s="28"/>
      <c r="P900" s="4"/>
      <c r="Q900" s="28"/>
      <c r="R900" s="28"/>
      <c r="S900" s="28"/>
      <c r="T900" s="4"/>
      <c r="U900" s="4"/>
      <c r="V900" s="4"/>
      <c r="W900" s="4"/>
      <c r="X900" s="4"/>
      <c r="Y900" s="4"/>
      <c r="Z900" s="4"/>
    </row>
    <row r="901" ht="12.75" customHeight="1">
      <c r="A901" s="28"/>
      <c r="B901" s="28"/>
      <c r="C901" s="28"/>
      <c r="D901" s="4"/>
      <c r="E901" s="28"/>
      <c r="F901" s="28"/>
      <c r="G901" s="28"/>
      <c r="H901" s="4"/>
      <c r="I901" s="28"/>
      <c r="J901" s="28"/>
      <c r="K901" s="28"/>
      <c r="L901" s="4"/>
      <c r="M901" s="28"/>
      <c r="N901" s="28"/>
      <c r="O901" s="28"/>
      <c r="P901" s="4"/>
      <c r="Q901" s="28"/>
      <c r="R901" s="28"/>
      <c r="S901" s="28"/>
      <c r="T901" s="4"/>
      <c r="U901" s="4"/>
      <c r="V901" s="4"/>
      <c r="W901" s="4"/>
      <c r="X901" s="4"/>
      <c r="Y901" s="4"/>
      <c r="Z901" s="4"/>
    </row>
    <row r="902" ht="12.75" customHeight="1">
      <c r="A902" s="28"/>
      <c r="B902" s="28"/>
      <c r="C902" s="28"/>
      <c r="D902" s="4"/>
      <c r="E902" s="28"/>
      <c r="F902" s="28"/>
      <c r="G902" s="28"/>
      <c r="H902" s="4"/>
      <c r="I902" s="28"/>
      <c r="J902" s="28"/>
      <c r="K902" s="28"/>
      <c r="L902" s="4"/>
      <c r="M902" s="28"/>
      <c r="N902" s="28"/>
      <c r="O902" s="28"/>
      <c r="P902" s="4"/>
      <c r="Q902" s="28"/>
      <c r="R902" s="28"/>
      <c r="S902" s="28"/>
      <c r="T902" s="4"/>
      <c r="U902" s="4"/>
      <c r="V902" s="4"/>
      <c r="W902" s="4"/>
      <c r="X902" s="4"/>
      <c r="Y902" s="4"/>
      <c r="Z902" s="4"/>
    </row>
    <row r="903" ht="12.75" customHeight="1">
      <c r="A903" s="28"/>
      <c r="B903" s="28"/>
      <c r="C903" s="28"/>
      <c r="D903" s="4"/>
      <c r="E903" s="28"/>
      <c r="F903" s="28"/>
      <c r="G903" s="28"/>
      <c r="H903" s="4"/>
      <c r="I903" s="28"/>
      <c r="J903" s="28"/>
      <c r="K903" s="28"/>
      <c r="L903" s="4"/>
      <c r="M903" s="28"/>
      <c r="N903" s="28"/>
      <c r="O903" s="28"/>
      <c r="P903" s="4"/>
      <c r="Q903" s="28"/>
      <c r="R903" s="28"/>
      <c r="S903" s="28"/>
      <c r="T903" s="4"/>
      <c r="U903" s="4"/>
      <c r="V903" s="4"/>
      <c r="W903" s="4"/>
      <c r="X903" s="4"/>
      <c r="Y903" s="4"/>
      <c r="Z903" s="4"/>
    </row>
    <row r="904" ht="12.75" customHeight="1">
      <c r="A904" s="28"/>
      <c r="B904" s="28"/>
      <c r="C904" s="28"/>
      <c r="D904" s="4"/>
      <c r="E904" s="28"/>
      <c r="F904" s="28"/>
      <c r="G904" s="28"/>
      <c r="H904" s="4"/>
      <c r="I904" s="28"/>
      <c r="J904" s="28"/>
      <c r="K904" s="28"/>
      <c r="L904" s="4"/>
      <c r="M904" s="28"/>
      <c r="N904" s="28"/>
      <c r="O904" s="28"/>
      <c r="P904" s="4"/>
      <c r="Q904" s="28"/>
      <c r="R904" s="28"/>
      <c r="S904" s="28"/>
      <c r="T904" s="4"/>
      <c r="U904" s="4"/>
      <c r="V904" s="4"/>
      <c r="W904" s="4"/>
      <c r="X904" s="4"/>
      <c r="Y904" s="4"/>
      <c r="Z904" s="4"/>
    </row>
    <row r="905" ht="12.75" customHeight="1">
      <c r="A905" s="28"/>
      <c r="B905" s="28"/>
      <c r="C905" s="28"/>
      <c r="D905" s="4"/>
      <c r="E905" s="28"/>
      <c r="F905" s="28"/>
      <c r="G905" s="28"/>
      <c r="H905" s="4"/>
      <c r="I905" s="28"/>
      <c r="J905" s="28"/>
      <c r="K905" s="28"/>
      <c r="L905" s="4"/>
      <c r="M905" s="28"/>
      <c r="N905" s="28"/>
      <c r="O905" s="28"/>
      <c r="P905" s="4"/>
      <c r="Q905" s="28"/>
      <c r="R905" s="28"/>
      <c r="S905" s="28"/>
      <c r="T905" s="4"/>
      <c r="U905" s="4"/>
      <c r="V905" s="4"/>
      <c r="W905" s="4"/>
      <c r="X905" s="4"/>
      <c r="Y905" s="4"/>
      <c r="Z905" s="4"/>
    </row>
    <row r="906" ht="12.75" customHeight="1">
      <c r="A906" s="28"/>
      <c r="B906" s="28"/>
      <c r="C906" s="28"/>
      <c r="D906" s="4"/>
      <c r="E906" s="28"/>
      <c r="F906" s="28"/>
      <c r="G906" s="28"/>
      <c r="H906" s="4"/>
      <c r="I906" s="28"/>
      <c r="J906" s="28"/>
      <c r="K906" s="28"/>
      <c r="L906" s="4"/>
      <c r="M906" s="28"/>
      <c r="N906" s="28"/>
      <c r="O906" s="28"/>
      <c r="P906" s="4"/>
      <c r="Q906" s="28"/>
      <c r="R906" s="28"/>
      <c r="S906" s="28"/>
      <c r="T906" s="4"/>
      <c r="U906" s="4"/>
      <c r="V906" s="4"/>
      <c r="W906" s="4"/>
      <c r="X906" s="4"/>
      <c r="Y906" s="4"/>
      <c r="Z906" s="4"/>
    </row>
    <row r="907" ht="12.75" customHeight="1">
      <c r="A907" s="28"/>
      <c r="B907" s="28"/>
      <c r="C907" s="28"/>
      <c r="D907" s="4"/>
      <c r="E907" s="28"/>
      <c r="F907" s="28"/>
      <c r="G907" s="28"/>
      <c r="H907" s="4"/>
      <c r="I907" s="28"/>
      <c r="J907" s="28"/>
      <c r="K907" s="28"/>
      <c r="L907" s="4"/>
      <c r="M907" s="28"/>
      <c r="N907" s="28"/>
      <c r="O907" s="28"/>
      <c r="P907" s="4"/>
      <c r="Q907" s="28"/>
      <c r="R907" s="28"/>
      <c r="S907" s="28"/>
      <c r="T907" s="4"/>
      <c r="U907" s="4"/>
      <c r="V907" s="4"/>
      <c r="W907" s="4"/>
      <c r="X907" s="4"/>
      <c r="Y907" s="4"/>
      <c r="Z907" s="4"/>
    </row>
    <row r="908" ht="12.75" customHeight="1">
      <c r="A908" s="28"/>
      <c r="B908" s="28"/>
      <c r="C908" s="28"/>
      <c r="D908" s="4"/>
      <c r="E908" s="28"/>
      <c r="F908" s="28"/>
      <c r="G908" s="28"/>
      <c r="H908" s="4"/>
      <c r="I908" s="28"/>
      <c r="J908" s="28"/>
      <c r="K908" s="28"/>
      <c r="L908" s="4"/>
      <c r="M908" s="28"/>
      <c r="N908" s="28"/>
      <c r="O908" s="28"/>
      <c r="P908" s="4"/>
      <c r="Q908" s="28"/>
      <c r="R908" s="28"/>
      <c r="S908" s="28"/>
      <c r="T908" s="4"/>
      <c r="U908" s="4"/>
      <c r="V908" s="4"/>
      <c r="W908" s="4"/>
      <c r="X908" s="4"/>
      <c r="Y908" s="4"/>
      <c r="Z908" s="4"/>
    </row>
    <row r="909" ht="12.75" customHeight="1">
      <c r="A909" s="28"/>
      <c r="B909" s="28"/>
      <c r="C909" s="28"/>
      <c r="D909" s="4"/>
      <c r="E909" s="28"/>
      <c r="F909" s="28"/>
      <c r="G909" s="28"/>
      <c r="H909" s="4"/>
      <c r="I909" s="28"/>
      <c r="J909" s="28"/>
      <c r="K909" s="28"/>
      <c r="L909" s="4"/>
      <c r="M909" s="28"/>
      <c r="N909" s="28"/>
      <c r="O909" s="28"/>
      <c r="P909" s="4"/>
      <c r="Q909" s="28"/>
      <c r="R909" s="28"/>
      <c r="S909" s="28"/>
      <c r="T909" s="4"/>
      <c r="U909" s="4"/>
      <c r="V909" s="4"/>
      <c r="W909" s="4"/>
      <c r="X909" s="4"/>
      <c r="Y909" s="4"/>
      <c r="Z909" s="4"/>
    </row>
    <row r="910" ht="12.75" customHeight="1">
      <c r="A910" s="28"/>
      <c r="B910" s="28"/>
      <c r="C910" s="28"/>
      <c r="D910" s="4"/>
      <c r="E910" s="28"/>
      <c r="F910" s="28"/>
      <c r="G910" s="28"/>
      <c r="H910" s="4"/>
      <c r="I910" s="28"/>
      <c r="J910" s="28"/>
      <c r="K910" s="28"/>
      <c r="L910" s="4"/>
      <c r="M910" s="28"/>
      <c r="N910" s="28"/>
      <c r="O910" s="28"/>
      <c r="P910" s="4"/>
      <c r="Q910" s="28"/>
      <c r="R910" s="28"/>
      <c r="S910" s="28"/>
      <c r="T910" s="4"/>
      <c r="U910" s="4"/>
      <c r="V910" s="4"/>
      <c r="W910" s="4"/>
      <c r="X910" s="4"/>
      <c r="Y910" s="4"/>
      <c r="Z910" s="4"/>
    </row>
    <row r="911" ht="12.75" customHeight="1">
      <c r="A911" s="28"/>
      <c r="B911" s="28"/>
      <c r="C911" s="28"/>
      <c r="D911" s="4"/>
      <c r="E911" s="28"/>
      <c r="F911" s="28"/>
      <c r="G911" s="28"/>
      <c r="H911" s="4"/>
      <c r="I911" s="28"/>
      <c r="J911" s="28"/>
      <c r="K911" s="28"/>
      <c r="L911" s="4"/>
      <c r="M911" s="28"/>
      <c r="N911" s="28"/>
      <c r="O911" s="28"/>
      <c r="P911" s="4"/>
      <c r="Q911" s="28"/>
      <c r="R911" s="28"/>
      <c r="S911" s="28"/>
      <c r="T911" s="4"/>
      <c r="U911" s="4"/>
      <c r="V911" s="4"/>
      <c r="W911" s="4"/>
      <c r="X911" s="4"/>
      <c r="Y911" s="4"/>
      <c r="Z911" s="4"/>
    </row>
    <row r="912" ht="12.75" customHeight="1">
      <c r="A912" s="28"/>
      <c r="B912" s="28"/>
      <c r="C912" s="28"/>
      <c r="D912" s="4"/>
      <c r="E912" s="28"/>
      <c r="F912" s="28"/>
      <c r="G912" s="28"/>
      <c r="H912" s="4"/>
      <c r="I912" s="28"/>
      <c r="J912" s="28"/>
      <c r="K912" s="28"/>
      <c r="L912" s="4"/>
      <c r="M912" s="28"/>
      <c r="N912" s="28"/>
      <c r="O912" s="28"/>
      <c r="P912" s="4"/>
      <c r="Q912" s="28"/>
      <c r="R912" s="28"/>
      <c r="S912" s="28"/>
      <c r="T912" s="4"/>
      <c r="U912" s="4"/>
      <c r="V912" s="4"/>
      <c r="W912" s="4"/>
      <c r="X912" s="4"/>
      <c r="Y912" s="4"/>
      <c r="Z912" s="4"/>
    </row>
    <row r="913" ht="12.75" customHeight="1">
      <c r="A913" s="28"/>
      <c r="B913" s="28"/>
      <c r="C913" s="28"/>
      <c r="D913" s="4"/>
      <c r="E913" s="28"/>
      <c r="F913" s="28"/>
      <c r="G913" s="28"/>
      <c r="H913" s="4"/>
      <c r="I913" s="28"/>
      <c r="J913" s="28"/>
      <c r="K913" s="28"/>
      <c r="L913" s="4"/>
      <c r="M913" s="28"/>
      <c r="N913" s="28"/>
      <c r="O913" s="28"/>
      <c r="P913" s="4"/>
      <c r="Q913" s="28"/>
      <c r="R913" s="28"/>
      <c r="S913" s="28"/>
      <c r="T913" s="4"/>
      <c r="U913" s="4"/>
      <c r="V913" s="4"/>
      <c r="W913" s="4"/>
      <c r="X913" s="4"/>
      <c r="Y913" s="4"/>
      <c r="Z913" s="4"/>
    </row>
    <row r="914" ht="12.75" customHeight="1">
      <c r="A914" s="28"/>
      <c r="B914" s="28"/>
      <c r="C914" s="28"/>
      <c r="D914" s="4"/>
      <c r="E914" s="28"/>
      <c r="F914" s="28"/>
      <c r="G914" s="28"/>
      <c r="H914" s="4"/>
      <c r="I914" s="28"/>
      <c r="J914" s="28"/>
      <c r="K914" s="28"/>
      <c r="L914" s="4"/>
      <c r="M914" s="28"/>
      <c r="N914" s="28"/>
      <c r="O914" s="28"/>
      <c r="P914" s="4"/>
      <c r="Q914" s="28"/>
      <c r="R914" s="28"/>
      <c r="S914" s="28"/>
      <c r="T914" s="4"/>
      <c r="U914" s="4"/>
      <c r="V914" s="4"/>
      <c r="W914" s="4"/>
      <c r="X914" s="4"/>
      <c r="Y914" s="4"/>
      <c r="Z914" s="4"/>
    </row>
    <row r="915" ht="12.75" customHeight="1">
      <c r="A915" s="28"/>
      <c r="B915" s="28"/>
      <c r="C915" s="28"/>
      <c r="D915" s="4"/>
      <c r="E915" s="28"/>
      <c r="F915" s="28"/>
      <c r="G915" s="28"/>
      <c r="H915" s="4"/>
      <c r="I915" s="28"/>
      <c r="J915" s="28"/>
      <c r="K915" s="28"/>
      <c r="L915" s="4"/>
      <c r="M915" s="28"/>
      <c r="N915" s="28"/>
      <c r="O915" s="28"/>
      <c r="P915" s="4"/>
      <c r="Q915" s="28"/>
      <c r="R915" s="28"/>
      <c r="S915" s="28"/>
      <c r="T915" s="4"/>
      <c r="U915" s="4"/>
      <c r="V915" s="4"/>
      <c r="W915" s="4"/>
      <c r="X915" s="4"/>
      <c r="Y915" s="4"/>
      <c r="Z915" s="4"/>
    </row>
    <row r="916" ht="12.75" customHeight="1">
      <c r="A916" s="28"/>
      <c r="B916" s="28"/>
      <c r="C916" s="28"/>
      <c r="D916" s="4"/>
      <c r="E916" s="28"/>
      <c r="F916" s="28"/>
      <c r="G916" s="28"/>
      <c r="H916" s="4"/>
      <c r="I916" s="28"/>
      <c r="J916" s="28"/>
      <c r="K916" s="28"/>
      <c r="L916" s="4"/>
      <c r="M916" s="28"/>
      <c r="N916" s="28"/>
      <c r="O916" s="28"/>
      <c r="P916" s="4"/>
      <c r="Q916" s="28"/>
      <c r="R916" s="28"/>
      <c r="S916" s="28"/>
      <c r="T916" s="4"/>
      <c r="U916" s="4"/>
      <c r="V916" s="4"/>
      <c r="W916" s="4"/>
      <c r="X916" s="4"/>
      <c r="Y916" s="4"/>
      <c r="Z916" s="4"/>
    </row>
    <row r="917" ht="12.75" customHeight="1">
      <c r="A917" s="28"/>
      <c r="B917" s="28"/>
      <c r="C917" s="28"/>
      <c r="D917" s="4"/>
      <c r="E917" s="28"/>
      <c r="F917" s="28"/>
      <c r="G917" s="28"/>
      <c r="H917" s="4"/>
      <c r="I917" s="28"/>
      <c r="J917" s="28"/>
      <c r="K917" s="28"/>
      <c r="L917" s="4"/>
      <c r="M917" s="28"/>
      <c r="N917" s="28"/>
      <c r="O917" s="28"/>
      <c r="P917" s="4"/>
      <c r="Q917" s="28"/>
      <c r="R917" s="28"/>
      <c r="S917" s="28"/>
      <c r="T917" s="4"/>
      <c r="U917" s="4"/>
      <c r="V917" s="4"/>
      <c r="W917" s="4"/>
      <c r="X917" s="4"/>
      <c r="Y917" s="4"/>
      <c r="Z917" s="4"/>
    </row>
    <row r="918" ht="12.75" customHeight="1">
      <c r="A918" s="28"/>
      <c r="B918" s="28"/>
      <c r="C918" s="28"/>
      <c r="D918" s="4"/>
      <c r="E918" s="28"/>
      <c r="F918" s="28"/>
      <c r="G918" s="28"/>
      <c r="H918" s="4"/>
      <c r="I918" s="28"/>
      <c r="J918" s="28"/>
      <c r="K918" s="28"/>
      <c r="L918" s="4"/>
      <c r="M918" s="28"/>
      <c r="N918" s="28"/>
      <c r="O918" s="28"/>
      <c r="P918" s="4"/>
      <c r="Q918" s="28"/>
      <c r="R918" s="28"/>
      <c r="S918" s="28"/>
      <c r="T918" s="4"/>
      <c r="U918" s="4"/>
      <c r="V918" s="4"/>
      <c r="W918" s="4"/>
      <c r="X918" s="4"/>
      <c r="Y918" s="4"/>
      <c r="Z918" s="4"/>
    </row>
    <row r="919" ht="12.75" customHeight="1">
      <c r="A919" s="28"/>
      <c r="B919" s="28"/>
      <c r="C919" s="28"/>
      <c r="D919" s="4"/>
      <c r="E919" s="28"/>
      <c r="F919" s="28"/>
      <c r="G919" s="28"/>
      <c r="H919" s="4"/>
      <c r="I919" s="28"/>
      <c r="J919" s="28"/>
      <c r="K919" s="28"/>
      <c r="L919" s="4"/>
      <c r="M919" s="28"/>
      <c r="N919" s="28"/>
      <c r="O919" s="28"/>
      <c r="P919" s="4"/>
      <c r="Q919" s="28"/>
      <c r="R919" s="28"/>
      <c r="S919" s="28"/>
      <c r="T919" s="4"/>
      <c r="U919" s="4"/>
      <c r="V919" s="4"/>
      <c r="W919" s="4"/>
      <c r="X919" s="4"/>
      <c r="Y919" s="4"/>
      <c r="Z919" s="4"/>
    </row>
    <row r="920" ht="12.75" customHeight="1">
      <c r="A920" s="28"/>
      <c r="B920" s="28"/>
      <c r="C920" s="28"/>
      <c r="D920" s="4"/>
      <c r="E920" s="28"/>
      <c r="F920" s="28"/>
      <c r="G920" s="28"/>
      <c r="H920" s="4"/>
      <c r="I920" s="28"/>
      <c r="J920" s="28"/>
      <c r="K920" s="28"/>
      <c r="L920" s="4"/>
      <c r="M920" s="28"/>
      <c r="N920" s="28"/>
      <c r="O920" s="28"/>
      <c r="P920" s="4"/>
      <c r="Q920" s="28"/>
      <c r="R920" s="28"/>
      <c r="S920" s="28"/>
      <c r="T920" s="4"/>
      <c r="U920" s="4"/>
      <c r="V920" s="4"/>
      <c r="W920" s="4"/>
      <c r="X920" s="4"/>
      <c r="Y920" s="4"/>
      <c r="Z920" s="4"/>
    </row>
    <row r="921" ht="12.75" customHeight="1">
      <c r="A921" s="28"/>
      <c r="B921" s="28"/>
      <c r="C921" s="28"/>
      <c r="D921" s="4"/>
      <c r="E921" s="28"/>
      <c r="F921" s="28"/>
      <c r="G921" s="28"/>
      <c r="H921" s="4"/>
      <c r="I921" s="28"/>
      <c r="J921" s="28"/>
      <c r="K921" s="28"/>
      <c r="L921" s="4"/>
      <c r="M921" s="28"/>
      <c r="N921" s="28"/>
      <c r="O921" s="28"/>
      <c r="P921" s="4"/>
      <c r="Q921" s="28"/>
      <c r="R921" s="28"/>
      <c r="S921" s="28"/>
      <c r="T921" s="4"/>
      <c r="U921" s="4"/>
      <c r="V921" s="4"/>
      <c r="W921" s="4"/>
      <c r="X921" s="4"/>
      <c r="Y921" s="4"/>
      <c r="Z921" s="4"/>
    </row>
    <row r="922" ht="12.75" customHeight="1">
      <c r="A922" s="28"/>
      <c r="B922" s="28"/>
      <c r="C922" s="28"/>
      <c r="D922" s="4"/>
      <c r="E922" s="28"/>
      <c r="F922" s="28"/>
      <c r="G922" s="28"/>
      <c r="H922" s="4"/>
      <c r="I922" s="28"/>
      <c r="J922" s="28"/>
      <c r="K922" s="28"/>
      <c r="L922" s="4"/>
      <c r="M922" s="28"/>
      <c r="N922" s="28"/>
      <c r="O922" s="28"/>
      <c r="P922" s="4"/>
      <c r="Q922" s="28"/>
      <c r="R922" s="28"/>
      <c r="S922" s="28"/>
      <c r="T922" s="4"/>
      <c r="U922" s="4"/>
      <c r="V922" s="4"/>
      <c r="W922" s="4"/>
      <c r="X922" s="4"/>
      <c r="Y922" s="4"/>
      <c r="Z922" s="4"/>
    </row>
    <row r="923" ht="12.75" customHeight="1">
      <c r="A923" s="28"/>
      <c r="B923" s="28"/>
      <c r="C923" s="28"/>
      <c r="D923" s="4"/>
      <c r="E923" s="28"/>
      <c r="F923" s="28"/>
      <c r="G923" s="28"/>
      <c r="H923" s="4"/>
      <c r="I923" s="28"/>
      <c r="J923" s="28"/>
      <c r="K923" s="28"/>
      <c r="L923" s="4"/>
      <c r="M923" s="28"/>
      <c r="N923" s="28"/>
      <c r="O923" s="28"/>
      <c r="P923" s="4"/>
      <c r="Q923" s="28"/>
      <c r="R923" s="28"/>
      <c r="S923" s="28"/>
      <c r="T923" s="4"/>
      <c r="U923" s="4"/>
      <c r="V923" s="4"/>
      <c r="W923" s="4"/>
      <c r="X923" s="4"/>
      <c r="Y923" s="4"/>
      <c r="Z923" s="4"/>
    </row>
    <row r="924" ht="12.75" customHeight="1">
      <c r="A924" s="28"/>
      <c r="B924" s="28"/>
      <c r="C924" s="28"/>
      <c r="D924" s="4"/>
      <c r="E924" s="28"/>
      <c r="F924" s="28"/>
      <c r="G924" s="28"/>
      <c r="H924" s="4"/>
      <c r="I924" s="28"/>
      <c r="J924" s="28"/>
      <c r="K924" s="28"/>
      <c r="L924" s="4"/>
      <c r="M924" s="28"/>
      <c r="N924" s="28"/>
      <c r="O924" s="28"/>
      <c r="P924" s="4"/>
      <c r="Q924" s="28"/>
      <c r="R924" s="28"/>
      <c r="S924" s="28"/>
      <c r="T924" s="4"/>
      <c r="U924" s="4"/>
      <c r="V924" s="4"/>
      <c r="W924" s="4"/>
      <c r="X924" s="4"/>
      <c r="Y924" s="4"/>
      <c r="Z924" s="4"/>
    </row>
    <row r="925" ht="12.75" customHeight="1">
      <c r="A925" s="28"/>
      <c r="B925" s="28"/>
      <c r="C925" s="28"/>
      <c r="D925" s="4"/>
      <c r="E925" s="28"/>
      <c r="F925" s="28"/>
      <c r="G925" s="28"/>
      <c r="H925" s="4"/>
      <c r="I925" s="28"/>
      <c r="J925" s="28"/>
      <c r="K925" s="28"/>
      <c r="L925" s="4"/>
      <c r="M925" s="28"/>
      <c r="N925" s="28"/>
      <c r="O925" s="28"/>
      <c r="P925" s="4"/>
      <c r="Q925" s="28"/>
      <c r="R925" s="28"/>
      <c r="S925" s="28"/>
      <c r="T925" s="4"/>
      <c r="U925" s="4"/>
      <c r="V925" s="4"/>
      <c r="W925" s="4"/>
      <c r="X925" s="4"/>
      <c r="Y925" s="4"/>
      <c r="Z925" s="4"/>
    </row>
    <row r="926" ht="12.75" customHeight="1">
      <c r="A926" s="28"/>
      <c r="B926" s="28"/>
      <c r="C926" s="28"/>
      <c r="D926" s="4"/>
      <c r="E926" s="28"/>
      <c r="F926" s="28"/>
      <c r="G926" s="28"/>
      <c r="H926" s="4"/>
      <c r="I926" s="28"/>
      <c r="J926" s="28"/>
      <c r="K926" s="28"/>
      <c r="L926" s="4"/>
      <c r="M926" s="28"/>
      <c r="N926" s="28"/>
      <c r="O926" s="28"/>
      <c r="P926" s="4"/>
      <c r="Q926" s="28"/>
      <c r="R926" s="28"/>
      <c r="S926" s="28"/>
      <c r="T926" s="4"/>
      <c r="U926" s="4"/>
      <c r="V926" s="4"/>
      <c r="W926" s="4"/>
      <c r="X926" s="4"/>
      <c r="Y926" s="4"/>
      <c r="Z926" s="4"/>
    </row>
    <row r="927" ht="12.75" customHeight="1">
      <c r="A927" s="28"/>
      <c r="B927" s="28"/>
      <c r="C927" s="28"/>
      <c r="D927" s="4"/>
      <c r="E927" s="28"/>
      <c r="F927" s="28"/>
      <c r="G927" s="28"/>
      <c r="H927" s="4"/>
      <c r="I927" s="28"/>
      <c r="J927" s="28"/>
      <c r="K927" s="28"/>
      <c r="L927" s="4"/>
      <c r="M927" s="28"/>
      <c r="N927" s="28"/>
      <c r="O927" s="28"/>
      <c r="P927" s="4"/>
      <c r="Q927" s="28"/>
      <c r="R927" s="28"/>
      <c r="S927" s="28"/>
      <c r="T927" s="4"/>
      <c r="U927" s="4"/>
      <c r="V927" s="4"/>
      <c r="W927" s="4"/>
      <c r="X927" s="4"/>
      <c r="Y927" s="4"/>
      <c r="Z927" s="4"/>
    </row>
    <row r="928" ht="12.75" customHeight="1">
      <c r="A928" s="28"/>
      <c r="B928" s="28"/>
      <c r="C928" s="28"/>
      <c r="D928" s="4"/>
      <c r="E928" s="28"/>
      <c r="F928" s="28"/>
      <c r="G928" s="28"/>
      <c r="H928" s="4"/>
      <c r="I928" s="28"/>
      <c r="J928" s="28"/>
      <c r="K928" s="28"/>
      <c r="L928" s="4"/>
      <c r="M928" s="28"/>
      <c r="N928" s="28"/>
      <c r="O928" s="28"/>
      <c r="P928" s="4"/>
      <c r="Q928" s="28"/>
      <c r="R928" s="28"/>
      <c r="S928" s="28"/>
      <c r="T928" s="4"/>
      <c r="U928" s="4"/>
      <c r="V928" s="4"/>
      <c r="W928" s="4"/>
      <c r="X928" s="4"/>
      <c r="Y928" s="4"/>
      <c r="Z928" s="4"/>
    </row>
    <row r="929" ht="12.75" customHeight="1">
      <c r="A929" s="28"/>
      <c r="B929" s="28"/>
      <c r="C929" s="28"/>
      <c r="D929" s="4"/>
      <c r="E929" s="28"/>
      <c r="F929" s="28"/>
      <c r="G929" s="28"/>
      <c r="H929" s="4"/>
      <c r="I929" s="28"/>
      <c r="J929" s="28"/>
      <c r="K929" s="28"/>
      <c r="L929" s="4"/>
      <c r="M929" s="28"/>
      <c r="N929" s="28"/>
      <c r="O929" s="28"/>
      <c r="P929" s="4"/>
      <c r="Q929" s="28"/>
      <c r="R929" s="28"/>
      <c r="S929" s="28"/>
      <c r="T929" s="4"/>
      <c r="U929" s="4"/>
      <c r="V929" s="4"/>
      <c r="W929" s="4"/>
      <c r="X929" s="4"/>
      <c r="Y929" s="4"/>
      <c r="Z929" s="4"/>
    </row>
    <row r="930" ht="12.75" customHeight="1">
      <c r="A930" s="28"/>
      <c r="B930" s="28"/>
      <c r="C930" s="28"/>
      <c r="D930" s="4"/>
      <c r="E930" s="28"/>
      <c r="F930" s="28"/>
      <c r="G930" s="28"/>
      <c r="H930" s="4"/>
      <c r="I930" s="28"/>
      <c r="J930" s="28"/>
      <c r="K930" s="28"/>
      <c r="L930" s="4"/>
      <c r="M930" s="28"/>
      <c r="N930" s="28"/>
      <c r="O930" s="28"/>
      <c r="P930" s="4"/>
      <c r="Q930" s="28"/>
      <c r="R930" s="28"/>
      <c r="S930" s="28"/>
      <c r="T930" s="4"/>
      <c r="U930" s="4"/>
      <c r="V930" s="4"/>
      <c r="W930" s="4"/>
      <c r="X930" s="4"/>
      <c r="Y930" s="4"/>
      <c r="Z930" s="4"/>
    </row>
    <row r="931" ht="12.75" customHeight="1">
      <c r="A931" s="28"/>
      <c r="B931" s="28"/>
      <c r="C931" s="28"/>
      <c r="D931" s="4"/>
      <c r="E931" s="28"/>
      <c r="F931" s="28"/>
      <c r="G931" s="28"/>
      <c r="H931" s="4"/>
      <c r="I931" s="28"/>
      <c r="J931" s="28"/>
      <c r="K931" s="28"/>
      <c r="L931" s="4"/>
      <c r="M931" s="28"/>
      <c r="N931" s="28"/>
      <c r="O931" s="28"/>
      <c r="P931" s="4"/>
      <c r="Q931" s="28"/>
      <c r="R931" s="28"/>
      <c r="S931" s="28"/>
      <c r="T931" s="4"/>
      <c r="U931" s="4"/>
      <c r="V931" s="4"/>
      <c r="W931" s="4"/>
      <c r="X931" s="4"/>
      <c r="Y931" s="4"/>
      <c r="Z931" s="4"/>
    </row>
    <row r="932" ht="12.75" customHeight="1">
      <c r="A932" s="28"/>
      <c r="B932" s="28"/>
      <c r="C932" s="28"/>
      <c r="D932" s="4"/>
      <c r="E932" s="28"/>
      <c r="F932" s="28"/>
      <c r="G932" s="28"/>
      <c r="H932" s="4"/>
      <c r="I932" s="28"/>
      <c r="J932" s="28"/>
      <c r="K932" s="28"/>
      <c r="L932" s="4"/>
      <c r="M932" s="28"/>
      <c r="N932" s="28"/>
      <c r="O932" s="28"/>
      <c r="P932" s="4"/>
      <c r="Q932" s="28"/>
      <c r="R932" s="28"/>
      <c r="S932" s="28"/>
      <c r="T932" s="4"/>
      <c r="U932" s="4"/>
      <c r="V932" s="4"/>
      <c r="W932" s="4"/>
      <c r="X932" s="4"/>
      <c r="Y932" s="4"/>
      <c r="Z932" s="4"/>
    </row>
    <row r="933" ht="12.75" customHeight="1">
      <c r="A933" s="28"/>
      <c r="B933" s="28"/>
      <c r="C933" s="28"/>
      <c r="D933" s="4"/>
      <c r="E933" s="28"/>
      <c r="F933" s="28"/>
      <c r="G933" s="28"/>
      <c r="H933" s="4"/>
      <c r="I933" s="28"/>
      <c r="J933" s="28"/>
      <c r="K933" s="28"/>
      <c r="L933" s="4"/>
      <c r="M933" s="28"/>
      <c r="N933" s="28"/>
      <c r="O933" s="28"/>
      <c r="P933" s="4"/>
      <c r="Q933" s="28"/>
      <c r="R933" s="28"/>
      <c r="S933" s="28"/>
      <c r="T933" s="4"/>
      <c r="U933" s="4"/>
      <c r="V933" s="4"/>
      <c r="W933" s="4"/>
      <c r="X933" s="4"/>
      <c r="Y933" s="4"/>
      <c r="Z933" s="4"/>
    </row>
    <row r="934" ht="12.75" customHeight="1">
      <c r="A934" s="28"/>
      <c r="B934" s="28"/>
      <c r="C934" s="28"/>
      <c r="D934" s="4"/>
      <c r="E934" s="28"/>
      <c r="F934" s="28"/>
      <c r="G934" s="28"/>
      <c r="H934" s="4"/>
      <c r="I934" s="28"/>
      <c r="J934" s="28"/>
      <c r="K934" s="28"/>
      <c r="L934" s="4"/>
      <c r="M934" s="28"/>
      <c r="N934" s="28"/>
      <c r="O934" s="28"/>
      <c r="P934" s="4"/>
      <c r="Q934" s="28"/>
      <c r="R934" s="28"/>
      <c r="S934" s="28"/>
      <c r="T934" s="4"/>
      <c r="U934" s="4"/>
      <c r="V934" s="4"/>
      <c r="W934" s="4"/>
      <c r="X934" s="4"/>
      <c r="Y934" s="4"/>
      <c r="Z934" s="4"/>
    </row>
    <row r="935" ht="12.75" customHeight="1">
      <c r="A935" s="28"/>
      <c r="B935" s="28"/>
      <c r="C935" s="28"/>
      <c r="D935" s="4"/>
      <c r="E935" s="28"/>
      <c r="F935" s="28"/>
      <c r="G935" s="28"/>
      <c r="H935" s="4"/>
      <c r="I935" s="28"/>
      <c r="J935" s="28"/>
      <c r="K935" s="28"/>
      <c r="L935" s="4"/>
      <c r="M935" s="28"/>
      <c r="N935" s="28"/>
      <c r="O935" s="28"/>
      <c r="P935" s="4"/>
      <c r="Q935" s="28"/>
      <c r="R935" s="28"/>
      <c r="S935" s="28"/>
      <c r="T935" s="4"/>
      <c r="U935" s="4"/>
      <c r="V935" s="4"/>
      <c r="W935" s="4"/>
      <c r="X935" s="4"/>
      <c r="Y935" s="4"/>
      <c r="Z935" s="4"/>
    </row>
    <row r="936" ht="12.75" customHeight="1">
      <c r="A936" s="28"/>
      <c r="B936" s="28"/>
      <c r="C936" s="28"/>
      <c r="D936" s="4"/>
      <c r="E936" s="28"/>
      <c r="F936" s="28"/>
      <c r="G936" s="28"/>
      <c r="H936" s="4"/>
      <c r="I936" s="28"/>
      <c r="J936" s="28"/>
      <c r="K936" s="28"/>
      <c r="L936" s="4"/>
      <c r="M936" s="28"/>
      <c r="N936" s="28"/>
      <c r="O936" s="28"/>
      <c r="P936" s="4"/>
      <c r="Q936" s="28"/>
      <c r="R936" s="28"/>
      <c r="S936" s="28"/>
      <c r="T936" s="4"/>
      <c r="U936" s="4"/>
      <c r="V936" s="4"/>
      <c r="W936" s="4"/>
      <c r="X936" s="4"/>
      <c r="Y936" s="4"/>
      <c r="Z936" s="4"/>
    </row>
    <row r="937" ht="12.75" customHeight="1">
      <c r="A937" s="28"/>
      <c r="B937" s="28"/>
      <c r="C937" s="28"/>
      <c r="D937" s="4"/>
      <c r="E937" s="28"/>
      <c r="F937" s="28"/>
      <c r="G937" s="28"/>
      <c r="H937" s="4"/>
      <c r="I937" s="28"/>
      <c r="J937" s="28"/>
      <c r="K937" s="28"/>
      <c r="L937" s="4"/>
      <c r="M937" s="28"/>
      <c r="N937" s="28"/>
      <c r="O937" s="28"/>
      <c r="P937" s="4"/>
      <c r="Q937" s="28"/>
      <c r="R937" s="28"/>
      <c r="S937" s="28"/>
      <c r="T937" s="4"/>
      <c r="U937" s="4"/>
      <c r="V937" s="4"/>
      <c r="W937" s="4"/>
      <c r="X937" s="4"/>
      <c r="Y937" s="4"/>
      <c r="Z937" s="4"/>
    </row>
    <row r="938" ht="12.75" customHeight="1">
      <c r="A938" s="28"/>
      <c r="B938" s="28"/>
      <c r="C938" s="28"/>
      <c r="D938" s="4"/>
      <c r="E938" s="28"/>
      <c r="F938" s="28"/>
      <c r="G938" s="28"/>
      <c r="H938" s="4"/>
      <c r="I938" s="28"/>
      <c r="J938" s="28"/>
      <c r="K938" s="28"/>
      <c r="L938" s="4"/>
      <c r="M938" s="28"/>
      <c r="N938" s="28"/>
      <c r="O938" s="28"/>
      <c r="P938" s="4"/>
      <c r="Q938" s="28"/>
      <c r="R938" s="28"/>
      <c r="S938" s="28"/>
      <c r="T938" s="4"/>
      <c r="U938" s="4"/>
      <c r="V938" s="4"/>
      <c r="W938" s="4"/>
      <c r="X938" s="4"/>
      <c r="Y938" s="4"/>
      <c r="Z938" s="4"/>
    </row>
    <row r="939" ht="12.75" customHeight="1">
      <c r="A939" s="28"/>
      <c r="B939" s="28"/>
      <c r="C939" s="28"/>
      <c r="D939" s="4"/>
      <c r="E939" s="28"/>
      <c r="F939" s="28"/>
      <c r="G939" s="28"/>
      <c r="H939" s="4"/>
      <c r="I939" s="28"/>
      <c r="J939" s="28"/>
      <c r="K939" s="28"/>
      <c r="L939" s="4"/>
      <c r="M939" s="28"/>
      <c r="N939" s="28"/>
      <c r="O939" s="28"/>
      <c r="P939" s="4"/>
      <c r="Q939" s="28"/>
      <c r="R939" s="28"/>
      <c r="S939" s="28"/>
      <c r="T939" s="4"/>
      <c r="U939" s="4"/>
      <c r="V939" s="4"/>
      <c r="W939" s="4"/>
      <c r="X939" s="4"/>
      <c r="Y939" s="4"/>
      <c r="Z939" s="4"/>
    </row>
    <row r="940" ht="12.75" customHeight="1">
      <c r="A940" s="28"/>
      <c r="B940" s="28"/>
      <c r="C940" s="28"/>
      <c r="D940" s="4"/>
      <c r="E940" s="28"/>
      <c r="F940" s="28"/>
      <c r="G940" s="28"/>
      <c r="H940" s="4"/>
      <c r="I940" s="28"/>
      <c r="J940" s="28"/>
      <c r="K940" s="28"/>
      <c r="L940" s="4"/>
      <c r="M940" s="28"/>
      <c r="N940" s="28"/>
      <c r="O940" s="28"/>
      <c r="P940" s="4"/>
      <c r="Q940" s="28"/>
      <c r="R940" s="28"/>
      <c r="S940" s="28"/>
      <c r="T940" s="4"/>
      <c r="U940" s="4"/>
      <c r="V940" s="4"/>
      <c r="W940" s="4"/>
      <c r="X940" s="4"/>
      <c r="Y940" s="4"/>
      <c r="Z940" s="4"/>
    </row>
    <row r="941" ht="12.75" customHeight="1">
      <c r="A941" s="28"/>
      <c r="B941" s="28"/>
      <c r="C941" s="28"/>
      <c r="D941" s="4"/>
      <c r="E941" s="28"/>
      <c r="F941" s="28"/>
      <c r="G941" s="28"/>
      <c r="H941" s="4"/>
      <c r="I941" s="28"/>
      <c r="J941" s="28"/>
      <c r="K941" s="28"/>
      <c r="L941" s="4"/>
      <c r="M941" s="28"/>
      <c r="N941" s="28"/>
      <c r="O941" s="28"/>
      <c r="P941" s="4"/>
      <c r="Q941" s="28"/>
      <c r="R941" s="28"/>
      <c r="S941" s="28"/>
      <c r="T941" s="4"/>
      <c r="U941" s="4"/>
      <c r="V941" s="4"/>
      <c r="W941" s="4"/>
      <c r="X941" s="4"/>
      <c r="Y941" s="4"/>
      <c r="Z941" s="4"/>
    </row>
    <row r="942" ht="12.75" customHeight="1">
      <c r="A942" s="28"/>
      <c r="B942" s="28"/>
      <c r="C942" s="28"/>
      <c r="D942" s="4"/>
      <c r="E942" s="28"/>
      <c r="F942" s="28"/>
      <c r="G942" s="28"/>
      <c r="H942" s="4"/>
      <c r="I942" s="28"/>
      <c r="J942" s="28"/>
      <c r="K942" s="28"/>
      <c r="L942" s="4"/>
      <c r="M942" s="28"/>
      <c r="N942" s="28"/>
      <c r="O942" s="28"/>
      <c r="P942" s="4"/>
      <c r="Q942" s="28"/>
      <c r="R942" s="28"/>
      <c r="S942" s="28"/>
      <c r="T942" s="4"/>
      <c r="U942" s="4"/>
      <c r="V942" s="4"/>
      <c r="W942" s="4"/>
      <c r="X942" s="4"/>
      <c r="Y942" s="4"/>
      <c r="Z942" s="4"/>
    </row>
    <row r="943" ht="12.75" customHeight="1">
      <c r="A943" s="28"/>
      <c r="B943" s="28"/>
      <c r="C943" s="28"/>
      <c r="D943" s="4"/>
      <c r="E943" s="28"/>
      <c r="F943" s="28"/>
      <c r="G943" s="28"/>
      <c r="H943" s="4"/>
      <c r="I943" s="28"/>
      <c r="J943" s="28"/>
      <c r="K943" s="28"/>
      <c r="L943" s="4"/>
      <c r="M943" s="28"/>
      <c r="N943" s="28"/>
      <c r="O943" s="28"/>
      <c r="P943" s="4"/>
      <c r="Q943" s="28"/>
      <c r="R943" s="28"/>
      <c r="S943" s="28"/>
      <c r="T943" s="4"/>
      <c r="U943" s="4"/>
      <c r="V943" s="4"/>
      <c r="W943" s="4"/>
      <c r="X943" s="4"/>
      <c r="Y943" s="4"/>
      <c r="Z943" s="4"/>
    </row>
    <row r="944" ht="12.75" customHeight="1">
      <c r="A944" s="28"/>
      <c r="B944" s="28"/>
      <c r="C944" s="28"/>
      <c r="D944" s="4"/>
      <c r="E944" s="28"/>
      <c r="F944" s="28"/>
      <c r="G944" s="28"/>
      <c r="H944" s="4"/>
      <c r="I944" s="28"/>
      <c r="J944" s="28"/>
      <c r="K944" s="28"/>
      <c r="L944" s="4"/>
      <c r="M944" s="28"/>
      <c r="N944" s="28"/>
      <c r="O944" s="28"/>
      <c r="P944" s="4"/>
      <c r="Q944" s="28"/>
      <c r="R944" s="28"/>
      <c r="S944" s="28"/>
      <c r="T944" s="4"/>
      <c r="U944" s="4"/>
      <c r="V944" s="4"/>
      <c r="W944" s="4"/>
      <c r="X944" s="4"/>
      <c r="Y944" s="4"/>
      <c r="Z944" s="4"/>
    </row>
    <row r="945" ht="12.75" customHeight="1">
      <c r="A945" s="28"/>
      <c r="B945" s="28"/>
      <c r="C945" s="28"/>
      <c r="D945" s="4"/>
      <c r="E945" s="28"/>
      <c r="F945" s="28"/>
      <c r="G945" s="28"/>
      <c r="H945" s="4"/>
      <c r="I945" s="28"/>
      <c r="J945" s="28"/>
      <c r="K945" s="28"/>
      <c r="L945" s="4"/>
      <c r="M945" s="28"/>
      <c r="N945" s="28"/>
      <c r="O945" s="28"/>
      <c r="P945" s="4"/>
      <c r="Q945" s="28"/>
      <c r="R945" s="28"/>
      <c r="S945" s="28"/>
      <c r="T945" s="4"/>
      <c r="U945" s="4"/>
      <c r="V945" s="4"/>
      <c r="W945" s="4"/>
      <c r="X945" s="4"/>
      <c r="Y945" s="4"/>
      <c r="Z945" s="4"/>
    </row>
    <row r="946" ht="12.75" customHeight="1">
      <c r="A946" s="28"/>
      <c r="B946" s="28"/>
      <c r="C946" s="28"/>
      <c r="D946" s="4"/>
      <c r="E946" s="28"/>
      <c r="F946" s="28"/>
      <c r="G946" s="28"/>
      <c r="H946" s="4"/>
      <c r="I946" s="28"/>
      <c r="J946" s="28"/>
      <c r="K946" s="28"/>
      <c r="L946" s="4"/>
      <c r="M946" s="28"/>
      <c r="N946" s="28"/>
      <c r="O946" s="28"/>
      <c r="P946" s="4"/>
      <c r="Q946" s="28"/>
      <c r="R946" s="28"/>
      <c r="S946" s="28"/>
      <c r="T946" s="4"/>
      <c r="U946" s="4"/>
      <c r="V946" s="4"/>
      <c r="W946" s="4"/>
      <c r="X946" s="4"/>
      <c r="Y946" s="4"/>
      <c r="Z946" s="4"/>
    </row>
    <row r="947" ht="12.75" customHeight="1">
      <c r="A947" s="28"/>
      <c r="B947" s="28"/>
      <c r="C947" s="28"/>
      <c r="D947" s="4"/>
      <c r="E947" s="28"/>
      <c r="F947" s="28"/>
      <c r="G947" s="28"/>
      <c r="H947" s="4"/>
      <c r="I947" s="28"/>
      <c r="J947" s="28"/>
      <c r="K947" s="28"/>
      <c r="L947" s="4"/>
      <c r="M947" s="28"/>
      <c r="N947" s="28"/>
      <c r="O947" s="28"/>
      <c r="P947" s="4"/>
      <c r="Q947" s="28"/>
      <c r="R947" s="28"/>
      <c r="S947" s="28"/>
      <c r="T947" s="4"/>
      <c r="U947" s="4"/>
      <c r="V947" s="4"/>
      <c r="W947" s="4"/>
      <c r="X947" s="4"/>
      <c r="Y947" s="4"/>
      <c r="Z947" s="4"/>
    </row>
    <row r="948" ht="12.75" customHeight="1">
      <c r="A948" s="28"/>
      <c r="B948" s="28"/>
      <c r="C948" s="28"/>
      <c r="D948" s="4"/>
      <c r="E948" s="28"/>
      <c r="F948" s="28"/>
      <c r="G948" s="28"/>
      <c r="H948" s="4"/>
      <c r="I948" s="28"/>
      <c r="J948" s="28"/>
      <c r="K948" s="28"/>
      <c r="L948" s="4"/>
      <c r="M948" s="28"/>
      <c r="N948" s="28"/>
      <c r="O948" s="28"/>
      <c r="P948" s="4"/>
      <c r="Q948" s="28"/>
      <c r="R948" s="28"/>
      <c r="S948" s="28"/>
      <c r="T948" s="4"/>
      <c r="U948" s="4"/>
      <c r="V948" s="4"/>
      <c r="W948" s="4"/>
      <c r="X948" s="4"/>
      <c r="Y948" s="4"/>
      <c r="Z948" s="4"/>
    </row>
    <row r="949" ht="12.75" customHeight="1">
      <c r="A949" s="28"/>
      <c r="B949" s="28"/>
      <c r="C949" s="28"/>
      <c r="D949" s="4"/>
      <c r="E949" s="28"/>
      <c r="F949" s="28"/>
      <c r="G949" s="28"/>
      <c r="H949" s="4"/>
      <c r="I949" s="28"/>
      <c r="J949" s="28"/>
      <c r="K949" s="28"/>
      <c r="L949" s="4"/>
      <c r="M949" s="28"/>
      <c r="N949" s="28"/>
      <c r="O949" s="28"/>
      <c r="P949" s="4"/>
      <c r="Q949" s="28"/>
      <c r="R949" s="28"/>
      <c r="S949" s="28"/>
      <c r="T949" s="4"/>
      <c r="U949" s="4"/>
      <c r="V949" s="4"/>
      <c r="W949" s="4"/>
      <c r="X949" s="4"/>
      <c r="Y949" s="4"/>
      <c r="Z949" s="4"/>
    </row>
    <row r="950" ht="12.75" customHeight="1">
      <c r="A950" s="28"/>
      <c r="B950" s="28"/>
      <c r="C950" s="28"/>
      <c r="D950" s="4"/>
      <c r="E950" s="28"/>
      <c r="F950" s="28"/>
      <c r="G950" s="28"/>
      <c r="H950" s="4"/>
      <c r="I950" s="28"/>
      <c r="J950" s="28"/>
      <c r="K950" s="28"/>
      <c r="L950" s="4"/>
      <c r="M950" s="28"/>
      <c r="N950" s="28"/>
      <c r="O950" s="28"/>
      <c r="P950" s="4"/>
      <c r="Q950" s="28"/>
      <c r="R950" s="28"/>
      <c r="S950" s="28"/>
      <c r="T950" s="4"/>
      <c r="U950" s="4"/>
      <c r="V950" s="4"/>
      <c r="W950" s="4"/>
      <c r="X950" s="4"/>
      <c r="Y950" s="4"/>
      <c r="Z950" s="4"/>
    </row>
    <row r="951" ht="12.75" customHeight="1">
      <c r="A951" s="28"/>
      <c r="B951" s="28"/>
      <c r="C951" s="28"/>
      <c r="D951" s="4"/>
      <c r="E951" s="28"/>
      <c r="F951" s="28"/>
      <c r="G951" s="28"/>
      <c r="H951" s="4"/>
      <c r="I951" s="28"/>
      <c r="J951" s="28"/>
      <c r="K951" s="28"/>
      <c r="L951" s="4"/>
      <c r="M951" s="28"/>
      <c r="N951" s="28"/>
      <c r="O951" s="28"/>
      <c r="P951" s="4"/>
      <c r="Q951" s="28"/>
      <c r="R951" s="28"/>
      <c r="S951" s="28"/>
      <c r="T951" s="4"/>
      <c r="U951" s="4"/>
      <c r="V951" s="4"/>
      <c r="W951" s="4"/>
      <c r="X951" s="4"/>
      <c r="Y951" s="4"/>
      <c r="Z951" s="4"/>
    </row>
    <row r="952" ht="12.75" customHeight="1">
      <c r="A952" s="28"/>
      <c r="B952" s="28"/>
      <c r="C952" s="28"/>
      <c r="D952" s="4"/>
      <c r="E952" s="28"/>
      <c r="F952" s="28"/>
      <c r="G952" s="28"/>
      <c r="H952" s="4"/>
      <c r="I952" s="28"/>
      <c r="J952" s="28"/>
      <c r="K952" s="28"/>
      <c r="L952" s="4"/>
      <c r="M952" s="28"/>
      <c r="N952" s="28"/>
      <c r="O952" s="28"/>
      <c r="P952" s="4"/>
      <c r="Q952" s="28"/>
      <c r="R952" s="28"/>
      <c r="S952" s="28"/>
      <c r="T952" s="4"/>
      <c r="U952" s="4"/>
      <c r="V952" s="4"/>
      <c r="W952" s="4"/>
      <c r="X952" s="4"/>
      <c r="Y952" s="4"/>
      <c r="Z952" s="4"/>
    </row>
    <row r="953" ht="12.75" customHeight="1">
      <c r="A953" s="28"/>
      <c r="B953" s="28"/>
      <c r="C953" s="28"/>
      <c r="D953" s="4"/>
      <c r="E953" s="28"/>
      <c r="F953" s="28"/>
      <c r="G953" s="28"/>
      <c r="H953" s="4"/>
      <c r="I953" s="28"/>
      <c r="J953" s="28"/>
      <c r="K953" s="28"/>
      <c r="L953" s="4"/>
      <c r="M953" s="28"/>
      <c r="N953" s="28"/>
      <c r="O953" s="28"/>
      <c r="P953" s="4"/>
      <c r="Q953" s="28"/>
      <c r="R953" s="28"/>
      <c r="S953" s="28"/>
      <c r="T953" s="4"/>
      <c r="U953" s="4"/>
      <c r="V953" s="4"/>
      <c r="W953" s="4"/>
      <c r="X953" s="4"/>
      <c r="Y953" s="4"/>
      <c r="Z953" s="4"/>
    </row>
    <row r="954" ht="12.75" customHeight="1">
      <c r="A954" s="28"/>
      <c r="B954" s="28"/>
      <c r="C954" s="28"/>
      <c r="D954" s="4"/>
      <c r="E954" s="28"/>
      <c r="F954" s="28"/>
      <c r="G954" s="28"/>
      <c r="H954" s="4"/>
      <c r="I954" s="28"/>
      <c r="J954" s="28"/>
      <c r="K954" s="28"/>
      <c r="L954" s="4"/>
      <c r="M954" s="28"/>
      <c r="N954" s="28"/>
      <c r="O954" s="28"/>
      <c r="P954" s="4"/>
      <c r="Q954" s="28"/>
      <c r="R954" s="28"/>
      <c r="S954" s="28"/>
      <c r="T954" s="4"/>
      <c r="U954" s="4"/>
      <c r="V954" s="4"/>
      <c r="W954" s="4"/>
      <c r="X954" s="4"/>
      <c r="Y954" s="4"/>
      <c r="Z954" s="4"/>
    </row>
    <row r="955" ht="12.75" customHeight="1">
      <c r="A955" s="28"/>
      <c r="B955" s="28"/>
      <c r="C955" s="28"/>
      <c r="D955" s="4"/>
      <c r="E955" s="28"/>
      <c r="F955" s="28"/>
      <c r="G955" s="28"/>
      <c r="H955" s="4"/>
      <c r="I955" s="28"/>
      <c r="J955" s="28"/>
      <c r="K955" s="28"/>
      <c r="L955" s="4"/>
      <c r="M955" s="28"/>
      <c r="N955" s="28"/>
      <c r="O955" s="28"/>
      <c r="P955" s="4"/>
      <c r="Q955" s="28"/>
      <c r="R955" s="28"/>
      <c r="S955" s="28"/>
      <c r="T955" s="4"/>
      <c r="U955" s="4"/>
      <c r="V955" s="4"/>
      <c r="W955" s="4"/>
      <c r="X955" s="4"/>
      <c r="Y955" s="4"/>
      <c r="Z955" s="4"/>
    </row>
    <row r="956" ht="12.75" customHeight="1">
      <c r="A956" s="28"/>
      <c r="B956" s="28"/>
      <c r="C956" s="28"/>
      <c r="D956" s="4"/>
      <c r="E956" s="28"/>
      <c r="F956" s="28"/>
      <c r="G956" s="28"/>
      <c r="H956" s="4"/>
      <c r="I956" s="28"/>
      <c r="J956" s="28"/>
      <c r="K956" s="28"/>
      <c r="L956" s="4"/>
      <c r="M956" s="28"/>
      <c r="N956" s="28"/>
      <c r="O956" s="28"/>
      <c r="P956" s="4"/>
      <c r="Q956" s="28"/>
      <c r="R956" s="28"/>
      <c r="S956" s="28"/>
      <c r="T956" s="4"/>
      <c r="U956" s="4"/>
      <c r="V956" s="4"/>
      <c r="W956" s="4"/>
      <c r="X956" s="4"/>
      <c r="Y956" s="4"/>
      <c r="Z956" s="4"/>
    </row>
    <row r="957" ht="12.75" customHeight="1">
      <c r="A957" s="28"/>
      <c r="B957" s="28"/>
      <c r="C957" s="28"/>
      <c r="D957" s="4"/>
      <c r="E957" s="28"/>
      <c r="F957" s="28"/>
      <c r="G957" s="28"/>
      <c r="H957" s="4"/>
      <c r="I957" s="28"/>
      <c r="J957" s="28"/>
      <c r="K957" s="28"/>
      <c r="L957" s="4"/>
      <c r="M957" s="28"/>
      <c r="N957" s="28"/>
      <c r="O957" s="28"/>
      <c r="P957" s="4"/>
      <c r="Q957" s="28"/>
      <c r="R957" s="28"/>
      <c r="S957" s="28"/>
      <c r="T957" s="4"/>
      <c r="U957" s="4"/>
      <c r="V957" s="4"/>
      <c r="W957" s="4"/>
      <c r="X957" s="4"/>
      <c r="Y957" s="4"/>
      <c r="Z957" s="4"/>
    </row>
    <row r="958" ht="12.75" customHeight="1">
      <c r="A958" s="28"/>
      <c r="B958" s="28"/>
      <c r="C958" s="28"/>
      <c r="D958" s="4"/>
      <c r="E958" s="28"/>
      <c r="F958" s="28"/>
      <c r="G958" s="28"/>
      <c r="H958" s="4"/>
      <c r="I958" s="28"/>
      <c r="J958" s="28"/>
      <c r="K958" s="28"/>
      <c r="L958" s="4"/>
      <c r="M958" s="28"/>
      <c r="N958" s="28"/>
      <c r="O958" s="28"/>
      <c r="P958" s="4"/>
      <c r="Q958" s="28"/>
      <c r="R958" s="28"/>
      <c r="S958" s="28"/>
      <c r="T958" s="4"/>
      <c r="U958" s="4"/>
      <c r="V958" s="4"/>
      <c r="W958" s="4"/>
      <c r="X958" s="4"/>
      <c r="Y958" s="4"/>
      <c r="Z958" s="4"/>
    </row>
    <row r="959" ht="12.75" customHeight="1">
      <c r="A959" s="28"/>
      <c r="B959" s="28"/>
      <c r="C959" s="28"/>
      <c r="D959" s="4"/>
      <c r="E959" s="28"/>
      <c r="F959" s="28"/>
      <c r="G959" s="28"/>
      <c r="H959" s="4"/>
      <c r="I959" s="28"/>
      <c r="J959" s="28"/>
      <c r="K959" s="28"/>
      <c r="L959" s="4"/>
      <c r="M959" s="28"/>
      <c r="N959" s="28"/>
      <c r="O959" s="28"/>
      <c r="P959" s="4"/>
      <c r="Q959" s="28"/>
      <c r="R959" s="28"/>
      <c r="S959" s="28"/>
      <c r="T959" s="4"/>
      <c r="U959" s="4"/>
      <c r="V959" s="4"/>
      <c r="W959" s="4"/>
      <c r="X959" s="4"/>
      <c r="Y959" s="4"/>
      <c r="Z959" s="4"/>
    </row>
    <row r="960" ht="12.75" customHeight="1">
      <c r="A960" s="28"/>
      <c r="B960" s="28"/>
      <c r="C960" s="28"/>
      <c r="D960" s="4"/>
      <c r="E960" s="28"/>
      <c r="F960" s="28"/>
      <c r="G960" s="28"/>
      <c r="H960" s="4"/>
      <c r="I960" s="28"/>
      <c r="J960" s="28"/>
      <c r="K960" s="28"/>
      <c r="L960" s="4"/>
      <c r="M960" s="28"/>
      <c r="N960" s="28"/>
      <c r="O960" s="28"/>
      <c r="P960" s="4"/>
      <c r="Q960" s="28"/>
      <c r="R960" s="28"/>
      <c r="S960" s="28"/>
      <c r="T960" s="4"/>
      <c r="U960" s="4"/>
      <c r="V960" s="4"/>
      <c r="W960" s="4"/>
      <c r="X960" s="4"/>
      <c r="Y960" s="4"/>
      <c r="Z960" s="4"/>
    </row>
    <row r="961" ht="12.75" customHeight="1">
      <c r="A961" s="28"/>
      <c r="B961" s="28"/>
      <c r="C961" s="28"/>
      <c r="D961" s="4"/>
      <c r="E961" s="28"/>
      <c r="F961" s="28"/>
      <c r="G961" s="28"/>
      <c r="H961" s="4"/>
      <c r="I961" s="28"/>
      <c r="J961" s="28"/>
      <c r="K961" s="28"/>
      <c r="L961" s="4"/>
      <c r="M961" s="28"/>
      <c r="N961" s="28"/>
      <c r="O961" s="28"/>
      <c r="P961" s="4"/>
      <c r="Q961" s="28"/>
      <c r="R961" s="28"/>
      <c r="S961" s="28"/>
      <c r="T961" s="4"/>
      <c r="U961" s="4"/>
      <c r="V961" s="4"/>
      <c r="W961" s="4"/>
      <c r="X961" s="4"/>
      <c r="Y961" s="4"/>
      <c r="Z961" s="4"/>
    </row>
    <row r="962" ht="12.75" customHeight="1">
      <c r="A962" s="28"/>
      <c r="B962" s="28"/>
      <c r="C962" s="28"/>
      <c r="D962" s="4"/>
      <c r="E962" s="28"/>
      <c r="F962" s="28"/>
      <c r="G962" s="28"/>
      <c r="H962" s="4"/>
      <c r="I962" s="28"/>
      <c r="J962" s="28"/>
      <c r="K962" s="28"/>
      <c r="L962" s="4"/>
      <c r="M962" s="28"/>
      <c r="N962" s="28"/>
      <c r="O962" s="28"/>
      <c r="P962" s="4"/>
      <c r="Q962" s="28"/>
      <c r="R962" s="28"/>
      <c r="S962" s="28"/>
      <c r="T962" s="4"/>
      <c r="U962" s="4"/>
      <c r="V962" s="4"/>
      <c r="W962" s="4"/>
      <c r="X962" s="4"/>
      <c r="Y962" s="4"/>
      <c r="Z962" s="4"/>
    </row>
    <row r="963" ht="12.75" customHeight="1">
      <c r="A963" s="28"/>
      <c r="B963" s="28"/>
      <c r="C963" s="28"/>
      <c r="D963" s="4"/>
      <c r="E963" s="28"/>
      <c r="F963" s="28"/>
      <c r="G963" s="28"/>
      <c r="H963" s="4"/>
      <c r="I963" s="28"/>
      <c r="J963" s="28"/>
      <c r="K963" s="28"/>
      <c r="L963" s="4"/>
      <c r="M963" s="28"/>
      <c r="N963" s="28"/>
      <c r="O963" s="28"/>
      <c r="P963" s="4"/>
      <c r="Q963" s="28"/>
      <c r="R963" s="28"/>
      <c r="S963" s="28"/>
      <c r="T963" s="4"/>
      <c r="U963" s="4"/>
      <c r="V963" s="4"/>
      <c r="W963" s="4"/>
      <c r="X963" s="4"/>
      <c r="Y963" s="4"/>
      <c r="Z963" s="4"/>
    </row>
    <row r="964" ht="12.75" customHeight="1">
      <c r="A964" s="28"/>
      <c r="B964" s="28"/>
      <c r="C964" s="28"/>
      <c r="D964" s="4"/>
      <c r="E964" s="28"/>
      <c r="F964" s="28"/>
      <c r="G964" s="28"/>
      <c r="H964" s="4"/>
      <c r="I964" s="28"/>
      <c r="J964" s="28"/>
      <c r="K964" s="28"/>
      <c r="L964" s="4"/>
      <c r="M964" s="28"/>
      <c r="N964" s="28"/>
      <c r="O964" s="28"/>
      <c r="P964" s="4"/>
      <c r="Q964" s="28"/>
      <c r="R964" s="28"/>
      <c r="S964" s="28"/>
      <c r="T964" s="4"/>
      <c r="U964" s="4"/>
      <c r="V964" s="4"/>
      <c r="W964" s="4"/>
      <c r="X964" s="4"/>
      <c r="Y964" s="4"/>
      <c r="Z964" s="4"/>
    </row>
    <row r="965" ht="12.75" customHeight="1">
      <c r="A965" s="28"/>
      <c r="B965" s="28"/>
      <c r="C965" s="28"/>
      <c r="D965" s="4"/>
      <c r="E965" s="28"/>
      <c r="F965" s="28"/>
      <c r="G965" s="28"/>
      <c r="H965" s="4"/>
      <c r="I965" s="28"/>
      <c r="J965" s="28"/>
      <c r="K965" s="28"/>
      <c r="L965" s="4"/>
      <c r="M965" s="28"/>
      <c r="N965" s="28"/>
      <c r="O965" s="28"/>
      <c r="P965" s="4"/>
      <c r="Q965" s="28"/>
      <c r="R965" s="28"/>
      <c r="S965" s="28"/>
      <c r="T965" s="4"/>
      <c r="U965" s="4"/>
      <c r="V965" s="4"/>
      <c r="W965" s="4"/>
      <c r="X965" s="4"/>
      <c r="Y965" s="4"/>
      <c r="Z965" s="4"/>
    </row>
    <row r="966" ht="12.75" customHeight="1">
      <c r="A966" s="28"/>
      <c r="B966" s="28"/>
      <c r="C966" s="28"/>
      <c r="D966" s="4"/>
      <c r="E966" s="28"/>
      <c r="F966" s="28"/>
      <c r="G966" s="28"/>
      <c r="H966" s="4"/>
      <c r="I966" s="28"/>
      <c r="J966" s="28"/>
      <c r="K966" s="28"/>
      <c r="L966" s="4"/>
      <c r="M966" s="28"/>
      <c r="N966" s="28"/>
      <c r="O966" s="28"/>
      <c r="P966" s="4"/>
      <c r="Q966" s="28"/>
      <c r="R966" s="28"/>
      <c r="S966" s="28"/>
      <c r="T966" s="4"/>
      <c r="U966" s="4"/>
      <c r="V966" s="4"/>
      <c r="W966" s="4"/>
      <c r="X966" s="4"/>
      <c r="Y966" s="4"/>
      <c r="Z966" s="4"/>
    </row>
    <row r="967" ht="12.75" customHeight="1">
      <c r="A967" s="28"/>
      <c r="B967" s="28"/>
      <c r="C967" s="28"/>
      <c r="D967" s="4"/>
      <c r="E967" s="28"/>
      <c r="F967" s="28"/>
      <c r="G967" s="28"/>
      <c r="H967" s="4"/>
      <c r="I967" s="28"/>
      <c r="J967" s="28"/>
      <c r="K967" s="28"/>
      <c r="L967" s="4"/>
      <c r="M967" s="28"/>
      <c r="N967" s="28"/>
      <c r="O967" s="28"/>
      <c r="P967" s="4"/>
      <c r="Q967" s="28"/>
      <c r="R967" s="28"/>
      <c r="S967" s="28"/>
      <c r="T967" s="4"/>
      <c r="U967" s="4"/>
      <c r="V967" s="4"/>
      <c r="W967" s="4"/>
      <c r="X967" s="4"/>
      <c r="Y967" s="4"/>
      <c r="Z967" s="4"/>
    </row>
    <row r="968" ht="12.75" customHeight="1">
      <c r="A968" s="28"/>
      <c r="B968" s="28"/>
      <c r="C968" s="28"/>
      <c r="D968" s="4"/>
      <c r="E968" s="28"/>
      <c r="F968" s="28"/>
      <c r="G968" s="28"/>
      <c r="H968" s="4"/>
      <c r="I968" s="28"/>
      <c r="J968" s="28"/>
      <c r="K968" s="28"/>
      <c r="L968" s="4"/>
      <c r="M968" s="28"/>
      <c r="N968" s="28"/>
      <c r="O968" s="28"/>
      <c r="P968" s="4"/>
      <c r="Q968" s="28"/>
      <c r="R968" s="28"/>
      <c r="S968" s="28"/>
      <c r="T968" s="4"/>
      <c r="U968" s="4"/>
      <c r="V968" s="4"/>
      <c r="W968" s="4"/>
      <c r="X968" s="4"/>
      <c r="Y968" s="4"/>
      <c r="Z968" s="4"/>
    </row>
    <row r="969" ht="12.75" customHeight="1">
      <c r="A969" s="28"/>
      <c r="B969" s="28"/>
      <c r="C969" s="28"/>
      <c r="D969" s="4"/>
      <c r="E969" s="28"/>
      <c r="F969" s="28"/>
      <c r="G969" s="28"/>
      <c r="H969" s="4"/>
      <c r="I969" s="28"/>
      <c r="J969" s="28"/>
      <c r="K969" s="28"/>
      <c r="L969" s="4"/>
      <c r="M969" s="28"/>
      <c r="N969" s="28"/>
      <c r="O969" s="28"/>
      <c r="P969" s="4"/>
      <c r="Q969" s="28"/>
      <c r="R969" s="28"/>
      <c r="S969" s="28"/>
      <c r="T969" s="4"/>
      <c r="U969" s="4"/>
      <c r="V969" s="4"/>
      <c r="W969" s="4"/>
      <c r="X969" s="4"/>
      <c r="Y969" s="4"/>
      <c r="Z969" s="4"/>
    </row>
    <row r="970" ht="12.75" customHeight="1">
      <c r="A970" s="28"/>
      <c r="B970" s="28"/>
      <c r="C970" s="28"/>
      <c r="D970" s="4"/>
      <c r="E970" s="28"/>
      <c r="F970" s="28"/>
      <c r="G970" s="28"/>
      <c r="H970" s="4"/>
      <c r="I970" s="28"/>
      <c r="J970" s="28"/>
      <c r="K970" s="28"/>
      <c r="L970" s="4"/>
      <c r="M970" s="28"/>
      <c r="N970" s="28"/>
      <c r="O970" s="28"/>
      <c r="P970" s="4"/>
      <c r="Q970" s="28"/>
      <c r="R970" s="28"/>
      <c r="S970" s="28"/>
      <c r="T970" s="4"/>
      <c r="U970" s="4"/>
      <c r="V970" s="4"/>
      <c r="W970" s="4"/>
      <c r="X970" s="4"/>
      <c r="Y970" s="4"/>
      <c r="Z970" s="4"/>
    </row>
    <row r="971" ht="12.75" customHeight="1">
      <c r="A971" s="28"/>
      <c r="B971" s="28"/>
      <c r="C971" s="28"/>
      <c r="D971" s="4"/>
      <c r="E971" s="28"/>
      <c r="F971" s="28"/>
      <c r="G971" s="28"/>
      <c r="H971" s="4"/>
      <c r="I971" s="28"/>
      <c r="J971" s="28"/>
      <c r="K971" s="28"/>
      <c r="L971" s="4"/>
      <c r="M971" s="28"/>
      <c r="N971" s="28"/>
      <c r="O971" s="28"/>
      <c r="P971" s="4"/>
      <c r="Q971" s="28"/>
      <c r="R971" s="28"/>
      <c r="S971" s="28"/>
      <c r="T971" s="4"/>
      <c r="U971" s="4"/>
      <c r="V971" s="4"/>
      <c r="W971" s="4"/>
      <c r="X971" s="4"/>
      <c r="Y971" s="4"/>
      <c r="Z971" s="4"/>
    </row>
    <row r="972" ht="12.75" customHeight="1">
      <c r="A972" s="28"/>
      <c r="B972" s="28"/>
      <c r="C972" s="28"/>
      <c r="D972" s="4"/>
      <c r="E972" s="28"/>
      <c r="F972" s="28"/>
      <c r="G972" s="28"/>
      <c r="H972" s="4"/>
      <c r="I972" s="28"/>
      <c r="J972" s="28"/>
      <c r="K972" s="28"/>
      <c r="L972" s="4"/>
      <c r="M972" s="28"/>
      <c r="N972" s="28"/>
      <c r="O972" s="28"/>
      <c r="P972" s="4"/>
      <c r="Q972" s="28"/>
      <c r="R972" s="28"/>
      <c r="S972" s="28"/>
      <c r="T972" s="4"/>
      <c r="U972" s="4"/>
      <c r="V972" s="4"/>
      <c r="W972" s="4"/>
      <c r="X972" s="4"/>
      <c r="Y972" s="4"/>
      <c r="Z972" s="4"/>
    </row>
    <row r="973" ht="12.75" customHeight="1">
      <c r="A973" s="28"/>
      <c r="B973" s="28"/>
      <c r="C973" s="28"/>
      <c r="D973" s="4"/>
      <c r="E973" s="28"/>
      <c r="F973" s="28"/>
      <c r="G973" s="28"/>
      <c r="H973" s="4"/>
      <c r="I973" s="28"/>
      <c r="J973" s="28"/>
      <c r="K973" s="28"/>
      <c r="L973" s="4"/>
      <c r="M973" s="28"/>
      <c r="N973" s="28"/>
      <c r="O973" s="28"/>
      <c r="P973" s="4"/>
      <c r="Q973" s="28"/>
      <c r="R973" s="28"/>
      <c r="S973" s="28"/>
      <c r="T973" s="4"/>
      <c r="U973" s="4"/>
      <c r="V973" s="4"/>
      <c r="W973" s="4"/>
      <c r="X973" s="4"/>
      <c r="Y973" s="4"/>
      <c r="Z973" s="4"/>
    </row>
    <row r="974" ht="12.75" customHeight="1">
      <c r="A974" s="28"/>
      <c r="B974" s="28"/>
      <c r="C974" s="28"/>
      <c r="D974" s="4"/>
      <c r="E974" s="28"/>
      <c r="F974" s="28"/>
      <c r="G974" s="28"/>
      <c r="H974" s="4"/>
      <c r="I974" s="28"/>
      <c r="J974" s="28"/>
      <c r="K974" s="28"/>
      <c r="L974" s="4"/>
      <c r="M974" s="28"/>
      <c r="N974" s="28"/>
      <c r="O974" s="28"/>
      <c r="P974" s="4"/>
      <c r="Q974" s="28"/>
      <c r="R974" s="28"/>
      <c r="S974" s="28"/>
      <c r="T974" s="4"/>
      <c r="U974" s="4"/>
      <c r="V974" s="4"/>
      <c r="W974" s="4"/>
      <c r="X974" s="4"/>
      <c r="Y974" s="4"/>
      <c r="Z974" s="4"/>
    </row>
    <row r="975" ht="12.75" customHeight="1">
      <c r="A975" s="28"/>
      <c r="B975" s="28"/>
      <c r="C975" s="28"/>
      <c r="D975" s="4"/>
      <c r="E975" s="28"/>
      <c r="F975" s="28"/>
      <c r="G975" s="28"/>
      <c r="H975" s="4"/>
      <c r="I975" s="28"/>
      <c r="J975" s="28"/>
      <c r="K975" s="28"/>
      <c r="L975" s="4"/>
      <c r="M975" s="28"/>
      <c r="N975" s="28"/>
      <c r="O975" s="28"/>
      <c r="P975" s="4"/>
      <c r="Q975" s="28"/>
      <c r="R975" s="28"/>
      <c r="S975" s="28"/>
      <c r="T975" s="4"/>
      <c r="U975" s="4"/>
      <c r="V975" s="4"/>
      <c r="W975" s="4"/>
      <c r="X975" s="4"/>
      <c r="Y975" s="4"/>
      <c r="Z975" s="4"/>
    </row>
    <row r="976" ht="12.75" customHeight="1">
      <c r="A976" s="28"/>
      <c r="B976" s="28"/>
      <c r="C976" s="28"/>
      <c r="D976" s="4"/>
      <c r="E976" s="28"/>
      <c r="F976" s="28"/>
      <c r="G976" s="28"/>
      <c r="H976" s="4"/>
      <c r="I976" s="28"/>
      <c r="J976" s="28"/>
      <c r="K976" s="28"/>
      <c r="L976" s="4"/>
      <c r="M976" s="28"/>
      <c r="N976" s="28"/>
      <c r="O976" s="28"/>
      <c r="P976" s="4"/>
      <c r="Q976" s="28"/>
      <c r="R976" s="28"/>
      <c r="S976" s="28"/>
      <c r="T976" s="4"/>
      <c r="U976" s="4"/>
      <c r="V976" s="4"/>
      <c r="W976" s="4"/>
      <c r="X976" s="4"/>
      <c r="Y976" s="4"/>
      <c r="Z976" s="4"/>
    </row>
    <row r="977" ht="12.75" customHeight="1">
      <c r="A977" s="28"/>
      <c r="B977" s="28"/>
      <c r="C977" s="28"/>
      <c r="D977" s="4"/>
      <c r="E977" s="28"/>
      <c r="F977" s="28"/>
      <c r="G977" s="28"/>
      <c r="H977" s="4"/>
      <c r="I977" s="28"/>
      <c r="J977" s="28"/>
      <c r="K977" s="28"/>
      <c r="L977" s="4"/>
      <c r="M977" s="28"/>
      <c r="N977" s="28"/>
      <c r="O977" s="28"/>
      <c r="P977" s="4"/>
      <c r="Q977" s="28"/>
      <c r="R977" s="28"/>
      <c r="S977" s="28"/>
      <c r="T977" s="4"/>
      <c r="U977" s="4"/>
      <c r="V977" s="4"/>
      <c r="W977" s="4"/>
      <c r="X977" s="4"/>
      <c r="Y977" s="4"/>
      <c r="Z977" s="4"/>
    </row>
    <row r="978" ht="12.75" customHeight="1">
      <c r="A978" s="28"/>
      <c r="B978" s="28"/>
      <c r="C978" s="28"/>
      <c r="D978" s="4"/>
      <c r="E978" s="28"/>
      <c r="F978" s="28"/>
      <c r="G978" s="28"/>
      <c r="H978" s="4"/>
      <c r="I978" s="28"/>
      <c r="J978" s="28"/>
      <c r="K978" s="28"/>
      <c r="L978" s="4"/>
      <c r="M978" s="28"/>
      <c r="N978" s="28"/>
      <c r="O978" s="28"/>
      <c r="P978" s="4"/>
      <c r="Q978" s="28"/>
      <c r="R978" s="28"/>
      <c r="S978" s="28"/>
      <c r="T978" s="4"/>
      <c r="U978" s="4"/>
      <c r="V978" s="4"/>
      <c r="W978" s="4"/>
      <c r="X978" s="4"/>
      <c r="Y978" s="4"/>
      <c r="Z978" s="4"/>
    </row>
    <row r="979" ht="12.75" customHeight="1">
      <c r="A979" s="28"/>
      <c r="B979" s="28"/>
      <c r="C979" s="28"/>
      <c r="D979" s="4"/>
      <c r="E979" s="28"/>
      <c r="F979" s="28"/>
      <c r="G979" s="28"/>
      <c r="H979" s="4"/>
      <c r="I979" s="28"/>
      <c r="J979" s="28"/>
      <c r="K979" s="28"/>
      <c r="L979" s="4"/>
      <c r="M979" s="28"/>
      <c r="N979" s="28"/>
      <c r="O979" s="28"/>
      <c r="P979" s="4"/>
      <c r="Q979" s="28"/>
      <c r="R979" s="28"/>
      <c r="S979" s="28"/>
      <c r="T979" s="4"/>
      <c r="U979" s="4"/>
      <c r="V979" s="4"/>
      <c r="W979" s="4"/>
      <c r="X979" s="4"/>
      <c r="Y979" s="4"/>
      <c r="Z979" s="4"/>
    </row>
    <row r="980" ht="12.75" customHeight="1">
      <c r="A980" s="28"/>
      <c r="B980" s="28"/>
      <c r="C980" s="28"/>
      <c r="D980" s="4"/>
      <c r="E980" s="28"/>
      <c r="F980" s="28"/>
      <c r="G980" s="28"/>
      <c r="H980" s="4"/>
      <c r="I980" s="28"/>
      <c r="J980" s="28"/>
      <c r="K980" s="28"/>
      <c r="L980" s="4"/>
      <c r="M980" s="28"/>
      <c r="N980" s="28"/>
      <c r="O980" s="28"/>
      <c r="P980" s="4"/>
      <c r="Q980" s="28"/>
      <c r="R980" s="28"/>
      <c r="S980" s="28"/>
      <c r="T980" s="4"/>
      <c r="U980" s="4"/>
      <c r="V980" s="4"/>
      <c r="W980" s="4"/>
      <c r="X980" s="4"/>
      <c r="Y980" s="4"/>
      <c r="Z980" s="4"/>
    </row>
    <row r="981" ht="12.75" customHeight="1">
      <c r="A981" s="28"/>
      <c r="B981" s="28"/>
      <c r="C981" s="28"/>
      <c r="D981" s="4"/>
      <c r="E981" s="28"/>
      <c r="F981" s="28"/>
      <c r="G981" s="28"/>
      <c r="H981" s="4"/>
      <c r="I981" s="28"/>
      <c r="J981" s="28"/>
      <c r="K981" s="28"/>
      <c r="L981" s="4"/>
      <c r="M981" s="28"/>
      <c r="N981" s="28"/>
      <c r="O981" s="28"/>
      <c r="P981" s="4"/>
      <c r="Q981" s="28"/>
      <c r="R981" s="28"/>
      <c r="S981" s="28"/>
      <c r="T981" s="4"/>
      <c r="U981" s="4"/>
      <c r="V981" s="4"/>
      <c r="W981" s="4"/>
      <c r="X981" s="4"/>
      <c r="Y981" s="4"/>
      <c r="Z981" s="4"/>
    </row>
    <row r="982" ht="12.75" customHeight="1">
      <c r="A982" s="28"/>
      <c r="B982" s="28"/>
      <c r="C982" s="28"/>
      <c r="D982" s="4"/>
      <c r="E982" s="28"/>
      <c r="F982" s="28"/>
      <c r="G982" s="28"/>
      <c r="H982" s="4"/>
      <c r="I982" s="28"/>
      <c r="J982" s="28"/>
      <c r="K982" s="28"/>
      <c r="L982" s="4"/>
      <c r="M982" s="28"/>
      <c r="N982" s="28"/>
      <c r="O982" s="28"/>
      <c r="P982" s="4"/>
      <c r="Q982" s="28"/>
      <c r="R982" s="28"/>
      <c r="S982" s="28"/>
      <c r="T982" s="4"/>
      <c r="U982" s="4"/>
      <c r="V982" s="4"/>
      <c r="W982" s="4"/>
      <c r="X982" s="4"/>
      <c r="Y982" s="4"/>
      <c r="Z982" s="4"/>
    </row>
    <row r="983" ht="12.75" customHeight="1">
      <c r="A983" s="28"/>
      <c r="B983" s="28"/>
      <c r="C983" s="28"/>
      <c r="D983" s="4"/>
      <c r="E983" s="28"/>
      <c r="F983" s="28"/>
      <c r="G983" s="28"/>
      <c r="H983" s="4"/>
      <c r="I983" s="28"/>
      <c r="J983" s="28"/>
      <c r="K983" s="28"/>
      <c r="L983" s="4"/>
      <c r="M983" s="28"/>
      <c r="N983" s="28"/>
      <c r="O983" s="28"/>
      <c r="P983" s="4"/>
      <c r="Q983" s="28"/>
      <c r="R983" s="28"/>
      <c r="S983" s="28"/>
      <c r="T983" s="4"/>
      <c r="U983" s="4"/>
      <c r="V983" s="4"/>
      <c r="W983" s="4"/>
      <c r="X983" s="4"/>
      <c r="Y983" s="4"/>
      <c r="Z983" s="4"/>
    </row>
    <row r="984" ht="12.75" customHeight="1">
      <c r="A984" s="28"/>
      <c r="B984" s="28"/>
      <c r="C984" s="28"/>
      <c r="D984" s="4"/>
      <c r="E984" s="28"/>
      <c r="F984" s="28"/>
      <c r="G984" s="28"/>
      <c r="H984" s="4"/>
      <c r="I984" s="28"/>
      <c r="J984" s="28"/>
      <c r="K984" s="28"/>
      <c r="L984" s="4"/>
      <c r="M984" s="28"/>
      <c r="N984" s="28"/>
      <c r="O984" s="28"/>
      <c r="P984" s="4"/>
      <c r="Q984" s="28"/>
      <c r="R984" s="28"/>
      <c r="S984" s="28"/>
      <c r="T984" s="4"/>
      <c r="U984" s="4"/>
      <c r="V984" s="4"/>
      <c r="W984" s="4"/>
      <c r="X984" s="4"/>
      <c r="Y984" s="4"/>
      <c r="Z984" s="4"/>
    </row>
    <row r="985" ht="12.75" customHeight="1">
      <c r="A985" s="28"/>
      <c r="B985" s="28"/>
      <c r="C985" s="28"/>
      <c r="D985" s="4"/>
      <c r="E985" s="28"/>
      <c r="F985" s="28"/>
      <c r="G985" s="28"/>
      <c r="H985" s="4"/>
      <c r="I985" s="28"/>
      <c r="J985" s="28"/>
      <c r="K985" s="28"/>
      <c r="L985" s="4"/>
      <c r="M985" s="28"/>
      <c r="N985" s="28"/>
      <c r="O985" s="28"/>
      <c r="P985" s="4"/>
      <c r="Q985" s="28"/>
      <c r="R985" s="28"/>
      <c r="S985" s="28"/>
      <c r="T985" s="4"/>
      <c r="U985" s="4"/>
      <c r="V985" s="4"/>
      <c r="W985" s="4"/>
      <c r="X985" s="4"/>
      <c r="Y985" s="4"/>
      <c r="Z985" s="4"/>
    </row>
    <row r="986" ht="12.75" customHeight="1">
      <c r="A986" s="28"/>
      <c r="B986" s="28"/>
      <c r="C986" s="28"/>
      <c r="D986" s="4"/>
      <c r="E986" s="28"/>
      <c r="F986" s="28"/>
      <c r="G986" s="28"/>
      <c r="H986" s="4"/>
      <c r="I986" s="28"/>
      <c r="J986" s="28"/>
      <c r="K986" s="28"/>
      <c r="L986" s="4"/>
      <c r="M986" s="28"/>
      <c r="N986" s="28"/>
      <c r="O986" s="28"/>
      <c r="P986" s="4"/>
      <c r="Q986" s="28"/>
      <c r="R986" s="28"/>
      <c r="S986" s="28"/>
      <c r="T986" s="4"/>
      <c r="U986" s="4"/>
      <c r="V986" s="4"/>
      <c r="W986" s="4"/>
      <c r="X986" s="4"/>
      <c r="Y986" s="4"/>
      <c r="Z986" s="4"/>
    </row>
    <row r="987" ht="12.75" customHeight="1">
      <c r="A987" s="28"/>
      <c r="B987" s="28"/>
      <c r="C987" s="28"/>
      <c r="D987" s="4"/>
      <c r="E987" s="28"/>
      <c r="F987" s="28"/>
      <c r="G987" s="28"/>
      <c r="H987" s="4"/>
      <c r="I987" s="28"/>
      <c r="J987" s="28"/>
      <c r="K987" s="28"/>
      <c r="L987" s="4"/>
      <c r="M987" s="28"/>
      <c r="N987" s="28"/>
      <c r="O987" s="28"/>
      <c r="P987" s="4"/>
      <c r="Q987" s="28"/>
      <c r="R987" s="28"/>
      <c r="S987" s="28"/>
      <c r="T987" s="4"/>
      <c r="U987" s="4"/>
      <c r="V987" s="4"/>
      <c r="W987" s="4"/>
      <c r="X987" s="4"/>
      <c r="Y987" s="4"/>
      <c r="Z987" s="4"/>
    </row>
    <row r="988" ht="12.75" customHeight="1">
      <c r="A988" s="28"/>
      <c r="B988" s="28"/>
      <c r="C988" s="28"/>
      <c r="D988" s="4"/>
      <c r="E988" s="28"/>
      <c r="F988" s="28"/>
      <c r="G988" s="28"/>
      <c r="H988" s="4"/>
      <c r="I988" s="28"/>
      <c r="J988" s="28"/>
      <c r="K988" s="28"/>
      <c r="L988" s="4"/>
      <c r="M988" s="28"/>
      <c r="N988" s="28"/>
      <c r="O988" s="28"/>
      <c r="P988" s="4"/>
      <c r="Q988" s="28"/>
      <c r="R988" s="28"/>
      <c r="S988" s="28"/>
      <c r="T988" s="4"/>
      <c r="U988" s="4"/>
      <c r="V988" s="4"/>
      <c r="W988" s="4"/>
      <c r="X988" s="4"/>
      <c r="Y988" s="4"/>
      <c r="Z988" s="4"/>
    </row>
    <row r="989" ht="12.75" customHeight="1">
      <c r="A989" s="28"/>
      <c r="B989" s="28"/>
      <c r="C989" s="28"/>
      <c r="D989" s="4"/>
      <c r="E989" s="28"/>
      <c r="F989" s="28"/>
      <c r="G989" s="28"/>
      <c r="H989" s="4"/>
      <c r="I989" s="28"/>
      <c r="J989" s="28"/>
      <c r="K989" s="28"/>
      <c r="L989" s="4"/>
      <c r="M989" s="28"/>
      <c r="N989" s="28"/>
      <c r="O989" s="28"/>
      <c r="P989" s="4"/>
      <c r="Q989" s="28"/>
      <c r="R989" s="28"/>
      <c r="S989" s="28"/>
      <c r="T989" s="4"/>
      <c r="U989" s="4"/>
      <c r="V989" s="4"/>
      <c r="W989" s="4"/>
      <c r="X989" s="4"/>
      <c r="Y989" s="4"/>
      <c r="Z989" s="4"/>
    </row>
    <row r="990" ht="12.75" customHeight="1">
      <c r="A990" s="28"/>
      <c r="B990" s="28"/>
      <c r="C990" s="28"/>
      <c r="D990" s="4"/>
      <c r="E990" s="28"/>
      <c r="F990" s="28"/>
      <c r="G990" s="28"/>
      <c r="H990" s="4"/>
      <c r="I990" s="28"/>
      <c r="J990" s="28"/>
      <c r="K990" s="28"/>
      <c r="L990" s="4"/>
      <c r="M990" s="28"/>
      <c r="N990" s="28"/>
      <c r="O990" s="28"/>
      <c r="P990" s="4"/>
      <c r="Q990" s="28"/>
      <c r="R990" s="28"/>
      <c r="S990" s="28"/>
      <c r="T990" s="4"/>
      <c r="U990" s="4"/>
      <c r="V990" s="4"/>
      <c r="W990" s="4"/>
      <c r="X990" s="4"/>
      <c r="Y990" s="4"/>
      <c r="Z990" s="4"/>
    </row>
    <row r="991" ht="12.75" customHeight="1">
      <c r="A991" s="28"/>
      <c r="B991" s="28"/>
      <c r="C991" s="28"/>
      <c r="D991" s="4"/>
      <c r="E991" s="28"/>
      <c r="F991" s="28"/>
      <c r="G991" s="28"/>
      <c r="H991" s="4"/>
      <c r="I991" s="28"/>
      <c r="J991" s="28"/>
      <c r="K991" s="28"/>
      <c r="L991" s="4"/>
      <c r="M991" s="28"/>
      <c r="N991" s="28"/>
      <c r="O991" s="28"/>
      <c r="P991" s="4"/>
      <c r="Q991" s="28"/>
      <c r="R991" s="28"/>
      <c r="S991" s="28"/>
      <c r="T991" s="4"/>
      <c r="U991" s="4"/>
      <c r="V991" s="4"/>
      <c r="W991" s="4"/>
      <c r="X991" s="4"/>
      <c r="Y991" s="4"/>
      <c r="Z991" s="4"/>
    </row>
    <row r="992" ht="12.75" customHeight="1">
      <c r="A992" s="28"/>
      <c r="B992" s="28"/>
      <c r="C992" s="28"/>
      <c r="D992" s="4"/>
      <c r="E992" s="28"/>
      <c r="F992" s="28"/>
      <c r="G992" s="28"/>
      <c r="H992" s="4"/>
      <c r="I992" s="28"/>
      <c r="J992" s="28"/>
      <c r="K992" s="28"/>
      <c r="L992" s="4"/>
      <c r="M992" s="28"/>
      <c r="N992" s="28"/>
      <c r="O992" s="28"/>
      <c r="P992" s="4"/>
      <c r="Q992" s="28"/>
      <c r="R992" s="28"/>
      <c r="S992" s="28"/>
      <c r="T992" s="4"/>
      <c r="U992" s="4"/>
      <c r="V992" s="4"/>
      <c r="W992" s="4"/>
      <c r="X992" s="4"/>
      <c r="Y992" s="4"/>
      <c r="Z992" s="4"/>
    </row>
    <row r="993" ht="12.75" customHeight="1">
      <c r="A993" s="28"/>
      <c r="B993" s="28"/>
      <c r="C993" s="28"/>
      <c r="D993" s="4"/>
      <c r="E993" s="28"/>
      <c r="F993" s="28"/>
      <c r="G993" s="28"/>
      <c r="H993" s="4"/>
      <c r="I993" s="28"/>
      <c r="J993" s="28"/>
      <c r="K993" s="28"/>
      <c r="L993" s="4"/>
      <c r="M993" s="28"/>
      <c r="N993" s="28"/>
      <c r="O993" s="28"/>
      <c r="P993" s="4"/>
      <c r="Q993" s="28"/>
      <c r="R993" s="28"/>
      <c r="S993" s="28"/>
      <c r="T993" s="4"/>
      <c r="U993" s="4"/>
      <c r="V993" s="4"/>
      <c r="W993" s="4"/>
      <c r="X993" s="4"/>
      <c r="Y993" s="4"/>
      <c r="Z993" s="4"/>
    </row>
    <row r="994" ht="12.75" customHeight="1">
      <c r="A994" s="28"/>
      <c r="B994" s="28"/>
      <c r="C994" s="28"/>
      <c r="D994" s="4"/>
      <c r="E994" s="28"/>
      <c r="F994" s="28"/>
      <c r="G994" s="28"/>
      <c r="H994" s="4"/>
      <c r="I994" s="28"/>
      <c r="J994" s="28"/>
      <c r="K994" s="28"/>
      <c r="L994" s="4"/>
      <c r="M994" s="28"/>
      <c r="N994" s="28"/>
      <c r="O994" s="28"/>
      <c r="P994" s="4"/>
      <c r="Q994" s="28"/>
      <c r="R994" s="28"/>
      <c r="S994" s="28"/>
      <c r="T994" s="4"/>
      <c r="U994" s="4"/>
      <c r="V994" s="4"/>
      <c r="W994" s="4"/>
      <c r="X994" s="4"/>
      <c r="Y994" s="4"/>
      <c r="Z994" s="4"/>
    </row>
    <row r="995" ht="12.75" customHeight="1">
      <c r="A995" s="28"/>
      <c r="B995" s="28"/>
      <c r="C995" s="28"/>
      <c r="D995" s="4"/>
      <c r="E995" s="28"/>
      <c r="F995" s="28"/>
      <c r="G995" s="28"/>
      <c r="H995" s="4"/>
      <c r="I995" s="28"/>
      <c r="J995" s="28"/>
      <c r="K995" s="28"/>
      <c r="L995" s="4"/>
      <c r="M995" s="28"/>
      <c r="N995" s="28"/>
      <c r="O995" s="28"/>
      <c r="P995" s="4"/>
      <c r="Q995" s="28"/>
      <c r="R995" s="28"/>
      <c r="S995" s="28"/>
      <c r="T995" s="4"/>
      <c r="U995" s="4"/>
      <c r="V995" s="4"/>
      <c r="W995" s="4"/>
      <c r="X995" s="4"/>
      <c r="Y995" s="4"/>
      <c r="Z995" s="4"/>
    </row>
    <row r="996" ht="12.75" customHeight="1">
      <c r="A996" s="28"/>
      <c r="B996" s="28"/>
      <c r="C996" s="28"/>
      <c r="D996" s="4"/>
      <c r="E996" s="28"/>
      <c r="F996" s="28"/>
      <c r="G996" s="28"/>
      <c r="H996" s="4"/>
      <c r="I996" s="28"/>
      <c r="J996" s="28"/>
      <c r="K996" s="28"/>
      <c r="L996" s="4"/>
      <c r="M996" s="28"/>
      <c r="N996" s="28"/>
      <c r="O996" s="28"/>
      <c r="P996" s="4"/>
      <c r="Q996" s="28"/>
      <c r="R996" s="28"/>
      <c r="S996" s="28"/>
      <c r="T996" s="4"/>
      <c r="U996" s="4"/>
      <c r="V996" s="4"/>
      <c r="W996" s="4"/>
      <c r="X996" s="4"/>
      <c r="Y996" s="4"/>
      <c r="Z996" s="4"/>
    </row>
    <row r="997" ht="12.75" customHeight="1">
      <c r="A997" s="28"/>
      <c r="B997" s="28"/>
      <c r="C997" s="28"/>
      <c r="D997" s="4"/>
      <c r="E997" s="28"/>
      <c r="F997" s="28"/>
      <c r="G997" s="28"/>
      <c r="H997" s="4"/>
      <c r="I997" s="28"/>
      <c r="J997" s="28"/>
      <c r="K997" s="28"/>
      <c r="L997" s="4"/>
      <c r="M997" s="28"/>
      <c r="N997" s="28"/>
      <c r="O997" s="28"/>
      <c r="P997" s="4"/>
      <c r="Q997" s="28"/>
      <c r="R997" s="28"/>
      <c r="S997" s="28"/>
      <c r="T997" s="4"/>
      <c r="U997" s="4"/>
      <c r="V997" s="4"/>
      <c r="W997" s="4"/>
      <c r="X997" s="4"/>
      <c r="Y997" s="4"/>
      <c r="Z997" s="4"/>
    </row>
    <row r="998" ht="12.75" customHeight="1">
      <c r="A998" s="28"/>
      <c r="B998" s="28"/>
      <c r="C998" s="28"/>
      <c r="D998" s="4"/>
      <c r="E998" s="28"/>
      <c r="F998" s="28"/>
      <c r="G998" s="28"/>
      <c r="H998" s="4"/>
      <c r="I998" s="28"/>
      <c r="J998" s="28"/>
      <c r="K998" s="28"/>
      <c r="L998" s="4"/>
      <c r="M998" s="28"/>
      <c r="N998" s="28"/>
      <c r="O998" s="28"/>
      <c r="P998" s="4"/>
      <c r="Q998" s="28"/>
      <c r="R998" s="28"/>
      <c r="S998" s="28"/>
      <c r="T998" s="4"/>
      <c r="U998" s="4"/>
      <c r="V998" s="4"/>
      <c r="W998" s="4"/>
      <c r="X998" s="4"/>
      <c r="Y998" s="4"/>
      <c r="Z998" s="4"/>
    </row>
    <row r="999" ht="12.75" customHeight="1">
      <c r="A999" s="28"/>
      <c r="B999" s="28"/>
      <c r="C999" s="28"/>
      <c r="D999" s="4"/>
      <c r="E999" s="28"/>
      <c r="F999" s="28"/>
      <c r="G999" s="28"/>
      <c r="H999" s="4"/>
      <c r="I999" s="28"/>
      <c r="J999" s="28"/>
      <c r="K999" s="28"/>
      <c r="L999" s="4"/>
      <c r="M999" s="28"/>
      <c r="N999" s="28"/>
      <c r="O999" s="28"/>
      <c r="P999" s="4"/>
      <c r="Q999" s="28"/>
      <c r="R999" s="28"/>
      <c r="S999" s="28"/>
      <c r="T999" s="4"/>
      <c r="U999" s="4"/>
      <c r="V999" s="4"/>
      <c r="W999" s="4"/>
      <c r="X999" s="4"/>
      <c r="Y999" s="4"/>
      <c r="Z999" s="4"/>
    </row>
    <row r="1000" ht="12.75" customHeight="1">
      <c r="A1000" s="28"/>
      <c r="B1000" s="28"/>
      <c r="C1000" s="28"/>
      <c r="D1000" s="4"/>
      <c r="E1000" s="28"/>
      <c r="F1000" s="28"/>
      <c r="G1000" s="28"/>
      <c r="H1000" s="4"/>
      <c r="I1000" s="28"/>
      <c r="J1000" s="28"/>
      <c r="K1000" s="28"/>
      <c r="L1000" s="4"/>
      <c r="M1000" s="28"/>
      <c r="N1000" s="28"/>
      <c r="O1000" s="28"/>
      <c r="P1000" s="4"/>
      <c r="Q1000" s="28"/>
      <c r="R1000" s="28"/>
      <c r="S1000" s="28"/>
      <c r="T1000" s="4"/>
      <c r="U1000" s="4"/>
      <c r="V1000" s="4"/>
      <c r="W1000" s="4"/>
      <c r="X1000" s="4"/>
      <c r="Y1000" s="4"/>
      <c r="Z1000" s="4"/>
    </row>
    <row r="1001" ht="12.75" customHeight="1">
      <c r="A1001" s="28"/>
      <c r="B1001" s="28"/>
      <c r="C1001" s="28"/>
      <c r="D1001" s="4"/>
      <c r="E1001" s="28"/>
      <c r="F1001" s="28"/>
      <c r="G1001" s="28"/>
      <c r="H1001" s="4"/>
      <c r="I1001" s="28"/>
      <c r="J1001" s="28"/>
      <c r="K1001" s="28"/>
      <c r="L1001" s="4"/>
      <c r="M1001" s="28"/>
      <c r="N1001" s="28"/>
      <c r="O1001" s="28"/>
      <c r="P1001" s="4"/>
      <c r="Q1001" s="28"/>
      <c r="R1001" s="28"/>
      <c r="S1001" s="28"/>
      <c r="T1001" s="4"/>
      <c r="U1001" s="4"/>
      <c r="V1001" s="4"/>
      <c r="W1001" s="4"/>
      <c r="X1001" s="4"/>
      <c r="Y1001" s="4"/>
      <c r="Z1001" s="4"/>
    </row>
    <row r="1002" ht="12.75" customHeight="1">
      <c r="A1002" s="28"/>
      <c r="B1002" s="28"/>
      <c r="C1002" s="28"/>
      <c r="D1002" s="4"/>
      <c r="E1002" s="28"/>
      <c r="F1002" s="28"/>
      <c r="G1002" s="28"/>
      <c r="H1002" s="4"/>
      <c r="I1002" s="28"/>
      <c r="J1002" s="28"/>
      <c r="K1002" s="28"/>
      <c r="L1002" s="4"/>
      <c r="M1002" s="28"/>
      <c r="N1002" s="28"/>
      <c r="O1002" s="28"/>
      <c r="P1002" s="4"/>
      <c r="Q1002" s="28"/>
      <c r="R1002" s="28"/>
      <c r="S1002" s="28"/>
      <c r="T1002" s="4"/>
      <c r="U1002" s="4"/>
      <c r="V1002" s="4"/>
      <c r="W1002" s="4"/>
      <c r="X1002" s="4"/>
      <c r="Y1002" s="4"/>
      <c r="Z1002" s="4"/>
    </row>
    <row r="1003" ht="12.75" customHeight="1">
      <c r="A1003" s="28"/>
      <c r="B1003" s="28"/>
      <c r="C1003" s="28"/>
      <c r="D1003" s="4"/>
      <c r="E1003" s="28"/>
      <c r="F1003" s="28"/>
      <c r="G1003" s="28"/>
      <c r="H1003" s="4"/>
      <c r="I1003" s="28"/>
      <c r="J1003" s="28"/>
      <c r="K1003" s="28"/>
      <c r="L1003" s="4"/>
      <c r="M1003" s="28"/>
      <c r="N1003" s="28"/>
      <c r="O1003" s="28"/>
      <c r="P1003" s="4"/>
      <c r="Q1003" s="28"/>
      <c r="R1003" s="28"/>
      <c r="S1003" s="28"/>
      <c r="T1003" s="4"/>
      <c r="U1003" s="4"/>
      <c r="V1003" s="4"/>
      <c r="W1003" s="4"/>
      <c r="X1003" s="4"/>
      <c r="Y1003" s="4"/>
      <c r="Z1003" s="4"/>
    </row>
    <row r="1004" ht="12.75" customHeight="1">
      <c r="A1004" s="28"/>
      <c r="B1004" s="28"/>
      <c r="C1004" s="28"/>
      <c r="D1004" s="4"/>
      <c r="E1004" s="28"/>
      <c r="F1004" s="28"/>
      <c r="G1004" s="28"/>
      <c r="H1004" s="4"/>
      <c r="I1004" s="28"/>
      <c r="J1004" s="28"/>
      <c r="K1004" s="28"/>
      <c r="L1004" s="4"/>
      <c r="M1004" s="28"/>
      <c r="N1004" s="28"/>
      <c r="O1004" s="28"/>
      <c r="P1004" s="4"/>
      <c r="Q1004" s="28"/>
      <c r="R1004" s="28"/>
      <c r="S1004" s="28"/>
      <c r="T1004" s="4"/>
      <c r="U1004" s="4"/>
      <c r="V1004" s="4"/>
      <c r="W1004" s="4"/>
      <c r="X1004" s="4"/>
      <c r="Y1004" s="4"/>
      <c r="Z1004" s="4"/>
    </row>
    <row r="1005" ht="12.75" customHeight="1">
      <c r="A1005" s="28"/>
      <c r="B1005" s="28"/>
      <c r="C1005" s="28"/>
      <c r="D1005" s="4"/>
      <c r="E1005" s="28"/>
      <c r="F1005" s="28"/>
      <c r="G1005" s="28"/>
      <c r="H1005" s="4"/>
      <c r="I1005" s="28"/>
      <c r="J1005" s="28"/>
      <c r="K1005" s="28"/>
      <c r="L1005" s="4"/>
      <c r="M1005" s="28"/>
      <c r="N1005" s="28"/>
      <c r="O1005" s="28"/>
      <c r="P1005" s="4"/>
      <c r="Q1005" s="28"/>
      <c r="R1005" s="28"/>
      <c r="S1005" s="28"/>
      <c r="T1005" s="4"/>
      <c r="U1005" s="4"/>
      <c r="V1005" s="4"/>
      <c r="W1005" s="4"/>
      <c r="X1005" s="4"/>
      <c r="Y1005" s="4"/>
      <c r="Z1005" s="4"/>
    </row>
    <row r="1006" ht="12.75" customHeight="1">
      <c r="A1006" s="28"/>
      <c r="B1006" s="28"/>
      <c r="C1006" s="28"/>
      <c r="D1006" s="4"/>
      <c r="E1006" s="28"/>
      <c r="F1006" s="28"/>
      <c r="G1006" s="28"/>
      <c r="H1006" s="4"/>
      <c r="I1006" s="28"/>
      <c r="J1006" s="28"/>
      <c r="K1006" s="28"/>
      <c r="L1006" s="4"/>
      <c r="M1006" s="28"/>
      <c r="N1006" s="28"/>
      <c r="O1006" s="28"/>
      <c r="P1006" s="4"/>
      <c r="Q1006" s="28"/>
      <c r="R1006" s="28"/>
      <c r="S1006" s="28"/>
      <c r="T1006" s="4"/>
      <c r="U1006" s="4"/>
      <c r="V1006" s="4"/>
      <c r="W1006" s="4"/>
      <c r="X1006" s="4"/>
      <c r="Y1006" s="4"/>
      <c r="Z1006" s="4"/>
    </row>
    <row r="1007" ht="12.75" customHeight="1">
      <c r="A1007" s="28"/>
      <c r="B1007" s="28"/>
      <c r="C1007" s="28"/>
      <c r="D1007" s="4"/>
      <c r="E1007" s="28"/>
      <c r="F1007" s="28"/>
      <c r="G1007" s="28"/>
      <c r="H1007" s="4"/>
      <c r="I1007" s="28"/>
      <c r="J1007" s="28"/>
      <c r="K1007" s="28"/>
      <c r="L1007" s="4"/>
      <c r="M1007" s="28"/>
      <c r="N1007" s="28"/>
      <c r="O1007" s="28"/>
      <c r="P1007" s="4"/>
      <c r="Q1007" s="28"/>
      <c r="R1007" s="28"/>
      <c r="S1007" s="28"/>
      <c r="T1007" s="4"/>
      <c r="U1007" s="4"/>
      <c r="V1007" s="4"/>
      <c r="W1007" s="4"/>
      <c r="X1007" s="4"/>
      <c r="Y1007" s="4"/>
      <c r="Z1007" s="4"/>
    </row>
    <row r="1008" ht="12.75" customHeight="1">
      <c r="A1008" s="28"/>
      <c r="B1008" s="28"/>
      <c r="C1008" s="28"/>
      <c r="D1008" s="4"/>
      <c r="E1008" s="28"/>
      <c r="F1008" s="28"/>
      <c r="G1008" s="28"/>
      <c r="H1008" s="4"/>
      <c r="I1008" s="28"/>
      <c r="J1008" s="28"/>
      <c r="K1008" s="28"/>
      <c r="L1008" s="4"/>
      <c r="M1008" s="28"/>
      <c r="N1008" s="28"/>
      <c r="O1008" s="28"/>
      <c r="P1008" s="4"/>
      <c r="Q1008" s="28"/>
      <c r="R1008" s="28"/>
      <c r="S1008" s="28"/>
      <c r="T1008" s="4"/>
      <c r="U1008" s="4"/>
      <c r="V1008" s="4"/>
      <c r="W1008" s="4"/>
      <c r="X1008" s="4"/>
      <c r="Y1008" s="4"/>
      <c r="Z1008" s="4"/>
    </row>
    <row r="1009" ht="12.75" customHeight="1">
      <c r="A1009" s="28"/>
      <c r="B1009" s="28"/>
      <c r="C1009" s="28"/>
      <c r="D1009" s="4"/>
      <c r="E1009" s="28"/>
      <c r="F1009" s="28"/>
      <c r="G1009" s="28"/>
      <c r="H1009" s="4"/>
      <c r="I1009" s="28"/>
      <c r="J1009" s="28"/>
      <c r="K1009" s="28"/>
      <c r="L1009" s="4"/>
      <c r="M1009" s="28"/>
      <c r="N1009" s="28"/>
      <c r="O1009" s="28"/>
      <c r="P1009" s="4"/>
      <c r="Q1009" s="28"/>
      <c r="R1009" s="28"/>
      <c r="S1009" s="28"/>
      <c r="T1009" s="4"/>
      <c r="U1009" s="4"/>
      <c r="V1009" s="4"/>
      <c r="W1009" s="4"/>
      <c r="X1009" s="4"/>
      <c r="Y1009" s="4"/>
      <c r="Z1009" s="4"/>
    </row>
    <row r="1010" ht="12.75" customHeight="1">
      <c r="A1010" s="28"/>
      <c r="B1010" s="28"/>
      <c r="C1010" s="28"/>
      <c r="D1010" s="4"/>
      <c r="E1010" s="28"/>
      <c r="F1010" s="28"/>
      <c r="G1010" s="28"/>
      <c r="H1010" s="4"/>
      <c r="I1010" s="28"/>
      <c r="J1010" s="28"/>
      <c r="K1010" s="28"/>
      <c r="L1010" s="4"/>
      <c r="M1010" s="28"/>
      <c r="N1010" s="28"/>
      <c r="O1010" s="28"/>
      <c r="P1010" s="4"/>
      <c r="Q1010" s="28"/>
      <c r="R1010" s="28"/>
      <c r="S1010" s="28"/>
      <c r="T1010" s="4"/>
      <c r="U1010" s="4"/>
      <c r="V1010" s="4"/>
      <c r="W1010" s="4"/>
      <c r="X1010" s="4"/>
      <c r="Y1010" s="4"/>
      <c r="Z1010" s="4"/>
    </row>
    <row r="1011" ht="12.75" customHeight="1">
      <c r="A1011" s="28"/>
      <c r="B1011" s="28"/>
      <c r="C1011" s="28"/>
      <c r="D1011" s="4"/>
      <c r="E1011" s="28"/>
      <c r="F1011" s="28"/>
      <c r="G1011" s="28"/>
      <c r="H1011" s="4"/>
      <c r="I1011" s="28"/>
      <c r="J1011" s="28"/>
      <c r="K1011" s="28"/>
      <c r="L1011" s="4"/>
      <c r="M1011" s="28"/>
      <c r="N1011" s="28"/>
      <c r="O1011" s="28"/>
      <c r="P1011" s="4"/>
      <c r="Q1011" s="28"/>
      <c r="R1011" s="28"/>
      <c r="S1011" s="28"/>
      <c r="T1011" s="4"/>
      <c r="U1011" s="4"/>
      <c r="V1011" s="4"/>
      <c r="W1011" s="4"/>
      <c r="X1011" s="4"/>
      <c r="Y1011" s="4"/>
      <c r="Z1011" s="4"/>
    </row>
    <row r="1012" ht="12.75" customHeight="1">
      <c r="A1012" s="28"/>
      <c r="B1012" s="28"/>
      <c r="C1012" s="28"/>
      <c r="D1012" s="4"/>
      <c r="E1012" s="28"/>
      <c r="F1012" s="28"/>
      <c r="G1012" s="28"/>
      <c r="H1012" s="4"/>
      <c r="I1012" s="28"/>
      <c r="J1012" s="28"/>
      <c r="K1012" s="28"/>
      <c r="L1012" s="4"/>
      <c r="M1012" s="28"/>
      <c r="N1012" s="28"/>
      <c r="O1012" s="28"/>
      <c r="P1012" s="4"/>
      <c r="Q1012" s="28"/>
      <c r="R1012" s="28"/>
      <c r="S1012" s="28"/>
      <c r="T1012" s="4"/>
      <c r="U1012" s="4"/>
      <c r="V1012" s="4"/>
      <c r="W1012" s="4"/>
      <c r="X1012" s="4"/>
      <c r="Y1012" s="4"/>
      <c r="Z1012" s="4"/>
    </row>
    <row r="1013" ht="12.75" customHeight="1">
      <c r="A1013" s="28"/>
      <c r="B1013" s="28"/>
      <c r="C1013" s="28"/>
      <c r="D1013" s="4"/>
      <c r="E1013" s="28"/>
      <c r="F1013" s="28"/>
      <c r="G1013" s="28"/>
      <c r="H1013" s="4"/>
      <c r="I1013" s="28"/>
      <c r="J1013" s="28"/>
      <c r="K1013" s="28"/>
      <c r="L1013" s="4"/>
      <c r="M1013" s="28"/>
      <c r="N1013" s="28"/>
      <c r="O1013" s="28"/>
      <c r="P1013" s="4"/>
      <c r="Q1013" s="28"/>
      <c r="R1013" s="28"/>
      <c r="S1013" s="28"/>
      <c r="T1013" s="4"/>
      <c r="U1013" s="4"/>
      <c r="V1013" s="4"/>
      <c r="W1013" s="4"/>
      <c r="X1013" s="4"/>
      <c r="Y1013" s="4"/>
      <c r="Z1013" s="4"/>
    </row>
    <row r="1014" ht="12.75" customHeight="1">
      <c r="A1014" s="28"/>
      <c r="B1014" s="28"/>
      <c r="C1014" s="28"/>
      <c r="D1014" s="4"/>
      <c r="E1014" s="28"/>
      <c r="F1014" s="28"/>
      <c r="G1014" s="28"/>
      <c r="H1014" s="4"/>
      <c r="I1014" s="28"/>
      <c r="J1014" s="28"/>
      <c r="K1014" s="28"/>
      <c r="L1014" s="4"/>
      <c r="M1014" s="28"/>
      <c r="N1014" s="28"/>
      <c r="O1014" s="28"/>
      <c r="P1014" s="4"/>
      <c r="Q1014" s="28"/>
      <c r="R1014" s="28"/>
      <c r="S1014" s="28"/>
      <c r="T1014" s="4"/>
      <c r="U1014" s="4"/>
      <c r="V1014" s="4"/>
      <c r="W1014" s="4"/>
      <c r="X1014" s="4"/>
      <c r="Y1014" s="4"/>
      <c r="Z1014" s="4"/>
    </row>
    <row r="1015" ht="12.75" customHeight="1">
      <c r="A1015" s="28"/>
      <c r="B1015" s="28"/>
      <c r="C1015" s="28"/>
      <c r="D1015" s="4"/>
      <c r="E1015" s="28"/>
      <c r="F1015" s="28"/>
      <c r="G1015" s="28"/>
      <c r="H1015" s="4"/>
      <c r="I1015" s="28"/>
      <c r="J1015" s="28"/>
      <c r="K1015" s="28"/>
      <c r="L1015" s="4"/>
      <c r="M1015" s="28"/>
      <c r="N1015" s="28"/>
      <c r="O1015" s="28"/>
      <c r="P1015" s="4"/>
      <c r="Q1015" s="28"/>
      <c r="R1015" s="28"/>
      <c r="S1015" s="28"/>
      <c r="T1015" s="4"/>
      <c r="U1015" s="4"/>
      <c r="V1015" s="4"/>
      <c r="W1015" s="4"/>
      <c r="X1015" s="4"/>
      <c r="Y1015" s="4"/>
      <c r="Z1015" s="4"/>
    </row>
    <row r="1016" ht="12.75" customHeight="1">
      <c r="A1016" s="28"/>
      <c r="B1016" s="28"/>
      <c r="C1016" s="28"/>
      <c r="D1016" s="4"/>
      <c r="E1016" s="28"/>
      <c r="F1016" s="28"/>
      <c r="G1016" s="28"/>
      <c r="H1016" s="4"/>
      <c r="I1016" s="28"/>
      <c r="J1016" s="28"/>
      <c r="K1016" s="28"/>
      <c r="L1016" s="4"/>
      <c r="M1016" s="28"/>
      <c r="N1016" s="28"/>
      <c r="O1016" s="28"/>
      <c r="P1016" s="4"/>
      <c r="Q1016" s="28"/>
      <c r="R1016" s="28"/>
      <c r="S1016" s="28"/>
      <c r="T1016" s="4"/>
      <c r="U1016" s="4"/>
      <c r="V1016" s="4"/>
      <c r="W1016" s="4"/>
      <c r="X1016" s="4"/>
      <c r="Y1016" s="4"/>
      <c r="Z1016" s="4"/>
    </row>
    <row r="1017" ht="12.75" customHeight="1">
      <c r="A1017" s="28"/>
      <c r="B1017" s="28"/>
      <c r="C1017" s="28"/>
      <c r="D1017" s="4"/>
      <c r="E1017" s="28"/>
      <c r="F1017" s="28"/>
      <c r="G1017" s="28"/>
      <c r="H1017" s="4"/>
      <c r="I1017" s="28"/>
      <c r="J1017" s="28"/>
      <c r="K1017" s="28"/>
      <c r="L1017" s="4"/>
      <c r="M1017" s="28"/>
      <c r="N1017" s="28"/>
      <c r="O1017" s="28"/>
      <c r="P1017" s="4"/>
      <c r="Q1017" s="28"/>
      <c r="R1017" s="28"/>
      <c r="S1017" s="28"/>
      <c r="T1017" s="4"/>
      <c r="U1017" s="4"/>
      <c r="V1017" s="4"/>
      <c r="W1017" s="4"/>
      <c r="X1017" s="4"/>
      <c r="Y1017" s="4"/>
      <c r="Z1017" s="4"/>
    </row>
    <row r="1018" ht="12.75" customHeight="1">
      <c r="A1018" s="28"/>
      <c r="B1018" s="28"/>
      <c r="C1018" s="28"/>
      <c r="D1018" s="4"/>
      <c r="E1018" s="28"/>
      <c r="F1018" s="28"/>
      <c r="G1018" s="28"/>
      <c r="H1018" s="4"/>
      <c r="I1018" s="28"/>
      <c r="J1018" s="28"/>
      <c r="K1018" s="28"/>
      <c r="L1018" s="4"/>
      <c r="M1018" s="28"/>
      <c r="N1018" s="28"/>
      <c r="O1018" s="28"/>
      <c r="P1018" s="4"/>
      <c r="Q1018" s="28"/>
      <c r="R1018" s="28"/>
      <c r="S1018" s="28"/>
      <c r="T1018" s="4"/>
      <c r="U1018" s="4"/>
      <c r="V1018" s="4"/>
      <c r="W1018" s="4"/>
      <c r="X1018" s="4"/>
      <c r="Y1018" s="4"/>
      <c r="Z1018" s="4"/>
    </row>
    <row r="1019" ht="12.75" customHeight="1">
      <c r="A1019" s="28"/>
      <c r="B1019" s="28"/>
      <c r="C1019" s="28"/>
      <c r="D1019" s="4"/>
      <c r="E1019" s="28"/>
      <c r="F1019" s="28"/>
      <c r="G1019" s="28"/>
      <c r="H1019" s="4"/>
      <c r="I1019" s="28"/>
      <c r="J1019" s="28"/>
      <c r="K1019" s="28"/>
      <c r="L1019" s="4"/>
      <c r="M1019" s="28"/>
      <c r="N1019" s="28"/>
      <c r="O1019" s="28"/>
      <c r="P1019" s="4"/>
      <c r="Q1019" s="28"/>
      <c r="R1019" s="28"/>
      <c r="S1019" s="28"/>
      <c r="T1019" s="4"/>
      <c r="U1019" s="4"/>
      <c r="V1019" s="4"/>
      <c r="W1019" s="4"/>
      <c r="X1019" s="4"/>
      <c r="Y1019" s="4"/>
      <c r="Z1019" s="4"/>
    </row>
    <row r="1020" ht="12.75" customHeight="1">
      <c r="A1020" s="28"/>
      <c r="B1020" s="28"/>
      <c r="C1020" s="28"/>
      <c r="D1020" s="4"/>
      <c r="E1020" s="28"/>
      <c r="F1020" s="28"/>
      <c r="G1020" s="28"/>
      <c r="H1020" s="4"/>
      <c r="I1020" s="28"/>
      <c r="J1020" s="28"/>
      <c r="K1020" s="28"/>
      <c r="L1020" s="4"/>
      <c r="M1020" s="28"/>
      <c r="N1020" s="28"/>
      <c r="O1020" s="28"/>
      <c r="P1020" s="4"/>
      <c r="Q1020" s="28"/>
      <c r="R1020" s="28"/>
      <c r="S1020" s="28"/>
      <c r="T1020" s="4"/>
      <c r="U1020" s="4"/>
      <c r="V1020" s="4"/>
      <c r="W1020" s="4"/>
      <c r="X1020" s="4"/>
      <c r="Y1020" s="4"/>
      <c r="Z1020" s="4"/>
    </row>
    <row r="1021" ht="12.75" customHeight="1">
      <c r="A1021" s="28"/>
      <c r="B1021" s="28"/>
      <c r="C1021" s="28"/>
      <c r="D1021" s="4"/>
      <c r="E1021" s="28"/>
      <c r="F1021" s="28"/>
      <c r="G1021" s="28"/>
      <c r="H1021" s="4"/>
      <c r="I1021" s="28"/>
      <c r="J1021" s="28"/>
      <c r="K1021" s="28"/>
      <c r="L1021" s="4"/>
      <c r="M1021" s="28"/>
      <c r="N1021" s="28"/>
      <c r="O1021" s="28"/>
      <c r="P1021" s="4"/>
      <c r="Q1021" s="28"/>
      <c r="R1021" s="28"/>
      <c r="S1021" s="28"/>
      <c r="T1021" s="4"/>
      <c r="U1021" s="4"/>
      <c r="V1021" s="4"/>
      <c r="W1021" s="4"/>
      <c r="X1021" s="4"/>
      <c r="Y1021" s="4"/>
      <c r="Z1021" s="4"/>
    </row>
    <row r="1022" ht="12.75" customHeight="1">
      <c r="A1022" s="28"/>
      <c r="B1022" s="28"/>
      <c r="C1022" s="28"/>
      <c r="D1022" s="4"/>
      <c r="E1022" s="28"/>
      <c r="F1022" s="28"/>
      <c r="G1022" s="28"/>
      <c r="H1022" s="4"/>
      <c r="I1022" s="28"/>
      <c r="J1022" s="28"/>
      <c r="K1022" s="28"/>
      <c r="L1022" s="4"/>
      <c r="M1022" s="28"/>
      <c r="N1022" s="28"/>
      <c r="O1022" s="28"/>
      <c r="P1022" s="4"/>
      <c r="Q1022" s="28"/>
      <c r="R1022" s="28"/>
      <c r="S1022" s="28"/>
      <c r="T1022" s="4"/>
      <c r="U1022" s="4"/>
      <c r="V1022" s="4"/>
      <c r="W1022" s="4"/>
      <c r="X1022" s="4"/>
      <c r="Y1022" s="4"/>
      <c r="Z1022" s="4"/>
    </row>
    <row r="1023" ht="12.75" customHeight="1">
      <c r="A1023" s="28"/>
      <c r="B1023" s="28"/>
      <c r="C1023" s="28"/>
      <c r="D1023" s="4"/>
      <c r="E1023" s="28"/>
      <c r="F1023" s="28"/>
      <c r="G1023" s="28"/>
      <c r="H1023" s="4"/>
      <c r="I1023" s="28"/>
      <c r="J1023" s="28"/>
      <c r="K1023" s="28"/>
      <c r="L1023" s="4"/>
      <c r="M1023" s="28"/>
      <c r="N1023" s="28"/>
      <c r="O1023" s="28"/>
      <c r="P1023" s="4"/>
      <c r="Q1023" s="28"/>
      <c r="R1023" s="28"/>
      <c r="S1023" s="28"/>
      <c r="T1023" s="4"/>
      <c r="U1023" s="4"/>
      <c r="V1023" s="4"/>
      <c r="W1023" s="4"/>
      <c r="X1023" s="4"/>
      <c r="Y1023" s="4"/>
      <c r="Z1023" s="4"/>
    </row>
    <row r="1024" ht="12.75" customHeight="1">
      <c r="A1024" s="28"/>
      <c r="B1024" s="28"/>
      <c r="C1024" s="28"/>
      <c r="D1024" s="4"/>
      <c r="E1024" s="28"/>
      <c r="F1024" s="28"/>
      <c r="G1024" s="28"/>
      <c r="H1024" s="4"/>
      <c r="I1024" s="28"/>
      <c r="J1024" s="28"/>
      <c r="K1024" s="28"/>
      <c r="L1024" s="4"/>
      <c r="M1024" s="28"/>
      <c r="N1024" s="28"/>
      <c r="O1024" s="28"/>
      <c r="P1024" s="4"/>
      <c r="Q1024" s="28"/>
      <c r="R1024" s="28"/>
      <c r="S1024" s="28"/>
      <c r="T1024" s="4"/>
      <c r="U1024" s="4"/>
      <c r="V1024" s="4"/>
      <c r="W1024" s="4"/>
      <c r="X1024" s="4"/>
      <c r="Y1024" s="4"/>
      <c r="Z1024" s="4"/>
    </row>
    <row r="1025" ht="12.75" customHeight="1">
      <c r="A1025" s="28"/>
      <c r="B1025" s="28"/>
      <c r="C1025" s="28"/>
      <c r="D1025" s="4"/>
      <c r="E1025" s="28"/>
      <c r="F1025" s="28"/>
      <c r="G1025" s="28"/>
      <c r="H1025" s="4"/>
      <c r="I1025" s="28"/>
      <c r="J1025" s="28"/>
      <c r="K1025" s="28"/>
      <c r="L1025" s="4"/>
      <c r="M1025" s="28"/>
      <c r="N1025" s="28"/>
      <c r="O1025" s="28"/>
      <c r="P1025" s="4"/>
      <c r="Q1025" s="28"/>
      <c r="R1025" s="28"/>
      <c r="S1025" s="28"/>
      <c r="T1025" s="4"/>
      <c r="U1025" s="4"/>
      <c r="V1025" s="4"/>
      <c r="W1025" s="4"/>
      <c r="X1025" s="4"/>
      <c r="Y1025" s="4"/>
      <c r="Z1025" s="4"/>
    </row>
    <row r="1026" ht="12.75" customHeight="1">
      <c r="A1026" s="28"/>
      <c r="B1026" s="28"/>
      <c r="C1026" s="28"/>
      <c r="D1026" s="4"/>
      <c r="E1026" s="28"/>
      <c r="F1026" s="28"/>
      <c r="G1026" s="28"/>
      <c r="H1026" s="4"/>
      <c r="I1026" s="28"/>
      <c r="J1026" s="28"/>
      <c r="K1026" s="28"/>
      <c r="L1026" s="4"/>
      <c r="M1026" s="28"/>
      <c r="N1026" s="28"/>
      <c r="O1026" s="28"/>
      <c r="P1026" s="4"/>
      <c r="Q1026" s="28"/>
      <c r="R1026" s="28"/>
      <c r="S1026" s="28"/>
      <c r="T1026" s="4"/>
      <c r="U1026" s="4"/>
      <c r="V1026" s="4"/>
      <c r="W1026" s="4"/>
      <c r="X1026" s="4"/>
      <c r="Y1026" s="4"/>
      <c r="Z1026" s="4"/>
    </row>
    <row r="1027" ht="12.75" customHeight="1">
      <c r="A1027" s="28"/>
      <c r="B1027" s="28"/>
      <c r="C1027" s="28"/>
      <c r="D1027" s="4"/>
      <c r="E1027" s="28"/>
      <c r="F1027" s="28"/>
      <c r="G1027" s="28"/>
      <c r="H1027" s="4"/>
      <c r="I1027" s="28"/>
      <c r="J1027" s="28"/>
      <c r="K1027" s="28"/>
      <c r="L1027" s="4"/>
      <c r="M1027" s="28"/>
      <c r="N1027" s="28"/>
      <c r="O1027" s="28"/>
      <c r="P1027" s="4"/>
      <c r="Q1027" s="28"/>
      <c r="R1027" s="28"/>
      <c r="S1027" s="28"/>
      <c r="T1027" s="4"/>
      <c r="U1027" s="4"/>
      <c r="V1027" s="4"/>
      <c r="W1027" s="4"/>
      <c r="X1027" s="4"/>
      <c r="Y1027" s="4"/>
      <c r="Z1027" s="4"/>
    </row>
    <row r="1028" ht="12.75" customHeight="1">
      <c r="A1028" s="28"/>
      <c r="B1028" s="28"/>
      <c r="C1028" s="28"/>
      <c r="D1028" s="4"/>
      <c r="E1028" s="28"/>
      <c r="F1028" s="28"/>
      <c r="G1028" s="28"/>
      <c r="H1028" s="4"/>
      <c r="I1028" s="28"/>
      <c r="J1028" s="28"/>
      <c r="K1028" s="28"/>
      <c r="L1028" s="4"/>
      <c r="M1028" s="28"/>
      <c r="N1028" s="28"/>
      <c r="O1028" s="28"/>
      <c r="P1028" s="4"/>
      <c r="Q1028" s="28"/>
      <c r="R1028" s="28"/>
      <c r="S1028" s="28"/>
      <c r="T1028" s="4"/>
      <c r="U1028" s="4"/>
      <c r="V1028" s="4"/>
      <c r="W1028" s="4"/>
      <c r="X1028" s="4"/>
      <c r="Y1028" s="4"/>
      <c r="Z1028" s="4"/>
    </row>
    <row r="1029" ht="12.75" customHeight="1">
      <c r="A1029" s="28"/>
      <c r="B1029" s="28"/>
      <c r="C1029" s="28"/>
      <c r="D1029" s="4"/>
      <c r="E1029" s="28"/>
      <c r="F1029" s="28"/>
      <c r="G1029" s="28"/>
      <c r="H1029" s="4"/>
      <c r="I1029" s="28"/>
      <c r="J1029" s="28"/>
      <c r="K1029" s="28"/>
      <c r="L1029" s="4"/>
      <c r="M1029" s="28"/>
      <c r="N1029" s="28"/>
      <c r="O1029" s="28"/>
      <c r="P1029" s="4"/>
      <c r="Q1029" s="28"/>
      <c r="R1029" s="28"/>
      <c r="S1029" s="28"/>
      <c r="T1029" s="4"/>
      <c r="U1029" s="4"/>
      <c r="V1029" s="4"/>
      <c r="W1029" s="4"/>
      <c r="X1029" s="4"/>
      <c r="Y1029" s="4"/>
      <c r="Z1029" s="4"/>
    </row>
    <row r="1030" ht="12.75" customHeight="1">
      <c r="A1030" s="28"/>
      <c r="B1030" s="28"/>
      <c r="C1030" s="28"/>
      <c r="D1030" s="4"/>
      <c r="E1030" s="28"/>
      <c r="F1030" s="28"/>
      <c r="G1030" s="28"/>
      <c r="H1030" s="4"/>
      <c r="I1030" s="28"/>
      <c r="J1030" s="28"/>
      <c r="K1030" s="28"/>
      <c r="L1030" s="4"/>
      <c r="M1030" s="28"/>
      <c r="N1030" s="28"/>
      <c r="O1030" s="28"/>
      <c r="P1030" s="4"/>
      <c r="Q1030" s="28"/>
      <c r="R1030" s="28"/>
      <c r="S1030" s="28"/>
      <c r="T1030" s="4"/>
      <c r="U1030" s="4"/>
      <c r="V1030" s="4"/>
      <c r="W1030" s="4"/>
      <c r="X1030" s="4"/>
      <c r="Y1030" s="4"/>
      <c r="Z1030" s="4"/>
    </row>
    <row r="1031" ht="12.75" customHeight="1">
      <c r="A1031" s="28"/>
      <c r="B1031" s="28"/>
      <c r="C1031" s="28"/>
      <c r="D1031" s="4"/>
      <c r="E1031" s="28"/>
      <c r="F1031" s="28"/>
      <c r="G1031" s="28"/>
      <c r="H1031" s="4"/>
      <c r="I1031" s="28"/>
      <c r="J1031" s="28"/>
      <c r="K1031" s="28"/>
      <c r="L1031" s="4"/>
      <c r="M1031" s="28"/>
      <c r="N1031" s="28"/>
      <c r="O1031" s="28"/>
      <c r="P1031" s="4"/>
      <c r="Q1031" s="28"/>
      <c r="R1031" s="28"/>
      <c r="S1031" s="28"/>
      <c r="T1031" s="4"/>
      <c r="U1031" s="4"/>
      <c r="V1031" s="4"/>
      <c r="W1031" s="4"/>
      <c r="X1031" s="4"/>
      <c r="Y1031" s="4"/>
      <c r="Z1031" s="4"/>
    </row>
    <row r="1032" ht="12.75" customHeight="1">
      <c r="A1032" s="28"/>
      <c r="B1032" s="28"/>
      <c r="C1032" s="28"/>
      <c r="D1032" s="4"/>
      <c r="E1032" s="28"/>
      <c r="F1032" s="28"/>
      <c r="G1032" s="28"/>
      <c r="H1032" s="4"/>
      <c r="I1032" s="28"/>
      <c r="J1032" s="28"/>
      <c r="K1032" s="28"/>
      <c r="L1032" s="4"/>
      <c r="M1032" s="28"/>
      <c r="N1032" s="28"/>
      <c r="O1032" s="28"/>
      <c r="P1032" s="4"/>
      <c r="Q1032" s="28"/>
      <c r="R1032" s="28"/>
      <c r="S1032" s="28"/>
      <c r="T1032" s="4"/>
      <c r="U1032" s="4"/>
      <c r="V1032" s="4"/>
      <c r="W1032" s="4"/>
      <c r="X1032" s="4"/>
      <c r="Y1032" s="4"/>
      <c r="Z1032" s="4"/>
    </row>
    <row r="1033" ht="12.75" customHeight="1">
      <c r="A1033" s="28"/>
      <c r="B1033" s="28"/>
      <c r="C1033" s="28"/>
      <c r="D1033" s="4"/>
      <c r="E1033" s="28"/>
      <c r="F1033" s="28"/>
      <c r="G1033" s="28"/>
      <c r="H1033" s="4"/>
      <c r="I1033" s="28"/>
      <c r="J1033" s="28"/>
      <c r="K1033" s="28"/>
      <c r="L1033" s="4"/>
      <c r="M1033" s="28"/>
      <c r="N1033" s="28"/>
      <c r="O1033" s="28"/>
      <c r="P1033" s="4"/>
      <c r="Q1033" s="28"/>
      <c r="R1033" s="28"/>
      <c r="S1033" s="28"/>
      <c r="T1033" s="4"/>
      <c r="U1033" s="4"/>
      <c r="V1033" s="4"/>
      <c r="W1033" s="4"/>
      <c r="X1033" s="4"/>
      <c r="Y1033" s="4"/>
      <c r="Z1033" s="4"/>
    </row>
    <row r="1034" ht="12.75" customHeight="1">
      <c r="A1034" s="28"/>
      <c r="B1034" s="28"/>
      <c r="C1034" s="28"/>
      <c r="D1034" s="4"/>
      <c r="E1034" s="28"/>
      <c r="F1034" s="28"/>
      <c r="G1034" s="28"/>
      <c r="H1034" s="4"/>
      <c r="I1034" s="28"/>
      <c r="J1034" s="28"/>
      <c r="K1034" s="28"/>
      <c r="L1034" s="4"/>
      <c r="M1034" s="28"/>
      <c r="N1034" s="28"/>
      <c r="O1034" s="28"/>
      <c r="P1034" s="4"/>
      <c r="Q1034" s="28"/>
      <c r="R1034" s="28"/>
      <c r="S1034" s="28"/>
      <c r="T1034" s="4"/>
      <c r="U1034" s="4"/>
      <c r="V1034" s="4"/>
      <c r="W1034" s="4"/>
      <c r="X1034" s="4"/>
      <c r="Y1034" s="4"/>
      <c r="Z1034" s="4"/>
    </row>
    <row r="1035" ht="12.75" customHeight="1">
      <c r="A1035" s="28"/>
      <c r="B1035" s="28"/>
      <c r="C1035" s="28"/>
      <c r="D1035" s="4"/>
      <c r="E1035" s="28"/>
      <c r="F1035" s="28"/>
      <c r="G1035" s="28"/>
      <c r="H1035" s="4"/>
      <c r="I1035" s="28"/>
      <c r="J1035" s="28"/>
      <c r="K1035" s="28"/>
      <c r="L1035" s="4"/>
      <c r="M1035" s="28"/>
      <c r="N1035" s="28"/>
      <c r="O1035" s="28"/>
      <c r="P1035" s="4"/>
      <c r="Q1035" s="28"/>
      <c r="R1035" s="28"/>
      <c r="S1035" s="28"/>
      <c r="T1035" s="4"/>
      <c r="U1035" s="4"/>
      <c r="V1035" s="4"/>
      <c r="W1035" s="4"/>
      <c r="X1035" s="4"/>
      <c r="Y1035" s="4"/>
      <c r="Z1035" s="4"/>
    </row>
    <row r="1036" ht="12.75" customHeight="1">
      <c r="A1036" s="28"/>
      <c r="B1036" s="28"/>
      <c r="C1036" s="28"/>
      <c r="D1036" s="4"/>
      <c r="E1036" s="28"/>
      <c r="F1036" s="28"/>
      <c r="G1036" s="28"/>
      <c r="H1036" s="4"/>
      <c r="I1036" s="28"/>
      <c r="J1036" s="28"/>
      <c r="K1036" s="28"/>
      <c r="L1036" s="4"/>
      <c r="M1036" s="28"/>
      <c r="N1036" s="28"/>
      <c r="O1036" s="28"/>
      <c r="P1036" s="4"/>
      <c r="Q1036" s="28"/>
      <c r="R1036" s="28"/>
      <c r="S1036" s="28"/>
      <c r="T1036" s="4"/>
      <c r="U1036" s="4"/>
      <c r="V1036" s="4"/>
      <c r="W1036" s="4"/>
      <c r="X1036" s="4"/>
      <c r="Y1036" s="4"/>
      <c r="Z1036" s="4"/>
    </row>
    <row r="1037" ht="12.75" customHeight="1">
      <c r="A1037" s="28"/>
      <c r="B1037" s="28"/>
      <c r="C1037" s="28"/>
      <c r="D1037" s="4"/>
      <c r="E1037" s="28"/>
      <c r="F1037" s="28"/>
      <c r="G1037" s="28"/>
      <c r="H1037" s="4"/>
      <c r="I1037" s="28"/>
      <c r="J1037" s="28"/>
      <c r="K1037" s="28"/>
      <c r="L1037" s="4"/>
      <c r="M1037" s="28"/>
      <c r="N1037" s="28"/>
      <c r="O1037" s="28"/>
      <c r="P1037" s="4"/>
      <c r="Q1037" s="28"/>
      <c r="R1037" s="28"/>
      <c r="S1037" s="28"/>
      <c r="T1037" s="4"/>
      <c r="U1037" s="4"/>
      <c r="V1037" s="4"/>
      <c r="W1037" s="4"/>
      <c r="X1037" s="4"/>
      <c r="Y1037" s="4"/>
      <c r="Z1037" s="4"/>
    </row>
    <row r="1038" ht="12.75" customHeight="1">
      <c r="A1038" s="28"/>
      <c r="B1038" s="28"/>
      <c r="C1038" s="28"/>
      <c r="D1038" s="4"/>
      <c r="E1038" s="28"/>
      <c r="F1038" s="28"/>
      <c r="G1038" s="28"/>
      <c r="H1038" s="4"/>
      <c r="I1038" s="28"/>
      <c r="J1038" s="28"/>
      <c r="K1038" s="28"/>
      <c r="L1038" s="4"/>
      <c r="M1038" s="28"/>
      <c r="N1038" s="28"/>
      <c r="O1038" s="28"/>
      <c r="P1038" s="4"/>
      <c r="Q1038" s="28"/>
      <c r="R1038" s="28"/>
      <c r="S1038" s="28"/>
      <c r="T1038" s="4"/>
      <c r="U1038" s="4"/>
      <c r="V1038" s="4"/>
      <c r="W1038" s="4"/>
      <c r="X1038" s="4"/>
      <c r="Y1038" s="4"/>
      <c r="Z1038" s="4"/>
    </row>
    <row r="1039" ht="12.75" customHeight="1">
      <c r="A1039" s="28"/>
      <c r="B1039" s="28"/>
      <c r="C1039" s="28"/>
      <c r="D1039" s="4"/>
      <c r="E1039" s="28"/>
      <c r="F1039" s="28"/>
      <c r="G1039" s="28"/>
      <c r="H1039" s="4"/>
      <c r="I1039" s="28"/>
      <c r="J1039" s="28"/>
      <c r="K1039" s="28"/>
      <c r="L1039" s="4"/>
      <c r="M1039" s="28"/>
      <c r="N1039" s="28"/>
      <c r="O1039" s="28"/>
      <c r="P1039" s="4"/>
      <c r="Q1039" s="28"/>
      <c r="R1039" s="28"/>
      <c r="S1039" s="28"/>
      <c r="T1039" s="4"/>
      <c r="U1039" s="4"/>
      <c r="V1039" s="4"/>
      <c r="W1039" s="4"/>
      <c r="X1039" s="4"/>
      <c r="Y1039" s="4"/>
      <c r="Z1039" s="4"/>
    </row>
    <row r="1040" ht="12.75" customHeight="1">
      <c r="A1040" s="28"/>
      <c r="B1040" s="28"/>
      <c r="C1040" s="28"/>
      <c r="D1040" s="4"/>
      <c r="E1040" s="28"/>
      <c r="F1040" s="28"/>
      <c r="G1040" s="28"/>
      <c r="H1040" s="4"/>
      <c r="I1040" s="28"/>
      <c r="J1040" s="28"/>
      <c r="K1040" s="28"/>
      <c r="L1040" s="4"/>
      <c r="M1040" s="28"/>
      <c r="N1040" s="28"/>
      <c r="O1040" s="28"/>
      <c r="P1040" s="4"/>
      <c r="Q1040" s="28"/>
      <c r="R1040" s="28"/>
      <c r="S1040" s="28"/>
      <c r="T1040" s="4"/>
      <c r="U1040" s="4"/>
      <c r="V1040" s="4"/>
      <c r="W1040" s="4"/>
      <c r="X1040" s="4"/>
      <c r="Y1040" s="4"/>
      <c r="Z1040" s="4"/>
    </row>
    <row r="1041" ht="12.75" customHeight="1">
      <c r="A1041" s="28"/>
      <c r="B1041" s="28"/>
      <c r="C1041" s="28"/>
      <c r="D1041" s="4"/>
      <c r="E1041" s="28"/>
      <c r="F1041" s="28"/>
      <c r="G1041" s="28"/>
      <c r="H1041" s="4"/>
      <c r="I1041" s="28"/>
      <c r="J1041" s="28"/>
      <c r="K1041" s="28"/>
      <c r="L1041" s="4"/>
      <c r="M1041" s="28"/>
      <c r="N1041" s="28"/>
      <c r="O1041" s="28"/>
      <c r="P1041" s="4"/>
      <c r="Q1041" s="28"/>
      <c r="R1041" s="28"/>
      <c r="S1041" s="28"/>
      <c r="T1041" s="4"/>
      <c r="U1041" s="4"/>
      <c r="V1041" s="4"/>
      <c r="W1041" s="4"/>
      <c r="X1041" s="4"/>
      <c r="Y1041" s="4"/>
      <c r="Z1041" s="4"/>
    </row>
    <row r="1042" ht="12.75" customHeight="1">
      <c r="A1042" s="28"/>
      <c r="B1042" s="28"/>
      <c r="C1042" s="28"/>
      <c r="D1042" s="4"/>
      <c r="E1042" s="28"/>
      <c r="F1042" s="28"/>
      <c r="G1042" s="28"/>
      <c r="H1042" s="4"/>
      <c r="I1042" s="28"/>
      <c r="J1042" s="28"/>
      <c r="K1042" s="28"/>
      <c r="L1042" s="4"/>
      <c r="M1042" s="28"/>
      <c r="N1042" s="28"/>
      <c r="O1042" s="28"/>
      <c r="P1042" s="4"/>
      <c r="Q1042" s="28"/>
      <c r="R1042" s="28"/>
      <c r="S1042" s="28"/>
      <c r="T1042" s="4"/>
      <c r="U1042" s="4"/>
      <c r="V1042" s="4"/>
      <c r="W1042" s="4"/>
      <c r="X1042" s="4"/>
      <c r="Y1042" s="4"/>
      <c r="Z1042" s="4"/>
    </row>
    <row r="1043" ht="12.75" customHeight="1">
      <c r="A1043" s="28"/>
      <c r="B1043" s="28"/>
      <c r="C1043" s="28"/>
      <c r="D1043" s="4"/>
      <c r="E1043" s="28"/>
      <c r="F1043" s="28"/>
      <c r="G1043" s="28"/>
      <c r="H1043" s="4"/>
      <c r="I1043" s="28"/>
      <c r="J1043" s="28"/>
      <c r="K1043" s="28"/>
      <c r="L1043" s="4"/>
      <c r="M1043" s="28"/>
      <c r="N1043" s="28"/>
      <c r="O1043" s="28"/>
      <c r="P1043" s="4"/>
      <c r="Q1043" s="28"/>
      <c r="R1043" s="28"/>
      <c r="S1043" s="28"/>
      <c r="T1043" s="4"/>
      <c r="U1043" s="4"/>
      <c r="V1043" s="4"/>
      <c r="W1043" s="4"/>
      <c r="X1043" s="4"/>
      <c r="Y1043" s="4"/>
      <c r="Z1043" s="4"/>
    </row>
    <row r="1044" ht="12.75" customHeight="1">
      <c r="A1044" s="28"/>
      <c r="B1044" s="28"/>
      <c r="C1044" s="28"/>
      <c r="D1044" s="4"/>
      <c r="E1044" s="28"/>
      <c r="F1044" s="28"/>
      <c r="G1044" s="28"/>
      <c r="H1044" s="4"/>
      <c r="I1044" s="28"/>
      <c r="J1044" s="28"/>
      <c r="K1044" s="28"/>
      <c r="L1044" s="4"/>
      <c r="M1044" s="28"/>
      <c r="N1044" s="28"/>
      <c r="O1044" s="28"/>
      <c r="P1044" s="4"/>
      <c r="Q1044" s="28"/>
      <c r="R1044" s="28"/>
      <c r="S1044" s="28"/>
      <c r="T1044" s="4"/>
      <c r="U1044" s="4"/>
      <c r="V1044" s="4"/>
      <c r="W1044" s="4"/>
      <c r="X1044" s="4"/>
      <c r="Y1044" s="4"/>
      <c r="Z1044" s="4"/>
    </row>
    <row r="1045" ht="12.75" customHeight="1">
      <c r="A1045" s="28"/>
      <c r="B1045" s="28"/>
      <c r="C1045" s="28"/>
      <c r="D1045" s="4"/>
      <c r="E1045" s="28"/>
      <c r="F1045" s="28"/>
      <c r="G1045" s="28"/>
      <c r="H1045" s="4"/>
      <c r="I1045" s="28"/>
      <c r="J1045" s="28"/>
      <c r="K1045" s="28"/>
      <c r="L1045" s="4"/>
      <c r="M1045" s="28"/>
      <c r="N1045" s="28"/>
      <c r="O1045" s="28"/>
      <c r="P1045" s="4"/>
      <c r="Q1045" s="28"/>
      <c r="R1045" s="28"/>
      <c r="S1045" s="28"/>
      <c r="T1045" s="4"/>
      <c r="U1045" s="4"/>
      <c r="V1045" s="4"/>
      <c r="W1045" s="4"/>
      <c r="X1045" s="4"/>
      <c r="Y1045" s="4"/>
      <c r="Z1045" s="4"/>
    </row>
    <row r="1046" ht="12.75" customHeight="1">
      <c r="A1046" s="28"/>
      <c r="B1046" s="28"/>
      <c r="C1046" s="28"/>
      <c r="D1046" s="4"/>
      <c r="E1046" s="28"/>
      <c r="F1046" s="28"/>
      <c r="G1046" s="28"/>
      <c r="H1046" s="4"/>
      <c r="I1046" s="28"/>
      <c r="J1046" s="28"/>
      <c r="K1046" s="28"/>
      <c r="L1046" s="4"/>
      <c r="M1046" s="28"/>
      <c r="N1046" s="28"/>
      <c r="O1046" s="28"/>
      <c r="P1046" s="4"/>
      <c r="Q1046" s="28"/>
      <c r="R1046" s="28"/>
      <c r="S1046" s="28"/>
      <c r="T1046" s="4"/>
      <c r="U1046" s="4"/>
      <c r="V1046" s="4"/>
      <c r="W1046" s="4"/>
      <c r="X1046" s="4"/>
      <c r="Y1046" s="4"/>
      <c r="Z1046" s="4"/>
    </row>
    <row r="1047" ht="12.75" customHeight="1">
      <c r="A1047" s="28"/>
      <c r="B1047" s="28"/>
      <c r="C1047" s="28"/>
      <c r="D1047" s="4"/>
      <c r="E1047" s="28"/>
      <c r="F1047" s="28"/>
      <c r="G1047" s="28"/>
      <c r="H1047" s="4"/>
      <c r="I1047" s="28"/>
      <c r="J1047" s="28"/>
      <c r="K1047" s="28"/>
      <c r="L1047" s="4"/>
      <c r="M1047" s="28"/>
      <c r="N1047" s="28"/>
      <c r="O1047" s="28"/>
      <c r="P1047" s="4"/>
      <c r="Q1047" s="28"/>
      <c r="R1047" s="28"/>
      <c r="S1047" s="28"/>
      <c r="T1047" s="4"/>
      <c r="U1047" s="4"/>
      <c r="V1047" s="4"/>
      <c r="W1047" s="4"/>
      <c r="X1047" s="4"/>
      <c r="Y1047" s="4"/>
      <c r="Z1047" s="4"/>
    </row>
    <row r="1048" ht="12.75" customHeight="1">
      <c r="A1048" s="28"/>
      <c r="B1048" s="28"/>
      <c r="C1048" s="28"/>
      <c r="D1048" s="4"/>
      <c r="E1048" s="28"/>
      <c r="F1048" s="28"/>
      <c r="G1048" s="28"/>
      <c r="H1048" s="4"/>
      <c r="I1048" s="28"/>
      <c r="J1048" s="28"/>
      <c r="K1048" s="28"/>
      <c r="L1048" s="4"/>
      <c r="M1048" s="28"/>
      <c r="N1048" s="28"/>
      <c r="O1048" s="28"/>
      <c r="P1048" s="4"/>
      <c r="Q1048" s="28"/>
      <c r="R1048" s="28"/>
      <c r="S1048" s="28"/>
      <c r="T1048" s="4"/>
      <c r="U1048" s="4"/>
      <c r="V1048" s="4"/>
      <c r="W1048" s="4"/>
      <c r="X1048" s="4"/>
      <c r="Y1048" s="4"/>
      <c r="Z1048" s="4"/>
    </row>
    <row r="1049" ht="12.75" customHeight="1">
      <c r="A1049" s="28"/>
      <c r="B1049" s="28"/>
      <c r="C1049" s="28"/>
      <c r="D1049" s="4"/>
      <c r="E1049" s="28"/>
      <c r="F1049" s="28"/>
      <c r="G1049" s="28"/>
      <c r="H1049" s="4"/>
      <c r="I1049" s="28"/>
      <c r="J1049" s="28"/>
      <c r="K1049" s="28"/>
      <c r="L1049" s="4"/>
      <c r="M1049" s="28"/>
      <c r="N1049" s="28"/>
      <c r="O1049" s="28"/>
      <c r="P1049" s="4"/>
      <c r="Q1049" s="28"/>
      <c r="R1049" s="28"/>
      <c r="S1049" s="28"/>
      <c r="T1049" s="4"/>
      <c r="U1049" s="4"/>
      <c r="V1049" s="4"/>
      <c r="W1049" s="4"/>
      <c r="X1049" s="4"/>
      <c r="Y1049" s="4"/>
      <c r="Z1049" s="4"/>
    </row>
    <row r="1050" ht="12.75" customHeight="1">
      <c r="A1050" s="28"/>
      <c r="B1050" s="28"/>
      <c r="C1050" s="28"/>
      <c r="D1050" s="4"/>
      <c r="E1050" s="28"/>
      <c r="F1050" s="28"/>
      <c r="G1050" s="28"/>
      <c r="H1050" s="4"/>
      <c r="I1050" s="28"/>
      <c r="J1050" s="28"/>
      <c r="K1050" s="28"/>
      <c r="L1050" s="4"/>
      <c r="M1050" s="28"/>
      <c r="N1050" s="28"/>
      <c r="O1050" s="28"/>
      <c r="P1050" s="4"/>
      <c r="Q1050" s="28"/>
      <c r="R1050" s="28"/>
      <c r="S1050" s="28"/>
      <c r="T1050" s="4"/>
      <c r="U1050" s="4"/>
      <c r="V1050" s="4"/>
      <c r="W1050" s="4"/>
      <c r="X1050" s="4"/>
      <c r="Y1050" s="4"/>
      <c r="Z1050" s="4"/>
    </row>
    <row r="1051" ht="12.75" customHeight="1">
      <c r="A1051" s="28"/>
      <c r="B1051" s="28"/>
      <c r="C1051" s="28"/>
      <c r="D1051" s="4"/>
      <c r="E1051" s="28"/>
      <c r="F1051" s="28"/>
      <c r="G1051" s="28"/>
      <c r="H1051" s="4"/>
      <c r="I1051" s="28"/>
      <c r="J1051" s="28"/>
      <c r="K1051" s="28"/>
      <c r="L1051" s="4"/>
      <c r="M1051" s="28"/>
      <c r="N1051" s="28"/>
      <c r="O1051" s="28"/>
      <c r="P1051" s="4"/>
      <c r="Q1051" s="28"/>
      <c r="R1051" s="28"/>
      <c r="S1051" s="28"/>
      <c r="T1051" s="4"/>
      <c r="U1051" s="4"/>
      <c r="V1051" s="4"/>
      <c r="W1051" s="4"/>
      <c r="X1051" s="4"/>
      <c r="Y1051" s="4"/>
      <c r="Z1051" s="4"/>
    </row>
    <row r="1052" ht="12.75" customHeight="1">
      <c r="A1052" s="28"/>
      <c r="B1052" s="28"/>
      <c r="C1052" s="28"/>
      <c r="D1052" s="4"/>
      <c r="E1052" s="28"/>
      <c r="F1052" s="28"/>
      <c r="G1052" s="28"/>
      <c r="H1052" s="4"/>
      <c r="I1052" s="28"/>
      <c r="J1052" s="28"/>
      <c r="K1052" s="28"/>
      <c r="L1052" s="4"/>
      <c r="M1052" s="28"/>
      <c r="N1052" s="28"/>
      <c r="O1052" s="28"/>
      <c r="P1052" s="4"/>
      <c r="Q1052" s="28"/>
      <c r="R1052" s="28"/>
      <c r="S1052" s="28"/>
      <c r="T1052" s="4"/>
      <c r="U1052" s="4"/>
      <c r="V1052" s="4"/>
      <c r="W1052" s="4"/>
      <c r="X1052" s="4"/>
      <c r="Y1052" s="4"/>
      <c r="Z1052" s="4"/>
    </row>
    <row r="1053" ht="12.75" customHeight="1">
      <c r="A1053" s="28"/>
      <c r="B1053" s="28"/>
      <c r="C1053" s="28"/>
      <c r="D1053" s="4"/>
      <c r="E1053" s="28"/>
      <c r="F1053" s="28"/>
      <c r="G1053" s="28"/>
      <c r="H1053" s="4"/>
      <c r="I1053" s="28"/>
      <c r="J1053" s="28"/>
      <c r="K1053" s="28"/>
      <c r="L1053" s="4"/>
      <c r="M1053" s="28"/>
      <c r="N1053" s="28"/>
      <c r="O1053" s="28"/>
      <c r="P1053" s="4"/>
      <c r="Q1053" s="28"/>
      <c r="R1053" s="28"/>
      <c r="S1053" s="28"/>
      <c r="T1053" s="4"/>
      <c r="U1053" s="4"/>
      <c r="V1053" s="4"/>
      <c r="W1053" s="4"/>
      <c r="X1053" s="4"/>
      <c r="Y1053" s="4"/>
      <c r="Z1053" s="4"/>
    </row>
    <row r="1054" ht="12.75" customHeight="1">
      <c r="A1054" s="28"/>
      <c r="B1054" s="28"/>
      <c r="C1054" s="28"/>
      <c r="D1054" s="4"/>
      <c r="E1054" s="28"/>
      <c r="F1054" s="28"/>
      <c r="G1054" s="28"/>
      <c r="H1054" s="4"/>
      <c r="I1054" s="28"/>
      <c r="J1054" s="28"/>
      <c r="K1054" s="28"/>
      <c r="L1054" s="4"/>
      <c r="M1054" s="28"/>
      <c r="N1054" s="28"/>
      <c r="O1054" s="28"/>
      <c r="P1054" s="4"/>
      <c r="Q1054" s="28"/>
      <c r="R1054" s="28"/>
      <c r="S1054" s="28"/>
      <c r="T1054" s="4"/>
      <c r="U1054" s="4"/>
      <c r="V1054" s="4"/>
      <c r="W1054" s="4"/>
      <c r="X1054" s="4"/>
      <c r="Y1054" s="4"/>
      <c r="Z1054" s="4"/>
    </row>
    <row r="1055" ht="12.75" customHeight="1">
      <c r="A1055" s="28"/>
      <c r="B1055" s="28"/>
      <c r="C1055" s="28"/>
      <c r="D1055" s="4"/>
      <c r="E1055" s="28"/>
      <c r="F1055" s="28"/>
      <c r="G1055" s="28"/>
      <c r="H1055" s="4"/>
      <c r="I1055" s="28"/>
      <c r="J1055" s="28"/>
      <c r="K1055" s="28"/>
      <c r="L1055" s="4"/>
      <c r="M1055" s="28"/>
      <c r="N1055" s="28"/>
      <c r="O1055" s="28"/>
      <c r="P1055" s="4"/>
      <c r="Q1055" s="28"/>
      <c r="R1055" s="28"/>
      <c r="S1055" s="28"/>
      <c r="T1055" s="4"/>
      <c r="U1055" s="4"/>
      <c r="V1055" s="4"/>
      <c r="W1055" s="4"/>
      <c r="X1055" s="4"/>
      <c r="Y1055" s="4"/>
      <c r="Z1055" s="4"/>
    </row>
    <row r="1056" ht="12.75" customHeight="1">
      <c r="A1056" s="28"/>
      <c r="B1056" s="28"/>
      <c r="C1056" s="28"/>
      <c r="D1056" s="4"/>
      <c r="E1056" s="28"/>
      <c r="F1056" s="28"/>
      <c r="G1056" s="28"/>
      <c r="H1056" s="4"/>
      <c r="I1056" s="28"/>
      <c r="J1056" s="28"/>
      <c r="K1056" s="28"/>
      <c r="L1056" s="4"/>
      <c r="M1056" s="28"/>
      <c r="N1056" s="28"/>
      <c r="O1056" s="28"/>
      <c r="P1056" s="4"/>
      <c r="Q1056" s="28"/>
      <c r="R1056" s="28"/>
      <c r="S1056" s="28"/>
      <c r="T1056" s="4"/>
      <c r="U1056" s="4"/>
      <c r="V1056" s="4"/>
      <c r="W1056" s="4"/>
      <c r="X1056" s="4"/>
      <c r="Y1056" s="4"/>
      <c r="Z1056" s="4"/>
    </row>
    <row r="1057" ht="12.75" customHeight="1">
      <c r="A1057" s="28"/>
      <c r="B1057" s="28"/>
      <c r="C1057" s="28"/>
      <c r="D1057" s="4"/>
      <c r="E1057" s="28"/>
      <c r="F1057" s="28"/>
      <c r="G1057" s="28"/>
      <c r="H1057" s="4"/>
      <c r="I1057" s="28"/>
      <c r="J1057" s="28"/>
      <c r="K1057" s="28"/>
      <c r="L1057" s="4"/>
      <c r="M1057" s="28"/>
      <c r="N1057" s="28"/>
      <c r="O1057" s="28"/>
      <c r="P1057" s="4"/>
      <c r="Q1057" s="28"/>
      <c r="R1057" s="28"/>
      <c r="S1057" s="28"/>
      <c r="T1057" s="4"/>
      <c r="U1057" s="4"/>
      <c r="V1057" s="4"/>
      <c r="W1057" s="4"/>
      <c r="X1057" s="4"/>
      <c r="Y1057" s="4"/>
      <c r="Z1057" s="4"/>
    </row>
    <row r="1058" ht="12.75" customHeight="1">
      <c r="A1058" s="28"/>
      <c r="B1058" s="28"/>
      <c r="C1058" s="28"/>
      <c r="D1058" s="4"/>
      <c r="E1058" s="28"/>
      <c r="F1058" s="28"/>
      <c r="G1058" s="28"/>
      <c r="H1058" s="4"/>
      <c r="I1058" s="28"/>
      <c r="J1058" s="28"/>
      <c r="K1058" s="28"/>
      <c r="L1058" s="4"/>
      <c r="M1058" s="28"/>
      <c r="N1058" s="28"/>
      <c r="O1058" s="28"/>
      <c r="P1058" s="4"/>
      <c r="Q1058" s="28"/>
      <c r="R1058" s="28"/>
      <c r="S1058" s="28"/>
      <c r="T1058" s="4"/>
      <c r="U1058" s="4"/>
      <c r="V1058" s="4"/>
      <c r="W1058" s="4"/>
      <c r="X1058" s="4"/>
      <c r="Y1058" s="4"/>
      <c r="Z1058" s="4"/>
    </row>
    <row r="1059" ht="12.75" customHeight="1">
      <c r="A1059" s="28"/>
      <c r="B1059" s="28"/>
      <c r="C1059" s="28"/>
      <c r="D1059" s="4"/>
      <c r="E1059" s="28"/>
      <c r="F1059" s="28"/>
      <c r="G1059" s="28"/>
      <c r="H1059" s="4"/>
      <c r="I1059" s="28"/>
      <c r="J1059" s="28"/>
      <c r="K1059" s="28"/>
      <c r="L1059" s="4"/>
      <c r="M1059" s="28"/>
      <c r="N1059" s="28"/>
      <c r="O1059" s="28"/>
      <c r="P1059" s="4"/>
      <c r="Q1059" s="28"/>
      <c r="R1059" s="28"/>
      <c r="S1059" s="28"/>
      <c r="T1059" s="4"/>
      <c r="U1059" s="4"/>
      <c r="V1059" s="4"/>
      <c r="W1059" s="4"/>
      <c r="X1059" s="4"/>
      <c r="Y1059" s="4"/>
      <c r="Z1059" s="4"/>
    </row>
    <row r="1060" ht="12.75" customHeight="1">
      <c r="A1060" s="28"/>
      <c r="B1060" s="28"/>
      <c r="C1060" s="28"/>
      <c r="D1060" s="4"/>
      <c r="E1060" s="28"/>
      <c r="F1060" s="28"/>
      <c r="G1060" s="28"/>
      <c r="H1060" s="4"/>
      <c r="I1060" s="28"/>
      <c r="J1060" s="28"/>
      <c r="K1060" s="28"/>
      <c r="L1060" s="4"/>
      <c r="M1060" s="28"/>
      <c r="N1060" s="28"/>
      <c r="O1060" s="28"/>
      <c r="P1060" s="4"/>
      <c r="Q1060" s="28"/>
      <c r="R1060" s="28"/>
      <c r="S1060" s="28"/>
      <c r="T1060" s="4"/>
      <c r="U1060" s="4"/>
      <c r="V1060" s="4"/>
      <c r="W1060" s="4"/>
      <c r="X1060" s="4"/>
      <c r="Y1060" s="4"/>
      <c r="Z1060" s="4"/>
    </row>
    <row r="1061" ht="12.75" customHeight="1">
      <c r="A1061" s="28"/>
      <c r="B1061" s="28"/>
      <c r="C1061" s="28"/>
      <c r="D1061" s="4"/>
      <c r="E1061" s="28"/>
      <c r="F1061" s="28"/>
      <c r="G1061" s="28"/>
      <c r="H1061" s="4"/>
      <c r="I1061" s="28"/>
      <c r="J1061" s="28"/>
      <c r="K1061" s="28"/>
      <c r="L1061" s="4"/>
      <c r="M1061" s="28"/>
      <c r="N1061" s="28"/>
      <c r="O1061" s="28"/>
      <c r="P1061" s="4"/>
      <c r="Q1061" s="28"/>
      <c r="R1061" s="28"/>
      <c r="S1061" s="28"/>
      <c r="T1061" s="4"/>
      <c r="U1061" s="4"/>
      <c r="V1061" s="4"/>
      <c r="W1061" s="4"/>
      <c r="X1061" s="4"/>
      <c r="Y1061" s="4"/>
      <c r="Z1061" s="4"/>
    </row>
    <row r="1062" ht="12.75" customHeight="1">
      <c r="A1062" s="28"/>
      <c r="B1062" s="28"/>
      <c r="C1062" s="28"/>
      <c r="D1062" s="4"/>
      <c r="E1062" s="28"/>
      <c r="F1062" s="28"/>
      <c r="G1062" s="28"/>
      <c r="H1062" s="4"/>
      <c r="I1062" s="28"/>
      <c r="J1062" s="28"/>
      <c r="K1062" s="28"/>
      <c r="L1062" s="4"/>
      <c r="M1062" s="28"/>
      <c r="N1062" s="28"/>
      <c r="O1062" s="28"/>
      <c r="P1062" s="4"/>
      <c r="Q1062" s="28"/>
      <c r="R1062" s="28"/>
      <c r="S1062" s="28"/>
      <c r="T1062" s="4"/>
      <c r="U1062" s="4"/>
      <c r="V1062" s="4"/>
      <c r="W1062" s="4"/>
      <c r="X1062" s="4"/>
      <c r="Y1062" s="4"/>
      <c r="Z1062" s="4"/>
    </row>
    <row r="1063" ht="12.75" customHeight="1">
      <c r="A1063" s="28"/>
      <c r="B1063" s="28"/>
      <c r="C1063" s="28"/>
      <c r="D1063" s="4"/>
      <c r="E1063" s="28"/>
      <c r="F1063" s="28"/>
      <c r="G1063" s="28"/>
      <c r="H1063" s="4"/>
      <c r="I1063" s="28"/>
      <c r="J1063" s="28"/>
      <c r="K1063" s="28"/>
      <c r="L1063" s="4"/>
      <c r="M1063" s="28"/>
      <c r="N1063" s="28"/>
      <c r="O1063" s="28"/>
      <c r="P1063" s="4"/>
      <c r="Q1063" s="28"/>
      <c r="R1063" s="28"/>
      <c r="S1063" s="28"/>
      <c r="T1063" s="4"/>
      <c r="U1063" s="4"/>
      <c r="V1063" s="4"/>
      <c r="W1063" s="4"/>
      <c r="X1063" s="4"/>
      <c r="Y1063" s="4"/>
      <c r="Z1063" s="4"/>
    </row>
    <row r="1064" ht="12.75" customHeight="1">
      <c r="A1064" s="28"/>
      <c r="B1064" s="28"/>
      <c r="C1064" s="28"/>
      <c r="D1064" s="4"/>
      <c r="E1064" s="28"/>
      <c r="F1064" s="28"/>
      <c r="G1064" s="28"/>
      <c r="H1064" s="4"/>
      <c r="I1064" s="28"/>
      <c r="J1064" s="28"/>
      <c r="K1064" s="28"/>
      <c r="L1064" s="4"/>
      <c r="M1064" s="28"/>
      <c r="N1064" s="28"/>
      <c r="O1064" s="28"/>
      <c r="P1064" s="4"/>
      <c r="Q1064" s="28"/>
      <c r="R1064" s="28"/>
      <c r="S1064" s="28"/>
      <c r="T1064" s="4"/>
      <c r="U1064" s="4"/>
      <c r="V1064" s="4"/>
      <c r="W1064" s="4"/>
      <c r="X1064" s="4"/>
      <c r="Y1064" s="4"/>
      <c r="Z1064" s="4"/>
    </row>
    <row r="1065" ht="12.75" customHeight="1">
      <c r="A1065" s="28"/>
      <c r="B1065" s="28"/>
      <c r="C1065" s="28"/>
      <c r="D1065" s="4"/>
      <c r="E1065" s="28"/>
      <c r="F1065" s="28"/>
      <c r="G1065" s="28"/>
      <c r="H1065" s="4"/>
      <c r="I1065" s="28"/>
      <c r="J1065" s="28"/>
      <c r="K1065" s="28"/>
      <c r="L1065" s="4"/>
      <c r="M1065" s="28"/>
      <c r="N1065" s="28"/>
      <c r="O1065" s="28"/>
      <c r="P1065" s="4"/>
      <c r="Q1065" s="28"/>
      <c r="R1065" s="28"/>
      <c r="S1065" s="28"/>
      <c r="T1065" s="4"/>
      <c r="U1065" s="4"/>
      <c r="V1065" s="4"/>
      <c r="W1065" s="4"/>
      <c r="X1065" s="4"/>
      <c r="Y1065" s="4"/>
      <c r="Z1065" s="4"/>
    </row>
    <row r="1066" ht="12.75" customHeight="1">
      <c r="A1066" s="28"/>
      <c r="B1066" s="28"/>
      <c r="C1066" s="28"/>
      <c r="D1066" s="4"/>
      <c r="E1066" s="28"/>
      <c r="F1066" s="28"/>
      <c r="G1066" s="28"/>
      <c r="H1066" s="4"/>
      <c r="I1066" s="28"/>
      <c r="J1066" s="28"/>
      <c r="K1066" s="28"/>
      <c r="L1066" s="4"/>
      <c r="M1066" s="28"/>
      <c r="N1066" s="28"/>
      <c r="O1066" s="28"/>
      <c r="P1066" s="4"/>
      <c r="Q1066" s="28"/>
      <c r="R1066" s="28"/>
      <c r="S1066" s="28"/>
      <c r="T1066" s="4"/>
      <c r="U1066" s="4"/>
      <c r="V1066" s="4"/>
      <c r="W1066" s="4"/>
      <c r="X1066" s="4"/>
      <c r="Y1066" s="4"/>
      <c r="Z1066" s="4"/>
    </row>
    <row r="1067" ht="12.75" customHeight="1">
      <c r="A1067" s="28"/>
      <c r="B1067" s="28"/>
      <c r="C1067" s="28"/>
      <c r="D1067" s="4"/>
      <c r="E1067" s="28"/>
      <c r="F1067" s="28"/>
      <c r="G1067" s="28"/>
      <c r="H1067" s="4"/>
      <c r="I1067" s="28"/>
      <c r="J1067" s="28"/>
      <c r="K1067" s="28"/>
      <c r="L1067" s="4"/>
      <c r="M1067" s="28"/>
      <c r="N1067" s="28"/>
      <c r="O1067" s="28"/>
      <c r="P1067" s="4"/>
      <c r="Q1067" s="28"/>
      <c r="R1067" s="28"/>
      <c r="S1067" s="28"/>
      <c r="T1067" s="4"/>
      <c r="U1067" s="4"/>
      <c r="V1067" s="4"/>
      <c r="W1067" s="4"/>
      <c r="X1067" s="4"/>
      <c r="Y1067" s="4"/>
      <c r="Z1067" s="4"/>
    </row>
    <row r="1068" ht="12.75" customHeight="1">
      <c r="A1068" s="28"/>
      <c r="B1068" s="28"/>
      <c r="C1068" s="28"/>
      <c r="D1068" s="4"/>
      <c r="E1068" s="28"/>
      <c r="F1068" s="28"/>
      <c r="G1068" s="28"/>
      <c r="H1068" s="4"/>
      <c r="I1068" s="28"/>
      <c r="J1068" s="28"/>
      <c r="K1068" s="28"/>
      <c r="L1068" s="4"/>
      <c r="M1068" s="28"/>
      <c r="N1068" s="28"/>
      <c r="O1068" s="28"/>
      <c r="P1068" s="4"/>
      <c r="Q1068" s="28"/>
      <c r="R1068" s="28"/>
      <c r="S1068" s="28"/>
      <c r="T1068" s="4"/>
      <c r="U1068" s="4"/>
      <c r="V1068" s="4"/>
      <c r="W1068" s="4"/>
      <c r="X1068" s="4"/>
      <c r="Y1068" s="4"/>
      <c r="Z1068" s="4"/>
    </row>
    <row r="1069" ht="12.75" customHeight="1">
      <c r="A1069" s="28"/>
      <c r="B1069" s="28"/>
      <c r="C1069" s="28"/>
      <c r="D1069" s="4"/>
      <c r="E1069" s="28"/>
      <c r="F1069" s="28"/>
      <c r="G1069" s="28"/>
      <c r="H1069" s="4"/>
      <c r="I1069" s="28"/>
      <c r="J1069" s="28"/>
      <c r="K1069" s="28"/>
      <c r="L1069" s="4"/>
      <c r="M1069" s="28"/>
      <c r="N1069" s="28"/>
      <c r="O1069" s="28"/>
      <c r="P1069" s="4"/>
      <c r="Q1069" s="28"/>
      <c r="R1069" s="28"/>
      <c r="S1069" s="28"/>
      <c r="T1069" s="4"/>
      <c r="U1069" s="4"/>
      <c r="V1069" s="4"/>
      <c r="W1069" s="4"/>
      <c r="X1069" s="4"/>
      <c r="Y1069" s="4"/>
      <c r="Z1069" s="4"/>
    </row>
    <row r="1070" ht="12.75" customHeight="1">
      <c r="A1070" s="28"/>
      <c r="B1070" s="28"/>
      <c r="C1070" s="28"/>
      <c r="D1070" s="4"/>
      <c r="E1070" s="28"/>
      <c r="F1070" s="28"/>
      <c r="G1070" s="28"/>
      <c r="H1070" s="4"/>
      <c r="I1070" s="28"/>
      <c r="J1070" s="28"/>
      <c r="K1070" s="28"/>
      <c r="L1070" s="4"/>
      <c r="M1070" s="28"/>
      <c r="N1070" s="28"/>
      <c r="O1070" s="28"/>
      <c r="P1070" s="4"/>
      <c r="Q1070" s="28"/>
      <c r="R1070" s="28"/>
      <c r="S1070" s="28"/>
      <c r="T1070" s="4"/>
      <c r="U1070" s="4"/>
      <c r="V1070" s="4"/>
      <c r="W1070" s="4"/>
      <c r="X1070" s="4"/>
      <c r="Y1070" s="4"/>
      <c r="Z1070" s="4"/>
    </row>
    <row r="1071" ht="12.75" customHeight="1">
      <c r="A1071" s="28"/>
      <c r="B1071" s="28"/>
      <c r="C1071" s="28"/>
      <c r="D1071" s="4"/>
      <c r="E1071" s="28"/>
      <c r="F1071" s="28"/>
      <c r="G1071" s="28"/>
      <c r="H1071" s="4"/>
      <c r="I1071" s="28"/>
      <c r="J1071" s="28"/>
      <c r="K1071" s="28"/>
      <c r="L1071" s="4"/>
      <c r="M1071" s="28"/>
      <c r="N1071" s="28"/>
      <c r="O1071" s="28"/>
      <c r="P1071" s="4"/>
      <c r="Q1071" s="28"/>
      <c r="R1071" s="28"/>
      <c r="S1071" s="28"/>
      <c r="T1071" s="4"/>
      <c r="U1071" s="4"/>
      <c r="V1071" s="4"/>
      <c r="W1071" s="4"/>
      <c r="X1071" s="4"/>
      <c r="Y1071" s="4"/>
      <c r="Z1071" s="4"/>
    </row>
    <row r="1072" ht="12.75" customHeight="1">
      <c r="A1072" s="28"/>
      <c r="B1072" s="28"/>
      <c r="C1072" s="28"/>
      <c r="D1072" s="4"/>
      <c r="E1072" s="28"/>
      <c r="F1072" s="28"/>
      <c r="G1072" s="28"/>
      <c r="H1072" s="4"/>
      <c r="I1072" s="28"/>
      <c r="J1072" s="28"/>
      <c r="K1072" s="28"/>
      <c r="L1072" s="4"/>
      <c r="M1072" s="28"/>
      <c r="N1072" s="28"/>
      <c r="O1072" s="28"/>
      <c r="P1072" s="4"/>
      <c r="Q1072" s="28"/>
      <c r="R1072" s="28"/>
      <c r="S1072" s="28"/>
      <c r="T1072" s="4"/>
      <c r="U1072" s="4"/>
      <c r="V1072" s="4"/>
      <c r="W1072" s="4"/>
      <c r="X1072" s="4"/>
      <c r="Y1072" s="4"/>
      <c r="Z1072" s="4"/>
    </row>
    <row r="1073" ht="12.75" customHeight="1">
      <c r="A1073" s="28"/>
      <c r="B1073" s="28"/>
      <c r="C1073" s="28"/>
      <c r="D1073" s="4"/>
      <c r="E1073" s="28"/>
      <c r="F1073" s="28"/>
      <c r="G1073" s="28"/>
      <c r="H1073" s="4"/>
      <c r="I1073" s="28"/>
      <c r="J1073" s="28"/>
      <c r="K1073" s="28"/>
      <c r="L1073" s="4"/>
      <c r="M1073" s="28"/>
      <c r="N1073" s="28"/>
      <c r="O1073" s="28"/>
      <c r="P1073" s="4"/>
      <c r="Q1073" s="28"/>
      <c r="R1073" s="28"/>
      <c r="S1073" s="28"/>
      <c r="T1073" s="4"/>
      <c r="U1073" s="4"/>
      <c r="V1073" s="4"/>
      <c r="W1073" s="4"/>
      <c r="X1073" s="4"/>
      <c r="Y1073" s="4"/>
      <c r="Z1073" s="4"/>
    </row>
    <row r="1074" ht="12.75" customHeight="1">
      <c r="A1074" s="28"/>
      <c r="B1074" s="28"/>
      <c r="C1074" s="28"/>
      <c r="D1074" s="4"/>
      <c r="E1074" s="28"/>
      <c r="F1074" s="28"/>
      <c r="G1074" s="28"/>
      <c r="H1074" s="4"/>
      <c r="I1074" s="28"/>
      <c r="J1074" s="28"/>
      <c r="K1074" s="28"/>
      <c r="L1074" s="4"/>
      <c r="M1074" s="28"/>
      <c r="N1074" s="28"/>
      <c r="O1074" s="28"/>
      <c r="P1074" s="4"/>
      <c r="Q1074" s="28"/>
      <c r="R1074" s="28"/>
      <c r="S1074" s="28"/>
      <c r="T1074" s="4"/>
      <c r="U1074" s="4"/>
      <c r="V1074" s="4"/>
      <c r="W1074" s="4"/>
      <c r="X1074" s="4"/>
      <c r="Y1074" s="4"/>
      <c r="Z1074" s="4"/>
    </row>
    <row r="1075" ht="12.75" customHeight="1">
      <c r="A1075" s="28"/>
      <c r="B1075" s="28"/>
      <c r="C1075" s="28"/>
      <c r="D1075" s="4"/>
      <c r="E1075" s="28"/>
      <c r="F1075" s="28"/>
      <c r="G1075" s="28"/>
      <c r="H1075" s="4"/>
      <c r="I1075" s="28"/>
      <c r="J1075" s="28"/>
      <c r="K1075" s="28"/>
      <c r="L1075" s="4"/>
      <c r="M1075" s="28"/>
      <c r="N1075" s="28"/>
      <c r="O1075" s="28"/>
      <c r="P1075" s="4"/>
      <c r="Q1075" s="28"/>
      <c r="R1075" s="28"/>
      <c r="S1075" s="28"/>
      <c r="T1075" s="4"/>
      <c r="U1075" s="4"/>
      <c r="V1075" s="4"/>
      <c r="W1075" s="4"/>
      <c r="X1075" s="4"/>
      <c r="Y1075" s="4"/>
      <c r="Z1075" s="4"/>
    </row>
    <row r="1076" ht="12.75" customHeight="1">
      <c r="A1076" s="28"/>
      <c r="B1076" s="28"/>
      <c r="C1076" s="28"/>
      <c r="D1076" s="4"/>
      <c r="E1076" s="28"/>
      <c r="F1076" s="28"/>
      <c r="G1076" s="28"/>
      <c r="H1076" s="4"/>
      <c r="I1076" s="28"/>
      <c r="J1076" s="28"/>
      <c r="K1076" s="28"/>
      <c r="L1076" s="4"/>
      <c r="M1076" s="28"/>
      <c r="N1076" s="28"/>
      <c r="O1076" s="28"/>
      <c r="P1076" s="4"/>
      <c r="Q1076" s="28"/>
      <c r="R1076" s="28"/>
      <c r="S1076" s="28"/>
      <c r="T1076" s="4"/>
      <c r="U1076" s="4"/>
      <c r="V1076" s="4"/>
      <c r="W1076" s="4"/>
      <c r="X1076" s="4"/>
      <c r="Y1076" s="4"/>
      <c r="Z1076" s="4"/>
    </row>
    <row r="1077" ht="12.75" customHeight="1">
      <c r="A1077" s="28"/>
      <c r="B1077" s="28"/>
      <c r="C1077" s="28"/>
      <c r="D1077" s="4"/>
      <c r="E1077" s="28"/>
      <c r="F1077" s="28"/>
      <c r="G1077" s="28"/>
      <c r="H1077" s="4"/>
      <c r="I1077" s="28"/>
      <c r="J1077" s="28"/>
      <c r="K1077" s="28"/>
      <c r="L1077" s="4"/>
      <c r="M1077" s="28"/>
      <c r="N1077" s="28"/>
      <c r="O1077" s="28"/>
      <c r="P1077" s="4"/>
      <c r="Q1077" s="28"/>
      <c r="R1077" s="28"/>
      <c r="S1077" s="28"/>
      <c r="T1077" s="4"/>
      <c r="U1077" s="4"/>
      <c r="V1077" s="4"/>
      <c r="W1077" s="4"/>
      <c r="X1077" s="4"/>
      <c r="Y1077" s="4"/>
      <c r="Z1077" s="4"/>
    </row>
    <row r="1078" ht="12.75" customHeight="1">
      <c r="A1078" s="28"/>
      <c r="B1078" s="28"/>
      <c r="C1078" s="28"/>
      <c r="D1078" s="4"/>
      <c r="E1078" s="28"/>
      <c r="F1078" s="28"/>
      <c r="G1078" s="28"/>
      <c r="H1078" s="4"/>
      <c r="I1078" s="28"/>
      <c r="J1078" s="28"/>
      <c r="K1078" s="28"/>
      <c r="L1078" s="4"/>
      <c r="M1078" s="28"/>
      <c r="N1078" s="28"/>
      <c r="O1078" s="28"/>
      <c r="P1078" s="4"/>
      <c r="Q1078" s="28"/>
      <c r="R1078" s="28"/>
      <c r="S1078" s="28"/>
      <c r="T1078" s="4"/>
      <c r="U1078" s="4"/>
      <c r="V1078" s="4"/>
      <c r="W1078" s="4"/>
      <c r="X1078" s="4"/>
      <c r="Y1078" s="4"/>
      <c r="Z1078" s="4"/>
    </row>
    <row r="1079" ht="12.75" customHeight="1">
      <c r="A1079" s="28"/>
      <c r="B1079" s="28"/>
      <c r="C1079" s="28"/>
      <c r="D1079" s="4"/>
      <c r="E1079" s="28"/>
      <c r="F1079" s="28"/>
      <c r="G1079" s="28"/>
      <c r="H1079" s="4"/>
      <c r="I1079" s="28"/>
      <c r="J1079" s="28"/>
      <c r="K1079" s="28"/>
      <c r="L1079" s="4"/>
      <c r="M1079" s="28"/>
      <c r="N1079" s="28"/>
      <c r="O1079" s="28"/>
      <c r="P1079" s="4"/>
      <c r="Q1079" s="28"/>
      <c r="R1079" s="28"/>
      <c r="S1079" s="28"/>
      <c r="T1079" s="4"/>
      <c r="U1079" s="4"/>
      <c r="V1079" s="4"/>
      <c r="W1079" s="4"/>
      <c r="X1079" s="4"/>
      <c r="Y1079" s="4"/>
      <c r="Z1079" s="4"/>
    </row>
    <row r="1080" ht="12.75" customHeight="1">
      <c r="A1080" s="28"/>
      <c r="B1080" s="28"/>
      <c r="C1080" s="28"/>
      <c r="D1080" s="4"/>
      <c r="E1080" s="28"/>
      <c r="F1080" s="28"/>
      <c r="G1080" s="28"/>
      <c r="H1080" s="4"/>
      <c r="I1080" s="28"/>
      <c r="J1080" s="28"/>
      <c r="K1080" s="28"/>
      <c r="L1080" s="4"/>
      <c r="M1080" s="28"/>
      <c r="N1080" s="28"/>
      <c r="O1080" s="28"/>
      <c r="P1080" s="4"/>
      <c r="Q1080" s="28"/>
      <c r="R1080" s="28"/>
      <c r="S1080" s="28"/>
      <c r="T1080" s="4"/>
      <c r="U1080" s="4"/>
      <c r="V1080" s="4"/>
      <c r="W1080" s="4"/>
      <c r="X1080" s="4"/>
      <c r="Y1080" s="4"/>
      <c r="Z1080" s="4"/>
    </row>
    <row r="1081" ht="12.75" customHeight="1">
      <c r="A1081" s="28"/>
      <c r="B1081" s="28"/>
      <c r="C1081" s="28"/>
      <c r="D1081" s="4"/>
      <c r="E1081" s="28"/>
      <c r="F1081" s="28"/>
      <c r="G1081" s="28"/>
      <c r="H1081" s="4"/>
      <c r="I1081" s="28"/>
      <c r="J1081" s="28"/>
      <c r="K1081" s="28"/>
      <c r="L1081" s="4"/>
      <c r="M1081" s="28"/>
      <c r="N1081" s="28"/>
      <c r="O1081" s="28"/>
      <c r="P1081" s="4"/>
      <c r="Q1081" s="28"/>
      <c r="R1081" s="28"/>
      <c r="S1081" s="28"/>
      <c r="T1081" s="4"/>
      <c r="U1081" s="4"/>
      <c r="V1081" s="4"/>
      <c r="W1081" s="4"/>
      <c r="X1081" s="4"/>
      <c r="Y1081" s="4"/>
      <c r="Z1081" s="4"/>
    </row>
    <row r="1082" ht="12.75" customHeight="1">
      <c r="A1082" s="28"/>
      <c r="B1082" s="28"/>
      <c r="C1082" s="28"/>
      <c r="D1082" s="4"/>
      <c r="E1082" s="28"/>
      <c r="F1082" s="28"/>
      <c r="G1082" s="28"/>
      <c r="H1082" s="4"/>
      <c r="I1082" s="28"/>
      <c r="J1082" s="28"/>
      <c r="K1082" s="28"/>
      <c r="L1082" s="4"/>
      <c r="M1082" s="28"/>
      <c r="N1082" s="28"/>
      <c r="O1082" s="28"/>
      <c r="P1082" s="4"/>
      <c r="Q1082" s="28"/>
      <c r="R1082" s="28"/>
      <c r="S1082" s="28"/>
      <c r="T1082" s="4"/>
      <c r="U1082" s="4"/>
      <c r="V1082" s="4"/>
      <c r="W1082" s="4"/>
      <c r="X1082" s="4"/>
      <c r="Y1082" s="4"/>
      <c r="Z1082" s="4"/>
    </row>
    <row r="1083" ht="12.75" customHeight="1">
      <c r="A1083" s="28"/>
      <c r="B1083" s="28"/>
      <c r="C1083" s="28"/>
      <c r="D1083" s="4"/>
      <c r="E1083" s="28"/>
      <c r="F1083" s="28"/>
      <c r="G1083" s="28"/>
      <c r="H1083" s="4"/>
      <c r="I1083" s="28"/>
      <c r="J1083" s="28"/>
      <c r="K1083" s="28"/>
      <c r="L1083" s="4"/>
      <c r="M1083" s="28"/>
      <c r="N1083" s="28"/>
      <c r="O1083" s="28"/>
      <c r="P1083" s="4"/>
      <c r="Q1083" s="28"/>
      <c r="R1083" s="28"/>
      <c r="S1083" s="28"/>
      <c r="T1083" s="4"/>
      <c r="U1083" s="4"/>
      <c r="V1083" s="4"/>
      <c r="W1083" s="4"/>
      <c r="X1083" s="4"/>
      <c r="Y1083" s="4"/>
      <c r="Z1083" s="4"/>
    </row>
    <row r="1084" ht="12.75" customHeight="1">
      <c r="A1084" s="28"/>
      <c r="B1084" s="28"/>
      <c r="C1084" s="28"/>
      <c r="D1084" s="4"/>
      <c r="E1084" s="28"/>
      <c r="F1084" s="28"/>
      <c r="G1084" s="28"/>
      <c r="H1084" s="4"/>
      <c r="I1084" s="28"/>
      <c r="J1084" s="28"/>
      <c r="K1084" s="28"/>
      <c r="L1084" s="4"/>
      <c r="M1084" s="28"/>
      <c r="N1084" s="28"/>
      <c r="O1084" s="28"/>
      <c r="P1084" s="4"/>
      <c r="Q1084" s="28"/>
      <c r="R1084" s="28"/>
      <c r="S1084" s="28"/>
      <c r="T1084" s="4"/>
      <c r="U1084" s="4"/>
      <c r="V1084" s="4"/>
      <c r="W1084" s="4"/>
      <c r="X1084" s="4"/>
      <c r="Y1084" s="4"/>
      <c r="Z1084" s="4"/>
    </row>
    <row r="1085" ht="12.75" customHeight="1">
      <c r="A1085" s="28"/>
      <c r="B1085" s="28"/>
      <c r="C1085" s="28"/>
      <c r="D1085" s="4"/>
      <c r="E1085" s="28"/>
      <c r="F1085" s="28"/>
      <c r="G1085" s="28"/>
      <c r="H1085" s="4"/>
      <c r="I1085" s="28"/>
      <c r="J1085" s="28"/>
      <c r="K1085" s="28"/>
      <c r="L1085" s="4"/>
      <c r="M1085" s="28"/>
      <c r="N1085" s="28"/>
      <c r="O1085" s="28"/>
      <c r="P1085" s="4"/>
      <c r="Q1085" s="28"/>
      <c r="R1085" s="28"/>
      <c r="S1085" s="28"/>
      <c r="T1085" s="4"/>
      <c r="U1085" s="4"/>
      <c r="V1085" s="4"/>
      <c r="W1085" s="4"/>
      <c r="X1085" s="4"/>
      <c r="Y1085" s="4"/>
      <c r="Z1085" s="4"/>
    </row>
    <row r="1086" ht="12.75" customHeight="1">
      <c r="A1086" s="28"/>
      <c r="B1086" s="28"/>
      <c r="C1086" s="28"/>
      <c r="D1086" s="4"/>
      <c r="E1086" s="28"/>
      <c r="F1086" s="28"/>
      <c r="G1086" s="28"/>
      <c r="H1086" s="4"/>
      <c r="I1086" s="28"/>
      <c r="J1086" s="28"/>
      <c r="K1086" s="28"/>
      <c r="L1086" s="4"/>
      <c r="M1086" s="28"/>
      <c r="N1086" s="28"/>
      <c r="O1086" s="28"/>
      <c r="P1086" s="4"/>
      <c r="Q1086" s="28"/>
      <c r="R1086" s="28"/>
      <c r="S1086" s="28"/>
      <c r="T1086" s="4"/>
      <c r="U1086" s="4"/>
      <c r="V1086" s="4"/>
      <c r="W1086" s="4"/>
      <c r="X1086" s="4"/>
      <c r="Y1086" s="4"/>
      <c r="Z1086" s="4"/>
    </row>
    <row r="1087" ht="12.75" customHeight="1">
      <c r="A1087" s="28"/>
      <c r="B1087" s="28"/>
      <c r="C1087" s="28"/>
      <c r="D1087" s="4"/>
      <c r="E1087" s="28"/>
      <c r="F1087" s="28"/>
      <c r="G1087" s="28"/>
      <c r="H1087" s="4"/>
      <c r="I1087" s="28"/>
      <c r="J1087" s="28"/>
      <c r="K1087" s="28"/>
      <c r="L1087" s="4"/>
      <c r="M1087" s="28"/>
      <c r="N1087" s="28"/>
      <c r="O1087" s="28"/>
      <c r="P1087" s="4"/>
      <c r="Q1087" s="28"/>
      <c r="R1087" s="28"/>
      <c r="S1087" s="28"/>
      <c r="T1087" s="4"/>
      <c r="U1087" s="4"/>
      <c r="V1087" s="4"/>
      <c r="W1087" s="4"/>
      <c r="X1087" s="4"/>
      <c r="Y1087" s="4"/>
      <c r="Z1087" s="4"/>
    </row>
    <row r="1088" ht="12.75" customHeight="1">
      <c r="A1088" s="28"/>
      <c r="B1088" s="28"/>
      <c r="C1088" s="28"/>
      <c r="D1088" s="4"/>
      <c r="E1088" s="28"/>
      <c r="F1088" s="28"/>
      <c r="G1088" s="28"/>
      <c r="H1088" s="4"/>
      <c r="I1088" s="28"/>
      <c r="J1088" s="28"/>
      <c r="K1088" s="28"/>
      <c r="L1088" s="4"/>
      <c r="M1088" s="28"/>
      <c r="N1088" s="28"/>
      <c r="O1088" s="28"/>
      <c r="P1088" s="4"/>
      <c r="Q1088" s="28"/>
      <c r="R1088" s="28"/>
      <c r="S1088" s="28"/>
      <c r="T1088" s="4"/>
      <c r="U1088" s="4"/>
      <c r="V1088" s="4"/>
      <c r="W1088" s="4"/>
      <c r="X1088" s="4"/>
      <c r="Y1088" s="4"/>
      <c r="Z1088" s="4"/>
    </row>
    <row r="1089" ht="12.75" customHeight="1">
      <c r="A1089" s="28"/>
      <c r="B1089" s="28"/>
      <c r="C1089" s="28"/>
      <c r="D1089" s="4"/>
      <c r="E1089" s="28"/>
      <c r="F1089" s="28"/>
      <c r="G1089" s="28"/>
      <c r="H1089" s="4"/>
      <c r="I1089" s="28"/>
      <c r="J1089" s="28"/>
      <c r="K1089" s="28"/>
      <c r="L1089" s="4"/>
      <c r="M1089" s="28"/>
      <c r="N1089" s="28"/>
      <c r="O1089" s="28"/>
      <c r="P1089" s="4"/>
      <c r="Q1089" s="28"/>
      <c r="R1089" s="28"/>
      <c r="S1089" s="28"/>
      <c r="T1089" s="4"/>
      <c r="U1089" s="4"/>
      <c r="V1089" s="4"/>
      <c r="W1089" s="4"/>
      <c r="X1089" s="4"/>
      <c r="Y1089" s="4"/>
      <c r="Z1089" s="4"/>
    </row>
    <row r="1090" ht="12.75" customHeight="1">
      <c r="A1090" s="28"/>
      <c r="B1090" s="28"/>
      <c r="C1090" s="28"/>
      <c r="D1090" s="4"/>
      <c r="E1090" s="28"/>
      <c r="F1090" s="28"/>
      <c r="G1090" s="28"/>
      <c r="H1090" s="4"/>
      <c r="I1090" s="28"/>
      <c r="J1090" s="28"/>
      <c r="K1090" s="28"/>
      <c r="L1090" s="4"/>
      <c r="M1090" s="28"/>
      <c r="N1090" s="28"/>
      <c r="O1090" s="28"/>
      <c r="P1090" s="4"/>
      <c r="Q1090" s="28"/>
      <c r="R1090" s="28"/>
      <c r="S1090" s="28"/>
      <c r="T1090" s="4"/>
      <c r="U1090" s="4"/>
      <c r="V1090" s="4"/>
      <c r="W1090" s="4"/>
      <c r="X1090" s="4"/>
      <c r="Y1090" s="4"/>
      <c r="Z1090" s="4"/>
    </row>
    <row r="1091" ht="12.75" customHeight="1">
      <c r="A1091" s="28"/>
      <c r="B1091" s="28"/>
      <c r="C1091" s="28"/>
      <c r="D1091" s="4"/>
      <c r="E1091" s="28"/>
      <c r="F1091" s="28"/>
      <c r="G1091" s="28"/>
      <c r="H1091" s="4"/>
      <c r="I1091" s="28"/>
      <c r="J1091" s="28"/>
      <c r="K1091" s="28"/>
      <c r="L1091" s="4"/>
      <c r="M1091" s="28"/>
      <c r="N1091" s="28"/>
      <c r="O1091" s="28"/>
      <c r="P1091" s="4"/>
      <c r="Q1091" s="28"/>
      <c r="R1091" s="28"/>
      <c r="S1091" s="28"/>
      <c r="T1091" s="4"/>
      <c r="U1091" s="4"/>
      <c r="V1091" s="4"/>
      <c r="W1091" s="4"/>
      <c r="X1091" s="4"/>
      <c r="Y1091" s="4"/>
      <c r="Z1091" s="4"/>
    </row>
    <row r="1092" ht="12.75" customHeight="1">
      <c r="A1092" s="28"/>
      <c r="B1092" s="28"/>
      <c r="C1092" s="28"/>
      <c r="D1092" s="4"/>
      <c r="E1092" s="28"/>
      <c r="F1092" s="28"/>
      <c r="G1092" s="28"/>
      <c r="H1092" s="4"/>
      <c r="I1092" s="28"/>
      <c r="J1092" s="28"/>
      <c r="K1092" s="28"/>
      <c r="L1092" s="4"/>
      <c r="M1092" s="28"/>
      <c r="N1092" s="28"/>
      <c r="O1092" s="28"/>
      <c r="P1092" s="4"/>
      <c r="Q1092" s="28"/>
      <c r="R1092" s="28"/>
      <c r="S1092" s="28"/>
      <c r="T1092" s="4"/>
      <c r="U1092" s="4"/>
      <c r="V1092" s="4"/>
      <c r="W1092" s="4"/>
      <c r="X1092" s="4"/>
      <c r="Y1092" s="4"/>
      <c r="Z1092" s="4"/>
    </row>
    <row r="1093" ht="12.75" customHeight="1">
      <c r="A1093" s="28"/>
      <c r="B1093" s="28"/>
      <c r="C1093" s="28"/>
      <c r="D1093" s="4"/>
      <c r="E1093" s="28"/>
      <c r="F1093" s="28"/>
      <c r="G1093" s="28"/>
      <c r="H1093" s="4"/>
      <c r="I1093" s="28"/>
      <c r="J1093" s="28"/>
      <c r="K1093" s="28"/>
      <c r="L1093" s="4"/>
      <c r="M1093" s="28"/>
      <c r="N1093" s="28"/>
      <c r="O1093" s="28"/>
      <c r="P1093" s="4"/>
      <c r="Q1093" s="28"/>
      <c r="R1093" s="28"/>
      <c r="S1093" s="28"/>
      <c r="T1093" s="4"/>
      <c r="U1093" s="4"/>
      <c r="V1093" s="4"/>
      <c r="W1093" s="4"/>
      <c r="X1093" s="4"/>
      <c r="Y1093" s="4"/>
      <c r="Z1093" s="4"/>
    </row>
    <row r="1094" ht="12.75" customHeight="1">
      <c r="A1094" s="28"/>
      <c r="B1094" s="28"/>
      <c r="C1094" s="28"/>
      <c r="D1094" s="4"/>
      <c r="E1094" s="28"/>
      <c r="F1094" s="28"/>
      <c r="G1094" s="28"/>
      <c r="H1094" s="4"/>
      <c r="I1094" s="28"/>
      <c r="J1094" s="28"/>
      <c r="K1094" s="28"/>
      <c r="L1094" s="4"/>
      <c r="M1094" s="28"/>
      <c r="N1094" s="28"/>
      <c r="O1094" s="28"/>
      <c r="P1094" s="4"/>
      <c r="Q1094" s="28"/>
      <c r="R1094" s="28"/>
      <c r="S1094" s="28"/>
      <c r="T1094" s="4"/>
      <c r="U1094" s="4"/>
      <c r="V1094" s="4"/>
      <c r="W1094" s="4"/>
      <c r="X1094" s="4"/>
      <c r="Y1094" s="4"/>
      <c r="Z1094" s="4"/>
    </row>
    <row r="1095" ht="12.75" customHeight="1">
      <c r="A1095" s="28"/>
      <c r="B1095" s="28"/>
      <c r="C1095" s="28"/>
      <c r="D1095" s="4"/>
      <c r="E1095" s="28"/>
      <c r="F1095" s="28"/>
      <c r="G1095" s="28"/>
      <c r="H1095" s="4"/>
      <c r="I1095" s="28"/>
      <c r="J1095" s="28"/>
      <c r="K1095" s="28"/>
      <c r="L1095" s="4"/>
      <c r="M1095" s="28"/>
      <c r="N1095" s="28"/>
      <c r="O1095" s="28"/>
      <c r="P1095" s="4"/>
      <c r="Q1095" s="28"/>
      <c r="R1095" s="28"/>
      <c r="S1095" s="28"/>
      <c r="T1095" s="4"/>
      <c r="U1095" s="4"/>
      <c r="V1095" s="4"/>
      <c r="W1095" s="4"/>
      <c r="X1095" s="4"/>
      <c r="Y1095" s="4"/>
      <c r="Z1095" s="4"/>
    </row>
    <row r="1096" ht="12.75" customHeight="1">
      <c r="A1096" s="28"/>
      <c r="B1096" s="28"/>
      <c r="C1096" s="28"/>
      <c r="D1096" s="4"/>
      <c r="E1096" s="28"/>
      <c r="F1096" s="28"/>
      <c r="G1096" s="28"/>
      <c r="H1096" s="4"/>
      <c r="I1096" s="28"/>
      <c r="J1096" s="28"/>
      <c r="K1096" s="28"/>
      <c r="L1096" s="4"/>
      <c r="M1096" s="28"/>
      <c r="N1096" s="28"/>
      <c r="O1096" s="28"/>
      <c r="P1096" s="4"/>
      <c r="Q1096" s="28"/>
      <c r="R1096" s="28"/>
      <c r="S1096" s="28"/>
      <c r="T1096" s="4"/>
      <c r="U1096" s="4"/>
      <c r="V1096" s="4"/>
      <c r="W1096" s="4"/>
      <c r="X1096" s="4"/>
      <c r="Y1096" s="4"/>
      <c r="Z1096" s="4"/>
    </row>
    <row r="1097" ht="12.75" customHeight="1">
      <c r="A1097" s="28"/>
      <c r="B1097" s="28"/>
      <c r="C1097" s="28"/>
      <c r="D1097" s="4"/>
      <c r="E1097" s="28"/>
      <c r="F1097" s="28"/>
      <c r="G1097" s="28"/>
      <c r="H1097" s="4"/>
      <c r="I1097" s="28"/>
      <c r="J1097" s="28"/>
      <c r="K1097" s="28"/>
      <c r="L1097" s="4"/>
      <c r="M1097" s="28"/>
      <c r="N1097" s="28"/>
      <c r="O1097" s="28"/>
      <c r="P1097" s="4"/>
      <c r="Q1097" s="28"/>
      <c r="R1097" s="28"/>
      <c r="S1097" s="28"/>
      <c r="T1097" s="4"/>
      <c r="U1097" s="4"/>
      <c r="V1097" s="4"/>
      <c r="W1097" s="4"/>
      <c r="X1097" s="4"/>
      <c r="Y1097" s="4"/>
      <c r="Z1097" s="4"/>
    </row>
    <row r="1098" ht="12.75" customHeight="1">
      <c r="A1098" s="28"/>
      <c r="B1098" s="28"/>
      <c r="C1098" s="28"/>
      <c r="D1098" s="4"/>
      <c r="E1098" s="28"/>
      <c r="F1098" s="28"/>
      <c r="G1098" s="28"/>
      <c r="H1098" s="4"/>
      <c r="I1098" s="28"/>
      <c r="J1098" s="28"/>
      <c r="K1098" s="28"/>
      <c r="L1098" s="4"/>
      <c r="M1098" s="28"/>
      <c r="N1098" s="28"/>
      <c r="O1098" s="28"/>
      <c r="P1098" s="4"/>
      <c r="Q1098" s="28"/>
      <c r="R1098" s="28"/>
      <c r="S1098" s="28"/>
      <c r="T1098" s="4"/>
      <c r="U1098" s="4"/>
      <c r="V1098" s="4"/>
      <c r="W1098" s="4"/>
      <c r="X1098" s="4"/>
      <c r="Y1098" s="4"/>
      <c r="Z1098" s="4"/>
    </row>
    <row r="1099" ht="12.75" customHeight="1">
      <c r="A1099" s="28"/>
      <c r="B1099" s="28"/>
      <c r="C1099" s="28"/>
      <c r="D1099" s="4"/>
      <c r="E1099" s="28"/>
      <c r="F1099" s="28"/>
      <c r="G1099" s="28"/>
      <c r="H1099" s="4"/>
      <c r="I1099" s="28"/>
      <c r="J1099" s="28"/>
      <c r="K1099" s="28"/>
      <c r="L1099" s="4"/>
      <c r="M1099" s="28"/>
      <c r="N1099" s="28"/>
      <c r="O1099" s="28"/>
      <c r="P1099" s="4"/>
      <c r="Q1099" s="28"/>
      <c r="R1099" s="28"/>
      <c r="S1099" s="28"/>
      <c r="T1099" s="4"/>
      <c r="U1099" s="4"/>
      <c r="V1099" s="4"/>
      <c r="W1099" s="4"/>
      <c r="X1099" s="4"/>
      <c r="Y1099" s="4"/>
      <c r="Z1099" s="4"/>
    </row>
    <row r="1100" ht="12.75" customHeight="1">
      <c r="A1100" s="28"/>
      <c r="B1100" s="28"/>
      <c r="C1100" s="28"/>
      <c r="D1100" s="4"/>
      <c r="E1100" s="28"/>
      <c r="F1100" s="28"/>
      <c r="G1100" s="28"/>
      <c r="H1100" s="4"/>
      <c r="I1100" s="28"/>
      <c r="J1100" s="28"/>
      <c r="K1100" s="28"/>
      <c r="L1100" s="4"/>
      <c r="M1100" s="28"/>
      <c r="N1100" s="28"/>
      <c r="O1100" s="28"/>
      <c r="P1100" s="4"/>
      <c r="Q1100" s="28"/>
      <c r="R1100" s="28"/>
      <c r="S1100" s="28"/>
      <c r="T1100" s="4"/>
      <c r="U1100" s="4"/>
      <c r="V1100" s="4"/>
      <c r="W1100" s="4"/>
      <c r="X1100" s="4"/>
      <c r="Y1100" s="4"/>
      <c r="Z1100" s="4"/>
    </row>
    <row r="1101" ht="12.75" customHeight="1">
      <c r="A1101" s="28"/>
      <c r="B1101" s="28"/>
      <c r="C1101" s="28"/>
      <c r="D1101" s="4"/>
      <c r="E1101" s="28"/>
      <c r="F1101" s="28"/>
      <c r="G1101" s="28"/>
      <c r="H1101" s="4"/>
      <c r="I1101" s="28"/>
      <c r="J1101" s="28"/>
      <c r="K1101" s="28"/>
      <c r="L1101" s="4"/>
      <c r="M1101" s="28"/>
      <c r="N1101" s="28"/>
      <c r="O1101" s="28"/>
      <c r="P1101" s="4"/>
      <c r="Q1101" s="28"/>
      <c r="R1101" s="28"/>
      <c r="S1101" s="28"/>
      <c r="T1101" s="4"/>
      <c r="U1101" s="4"/>
      <c r="V1101" s="4"/>
      <c r="W1101" s="4"/>
      <c r="X1101" s="4"/>
      <c r="Y1101" s="4"/>
      <c r="Z1101" s="4"/>
    </row>
    <row r="1102" ht="12.75" customHeight="1">
      <c r="A1102" s="28"/>
      <c r="B1102" s="28"/>
      <c r="C1102" s="28"/>
      <c r="D1102" s="4"/>
      <c r="E1102" s="28"/>
      <c r="F1102" s="28"/>
      <c r="G1102" s="28"/>
      <c r="H1102" s="4"/>
      <c r="I1102" s="28"/>
      <c r="J1102" s="28"/>
      <c r="K1102" s="28"/>
      <c r="L1102" s="4"/>
      <c r="M1102" s="28"/>
      <c r="N1102" s="28"/>
      <c r="O1102" s="28"/>
      <c r="P1102" s="4"/>
      <c r="Q1102" s="28"/>
      <c r="R1102" s="28"/>
      <c r="S1102" s="28"/>
      <c r="T1102" s="4"/>
      <c r="U1102" s="4"/>
      <c r="V1102" s="4"/>
      <c r="W1102" s="4"/>
      <c r="X1102" s="4"/>
      <c r="Y1102" s="4"/>
      <c r="Z1102" s="4"/>
    </row>
    <row r="1103" ht="12.75" customHeight="1">
      <c r="A1103" s="28"/>
      <c r="B1103" s="28"/>
      <c r="C1103" s="28"/>
      <c r="D1103" s="4"/>
      <c r="E1103" s="28"/>
      <c r="F1103" s="28"/>
      <c r="G1103" s="28"/>
      <c r="H1103" s="4"/>
      <c r="I1103" s="28"/>
      <c r="J1103" s="28"/>
      <c r="K1103" s="28"/>
      <c r="L1103" s="4"/>
      <c r="M1103" s="28"/>
      <c r="N1103" s="28"/>
      <c r="O1103" s="28"/>
      <c r="P1103" s="4"/>
      <c r="Q1103" s="28"/>
      <c r="R1103" s="28"/>
      <c r="S1103" s="28"/>
      <c r="T1103" s="4"/>
      <c r="U1103" s="4"/>
      <c r="V1103" s="4"/>
      <c r="W1103" s="4"/>
      <c r="X1103" s="4"/>
      <c r="Y1103" s="4"/>
      <c r="Z1103" s="4"/>
    </row>
    <row r="1104" ht="12.75" customHeight="1">
      <c r="A1104" s="28"/>
      <c r="B1104" s="28"/>
      <c r="C1104" s="28"/>
      <c r="D1104" s="4"/>
      <c r="E1104" s="28"/>
      <c r="F1104" s="28"/>
      <c r="G1104" s="28"/>
      <c r="H1104" s="4"/>
      <c r="I1104" s="28"/>
      <c r="J1104" s="28"/>
      <c r="K1104" s="28"/>
      <c r="L1104" s="4"/>
      <c r="M1104" s="28"/>
      <c r="N1104" s="28"/>
      <c r="O1104" s="28"/>
      <c r="P1104" s="4"/>
      <c r="Q1104" s="28"/>
      <c r="R1104" s="28"/>
      <c r="S1104" s="28"/>
      <c r="T1104" s="4"/>
      <c r="U1104" s="4"/>
      <c r="V1104" s="4"/>
      <c r="W1104" s="4"/>
      <c r="X1104" s="4"/>
      <c r="Y1104" s="4"/>
      <c r="Z1104" s="4"/>
    </row>
    <row r="1105" ht="12.75" customHeight="1">
      <c r="A1105" s="28"/>
      <c r="B1105" s="28"/>
      <c r="C1105" s="28"/>
      <c r="D1105" s="4"/>
      <c r="E1105" s="28"/>
      <c r="F1105" s="28"/>
      <c r="G1105" s="28"/>
      <c r="H1105" s="4"/>
      <c r="I1105" s="28"/>
      <c r="J1105" s="28"/>
      <c r="K1105" s="28"/>
      <c r="L1105" s="4"/>
      <c r="M1105" s="28"/>
      <c r="N1105" s="28"/>
      <c r="O1105" s="28"/>
      <c r="P1105" s="4"/>
      <c r="Q1105" s="28"/>
      <c r="R1105" s="28"/>
      <c r="S1105" s="28"/>
      <c r="T1105" s="4"/>
      <c r="U1105" s="4"/>
      <c r="V1105" s="4"/>
      <c r="W1105" s="4"/>
      <c r="X1105" s="4"/>
      <c r="Y1105" s="4"/>
      <c r="Z1105" s="4"/>
    </row>
    <row r="1106" ht="12.75" customHeight="1">
      <c r="A1106" s="28"/>
      <c r="B1106" s="28"/>
      <c r="C1106" s="28"/>
      <c r="D1106" s="4"/>
      <c r="E1106" s="28"/>
      <c r="F1106" s="28"/>
      <c r="G1106" s="28"/>
      <c r="H1106" s="4"/>
      <c r="I1106" s="28"/>
      <c r="J1106" s="28"/>
      <c r="K1106" s="28"/>
      <c r="L1106" s="4"/>
      <c r="M1106" s="28"/>
      <c r="N1106" s="28"/>
      <c r="O1106" s="28"/>
      <c r="P1106" s="4"/>
      <c r="Q1106" s="28"/>
      <c r="R1106" s="28"/>
      <c r="S1106" s="28"/>
      <c r="T1106" s="4"/>
      <c r="U1106" s="4"/>
      <c r="V1106" s="4"/>
      <c r="W1106" s="4"/>
      <c r="X1106" s="4"/>
      <c r="Y1106" s="4"/>
      <c r="Z1106" s="4"/>
    </row>
    <row r="1107" ht="12.75" customHeight="1">
      <c r="A1107" s="28"/>
      <c r="B1107" s="28"/>
      <c r="C1107" s="28"/>
      <c r="D1107" s="4"/>
      <c r="E1107" s="28"/>
      <c r="F1107" s="28"/>
      <c r="G1107" s="28"/>
      <c r="H1107" s="4"/>
      <c r="I1107" s="28"/>
      <c r="J1107" s="28"/>
      <c r="K1107" s="28"/>
      <c r="L1107" s="4"/>
      <c r="M1107" s="28"/>
      <c r="N1107" s="28"/>
      <c r="O1107" s="28"/>
      <c r="P1107" s="4"/>
      <c r="Q1107" s="28"/>
      <c r="R1107" s="28"/>
      <c r="S1107" s="28"/>
      <c r="T1107" s="4"/>
      <c r="U1107" s="4"/>
      <c r="V1107" s="4"/>
      <c r="W1107" s="4"/>
      <c r="X1107" s="4"/>
      <c r="Y1107" s="4"/>
      <c r="Z1107" s="4"/>
    </row>
    <row r="1108" ht="12.75" customHeight="1">
      <c r="A1108" s="28"/>
      <c r="B1108" s="28"/>
      <c r="C1108" s="28"/>
      <c r="D1108" s="4"/>
      <c r="E1108" s="28"/>
      <c r="F1108" s="28"/>
      <c r="G1108" s="28"/>
      <c r="H1108" s="4"/>
      <c r="I1108" s="28"/>
      <c r="J1108" s="28"/>
      <c r="K1108" s="28"/>
      <c r="L1108" s="4"/>
      <c r="M1108" s="28"/>
      <c r="N1108" s="28"/>
      <c r="O1108" s="28"/>
      <c r="P1108" s="4"/>
      <c r="Q1108" s="28"/>
      <c r="R1108" s="28"/>
      <c r="S1108" s="28"/>
      <c r="T1108" s="4"/>
      <c r="U1108" s="4"/>
      <c r="V1108" s="4"/>
      <c r="W1108" s="4"/>
      <c r="X1108" s="4"/>
      <c r="Y1108" s="4"/>
      <c r="Z1108" s="4"/>
    </row>
    <row r="1109" ht="12.75" customHeight="1">
      <c r="A1109" s="28"/>
      <c r="B1109" s="28"/>
      <c r="C1109" s="28"/>
      <c r="D1109" s="4"/>
      <c r="E1109" s="28"/>
      <c r="F1109" s="28"/>
      <c r="G1109" s="28"/>
      <c r="H1109" s="4"/>
      <c r="I1109" s="28"/>
      <c r="J1109" s="28"/>
      <c r="K1109" s="28"/>
      <c r="L1109" s="4"/>
      <c r="M1109" s="28"/>
      <c r="N1109" s="28"/>
      <c r="O1109" s="28"/>
      <c r="P1109" s="4"/>
      <c r="Q1109" s="28"/>
      <c r="R1109" s="28"/>
      <c r="S1109" s="28"/>
      <c r="T1109" s="4"/>
      <c r="U1109" s="4"/>
      <c r="V1109" s="4"/>
      <c r="W1109" s="4"/>
      <c r="X1109" s="4"/>
      <c r="Y1109" s="4"/>
      <c r="Z1109" s="4"/>
    </row>
    <row r="1110" ht="12.75" customHeight="1">
      <c r="A1110" s="28"/>
      <c r="B1110" s="28"/>
      <c r="C1110" s="28"/>
      <c r="D1110" s="4"/>
      <c r="E1110" s="28"/>
      <c r="F1110" s="28"/>
      <c r="G1110" s="28"/>
      <c r="H1110" s="4"/>
      <c r="I1110" s="28"/>
      <c r="J1110" s="28"/>
      <c r="K1110" s="28"/>
      <c r="L1110" s="4"/>
      <c r="M1110" s="28"/>
      <c r="N1110" s="28"/>
      <c r="O1110" s="28"/>
      <c r="P1110" s="4"/>
      <c r="Q1110" s="28"/>
      <c r="R1110" s="28"/>
      <c r="S1110" s="28"/>
      <c r="T1110" s="4"/>
      <c r="U1110" s="4"/>
      <c r="V1110" s="4"/>
      <c r="W1110" s="4"/>
      <c r="X1110" s="4"/>
      <c r="Y1110" s="4"/>
      <c r="Z1110" s="4"/>
    </row>
    <row r="1111" ht="12.75" customHeight="1">
      <c r="A1111" s="28"/>
      <c r="B1111" s="28"/>
      <c r="C1111" s="28"/>
      <c r="D1111" s="4"/>
      <c r="E1111" s="28"/>
      <c r="F1111" s="28"/>
      <c r="G1111" s="28"/>
      <c r="H1111" s="4"/>
      <c r="I1111" s="28"/>
      <c r="J1111" s="28"/>
      <c r="K1111" s="28"/>
      <c r="L1111" s="4"/>
      <c r="M1111" s="28"/>
      <c r="N1111" s="28"/>
      <c r="O1111" s="28"/>
      <c r="P1111" s="4"/>
      <c r="Q1111" s="28"/>
      <c r="R1111" s="28"/>
      <c r="S1111" s="28"/>
      <c r="T1111" s="4"/>
      <c r="U1111" s="4"/>
      <c r="V1111" s="4"/>
      <c r="W1111" s="4"/>
      <c r="X1111" s="4"/>
      <c r="Y1111" s="4"/>
      <c r="Z1111" s="4"/>
    </row>
    <row r="1112" ht="12.75" customHeight="1">
      <c r="A1112" s="28"/>
      <c r="B1112" s="28"/>
      <c r="C1112" s="28"/>
      <c r="D1112" s="4"/>
      <c r="E1112" s="28"/>
      <c r="F1112" s="28"/>
      <c r="G1112" s="28"/>
      <c r="H1112" s="4"/>
      <c r="I1112" s="28"/>
      <c r="J1112" s="28"/>
      <c r="K1112" s="28"/>
      <c r="L1112" s="4"/>
      <c r="M1112" s="28"/>
      <c r="N1112" s="28"/>
      <c r="O1112" s="28"/>
      <c r="P1112" s="4"/>
      <c r="Q1112" s="28"/>
      <c r="R1112" s="28"/>
      <c r="S1112" s="28"/>
      <c r="T1112" s="4"/>
      <c r="U1112" s="4"/>
      <c r="V1112" s="4"/>
      <c r="W1112" s="4"/>
      <c r="X1112" s="4"/>
      <c r="Y1112" s="4"/>
      <c r="Z1112" s="4"/>
    </row>
    <row r="1113" ht="12.75" customHeight="1">
      <c r="A1113" s="28"/>
      <c r="B1113" s="28"/>
      <c r="C1113" s="28"/>
      <c r="D1113" s="4"/>
      <c r="E1113" s="28"/>
      <c r="F1113" s="28"/>
      <c r="G1113" s="28"/>
      <c r="H1113" s="4"/>
      <c r="I1113" s="28"/>
      <c r="J1113" s="28"/>
      <c r="K1113" s="28"/>
      <c r="L1113" s="4"/>
      <c r="M1113" s="28"/>
      <c r="N1113" s="28"/>
      <c r="O1113" s="28"/>
      <c r="P1113" s="4"/>
      <c r="Q1113" s="28"/>
      <c r="R1113" s="28"/>
      <c r="S1113" s="28"/>
      <c r="T1113" s="4"/>
      <c r="U1113" s="4"/>
      <c r="V1113" s="4"/>
      <c r="W1113" s="4"/>
      <c r="X1113" s="4"/>
      <c r="Y1113" s="4"/>
      <c r="Z1113" s="4"/>
    </row>
    <row r="1114" ht="12.75" customHeight="1">
      <c r="A1114" s="28"/>
      <c r="B1114" s="28"/>
      <c r="C1114" s="28"/>
      <c r="D1114" s="4"/>
      <c r="E1114" s="28"/>
      <c r="F1114" s="28"/>
      <c r="G1114" s="28"/>
      <c r="H1114" s="4"/>
      <c r="I1114" s="28"/>
      <c r="J1114" s="28"/>
      <c r="K1114" s="28"/>
      <c r="L1114" s="4"/>
      <c r="M1114" s="28"/>
      <c r="N1114" s="28"/>
      <c r="O1114" s="28"/>
      <c r="P1114" s="4"/>
      <c r="Q1114" s="28"/>
      <c r="R1114" s="28"/>
      <c r="S1114" s="28"/>
      <c r="T1114" s="4"/>
      <c r="U1114" s="4"/>
      <c r="V1114" s="4"/>
      <c r="W1114" s="4"/>
      <c r="X1114" s="4"/>
      <c r="Y1114" s="4"/>
      <c r="Z1114" s="4"/>
    </row>
    <row r="1115" ht="12.75" customHeight="1">
      <c r="A1115" s="28"/>
      <c r="B1115" s="28"/>
      <c r="C1115" s="28"/>
      <c r="D1115" s="4"/>
      <c r="E1115" s="28"/>
      <c r="F1115" s="28"/>
      <c r="G1115" s="28"/>
      <c r="H1115" s="4"/>
      <c r="I1115" s="28"/>
      <c r="J1115" s="28"/>
      <c r="K1115" s="28"/>
      <c r="L1115" s="4"/>
      <c r="M1115" s="28"/>
      <c r="N1115" s="28"/>
      <c r="O1115" s="28"/>
      <c r="P1115" s="4"/>
      <c r="Q1115" s="28"/>
      <c r="R1115" s="28"/>
      <c r="S1115" s="28"/>
      <c r="T1115" s="4"/>
      <c r="U1115" s="4"/>
      <c r="V1115" s="4"/>
      <c r="W1115" s="4"/>
      <c r="X1115" s="4"/>
      <c r="Y1115" s="4"/>
      <c r="Z1115" s="4"/>
    </row>
    <row r="1116" ht="12.75" customHeight="1">
      <c r="A1116" s="28"/>
      <c r="B1116" s="28"/>
      <c r="C1116" s="28"/>
      <c r="D1116" s="4"/>
      <c r="E1116" s="28"/>
      <c r="F1116" s="28"/>
      <c r="G1116" s="28"/>
      <c r="H1116" s="4"/>
      <c r="I1116" s="28"/>
      <c r="J1116" s="28"/>
      <c r="K1116" s="28"/>
      <c r="L1116" s="4"/>
      <c r="M1116" s="28"/>
      <c r="N1116" s="28"/>
      <c r="O1116" s="28"/>
      <c r="P1116" s="4"/>
      <c r="Q1116" s="28"/>
      <c r="R1116" s="28"/>
      <c r="S1116" s="28"/>
      <c r="T1116" s="4"/>
      <c r="U1116" s="4"/>
      <c r="V1116" s="4"/>
      <c r="W1116" s="4"/>
      <c r="X1116" s="4"/>
      <c r="Y1116" s="4"/>
      <c r="Z1116" s="4"/>
    </row>
    <row r="1117" ht="12.75" customHeight="1">
      <c r="A1117" s="28"/>
      <c r="B1117" s="28"/>
      <c r="C1117" s="28"/>
      <c r="D1117" s="4"/>
      <c r="E1117" s="28"/>
      <c r="F1117" s="28"/>
      <c r="G1117" s="28"/>
      <c r="H1117" s="4"/>
      <c r="I1117" s="28"/>
      <c r="J1117" s="28"/>
      <c r="K1117" s="28"/>
      <c r="L1117" s="4"/>
      <c r="M1117" s="28"/>
      <c r="N1117" s="28"/>
      <c r="O1117" s="28"/>
      <c r="P1117" s="4"/>
      <c r="Q1117" s="28"/>
      <c r="R1117" s="28"/>
      <c r="S1117" s="28"/>
      <c r="T1117" s="4"/>
      <c r="U1117" s="4"/>
      <c r="V1117" s="4"/>
      <c r="W1117" s="4"/>
      <c r="X1117" s="4"/>
      <c r="Y1117" s="4"/>
      <c r="Z1117" s="4"/>
    </row>
    <row r="1118" ht="12.75" customHeight="1">
      <c r="A1118" s="28"/>
      <c r="B1118" s="28"/>
      <c r="C1118" s="28"/>
      <c r="D1118" s="4"/>
      <c r="E1118" s="28"/>
      <c r="F1118" s="28"/>
      <c r="G1118" s="28"/>
      <c r="H1118" s="4"/>
      <c r="I1118" s="28"/>
      <c r="J1118" s="28"/>
      <c r="K1118" s="28"/>
      <c r="L1118" s="4"/>
      <c r="M1118" s="28"/>
      <c r="N1118" s="28"/>
      <c r="O1118" s="28"/>
      <c r="P1118" s="4"/>
      <c r="Q1118" s="28"/>
      <c r="R1118" s="28"/>
      <c r="S1118" s="28"/>
      <c r="T1118" s="4"/>
      <c r="U1118" s="4"/>
      <c r="V1118" s="4"/>
      <c r="W1118" s="4"/>
      <c r="X1118" s="4"/>
      <c r="Y1118" s="4"/>
      <c r="Z1118" s="4"/>
    </row>
    <row r="1119" ht="12.75" customHeight="1">
      <c r="A1119" s="28"/>
      <c r="B1119" s="28"/>
      <c r="C1119" s="28"/>
      <c r="D1119" s="4"/>
      <c r="E1119" s="28"/>
      <c r="F1119" s="28"/>
      <c r="G1119" s="28"/>
      <c r="H1119" s="4"/>
      <c r="I1119" s="28"/>
      <c r="J1119" s="28"/>
      <c r="K1119" s="28"/>
      <c r="L1119" s="4"/>
      <c r="M1119" s="28"/>
      <c r="N1119" s="28"/>
      <c r="O1119" s="28"/>
      <c r="P1119" s="4"/>
      <c r="Q1119" s="28"/>
      <c r="R1119" s="28"/>
      <c r="S1119" s="28"/>
      <c r="T1119" s="4"/>
      <c r="U1119" s="4"/>
      <c r="V1119" s="4"/>
      <c r="W1119" s="4"/>
      <c r="X1119" s="4"/>
      <c r="Y1119" s="4"/>
      <c r="Z1119" s="4"/>
    </row>
    <row r="1120" ht="12.75" customHeight="1">
      <c r="A1120" s="28"/>
      <c r="B1120" s="28"/>
      <c r="C1120" s="28"/>
      <c r="D1120" s="4"/>
      <c r="E1120" s="28"/>
      <c r="F1120" s="28"/>
      <c r="G1120" s="28"/>
      <c r="H1120" s="4"/>
      <c r="I1120" s="28"/>
      <c r="J1120" s="28"/>
      <c r="K1120" s="28"/>
      <c r="L1120" s="4"/>
      <c r="M1120" s="28"/>
      <c r="N1120" s="28"/>
      <c r="O1120" s="28"/>
      <c r="P1120" s="4"/>
      <c r="Q1120" s="28"/>
      <c r="R1120" s="28"/>
      <c r="S1120" s="28"/>
      <c r="T1120" s="4"/>
      <c r="U1120" s="4"/>
      <c r="V1120" s="4"/>
      <c r="W1120" s="4"/>
      <c r="X1120" s="4"/>
      <c r="Y1120" s="4"/>
      <c r="Z1120" s="4"/>
    </row>
    <row r="1121" ht="12.75" customHeight="1">
      <c r="A1121" s="28"/>
      <c r="B1121" s="28"/>
      <c r="C1121" s="28"/>
      <c r="D1121" s="4"/>
      <c r="E1121" s="28"/>
      <c r="F1121" s="28"/>
      <c r="G1121" s="28"/>
      <c r="H1121" s="4"/>
      <c r="I1121" s="28"/>
      <c r="J1121" s="28"/>
      <c r="K1121" s="28"/>
      <c r="L1121" s="4"/>
      <c r="M1121" s="28"/>
      <c r="N1121" s="28"/>
      <c r="O1121" s="28"/>
      <c r="P1121" s="4"/>
      <c r="Q1121" s="28"/>
      <c r="R1121" s="28"/>
      <c r="S1121" s="28"/>
      <c r="T1121" s="4"/>
      <c r="U1121" s="4"/>
      <c r="V1121" s="4"/>
      <c r="W1121" s="4"/>
      <c r="X1121" s="4"/>
      <c r="Y1121" s="4"/>
      <c r="Z1121" s="4"/>
    </row>
    <row r="1122" ht="12.75" customHeight="1">
      <c r="A1122" s="28"/>
      <c r="B1122" s="28"/>
      <c r="C1122" s="28"/>
      <c r="D1122" s="4"/>
      <c r="E1122" s="28"/>
      <c r="F1122" s="28"/>
      <c r="G1122" s="28"/>
      <c r="H1122" s="4"/>
      <c r="I1122" s="28"/>
      <c r="J1122" s="28"/>
      <c r="K1122" s="28"/>
      <c r="L1122" s="4"/>
      <c r="M1122" s="28"/>
      <c r="N1122" s="28"/>
      <c r="O1122" s="28"/>
      <c r="P1122" s="4"/>
      <c r="Q1122" s="28"/>
      <c r="R1122" s="28"/>
      <c r="S1122" s="28"/>
      <c r="T1122" s="4"/>
      <c r="U1122" s="4"/>
      <c r="V1122" s="4"/>
      <c r="W1122" s="4"/>
      <c r="X1122" s="4"/>
      <c r="Y1122" s="4"/>
      <c r="Z1122" s="4"/>
    </row>
    <row r="1123" ht="12.75" customHeight="1">
      <c r="A1123" s="28"/>
      <c r="B1123" s="28"/>
      <c r="C1123" s="28"/>
      <c r="D1123" s="4"/>
      <c r="E1123" s="28"/>
      <c r="F1123" s="28"/>
      <c r="G1123" s="28"/>
      <c r="H1123" s="4"/>
      <c r="I1123" s="28"/>
      <c r="J1123" s="28"/>
      <c r="K1123" s="28"/>
      <c r="L1123" s="4"/>
      <c r="M1123" s="28"/>
      <c r="N1123" s="28"/>
      <c r="O1123" s="28"/>
      <c r="P1123" s="4"/>
      <c r="Q1123" s="28"/>
      <c r="R1123" s="28"/>
      <c r="S1123" s="28"/>
      <c r="T1123" s="4"/>
      <c r="U1123" s="4"/>
      <c r="V1123" s="4"/>
      <c r="W1123" s="4"/>
      <c r="X1123" s="4"/>
      <c r="Y1123" s="4"/>
      <c r="Z1123" s="4"/>
    </row>
    <row r="1124" ht="12.75" customHeight="1">
      <c r="A1124" s="28"/>
      <c r="B1124" s="28"/>
      <c r="C1124" s="28"/>
      <c r="D1124" s="4"/>
      <c r="E1124" s="28"/>
      <c r="F1124" s="28"/>
      <c r="G1124" s="28"/>
      <c r="H1124" s="4"/>
      <c r="I1124" s="28"/>
      <c r="J1124" s="28"/>
      <c r="K1124" s="28"/>
      <c r="L1124" s="4"/>
      <c r="M1124" s="28"/>
      <c r="N1124" s="28"/>
      <c r="O1124" s="28"/>
      <c r="P1124" s="4"/>
      <c r="Q1124" s="28"/>
      <c r="R1124" s="28"/>
      <c r="S1124" s="28"/>
      <c r="T1124" s="4"/>
      <c r="U1124" s="4"/>
      <c r="V1124" s="4"/>
      <c r="W1124" s="4"/>
      <c r="X1124" s="4"/>
      <c r="Y1124" s="4"/>
      <c r="Z1124" s="4"/>
    </row>
    <row r="1125" ht="12.75" customHeight="1">
      <c r="A1125" s="28"/>
      <c r="B1125" s="28"/>
      <c r="C1125" s="28"/>
      <c r="D1125" s="4"/>
      <c r="E1125" s="28"/>
      <c r="F1125" s="28"/>
      <c r="G1125" s="28"/>
      <c r="H1125" s="4"/>
      <c r="I1125" s="28"/>
      <c r="J1125" s="28"/>
      <c r="K1125" s="28"/>
      <c r="L1125" s="4"/>
      <c r="M1125" s="28"/>
      <c r="N1125" s="28"/>
      <c r="O1125" s="28"/>
      <c r="P1125" s="4"/>
      <c r="Q1125" s="28"/>
      <c r="R1125" s="28"/>
      <c r="S1125" s="28"/>
      <c r="T1125" s="4"/>
      <c r="U1125" s="4"/>
      <c r="V1125" s="4"/>
      <c r="W1125" s="4"/>
      <c r="X1125" s="4"/>
      <c r="Y1125" s="4"/>
      <c r="Z1125" s="4"/>
    </row>
    <row r="1126" ht="12.75" customHeight="1">
      <c r="A1126" s="28"/>
      <c r="B1126" s="28"/>
      <c r="C1126" s="28"/>
      <c r="D1126" s="4"/>
      <c r="E1126" s="28"/>
      <c r="F1126" s="28"/>
      <c r="G1126" s="28"/>
      <c r="H1126" s="4"/>
      <c r="I1126" s="28"/>
      <c r="J1126" s="28"/>
      <c r="K1126" s="28"/>
      <c r="L1126" s="4"/>
      <c r="M1126" s="28"/>
      <c r="N1126" s="28"/>
      <c r="O1126" s="28"/>
      <c r="P1126" s="4"/>
      <c r="Q1126" s="28"/>
      <c r="R1126" s="28"/>
      <c r="S1126" s="28"/>
      <c r="T1126" s="4"/>
      <c r="U1126" s="4"/>
      <c r="V1126" s="4"/>
      <c r="W1126" s="4"/>
      <c r="X1126" s="4"/>
      <c r="Y1126" s="4"/>
      <c r="Z1126" s="4"/>
    </row>
    <row r="1127" ht="12.75" customHeight="1">
      <c r="A1127" s="28"/>
      <c r="B1127" s="28"/>
      <c r="C1127" s="28"/>
      <c r="D1127" s="4"/>
      <c r="E1127" s="28"/>
      <c r="F1127" s="28"/>
      <c r="G1127" s="28"/>
      <c r="H1127" s="4"/>
      <c r="I1127" s="28"/>
      <c r="J1127" s="28"/>
      <c r="K1127" s="28"/>
      <c r="L1127" s="4"/>
      <c r="M1127" s="28"/>
      <c r="N1127" s="28"/>
      <c r="O1127" s="28"/>
      <c r="P1127" s="4"/>
      <c r="Q1127" s="28"/>
      <c r="R1127" s="28"/>
      <c r="S1127" s="28"/>
      <c r="T1127" s="4"/>
      <c r="U1127" s="4"/>
      <c r="V1127" s="4"/>
      <c r="W1127" s="4"/>
      <c r="X1127" s="4"/>
      <c r="Y1127" s="4"/>
      <c r="Z1127" s="4"/>
    </row>
    <row r="1128" ht="12.75" customHeight="1">
      <c r="A1128" s="28"/>
      <c r="B1128" s="28"/>
      <c r="C1128" s="28"/>
      <c r="D1128" s="4"/>
      <c r="E1128" s="28"/>
      <c r="F1128" s="28"/>
      <c r="G1128" s="28"/>
      <c r="H1128" s="4"/>
      <c r="I1128" s="28"/>
      <c r="J1128" s="28"/>
      <c r="K1128" s="28"/>
      <c r="L1128" s="4"/>
      <c r="M1128" s="28"/>
      <c r="N1128" s="28"/>
      <c r="O1128" s="28"/>
      <c r="P1128" s="4"/>
      <c r="Q1128" s="28"/>
      <c r="R1128" s="28"/>
      <c r="S1128" s="28"/>
      <c r="T1128" s="4"/>
      <c r="U1128" s="4"/>
      <c r="V1128" s="4"/>
      <c r="W1128" s="4"/>
      <c r="X1128" s="4"/>
      <c r="Y1128" s="4"/>
      <c r="Z1128" s="4"/>
    </row>
    <row r="1129" ht="12.75" customHeight="1">
      <c r="A1129" s="28"/>
      <c r="B1129" s="28"/>
      <c r="C1129" s="28"/>
      <c r="D1129" s="4"/>
      <c r="E1129" s="28"/>
      <c r="F1129" s="28"/>
      <c r="G1129" s="28"/>
      <c r="H1129" s="4"/>
      <c r="I1129" s="28"/>
      <c r="J1129" s="28"/>
      <c r="K1129" s="28"/>
      <c r="L1129" s="4"/>
      <c r="M1129" s="28"/>
      <c r="N1129" s="28"/>
      <c r="O1129" s="28"/>
      <c r="P1129" s="4"/>
      <c r="Q1129" s="28"/>
      <c r="R1129" s="28"/>
      <c r="S1129" s="28"/>
      <c r="T1129" s="4"/>
      <c r="U1129" s="4"/>
      <c r="V1129" s="4"/>
      <c r="W1129" s="4"/>
      <c r="X1129" s="4"/>
      <c r="Y1129" s="4"/>
      <c r="Z1129" s="4"/>
    </row>
    <row r="1130" ht="12.75" customHeight="1">
      <c r="A1130" s="28"/>
      <c r="B1130" s="28"/>
      <c r="C1130" s="28"/>
      <c r="D1130" s="4"/>
      <c r="E1130" s="28"/>
      <c r="F1130" s="28"/>
      <c r="G1130" s="28"/>
      <c r="H1130" s="4"/>
      <c r="I1130" s="28"/>
      <c r="J1130" s="28"/>
      <c r="K1130" s="28"/>
      <c r="L1130" s="4"/>
      <c r="M1130" s="28"/>
      <c r="N1130" s="28"/>
      <c r="O1130" s="28"/>
      <c r="P1130" s="4"/>
      <c r="Q1130" s="28"/>
      <c r="R1130" s="28"/>
      <c r="S1130" s="28"/>
      <c r="T1130" s="4"/>
      <c r="U1130" s="4"/>
      <c r="V1130" s="4"/>
      <c r="W1130" s="4"/>
      <c r="X1130" s="4"/>
      <c r="Y1130" s="4"/>
      <c r="Z1130" s="4"/>
    </row>
    <row r="1131" ht="12.75" customHeight="1">
      <c r="A1131" s="28"/>
      <c r="B1131" s="28"/>
      <c r="C1131" s="28"/>
      <c r="D1131" s="4"/>
      <c r="E1131" s="28"/>
      <c r="F1131" s="28"/>
      <c r="G1131" s="28"/>
      <c r="H1131" s="4"/>
      <c r="I1131" s="28"/>
      <c r="J1131" s="28"/>
      <c r="K1131" s="28"/>
      <c r="L1131" s="4"/>
      <c r="M1131" s="28"/>
      <c r="N1131" s="28"/>
      <c r="O1131" s="28"/>
      <c r="P1131" s="4"/>
      <c r="Q1131" s="28"/>
      <c r="R1131" s="28"/>
      <c r="S1131" s="28"/>
      <c r="T1131" s="4"/>
      <c r="U1131" s="4"/>
      <c r="V1131" s="4"/>
      <c r="W1131" s="4"/>
      <c r="X1131" s="4"/>
      <c r="Y1131" s="4"/>
      <c r="Z1131" s="4"/>
    </row>
    <row r="1132" ht="12.75" customHeight="1">
      <c r="A1132" s="28"/>
      <c r="B1132" s="28"/>
      <c r="C1132" s="28"/>
      <c r="D1132" s="4"/>
      <c r="E1132" s="28"/>
      <c r="F1132" s="28"/>
      <c r="G1132" s="28"/>
      <c r="H1132" s="4"/>
      <c r="I1132" s="28"/>
      <c r="J1132" s="28"/>
      <c r="K1132" s="28"/>
      <c r="L1132" s="4"/>
      <c r="M1132" s="28"/>
      <c r="N1132" s="28"/>
      <c r="O1132" s="28"/>
      <c r="P1132" s="4"/>
      <c r="Q1132" s="28"/>
      <c r="R1132" s="28"/>
      <c r="S1132" s="28"/>
      <c r="T1132" s="4"/>
      <c r="U1132" s="4"/>
      <c r="V1132" s="4"/>
      <c r="W1132" s="4"/>
      <c r="X1132" s="4"/>
      <c r="Y1132" s="4"/>
      <c r="Z1132" s="4"/>
    </row>
    <row r="1133" ht="12.75" customHeight="1">
      <c r="A1133" s="28"/>
      <c r="B1133" s="28"/>
      <c r="C1133" s="28"/>
      <c r="D1133" s="4"/>
      <c r="E1133" s="28"/>
      <c r="F1133" s="28"/>
      <c r="G1133" s="28"/>
      <c r="H1133" s="4"/>
      <c r="I1133" s="28"/>
      <c r="J1133" s="28"/>
      <c r="K1133" s="28"/>
      <c r="L1133" s="4"/>
      <c r="M1133" s="28"/>
      <c r="N1133" s="28"/>
      <c r="O1133" s="28"/>
      <c r="P1133" s="4"/>
      <c r="Q1133" s="28"/>
      <c r="R1133" s="28"/>
      <c r="S1133" s="28"/>
      <c r="T1133" s="4"/>
      <c r="U1133" s="4"/>
      <c r="V1133" s="4"/>
      <c r="W1133" s="4"/>
      <c r="X1133" s="4"/>
      <c r="Y1133" s="4"/>
      <c r="Z1133" s="4"/>
    </row>
    <row r="1134" ht="12.75" customHeight="1">
      <c r="A1134" s="28"/>
      <c r="B1134" s="28"/>
      <c r="C1134" s="28"/>
      <c r="D1134" s="4"/>
      <c r="E1134" s="28"/>
      <c r="F1134" s="28"/>
      <c r="G1134" s="28"/>
      <c r="H1134" s="4"/>
      <c r="I1134" s="28"/>
      <c r="J1134" s="28"/>
      <c r="K1134" s="28"/>
      <c r="L1134" s="4"/>
      <c r="M1134" s="28"/>
      <c r="N1134" s="28"/>
      <c r="O1134" s="28"/>
      <c r="P1134" s="4"/>
      <c r="Q1134" s="28"/>
      <c r="R1134" s="28"/>
      <c r="S1134" s="28"/>
      <c r="T1134" s="4"/>
      <c r="U1134" s="4"/>
      <c r="V1134" s="4"/>
      <c r="W1134" s="4"/>
      <c r="X1134" s="4"/>
      <c r="Y1134" s="4"/>
      <c r="Z1134" s="4"/>
    </row>
    <row r="1135" ht="12.75" customHeight="1">
      <c r="A1135" s="28"/>
      <c r="B1135" s="28"/>
      <c r="C1135" s="28"/>
      <c r="D1135" s="4"/>
      <c r="E1135" s="28"/>
      <c r="F1135" s="28"/>
      <c r="G1135" s="28"/>
      <c r="H1135" s="4"/>
      <c r="I1135" s="28"/>
      <c r="J1135" s="28"/>
      <c r="K1135" s="28"/>
      <c r="L1135" s="4"/>
      <c r="M1135" s="28"/>
      <c r="N1135" s="28"/>
      <c r="O1135" s="28"/>
      <c r="P1135" s="4"/>
      <c r="Q1135" s="28"/>
      <c r="R1135" s="28"/>
      <c r="S1135" s="28"/>
      <c r="T1135" s="4"/>
      <c r="U1135" s="4"/>
      <c r="V1135" s="4"/>
      <c r="W1135" s="4"/>
      <c r="X1135" s="4"/>
      <c r="Y1135" s="4"/>
      <c r="Z1135" s="4"/>
    </row>
    <row r="1136" ht="12.75" customHeight="1">
      <c r="A1136" s="28"/>
      <c r="B1136" s="28"/>
      <c r="C1136" s="28"/>
      <c r="D1136" s="4"/>
      <c r="E1136" s="28"/>
      <c r="F1136" s="28"/>
      <c r="G1136" s="28"/>
      <c r="H1136" s="4"/>
      <c r="I1136" s="28"/>
      <c r="J1136" s="28"/>
      <c r="K1136" s="28"/>
      <c r="L1136" s="4"/>
      <c r="M1136" s="28"/>
      <c r="N1136" s="28"/>
      <c r="O1136" s="28"/>
      <c r="P1136" s="4"/>
      <c r="Q1136" s="28"/>
      <c r="R1136" s="28"/>
      <c r="S1136" s="28"/>
      <c r="T1136" s="4"/>
      <c r="U1136" s="4"/>
      <c r="V1136" s="4"/>
      <c r="W1136" s="4"/>
      <c r="X1136" s="4"/>
      <c r="Y1136" s="4"/>
      <c r="Z1136" s="4"/>
    </row>
    <row r="1137" ht="12.75" customHeight="1">
      <c r="A1137" s="28"/>
      <c r="B1137" s="28"/>
      <c r="C1137" s="28"/>
      <c r="D1137" s="4"/>
      <c r="E1137" s="28"/>
      <c r="F1137" s="28"/>
      <c r="G1137" s="28"/>
      <c r="H1137" s="4"/>
      <c r="I1137" s="28"/>
      <c r="J1137" s="28"/>
      <c r="K1137" s="28"/>
      <c r="L1137" s="4"/>
      <c r="M1137" s="28"/>
      <c r="N1137" s="28"/>
      <c r="O1137" s="28"/>
      <c r="P1137" s="4"/>
      <c r="Q1137" s="28"/>
      <c r="R1137" s="28"/>
      <c r="S1137" s="28"/>
      <c r="T1137" s="4"/>
      <c r="U1137" s="4"/>
      <c r="V1137" s="4"/>
      <c r="W1137" s="4"/>
      <c r="X1137" s="4"/>
      <c r="Y1137" s="4"/>
      <c r="Z1137" s="4"/>
    </row>
    <row r="1138" ht="12.75" customHeight="1">
      <c r="A1138" s="28"/>
      <c r="B1138" s="28"/>
      <c r="C1138" s="28"/>
      <c r="D1138" s="4"/>
      <c r="E1138" s="28"/>
      <c r="F1138" s="28"/>
      <c r="G1138" s="28"/>
      <c r="H1138" s="4"/>
      <c r="I1138" s="28"/>
      <c r="J1138" s="28"/>
      <c r="K1138" s="28"/>
      <c r="L1138" s="4"/>
      <c r="M1138" s="28"/>
      <c r="N1138" s="28"/>
      <c r="O1138" s="28"/>
      <c r="P1138" s="4"/>
      <c r="Q1138" s="28"/>
      <c r="R1138" s="28"/>
      <c r="S1138" s="28"/>
      <c r="T1138" s="4"/>
      <c r="U1138" s="4"/>
      <c r="V1138" s="4"/>
      <c r="W1138" s="4"/>
      <c r="X1138" s="4"/>
      <c r="Y1138" s="4"/>
      <c r="Z1138" s="4"/>
    </row>
    <row r="1139" ht="12.75" customHeight="1">
      <c r="A1139" s="28"/>
      <c r="B1139" s="28"/>
      <c r="C1139" s="28"/>
      <c r="D1139" s="4"/>
      <c r="E1139" s="28"/>
      <c r="F1139" s="28"/>
      <c r="G1139" s="28"/>
      <c r="H1139" s="4"/>
      <c r="I1139" s="28"/>
      <c r="J1139" s="28"/>
      <c r="K1139" s="28"/>
      <c r="L1139" s="4"/>
      <c r="M1139" s="28"/>
      <c r="N1139" s="28"/>
      <c r="O1139" s="28"/>
      <c r="P1139" s="4"/>
      <c r="Q1139" s="28"/>
      <c r="R1139" s="28"/>
      <c r="S1139" s="28"/>
      <c r="T1139" s="4"/>
      <c r="U1139" s="4"/>
      <c r="V1139" s="4"/>
      <c r="W1139" s="4"/>
      <c r="X1139" s="4"/>
      <c r="Y1139" s="4"/>
      <c r="Z1139" s="4"/>
    </row>
    <row r="1140" ht="12.75" customHeight="1">
      <c r="A1140" s="28"/>
      <c r="B1140" s="28"/>
      <c r="C1140" s="28"/>
      <c r="D1140" s="4"/>
      <c r="E1140" s="28"/>
      <c r="F1140" s="28"/>
      <c r="G1140" s="28"/>
      <c r="H1140" s="4"/>
      <c r="I1140" s="28"/>
      <c r="J1140" s="28"/>
      <c r="K1140" s="28"/>
      <c r="L1140" s="4"/>
      <c r="M1140" s="28"/>
      <c r="N1140" s="28"/>
      <c r="O1140" s="28"/>
      <c r="P1140" s="4"/>
      <c r="Q1140" s="28"/>
      <c r="R1140" s="28"/>
      <c r="S1140" s="28"/>
      <c r="T1140" s="4"/>
      <c r="U1140" s="4"/>
      <c r="V1140" s="4"/>
      <c r="W1140" s="4"/>
      <c r="X1140" s="4"/>
      <c r="Y1140" s="4"/>
      <c r="Z1140" s="4"/>
    </row>
    <row r="1141" ht="12.75" customHeight="1">
      <c r="A1141" s="28"/>
      <c r="B1141" s="28"/>
      <c r="C1141" s="28"/>
      <c r="D1141" s="4"/>
      <c r="E1141" s="28"/>
      <c r="F1141" s="28"/>
      <c r="G1141" s="28"/>
      <c r="H1141" s="4"/>
      <c r="I1141" s="28"/>
      <c r="J1141" s="28"/>
      <c r="K1141" s="28"/>
      <c r="L1141" s="4"/>
      <c r="M1141" s="28"/>
      <c r="N1141" s="28"/>
      <c r="O1141" s="28"/>
      <c r="P1141" s="4"/>
      <c r="Q1141" s="28"/>
      <c r="R1141" s="28"/>
      <c r="S1141" s="28"/>
      <c r="T1141" s="4"/>
      <c r="U1141" s="4"/>
      <c r="V1141" s="4"/>
      <c r="W1141" s="4"/>
      <c r="X1141" s="4"/>
      <c r="Y1141" s="4"/>
      <c r="Z1141" s="4"/>
    </row>
    <row r="1142" ht="12.75" customHeight="1">
      <c r="A1142" s="28"/>
      <c r="B1142" s="28"/>
      <c r="C1142" s="28"/>
      <c r="D1142" s="4"/>
      <c r="E1142" s="28"/>
      <c r="F1142" s="28"/>
      <c r="G1142" s="28"/>
      <c r="H1142" s="4"/>
      <c r="I1142" s="28"/>
      <c r="J1142" s="28"/>
      <c r="K1142" s="28"/>
      <c r="L1142" s="4"/>
      <c r="M1142" s="28"/>
      <c r="N1142" s="28"/>
      <c r="O1142" s="28"/>
      <c r="P1142" s="4"/>
      <c r="Q1142" s="28"/>
      <c r="R1142" s="28"/>
      <c r="S1142" s="28"/>
      <c r="T1142" s="4"/>
      <c r="U1142" s="4"/>
      <c r="V1142" s="4"/>
      <c r="W1142" s="4"/>
      <c r="X1142" s="4"/>
      <c r="Y1142" s="4"/>
      <c r="Z1142" s="4"/>
    </row>
    <row r="1143" ht="12.75" customHeight="1">
      <c r="A1143" s="28"/>
      <c r="B1143" s="28"/>
      <c r="C1143" s="28"/>
      <c r="D1143" s="4"/>
      <c r="E1143" s="28"/>
      <c r="F1143" s="28"/>
      <c r="G1143" s="28"/>
      <c r="H1143" s="4"/>
      <c r="I1143" s="28"/>
      <c r="J1143" s="28"/>
      <c r="K1143" s="28"/>
      <c r="L1143" s="4"/>
      <c r="M1143" s="28"/>
      <c r="N1143" s="28"/>
      <c r="O1143" s="28"/>
      <c r="P1143" s="4"/>
      <c r="Q1143" s="28"/>
      <c r="R1143" s="28"/>
      <c r="S1143" s="28"/>
      <c r="T1143" s="4"/>
      <c r="U1143" s="4"/>
      <c r="V1143" s="4"/>
      <c r="W1143" s="4"/>
      <c r="X1143" s="4"/>
      <c r="Y1143" s="4"/>
      <c r="Z1143" s="4"/>
    </row>
    <row r="1144" ht="12.75" customHeight="1">
      <c r="A1144" s="28"/>
      <c r="B1144" s="28"/>
      <c r="C1144" s="28"/>
      <c r="D1144" s="4"/>
      <c r="E1144" s="28"/>
      <c r="F1144" s="28"/>
      <c r="G1144" s="28"/>
      <c r="H1144" s="4"/>
      <c r="I1144" s="28"/>
      <c r="J1144" s="28"/>
      <c r="K1144" s="28"/>
      <c r="L1144" s="4"/>
      <c r="M1144" s="28"/>
      <c r="N1144" s="28"/>
      <c r="O1144" s="28"/>
      <c r="P1144" s="4"/>
      <c r="Q1144" s="28"/>
      <c r="R1144" s="28"/>
      <c r="S1144" s="28"/>
      <c r="T1144" s="4"/>
      <c r="U1144" s="4"/>
      <c r="V1144" s="4"/>
      <c r="W1144" s="4"/>
      <c r="X1144" s="4"/>
      <c r="Y1144" s="4"/>
      <c r="Z1144" s="4"/>
    </row>
    <row r="1145" ht="12.75" customHeight="1">
      <c r="A1145" s="28"/>
      <c r="B1145" s="28"/>
      <c r="C1145" s="28"/>
      <c r="D1145" s="4"/>
      <c r="E1145" s="28"/>
      <c r="F1145" s="28"/>
      <c r="G1145" s="28"/>
      <c r="H1145" s="4"/>
      <c r="I1145" s="28"/>
      <c r="J1145" s="28"/>
      <c r="K1145" s="28"/>
      <c r="L1145" s="4"/>
      <c r="M1145" s="28"/>
      <c r="N1145" s="28"/>
      <c r="O1145" s="28"/>
      <c r="P1145" s="4"/>
      <c r="Q1145" s="28"/>
      <c r="R1145" s="28"/>
      <c r="S1145" s="28"/>
      <c r="T1145" s="4"/>
      <c r="U1145" s="4"/>
      <c r="V1145" s="4"/>
      <c r="W1145" s="4"/>
      <c r="X1145" s="4"/>
      <c r="Y1145" s="4"/>
      <c r="Z1145" s="4"/>
    </row>
    <row r="1146" ht="12.75" customHeight="1">
      <c r="A1146" s="28"/>
      <c r="B1146" s="28"/>
      <c r="C1146" s="28"/>
      <c r="D1146" s="4"/>
      <c r="E1146" s="28"/>
      <c r="F1146" s="28"/>
      <c r="G1146" s="28"/>
      <c r="H1146" s="4"/>
      <c r="I1146" s="28"/>
      <c r="J1146" s="28"/>
      <c r="K1146" s="28"/>
      <c r="L1146" s="4"/>
      <c r="M1146" s="28"/>
      <c r="N1146" s="28"/>
      <c r="O1146" s="28"/>
      <c r="P1146" s="4"/>
      <c r="Q1146" s="28"/>
      <c r="R1146" s="28"/>
      <c r="S1146" s="28"/>
      <c r="T1146" s="4"/>
      <c r="U1146" s="4"/>
      <c r="V1146" s="4"/>
      <c r="W1146" s="4"/>
      <c r="X1146" s="4"/>
      <c r="Y1146" s="4"/>
      <c r="Z1146" s="4"/>
    </row>
    <row r="1147" ht="12.75" customHeight="1">
      <c r="A1147" s="28"/>
      <c r="B1147" s="28"/>
      <c r="C1147" s="28"/>
      <c r="D1147" s="4"/>
      <c r="E1147" s="28"/>
      <c r="F1147" s="28"/>
      <c r="G1147" s="28"/>
      <c r="H1147" s="4"/>
      <c r="I1147" s="28"/>
      <c r="J1147" s="28"/>
      <c r="K1147" s="28"/>
      <c r="L1147" s="4"/>
      <c r="M1147" s="28"/>
      <c r="N1147" s="28"/>
      <c r="O1147" s="28"/>
      <c r="P1147" s="4"/>
      <c r="Q1147" s="28"/>
      <c r="R1147" s="28"/>
      <c r="S1147" s="28"/>
      <c r="T1147" s="4"/>
      <c r="U1147" s="4"/>
      <c r="V1147" s="4"/>
      <c r="W1147" s="4"/>
      <c r="X1147" s="4"/>
      <c r="Y1147" s="4"/>
      <c r="Z1147" s="4"/>
    </row>
    <row r="1148" ht="12.75" customHeight="1">
      <c r="A1148" s="28"/>
      <c r="B1148" s="28"/>
      <c r="C1148" s="28"/>
      <c r="D1148" s="4"/>
      <c r="E1148" s="28"/>
      <c r="F1148" s="28"/>
      <c r="G1148" s="28"/>
      <c r="H1148" s="4"/>
      <c r="I1148" s="28"/>
      <c r="J1148" s="28"/>
      <c r="K1148" s="28"/>
      <c r="L1148" s="4"/>
      <c r="M1148" s="28"/>
      <c r="N1148" s="28"/>
      <c r="O1148" s="28"/>
      <c r="P1148" s="4"/>
      <c r="Q1148" s="28"/>
      <c r="R1148" s="28"/>
      <c r="S1148" s="28"/>
      <c r="T1148" s="4"/>
      <c r="U1148" s="4"/>
      <c r="V1148" s="4"/>
      <c r="W1148" s="4"/>
      <c r="X1148" s="4"/>
      <c r="Y1148" s="4"/>
      <c r="Z1148" s="4"/>
    </row>
    <row r="1149" ht="12.75" customHeight="1">
      <c r="A1149" s="28"/>
      <c r="B1149" s="28"/>
      <c r="C1149" s="28"/>
      <c r="D1149" s="4"/>
      <c r="E1149" s="28"/>
      <c r="F1149" s="28"/>
      <c r="G1149" s="28"/>
      <c r="H1149" s="4"/>
      <c r="I1149" s="28"/>
      <c r="J1149" s="28"/>
      <c r="K1149" s="28"/>
      <c r="L1149" s="4"/>
      <c r="M1149" s="28"/>
      <c r="N1149" s="28"/>
      <c r="O1149" s="28"/>
      <c r="P1149" s="4"/>
      <c r="Q1149" s="28"/>
      <c r="R1149" s="28"/>
      <c r="S1149" s="28"/>
      <c r="T1149" s="4"/>
      <c r="U1149" s="4"/>
      <c r="V1149" s="4"/>
      <c r="W1149" s="4"/>
      <c r="X1149" s="4"/>
      <c r="Y1149" s="4"/>
      <c r="Z1149" s="4"/>
    </row>
    <row r="1150" ht="12.75" customHeight="1">
      <c r="A1150" s="28"/>
      <c r="B1150" s="28"/>
      <c r="C1150" s="28"/>
      <c r="D1150" s="4"/>
      <c r="E1150" s="28"/>
      <c r="F1150" s="28"/>
      <c r="G1150" s="28"/>
      <c r="H1150" s="4"/>
      <c r="I1150" s="28"/>
      <c r="J1150" s="28"/>
      <c r="K1150" s="28"/>
      <c r="L1150" s="4"/>
      <c r="M1150" s="28"/>
      <c r="N1150" s="28"/>
      <c r="O1150" s="28"/>
      <c r="P1150" s="4"/>
      <c r="Q1150" s="28"/>
      <c r="R1150" s="28"/>
      <c r="S1150" s="28"/>
      <c r="T1150" s="4"/>
      <c r="U1150" s="4"/>
      <c r="V1150" s="4"/>
      <c r="W1150" s="4"/>
      <c r="X1150" s="4"/>
      <c r="Y1150" s="4"/>
      <c r="Z1150" s="4"/>
    </row>
    <row r="1151" ht="12.75" customHeight="1">
      <c r="A1151" s="28"/>
      <c r="B1151" s="28"/>
      <c r="C1151" s="28"/>
      <c r="D1151" s="4"/>
      <c r="E1151" s="28"/>
      <c r="F1151" s="28"/>
      <c r="G1151" s="28"/>
      <c r="H1151" s="4"/>
      <c r="I1151" s="28"/>
      <c r="J1151" s="28"/>
      <c r="K1151" s="28"/>
      <c r="L1151" s="4"/>
      <c r="M1151" s="28"/>
      <c r="N1151" s="28"/>
      <c r="O1151" s="28"/>
      <c r="P1151" s="4"/>
      <c r="Q1151" s="28"/>
      <c r="R1151" s="28"/>
      <c r="S1151" s="28"/>
      <c r="T1151" s="4"/>
      <c r="U1151" s="4"/>
      <c r="V1151" s="4"/>
      <c r="W1151" s="4"/>
      <c r="X1151" s="4"/>
      <c r="Y1151" s="4"/>
      <c r="Z1151" s="4"/>
    </row>
    <row r="1152" ht="12.75" customHeight="1">
      <c r="A1152" s="28"/>
      <c r="B1152" s="28"/>
      <c r="C1152" s="28"/>
      <c r="D1152" s="4"/>
      <c r="E1152" s="28"/>
      <c r="F1152" s="28"/>
      <c r="G1152" s="28"/>
      <c r="H1152" s="4"/>
      <c r="I1152" s="28"/>
      <c r="J1152" s="28"/>
      <c r="K1152" s="28"/>
      <c r="L1152" s="4"/>
      <c r="M1152" s="28"/>
      <c r="N1152" s="28"/>
      <c r="O1152" s="28"/>
      <c r="P1152" s="4"/>
      <c r="Q1152" s="28"/>
      <c r="R1152" s="28"/>
      <c r="S1152" s="28"/>
      <c r="T1152" s="4"/>
      <c r="U1152" s="4"/>
      <c r="V1152" s="4"/>
      <c r="W1152" s="4"/>
      <c r="X1152" s="4"/>
      <c r="Y1152" s="4"/>
      <c r="Z1152" s="4"/>
    </row>
    <row r="1153" ht="12.75" customHeight="1">
      <c r="A1153" s="28"/>
      <c r="B1153" s="28"/>
      <c r="C1153" s="28"/>
      <c r="D1153" s="4"/>
      <c r="E1153" s="28"/>
      <c r="F1153" s="28"/>
      <c r="G1153" s="28"/>
      <c r="H1153" s="4"/>
      <c r="I1153" s="28"/>
      <c r="J1153" s="28"/>
      <c r="K1153" s="28"/>
      <c r="L1153" s="4"/>
      <c r="M1153" s="28"/>
      <c r="N1153" s="28"/>
      <c r="O1153" s="28"/>
      <c r="P1153" s="4"/>
      <c r="Q1153" s="28"/>
      <c r="R1153" s="28"/>
      <c r="S1153" s="28"/>
      <c r="T1153" s="4"/>
      <c r="U1153" s="4"/>
      <c r="V1153" s="4"/>
      <c r="W1153" s="4"/>
      <c r="X1153" s="4"/>
      <c r="Y1153" s="4"/>
      <c r="Z1153" s="4"/>
    </row>
    <row r="1154" ht="12.75" customHeight="1">
      <c r="A1154" s="28"/>
      <c r="B1154" s="28"/>
      <c r="C1154" s="28"/>
      <c r="D1154" s="4"/>
      <c r="E1154" s="28"/>
      <c r="F1154" s="28"/>
      <c r="G1154" s="28"/>
      <c r="H1154" s="4"/>
      <c r="I1154" s="28"/>
      <c r="J1154" s="28"/>
      <c r="K1154" s="28"/>
      <c r="L1154" s="4"/>
      <c r="M1154" s="28"/>
      <c r="N1154" s="28"/>
      <c r="O1154" s="28"/>
      <c r="P1154" s="4"/>
      <c r="Q1154" s="28"/>
      <c r="R1154" s="28"/>
      <c r="S1154" s="28"/>
      <c r="T1154" s="4"/>
      <c r="U1154" s="4"/>
      <c r="V1154" s="4"/>
      <c r="W1154" s="4"/>
      <c r="X1154" s="4"/>
      <c r="Y1154" s="4"/>
      <c r="Z1154" s="4"/>
    </row>
    <row r="1155" ht="12.75" customHeight="1">
      <c r="A1155" s="28"/>
      <c r="B1155" s="28"/>
      <c r="C1155" s="28"/>
      <c r="D1155" s="4"/>
      <c r="E1155" s="28"/>
      <c r="F1155" s="28"/>
      <c r="G1155" s="28"/>
      <c r="H1155" s="4"/>
      <c r="I1155" s="28"/>
      <c r="J1155" s="28"/>
      <c r="K1155" s="28"/>
      <c r="L1155" s="4"/>
      <c r="M1155" s="28"/>
      <c r="N1155" s="28"/>
      <c r="O1155" s="28"/>
      <c r="P1155" s="4"/>
      <c r="Q1155" s="28"/>
      <c r="R1155" s="28"/>
      <c r="S1155" s="28"/>
      <c r="T1155" s="4"/>
      <c r="U1155" s="4"/>
      <c r="V1155" s="4"/>
      <c r="W1155" s="4"/>
      <c r="X1155" s="4"/>
      <c r="Y1155" s="4"/>
      <c r="Z1155" s="4"/>
    </row>
    <row r="1156" ht="12.75" customHeight="1">
      <c r="A1156" s="28"/>
      <c r="B1156" s="28"/>
      <c r="C1156" s="28"/>
      <c r="D1156" s="4"/>
      <c r="E1156" s="28"/>
      <c r="F1156" s="28"/>
      <c r="G1156" s="28"/>
      <c r="H1156" s="4"/>
      <c r="I1156" s="28"/>
      <c r="J1156" s="28"/>
      <c r="K1156" s="28"/>
      <c r="L1156" s="4"/>
      <c r="M1156" s="28"/>
      <c r="N1156" s="28"/>
      <c r="O1156" s="28"/>
      <c r="P1156" s="4"/>
      <c r="Q1156" s="28"/>
      <c r="R1156" s="28"/>
      <c r="S1156" s="28"/>
      <c r="T1156" s="4"/>
      <c r="U1156" s="4"/>
      <c r="V1156" s="4"/>
      <c r="W1156" s="4"/>
      <c r="X1156" s="4"/>
      <c r="Y1156" s="4"/>
      <c r="Z1156" s="4"/>
    </row>
    <row r="1157" ht="12.75" customHeight="1">
      <c r="A1157" s="28"/>
      <c r="B1157" s="28"/>
      <c r="C1157" s="28"/>
      <c r="D1157" s="4"/>
      <c r="E1157" s="28"/>
      <c r="F1157" s="28"/>
      <c r="G1157" s="28"/>
      <c r="H1157" s="4"/>
      <c r="I1157" s="28"/>
      <c r="J1157" s="28"/>
      <c r="K1157" s="28"/>
      <c r="L1157" s="4"/>
      <c r="M1157" s="28"/>
      <c r="N1157" s="28"/>
      <c r="O1157" s="28"/>
      <c r="P1157" s="4"/>
      <c r="Q1157" s="28"/>
      <c r="R1157" s="28"/>
      <c r="S1157" s="28"/>
      <c r="T1157" s="4"/>
      <c r="U1157" s="4"/>
      <c r="V1157" s="4"/>
      <c r="W1157" s="4"/>
      <c r="X1157" s="4"/>
      <c r="Y1157" s="4"/>
      <c r="Z1157" s="4"/>
    </row>
    <row r="1158" ht="12.75" customHeight="1">
      <c r="A1158" s="28"/>
      <c r="B1158" s="28"/>
      <c r="C1158" s="28"/>
      <c r="D1158" s="4"/>
      <c r="E1158" s="28"/>
      <c r="F1158" s="28"/>
      <c r="G1158" s="28"/>
      <c r="H1158" s="4"/>
      <c r="I1158" s="28"/>
      <c r="J1158" s="28"/>
      <c r="K1158" s="28"/>
      <c r="L1158" s="4"/>
      <c r="M1158" s="28"/>
      <c r="N1158" s="28"/>
      <c r="O1158" s="28"/>
      <c r="P1158" s="4"/>
      <c r="Q1158" s="28"/>
      <c r="R1158" s="28"/>
      <c r="S1158" s="28"/>
      <c r="T1158" s="4"/>
      <c r="U1158" s="4"/>
      <c r="V1158" s="4"/>
      <c r="W1158" s="4"/>
      <c r="X1158" s="4"/>
      <c r="Y1158" s="4"/>
      <c r="Z1158" s="4"/>
    </row>
    <row r="1159" ht="12.75" customHeight="1">
      <c r="A1159" s="28"/>
      <c r="B1159" s="28"/>
      <c r="C1159" s="28"/>
      <c r="D1159" s="4"/>
      <c r="E1159" s="28"/>
      <c r="F1159" s="28"/>
      <c r="G1159" s="28"/>
      <c r="H1159" s="4"/>
      <c r="I1159" s="28"/>
      <c r="J1159" s="28"/>
      <c r="K1159" s="28"/>
      <c r="L1159" s="4"/>
      <c r="M1159" s="28"/>
      <c r="N1159" s="28"/>
      <c r="O1159" s="28"/>
      <c r="P1159" s="4"/>
      <c r="Q1159" s="28"/>
      <c r="R1159" s="28"/>
      <c r="S1159" s="28"/>
      <c r="T1159" s="4"/>
      <c r="U1159" s="4"/>
      <c r="V1159" s="4"/>
      <c r="W1159" s="4"/>
      <c r="X1159" s="4"/>
      <c r="Y1159" s="4"/>
      <c r="Z1159" s="4"/>
    </row>
    <row r="1160" ht="12.75" customHeight="1">
      <c r="A1160" s="28"/>
      <c r="B1160" s="28"/>
      <c r="C1160" s="28"/>
      <c r="D1160" s="4"/>
      <c r="E1160" s="28"/>
      <c r="F1160" s="28"/>
      <c r="G1160" s="28"/>
      <c r="H1160" s="4"/>
      <c r="I1160" s="28"/>
      <c r="J1160" s="28"/>
      <c r="K1160" s="28"/>
      <c r="L1160" s="4"/>
      <c r="M1160" s="28"/>
      <c r="N1160" s="28"/>
      <c r="O1160" s="28"/>
      <c r="P1160" s="4"/>
      <c r="Q1160" s="28"/>
      <c r="R1160" s="28"/>
      <c r="S1160" s="28"/>
      <c r="T1160" s="4"/>
      <c r="U1160" s="4"/>
      <c r="V1160" s="4"/>
      <c r="W1160" s="4"/>
      <c r="X1160" s="4"/>
      <c r="Y1160" s="4"/>
      <c r="Z1160" s="4"/>
    </row>
    <row r="1161" ht="12.75" customHeight="1">
      <c r="A1161" s="28"/>
      <c r="B1161" s="28"/>
      <c r="C1161" s="28"/>
      <c r="D1161" s="4"/>
      <c r="E1161" s="28"/>
      <c r="F1161" s="28"/>
      <c r="G1161" s="28"/>
      <c r="H1161" s="4"/>
      <c r="I1161" s="28"/>
      <c r="J1161" s="28"/>
      <c r="K1161" s="28"/>
      <c r="L1161" s="4"/>
      <c r="M1161" s="28"/>
      <c r="N1161" s="28"/>
      <c r="O1161" s="28"/>
      <c r="P1161" s="4"/>
      <c r="Q1161" s="28"/>
      <c r="R1161" s="28"/>
      <c r="S1161" s="28"/>
      <c r="T1161" s="4"/>
      <c r="U1161" s="4"/>
      <c r="V1161" s="4"/>
      <c r="W1161" s="4"/>
      <c r="X1161" s="4"/>
      <c r="Y1161" s="4"/>
      <c r="Z1161" s="4"/>
    </row>
    <row r="1162" ht="12.75" customHeight="1">
      <c r="A1162" s="28"/>
      <c r="B1162" s="28"/>
      <c r="C1162" s="28"/>
      <c r="D1162" s="4"/>
      <c r="E1162" s="28"/>
      <c r="F1162" s="28"/>
      <c r="G1162" s="28"/>
      <c r="H1162" s="4"/>
      <c r="I1162" s="28"/>
      <c r="J1162" s="28"/>
      <c r="K1162" s="28"/>
      <c r="L1162" s="4"/>
      <c r="M1162" s="28"/>
      <c r="N1162" s="28"/>
      <c r="O1162" s="28"/>
      <c r="P1162" s="4"/>
      <c r="Q1162" s="28"/>
      <c r="R1162" s="28"/>
      <c r="S1162" s="28"/>
      <c r="T1162" s="4"/>
      <c r="U1162" s="4"/>
      <c r="V1162" s="4"/>
      <c r="W1162" s="4"/>
      <c r="X1162" s="4"/>
      <c r="Y1162" s="4"/>
      <c r="Z1162" s="4"/>
    </row>
    <row r="1163" ht="12.75" customHeight="1">
      <c r="A1163" s="28"/>
      <c r="B1163" s="28"/>
      <c r="C1163" s="28"/>
      <c r="D1163" s="4"/>
      <c r="E1163" s="28"/>
      <c r="F1163" s="28"/>
      <c r="G1163" s="28"/>
      <c r="H1163" s="4"/>
      <c r="I1163" s="28"/>
      <c r="J1163" s="28"/>
      <c r="K1163" s="28"/>
      <c r="L1163" s="4"/>
      <c r="M1163" s="28"/>
      <c r="N1163" s="28"/>
      <c r="O1163" s="28"/>
      <c r="P1163" s="4"/>
      <c r="Q1163" s="28"/>
      <c r="R1163" s="28"/>
      <c r="S1163" s="28"/>
      <c r="T1163" s="4"/>
      <c r="U1163" s="4"/>
      <c r="V1163" s="4"/>
      <c r="W1163" s="4"/>
      <c r="X1163" s="4"/>
      <c r="Y1163" s="4"/>
      <c r="Z1163" s="4"/>
    </row>
    <row r="1164" ht="12.75" customHeight="1">
      <c r="A1164" s="28"/>
      <c r="B1164" s="28"/>
      <c r="C1164" s="28"/>
      <c r="D1164" s="4"/>
      <c r="E1164" s="28"/>
      <c r="F1164" s="28"/>
      <c r="G1164" s="28"/>
      <c r="H1164" s="4"/>
      <c r="I1164" s="28"/>
      <c r="J1164" s="28"/>
      <c r="K1164" s="28"/>
      <c r="L1164" s="4"/>
      <c r="M1164" s="28"/>
      <c r="N1164" s="28"/>
      <c r="O1164" s="28"/>
      <c r="P1164" s="4"/>
      <c r="Q1164" s="28"/>
      <c r="R1164" s="28"/>
      <c r="S1164" s="28"/>
      <c r="T1164" s="4"/>
      <c r="U1164" s="4"/>
      <c r="V1164" s="4"/>
      <c r="W1164" s="4"/>
      <c r="X1164" s="4"/>
      <c r="Y1164" s="4"/>
      <c r="Z1164" s="4"/>
    </row>
    <row r="1165" ht="12.75" customHeight="1">
      <c r="A1165" s="28"/>
      <c r="B1165" s="28"/>
      <c r="C1165" s="28"/>
      <c r="D1165" s="4"/>
      <c r="E1165" s="28"/>
      <c r="F1165" s="28"/>
      <c r="G1165" s="28"/>
      <c r="H1165" s="4"/>
      <c r="I1165" s="28"/>
      <c r="J1165" s="28"/>
      <c r="K1165" s="28"/>
      <c r="L1165" s="4"/>
      <c r="M1165" s="28"/>
      <c r="N1165" s="28"/>
      <c r="O1165" s="28"/>
      <c r="P1165" s="4"/>
      <c r="Q1165" s="28"/>
      <c r="R1165" s="28"/>
      <c r="S1165" s="28"/>
      <c r="T1165" s="4"/>
      <c r="U1165" s="4"/>
      <c r="V1165" s="4"/>
      <c r="W1165" s="4"/>
      <c r="X1165" s="4"/>
      <c r="Y1165" s="4"/>
      <c r="Z1165" s="4"/>
    </row>
    <row r="1166" ht="12.75" customHeight="1">
      <c r="A1166" s="28"/>
      <c r="B1166" s="28"/>
      <c r="C1166" s="28"/>
      <c r="D1166" s="4"/>
      <c r="E1166" s="28"/>
      <c r="F1166" s="28"/>
      <c r="G1166" s="28"/>
      <c r="H1166" s="4"/>
      <c r="I1166" s="28"/>
      <c r="J1166" s="28"/>
      <c r="K1166" s="28"/>
      <c r="L1166" s="4"/>
      <c r="M1166" s="28"/>
      <c r="N1166" s="28"/>
      <c r="O1166" s="28"/>
      <c r="P1166" s="4"/>
      <c r="Q1166" s="28"/>
      <c r="R1166" s="28"/>
      <c r="S1166" s="28"/>
      <c r="T1166" s="4"/>
      <c r="U1166" s="4"/>
      <c r="V1166" s="4"/>
      <c r="W1166" s="4"/>
      <c r="X1166" s="4"/>
      <c r="Y1166" s="4"/>
      <c r="Z1166" s="4"/>
    </row>
    <row r="1167" ht="12.75" customHeight="1">
      <c r="A1167" s="28"/>
      <c r="B1167" s="28"/>
      <c r="C1167" s="28"/>
      <c r="D1167" s="4"/>
      <c r="E1167" s="28"/>
      <c r="F1167" s="28"/>
      <c r="G1167" s="28"/>
      <c r="H1167" s="4"/>
      <c r="I1167" s="28"/>
      <c r="J1167" s="28"/>
      <c r="K1167" s="28"/>
      <c r="L1167" s="4"/>
      <c r="M1167" s="28"/>
      <c r="N1167" s="28"/>
      <c r="O1167" s="28"/>
      <c r="P1167" s="4"/>
      <c r="Q1167" s="28"/>
      <c r="R1167" s="28"/>
      <c r="S1167" s="28"/>
      <c r="T1167" s="4"/>
      <c r="U1167" s="4"/>
      <c r="V1167" s="4"/>
      <c r="W1167" s="4"/>
      <c r="X1167" s="4"/>
      <c r="Y1167" s="4"/>
      <c r="Z1167" s="4"/>
    </row>
    <row r="1168" ht="12.75" customHeight="1">
      <c r="A1168" s="28"/>
      <c r="B1168" s="28"/>
      <c r="C1168" s="28"/>
      <c r="D1168" s="4"/>
      <c r="E1168" s="28"/>
      <c r="F1168" s="28"/>
      <c r="G1168" s="28"/>
      <c r="H1168" s="4"/>
      <c r="I1168" s="28"/>
      <c r="J1168" s="28"/>
      <c r="K1168" s="28"/>
      <c r="L1168" s="4"/>
      <c r="M1168" s="28"/>
      <c r="N1168" s="28"/>
      <c r="O1168" s="28"/>
      <c r="P1168" s="4"/>
      <c r="Q1168" s="28"/>
      <c r="R1168" s="28"/>
      <c r="S1168" s="28"/>
      <c r="T1168" s="4"/>
      <c r="U1168" s="4"/>
      <c r="V1168" s="4"/>
      <c r="W1168" s="4"/>
      <c r="X1168" s="4"/>
      <c r="Y1168" s="4"/>
      <c r="Z1168" s="4"/>
    </row>
    <row r="1169" ht="12.75" customHeight="1">
      <c r="A1169" s="28"/>
      <c r="B1169" s="28"/>
      <c r="C1169" s="28"/>
      <c r="D1169" s="4"/>
      <c r="E1169" s="28"/>
      <c r="F1169" s="28"/>
      <c r="G1169" s="28"/>
      <c r="H1169" s="4"/>
      <c r="I1169" s="28"/>
      <c r="J1169" s="28"/>
      <c r="K1169" s="28"/>
      <c r="L1169" s="4"/>
      <c r="M1169" s="28"/>
      <c r="N1169" s="28"/>
      <c r="O1169" s="28"/>
      <c r="P1169" s="4"/>
      <c r="Q1169" s="28"/>
      <c r="R1169" s="28"/>
      <c r="S1169" s="28"/>
      <c r="T1169" s="4"/>
      <c r="U1169" s="4"/>
      <c r="V1169" s="4"/>
      <c r="W1169" s="4"/>
      <c r="X1169" s="4"/>
      <c r="Y1169" s="4"/>
      <c r="Z1169" s="4"/>
    </row>
    <row r="1170" ht="12.75" customHeight="1">
      <c r="A1170" s="28"/>
      <c r="B1170" s="28"/>
      <c r="C1170" s="28"/>
      <c r="D1170" s="4"/>
      <c r="E1170" s="28"/>
      <c r="F1170" s="28"/>
      <c r="G1170" s="28"/>
      <c r="H1170" s="4"/>
      <c r="I1170" s="28"/>
      <c r="J1170" s="28"/>
      <c r="K1170" s="28"/>
      <c r="L1170" s="4"/>
      <c r="M1170" s="28"/>
      <c r="N1170" s="28"/>
      <c r="O1170" s="28"/>
      <c r="P1170" s="4"/>
      <c r="Q1170" s="28"/>
      <c r="R1170" s="28"/>
      <c r="S1170" s="28"/>
      <c r="T1170" s="4"/>
      <c r="U1170" s="4"/>
      <c r="V1170" s="4"/>
      <c r="W1170" s="4"/>
      <c r="X1170" s="4"/>
      <c r="Y1170" s="4"/>
      <c r="Z1170" s="4"/>
    </row>
    <row r="1171" ht="12.75" customHeight="1">
      <c r="A1171" s="28"/>
      <c r="B1171" s="28"/>
      <c r="C1171" s="28"/>
      <c r="D1171" s="4"/>
      <c r="E1171" s="28"/>
      <c r="F1171" s="28"/>
      <c r="G1171" s="28"/>
      <c r="H1171" s="4"/>
      <c r="I1171" s="28"/>
      <c r="J1171" s="28"/>
      <c r="K1171" s="28"/>
      <c r="L1171" s="4"/>
      <c r="M1171" s="28"/>
      <c r="N1171" s="28"/>
      <c r="O1171" s="28"/>
      <c r="P1171" s="4"/>
      <c r="Q1171" s="28"/>
      <c r="R1171" s="28"/>
      <c r="S1171" s="28"/>
      <c r="T1171" s="4"/>
      <c r="U1171" s="4"/>
      <c r="V1171" s="4"/>
      <c r="W1171" s="4"/>
      <c r="X1171" s="4"/>
      <c r="Y1171" s="4"/>
      <c r="Z1171" s="4"/>
    </row>
    <row r="1172" ht="12.75" customHeight="1">
      <c r="A1172" s="28"/>
      <c r="B1172" s="28"/>
      <c r="C1172" s="28"/>
      <c r="D1172" s="4"/>
      <c r="E1172" s="28"/>
      <c r="F1172" s="28"/>
      <c r="G1172" s="28"/>
      <c r="H1172" s="4"/>
      <c r="I1172" s="28"/>
      <c r="J1172" s="28"/>
      <c r="K1172" s="28"/>
      <c r="L1172" s="4"/>
      <c r="M1172" s="28"/>
      <c r="N1172" s="28"/>
      <c r="O1172" s="28"/>
      <c r="P1172" s="4"/>
      <c r="Q1172" s="28"/>
      <c r="R1172" s="28"/>
      <c r="S1172" s="28"/>
      <c r="T1172" s="4"/>
      <c r="U1172" s="4"/>
      <c r="V1172" s="4"/>
      <c r="W1172" s="4"/>
      <c r="X1172" s="4"/>
      <c r="Y1172" s="4"/>
      <c r="Z1172" s="4"/>
    </row>
    <row r="1173" ht="12.75" customHeight="1">
      <c r="A1173" s="28"/>
      <c r="B1173" s="28"/>
      <c r="C1173" s="28"/>
      <c r="D1173" s="4"/>
      <c r="E1173" s="28"/>
      <c r="F1173" s="28"/>
      <c r="G1173" s="28"/>
      <c r="H1173" s="4"/>
      <c r="I1173" s="28"/>
      <c r="J1173" s="28"/>
      <c r="K1173" s="28"/>
      <c r="L1173" s="4"/>
      <c r="M1173" s="28"/>
      <c r="N1173" s="28"/>
      <c r="O1173" s="28"/>
      <c r="P1173" s="4"/>
      <c r="Q1173" s="28"/>
      <c r="R1173" s="28"/>
      <c r="S1173" s="28"/>
      <c r="T1173" s="4"/>
      <c r="U1173" s="4"/>
      <c r="V1173" s="4"/>
      <c r="W1173" s="4"/>
      <c r="X1173" s="4"/>
      <c r="Y1173" s="4"/>
      <c r="Z1173" s="4"/>
    </row>
    <row r="1174" ht="12.75" customHeight="1">
      <c r="A1174" s="28"/>
      <c r="B1174" s="28"/>
      <c r="C1174" s="28"/>
      <c r="D1174" s="4"/>
      <c r="E1174" s="28"/>
      <c r="F1174" s="28"/>
      <c r="G1174" s="28"/>
      <c r="H1174" s="4"/>
      <c r="I1174" s="28"/>
      <c r="J1174" s="28"/>
      <c r="K1174" s="28"/>
      <c r="L1174" s="4"/>
      <c r="M1174" s="28"/>
      <c r="N1174" s="28"/>
      <c r="O1174" s="28"/>
      <c r="P1174" s="4"/>
      <c r="Q1174" s="28"/>
      <c r="R1174" s="28"/>
      <c r="S1174" s="28"/>
      <c r="T1174" s="4"/>
      <c r="U1174" s="4"/>
      <c r="V1174" s="4"/>
      <c r="W1174" s="4"/>
      <c r="X1174" s="4"/>
      <c r="Y1174" s="4"/>
      <c r="Z1174" s="4"/>
    </row>
    <row r="1175" ht="12.75" customHeight="1">
      <c r="A1175" s="28"/>
      <c r="B1175" s="28"/>
      <c r="C1175" s="28"/>
      <c r="D1175" s="4"/>
      <c r="E1175" s="28"/>
      <c r="F1175" s="28"/>
      <c r="G1175" s="28"/>
      <c r="H1175" s="4"/>
      <c r="I1175" s="28"/>
      <c r="J1175" s="28"/>
      <c r="K1175" s="28"/>
      <c r="L1175" s="4"/>
      <c r="M1175" s="28"/>
      <c r="N1175" s="28"/>
      <c r="O1175" s="28"/>
      <c r="P1175" s="4"/>
      <c r="Q1175" s="28"/>
      <c r="R1175" s="28"/>
      <c r="S1175" s="28"/>
      <c r="T1175" s="4"/>
      <c r="U1175" s="4"/>
      <c r="V1175" s="4"/>
      <c r="W1175" s="4"/>
      <c r="X1175" s="4"/>
      <c r="Y1175" s="4"/>
      <c r="Z1175" s="4"/>
    </row>
    <row r="1176" ht="12.75" customHeight="1">
      <c r="A1176" s="28"/>
      <c r="B1176" s="28"/>
      <c r="C1176" s="28"/>
      <c r="D1176" s="4"/>
      <c r="E1176" s="28"/>
      <c r="F1176" s="28"/>
      <c r="G1176" s="28"/>
      <c r="H1176" s="4"/>
      <c r="I1176" s="28"/>
      <c r="J1176" s="28"/>
      <c r="K1176" s="28"/>
      <c r="L1176" s="4"/>
      <c r="M1176" s="28"/>
      <c r="N1176" s="28"/>
      <c r="O1176" s="28"/>
      <c r="P1176" s="4"/>
      <c r="Q1176" s="28"/>
      <c r="R1176" s="28"/>
      <c r="S1176" s="28"/>
      <c r="T1176" s="4"/>
      <c r="U1176" s="4"/>
      <c r="V1176" s="4"/>
      <c r="W1176" s="4"/>
      <c r="X1176" s="4"/>
      <c r="Y1176" s="4"/>
      <c r="Z1176" s="4"/>
    </row>
    <row r="1177" ht="12.75" customHeight="1">
      <c r="A1177" s="28"/>
      <c r="B1177" s="28"/>
      <c r="C1177" s="28"/>
      <c r="D1177" s="4"/>
      <c r="E1177" s="28"/>
      <c r="F1177" s="28"/>
      <c r="G1177" s="28"/>
      <c r="H1177" s="4"/>
      <c r="I1177" s="28"/>
      <c r="J1177" s="28"/>
      <c r="K1177" s="28"/>
      <c r="L1177" s="4"/>
      <c r="M1177" s="28"/>
      <c r="N1177" s="28"/>
      <c r="O1177" s="28"/>
      <c r="P1177" s="4"/>
      <c r="Q1177" s="28"/>
      <c r="R1177" s="28"/>
      <c r="S1177" s="28"/>
      <c r="T1177" s="4"/>
      <c r="U1177" s="4"/>
      <c r="V1177" s="4"/>
      <c r="W1177" s="4"/>
      <c r="X1177" s="4"/>
      <c r="Y1177" s="4"/>
      <c r="Z1177" s="4"/>
    </row>
    <row r="1178" ht="12.75" customHeight="1">
      <c r="A1178" s="28"/>
      <c r="B1178" s="28"/>
      <c r="C1178" s="28"/>
      <c r="D1178" s="4"/>
      <c r="E1178" s="28"/>
      <c r="F1178" s="28"/>
      <c r="G1178" s="28"/>
      <c r="H1178" s="4"/>
      <c r="I1178" s="28"/>
      <c r="J1178" s="28"/>
      <c r="K1178" s="28"/>
      <c r="L1178" s="4"/>
      <c r="M1178" s="28"/>
      <c r="N1178" s="28"/>
      <c r="O1178" s="28"/>
      <c r="P1178" s="4"/>
      <c r="Q1178" s="28"/>
      <c r="R1178" s="28"/>
      <c r="S1178" s="28"/>
      <c r="T1178" s="4"/>
      <c r="U1178" s="4"/>
      <c r="V1178" s="4"/>
      <c r="W1178" s="4"/>
      <c r="X1178" s="4"/>
      <c r="Y1178" s="4"/>
      <c r="Z1178" s="4"/>
    </row>
    <row r="1179" ht="12.75" customHeight="1">
      <c r="A1179" s="28"/>
      <c r="B1179" s="28"/>
      <c r="C1179" s="28"/>
      <c r="D1179" s="4"/>
      <c r="E1179" s="28"/>
      <c r="F1179" s="28"/>
      <c r="G1179" s="28"/>
      <c r="H1179" s="4"/>
      <c r="I1179" s="28"/>
      <c r="J1179" s="28"/>
      <c r="K1179" s="28"/>
      <c r="L1179" s="4"/>
      <c r="M1179" s="28"/>
      <c r="N1179" s="28"/>
      <c r="O1179" s="28"/>
      <c r="P1179" s="4"/>
      <c r="Q1179" s="28"/>
      <c r="R1179" s="28"/>
      <c r="S1179" s="28"/>
      <c r="T1179" s="4"/>
      <c r="U1179" s="4"/>
      <c r="V1179" s="4"/>
      <c r="W1179" s="4"/>
      <c r="X1179" s="4"/>
      <c r="Y1179" s="4"/>
      <c r="Z1179" s="4"/>
    </row>
    <row r="1180" ht="12.75" customHeight="1">
      <c r="A1180" s="28"/>
      <c r="B1180" s="28"/>
      <c r="C1180" s="28"/>
      <c r="D1180" s="4"/>
      <c r="E1180" s="28"/>
      <c r="F1180" s="28"/>
      <c r="G1180" s="28"/>
      <c r="H1180" s="4"/>
      <c r="I1180" s="28"/>
      <c r="J1180" s="28"/>
      <c r="K1180" s="28"/>
      <c r="L1180" s="4"/>
      <c r="M1180" s="28"/>
      <c r="N1180" s="28"/>
      <c r="O1180" s="28"/>
      <c r="P1180" s="4"/>
      <c r="Q1180" s="28"/>
      <c r="R1180" s="28"/>
      <c r="S1180" s="28"/>
      <c r="T1180" s="4"/>
      <c r="U1180" s="4"/>
      <c r="V1180" s="4"/>
      <c r="W1180" s="4"/>
      <c r="X1180" s="4"/>
      <c r="Y1180" s="4"/>
      <c r="Z1180" s="4"/>
    </row>
    <row r="1181" ht="12.75" customHeight="1">
      <c r="A1181" s="28"/>
      <c r="B1181" s="28"/>
      <c r="C1181" s="28"/>
      <c r="D1181" s="4"/>
      <c r="E1181" s="28"/>
      <c r="F1181" s="28"/>
      <c r="G1181" s="28"/>
      <c r="H1181" s="4"/>
      <c r="I1181" s="28"/>
      <c r="J1181" s="28"/>
      <c r="K1181" s="28"/>
      <c r="L1181" s="4"/>
      <c r="M1181" s="28"/>
      <c r="N1181" s="28"/>
      <c r="O1181" s="28"/>
      <c r="P1181" s="4"/>
      <c r="Q1181" s="28"/>
      <c r="R1181" s="28"/>
      <c r="S1181" s="28"/>
      <c r="T1181" s="4"/>
      <c r="U1181" s="4"/>
      <c r="V1181" s="4"/>
      <c r="W1181" s="4"/>
      <c r="X1181" s="4"/>
      <c r="Y1181" s="4"/>
      <c r="Z1181" s="4"/>
    </row>
    <row r="1182" ht="12.75" customHeight="1">
      <c r="A1182" s="28"/>
      <c r="B1182" s="28"/>
      <c r="C1182" s="28"/>
      <c r="D1182" s="4"/>
      <c r="E1182" s="28"/>
      <c r="F1182" s="28"/>
      <c r="G1182" s="28"/>
      <c r="H1182" s="4"/>
      <c r="I1182" s="28"/>
      <c r="J1182" s="28"/>
      <c r="K1182" s="28"/>
      <c r="L1182" s="4"/>
      <c r="M1182" s="28"/>
      <c r="N1182" s="28"/>
      <c r="O1182" s="28"/>
      <c r="P1182" s="4"/>
      <c r="Q1182" s="28"/>
      <c r="R1182" s="28"/>
      <c r="S1182" s="28"/>
      <c r="T1182" s="4"/>
      <c r="U1182" s="4"/>
      <c r="V1182" s="4"/>
      <c r="W1182" s="4"/>
      <c r="X1182" s="4"/>
      <c r="Y1182" s="4"/>
      <c r="Z1182" s="4"/>
    </row>
    <row r="1183" ht="12.75" customHeight="1">
      <c r="A1183" s="28"/>
      <c r="B1183" s="28"/>
      <c r="C1183" s="28"/>
      <c r="D1183" s="4"/>
      <c r="E1183" s="28"/>
      <c r="F1183" s="28"/>
      <c r="G1183" s="28"/>
      <c r="H1183" s="4"/>
      <c r="I1183" s="28"/>
      <c r="J1183" s="28"/>
      <c r="K1183" s="28"/>
      <c r="L1183" s="4"/>
      <c r="M1183" s="28"/>
      <c r="N1183" s="28"/>
      <c r="O1183" s="28"/>
      <c r="P1183" s="4"/>
      <c r="Q1183" s="28"/>
      <c r="R1183" s="28"/>
      <c r="S1183" s="28"/>
      <c r="T1183" s="4"/>
      <c r="U1183" s="4"/>
      <c r="V1183" s="4"/>
      <c r="W1183" s="4"/>
      <c r="X1183" s="4"/>
      <c r="Y1183" s="4"/>
      <c r="Z1183" s="4"/>
    </row>
    <row r="1184" ht="12.75" customHeight="1">
      <c r="A1184" s="28"/>
      <c r="B1184" s="28"/>
      <c r="C1184" s="28"/>
      <c r="D1184" s="4"/>
      <c r="E1184" s="28"/>
      <c r="F1184" s="28"/>
      <c r="G1184" s="28"/>
      <c r="H1184" s="4"/>
      <c r="I1184" s="28"/>
      <c r="J1184" s="28"/>
      <c r="K1184" s="28"/>
      <c r="L1184" s="4"/>
      <c r="M1184" s="28"/>
      <c r="N1184" s="28"/>
      <c r="O1184" s="28"/>
      <c r="P1184" s="4"/>
      <c r="Q1184" s="28"/>
      <c r="R1184" s="28"/>
      <c r="S1184" s="28"/>
      <c r="T1184" s="4"/>
      <c r="U1184" s="4"/>
      <c r="V1184" s="4"/>
      <c r="W1184" s="4"/>
      <c r="X1184" s="4"/>
      <c r="Y1184" s="4"/>
      <c r="Z1184" s="4"/>
    </row>
    <row r="1185" ht="12.75" customHeight="1">
      <c r="A1185" s="28"/>
      <c r="B1185" s="28"/>
      <c r="C1185" s="28"/>
      <c r="D1185" s="4"/>
      <c r="E1185" s="28"/>
      <c r="F1185" s="28"/>
      <c r="G1185" s="28"/>
      <c r="H1185" s="4"/>
      <c r="I1185" s="28"/>
      <c r="J1185" s="28"/>
      <c r="K1185" s="28"/>
      <c r="L1185" s="4"/>
      <c r="M1185" s="28"/>
      <c r="N1185" s="28"/>
      <c r="O1185" s="28"/>
      <c r="P1185" s="4"/>
      <c r="Q1185" s="28"/>
      <c r="R1185" s="28"/>
      <c r="S1185" s="28"/>
      <c r="T1185" s="4"/>
      <c r="U1185" s="4"/>
      <c r="V1185" s="4"/>
      <c r="W1185" s="4"/>
      <c r="X1185" s="4"/>
      <c r="Y1185" s="4"/>
      <c r="Z1185" s="4"/>
    </row>
    <row r="1186" ht="12.75" customHeight="1">
      <c r="A1186" s="28"/>
      <c r="B1186" s="28"/>
      <c r="C1186" s="28"/>
      <c r="D1186" s="4"/>
      <c r="E1186" s="28"/>
      <c r="F1186" s="28"/>
      <c r="G1186" s="28"/>
      <c r="H1186" s="4"/>
      <c r="I1186" s="28"/>
      <c r="J1186" s="28"/>
      <c r="K1186" s="28"/>
      <c r="L1186" s="4"/>
      <c r="M1186" s="28"/>
      <c r="N1186" s="28"/>
      <c r="O1186" s="28"/>
      <c r="P1186" s="4"/>
      <c r="Q1186" s="28"/>
      <c r="R1186" s="28"/>
      <c r="S1186" s="28"/>
      <c r="T1186" s="4"/>
      <c r="U1186" s="4"/>
      <c r="V1186" s="4"/>
      <c r="W1186" s="4"/>
      <c r="X1186" s="4"/>
      <c r="Y1186" s="4"/>
      <c r="Z1186" s="4"/>
    </row>
    <row r="1187" ht="12.75" customHeight="1">
      <c r="A1187" s="28"/>
      <c r="B1187" s="28"/>
      <c r="C1187" s="28"/>
      <c r="D1187" s="4"/>
      <c r="E1187" s="28"/>
      <c r="F1187" s="28"/>
      <c r="G1187" s="28"/>
      <c r="H1187" s="4"/>
      <c r="I1187" s="28"/>
      <c r="J1187" s="28"/>
      <c r="K1187" s="28"/>
      <c r="L1187" s="4"/>
      <c r="M1187" s="28"/>
      <c r="N1187" s="28"/>
      <c r="O1187" s="28"/>
      <c r="P1187" s="4"/>
      <c r="Q1187" s="28"/>
      <c r="R1187" s="28"/>
      <c r="S1187" s="28"/>
      <c r="T1187" s="4"/>
      <c r="U1187" s="4"/>
      <c r="V1187" s="4"/>
      <c r="W1187" s="4"/>
      <c r="X1187" s="4"/>
      <c r="Y1187" s="4"/>
      <c r="Z1187" s="4"/>
    </row>
    <row r="1188" ht="12.75" customHeight="1">
      <c r="A1188" s="28"/>
      <c r="B1188" s="28"/>
      <c r="C1188" s="28"/>
      <c r="D1188" s="4"/>
      <c r="E1188" s="28"/>
      <c r="F1188" s="28"/>
      <c r="G1188" s="28"/>
      <c r="H1188" s="4"/>
      <c r="I1188" s="28"/>
      <c r="J1188" s="28"/>
      <c r="K1188" s="28"/>
      <c r="L1188" s="4"/>
      <c r="M1188" s="28"/>
      <c r="N1188" s="28"/>
      <c r="O1188" s="28"/>
      <c r="P1188" s="4"/>
      <c r="Q1188" s="28"/>
      <c r="R1188" s="28"/>
      <c r="S1188" s="28"/>
      <c r="T1188" s="4"/>
      <c r="U1188" s="4"/>
      <c r="V1188" s="4"/>
      <c r="W1188" s="4"/>
      <c r="X1188" s="4"/>
      <c r="Y1188" s="4"/>
      <c r="Z1188" s="4"/>
    </row>
    <row r="1189" ht="12.75" customHeight="1">
      <c r="A1189" s="28"/>
      <c r="B1189" s="28"/>
      <c r="C1189" s="28"/>
      <c r="D1189" s="4"/>
      <c r="E1189" s="28"/>
      <c r="F1189" s="28"/>
      <c r="G1189" s="28"/>
      <c r="H1189" s="4"/>
      <c r="I1189" s="28"/>
      <c r="J1189" s="28"/>
      <c r="K1189" s="28"/>
      <c r="L1189" s="4"/>
      <c r="M1189" s="28"/>
      <c r="N1189" s="28"/>
      <c r="O1189" s="28"/>
      <c r="P1189" s="4"/>
      <c r="Q1189" s="28"/>
      <c r="R1189" s="28"/>
      <c r="S1189" s="28"/>
      <c r="T1189" s="4"/>
      <c r="U1189" s="4"/>
      <c r="V1189" s="4"/>
      <c r="W1189" s="4"/>
      <c r="X1189" s="4"/>
      <c r="Y1189" s="4"/>
      <c r="Z1189" s="4"/>
    </row>
    <row r="1190" ht="12.75" customHeight="1">
      <c r="A1190" s="28"/>
      <c r="B1190" s="28"/>
      <c r="C1190" s="28"/>
      <c r="D1190" s="4"/>
      <c r="E1190" s="28"/>
      <c r="F1190" s="28"/>
      <c r="G1190" s="28"/>
      <c r="H1190" s="4"/>
      <c r="I1190" s="28"/>
      <c r="J1190" s="28"/>
      <c r="K1190" s="28"/>
      <c r="L1190" s="4"/>
      <c r="M1190" s="28"/>
      <c r="N1190" s="28"/>
      <c r="O1190" s="28"/>
      <c r="P1190" s="4"/>
      <c r="Q1190" s="28"/>
      <c r="R1190" s="28"/>
      <c r="S1190" s="28"/>
      <c r="T1190" s="4"/>
      <c r="U1190" s="4"/>
      <c r="V1190" s="4"/>
      <c r="W1190" s="4"/>
      <c r="X1190" s="4"/>
      <c r="Y1190" s="4"/>
      <c r="Z1190" s="4"/>
    </row>
    <row r="1191" ht="12.75" customHeight="1">
      <c r="A1191" s="28"/>
      <c r="B1191" s="28"/>
      <c r="C1191" s="28"/>
      <c r="D1191" s="4"/>
      <c r="E1191" s="28"/>
      <c r="F1191" s="28"/>
      <c r="G1191" s="28"/>
      <c r="H1191" s="4"/>
      <c r="I1191" s="28"/>
      <c r="J1191" s="28"/>
      <c r="K1191" s="28"/>
      <c r="L1191" s="4"/>
      <c r="M1191" s="28"/>
      <c r="N1191" s="28"/>
      <c r="O1191" s="28"/>
      <c r="P1191" s="4"/>
      <c r="Q1191" s="28"/>
      <c r="R1191" s="28"/>
      <c r="S1191" s="28"/>
      <c r="T1191" s="4"/>
      <c r="U1191" s="4"/>
      <c r="V1191" s="4"/>
      <c r="W1191" s="4"/>
      <c r="X1191" s="4"/>
      <c r="Y1191" s="4"/>
      <c r="Z1191" s="4"/>
    </row>
    <row r="1192" ht="12.75" customHeight="1">
      <c r="A1192" s="28"/>
      <c r="B1192" s="28"/>
      <c r="C1192" s="28"/>
      <c r="D1192" s="4"/>
      <c r="E1192" s="28"/>
      <c r="F1192" s="28"/>
      <c r="G1192" s="28"/>
      <c r="H1192" s="4"/>
      <c r="I1192" s="28"/>
      <c r="J1192" s="28"/>
      <c r="K1192" s="28"/>
      <c r="L1192" s="4"/>
      <c r="M1192" s="28"/>
      <c r="N1192" s="28"/>
      <c r="O1192" s="28"/>
      <c r="P1192" s="4"/>
      <c r="Q1192" s="28"/>
      <c r="R1192" s="28"/>
      <c r="S1192" s="28"/>
      <c r="T1192" s="4"/>
      <c r="U1192" s="4"/>
      <c r="V1192" s="4"/>
      <c r="W1192" s="4"/>
      <c r="X1192" s="4"/>
      <c r="Y1192" s="4"/>
      <c r="Z1192" s="4"/>
    </row>
    <row r="1193" ht="12.75" customHeight="1">
      <c r="A1193" s="28"/>
      <c r="B1193" s="28"/>
      <c r="C1193" s="28"/>
      <c r="D1193" s="4"/>
      <c r="E1193" s="28"/>
      <c r="F1193" s="28"/>
      <c r="G1193" s="28"/>
      <c r="H1193" s="4"/>
      <c r="I1193" s="28"/>
      <c r="J1193" s="28"/>
      <c r="K1193" s="28"/>
      <c r="L1193" s="4"/>
      <c r="M1193" s="28"/>
      <c r="N1193" s="28"/>
      <c r="O1193" s="28"/>
      <c r="P1193" s="4"/>
      <c r="Q1193" s="28"/>
      <c r="R1193" s="28"/>
      <c r="S1193" s="28"/>
      <c r="T1193" s="4"/>
      <c r="U1193" s="4"/>
      <c r="V1193" s="4"/>
      <c r="W1193" s="4"/>
      <c r="X1193" s="4"/>
      <c r="Y1193" s="4"/>
      <c r="Z1193" s="4"/>
    </row>
    <row r="1194" ht="12.75" customHeight="1">
      <c r="A1194" s="28"/>
      <c r="B1194" s="28"/>
      <c r="C1194" s="28"/>
      <c r="D1194" s="4"/>
      <c r="E1194" s="28"/>
      <c r="F1194" s="28"/>
      <c r="G1194" s="28"/>
      <c r="H1194" s="4"/>
      <c r="I1194" s="28"/>
      <c r="J1194" s="28"/>
      <c r="K1194" s="28"/>
      <c r="L1194" s="4"/>
      <c r="M1194" s="28"/>
      <c r="N1194" s="28"/>
      <c r="O1194" s="28"/>
      <c r="P1194" s="4"/>
      <c r="Q1194" s="28"/>
      <c r="R1194" s="28"/>
      <c r="S1194" s="28"/>
      <c r="T1194" s="4"/>
      <c r="U1194" s="4"/>
      <c r="V1194" s="4"/>
      <c r="W1194" s="4"/>
      <c r="X1194" s="4"/>
      <c r="Y1194" s="4"/>
      <c r="Z1194" s="4"/>
    </row>
    <row r="1195" ht="12.75" customHeight="1">
      <c r="A1195" s="28"/>
      <c r="B1195" s="28"/>
      <c r="C1195" s="28"/>
      <c r="D1195" s="4"/>
      <c r="E1195" s="28"/>
      <c r="F1195" s="28"/>
      <c r="G1195" s="28"/>
      <c r="H1195" s="4"/>
      <c r="I1195" s="28"/>
      <c r="J1195" s="28"/>
      <c r="K1195" s="28"/>
      <c r="L1195" s="4"/>
      <c r="M1195" s="28"/>
      <c r="N1195" s="28"/>
      <c r="O1195" s="28"/>
      <c r="P1195" s="4"/>
      <c r="Q1195" s="28"/>
      <c r="R1195" s="28"/>
      <c r="S1195" s="28"/>
      <c r="T1195" s="4"/>
      <c r="U1195" s="4"/>
      <c r="V1195" s="4"/>
      <c r="W1195" s="4"/>
      <c r="X1195" s="4"/>
      <c r="Y1195" s="4"/>
      <c r="Z1195" s="4"/>
    </row>
    <row r="1196" ht="12.75" customHeight="1">
      <c r="A1196" s="28"/>
      <c r="B1196" s="28"/>
      <c r="C1196" s="28"/>
      <c r="D1196" s="4"/>
      <c r="E1196" s="28"/>
      <c r="F1196" s="28"/>
      <c r="G1196" s="28"/>
      <c r="H1196" s="4"/>
      <c r="I1196" s="28"/>
      <c r="J1196" s="28"/>
      <c r="K1196" s="28"/>
      <c r="L1196" s="4"/>
      <c r="M1196" s="28"/>
      <c r="N1196" s="28"/>
      <c r="O1196" s="28"/>
      <c r="P1196" s="4"/>
      <c r="Q1196" s="28"/>
      <c r="R1196" s="28"/>
      <c r="S1196" s="28"/>
      <c r="T1196" s="4"/>
      <c r="U1196" s="4"/>
      <c r="V1196" s="4"/>
      <c r="W1196" s="4"/>
      <c r="X1196" s="4"/>
      <c r="Y1196" s="4"/>
      <c r="Z1196" s="4"/>
    </row>
    <row r="1197" ht="12.75" customHeight="1">
      <c r="A1197" s="28"/>
      <c r="B1197" s="28"/>
      <c r="C1197" s="28"/>
      <c r="D1197" s="4"/>
      <c r="E1197" s="28"/>
      <c r="F1197" s="28"/>
      <c r="G1197" s="28"/>
      <c r="H1197" s="4"/>
      <c r="I1197" s="28"/>
      <c r="J1197" s="28"/>
      <c r="K1197" s="28"/>
      <c r="L1197" s="4"/>
      <c r="M1197" s="28"/>
      <c r="N1197" s="28"/>
      <c r="O1197" s="28"/>
      <c r="P1197" s="4"/>
      <c r="Q1197" s="28"/>
      <c r="R1197" s="28"/>
      <c r="S1197" s="28"/>
      <c r="T1197" s="4"/>
      <c r="U1197" s="4"/>
      <c r="V1197" s="4"/>
      <c r="W1197" s="4"/>
      <c r="X1197" s="4"/>
      <c r="Y1197" s="4"/>
      <c r="Z1197" s="4"/>
    </row>
    <row r="1198" ht="12.75" customHeight="1">
      <c r="A1198" s="28"/>
      <c r="B1198" s="28"/>
      <c r="C1198" s="28"/>
      <c r="D1198" s="4"/>
      <c r="E1198" s="28"/>
      <c r="F1198" s="28"/>
      <c r="G1198" s="28"/>
      <c r="H1198" s="4"/>
      <c r="I1198" s="28"/>
      <c r="J1198" s="28"/>
      <c r="K1198" s="28"/>
      <c r="L1198" s="4"/>
      <c r="M1198" s="28"/>
      <c r="N1198" s="28"/>
      <c r="O1198" s="28"/>
      <c r="P1198" s="4"/>
      <c r="Q1198" s="28"/>
      <c r="R1198" s="28"/>
      <c r="S1198" s="28"/>
      <c r="T1198" s="4"/>
      <c r="U1198" s="4"/>
      <c r="V1198" s="4"/>
      <c r="W1198" s="4"/>
      <c r="X1198" s="4"/>
      <c r="Y1198" s="4"/>
      <c r="Z1198" s="4"/>
    </row>
    <row r="1199" ht="12.75" customHeight="1">
      <c r="A1199" s="28"/>
      <c r="B1199" s="28"/>
      <c r="C1199" s="28"/>
      <c r="D1199" s="4"/>
      <c r="E1199" s="28"/>
      <c r="F1199" s="28"/>
      <c r="G1199" s="28"/>
      <c r="H1199" s="4"/>
      <c r="I1199" s="28"/>
      <c r="J1199" s="28"/>
      <c r="K1199" s="28"/>
      <c r="L1199" s="4"/>
      <c r="M1199" s="28"/>
      <c r="N1199" s="28"/>
      <c r="O1199" s="28"/>
      <c r="P1199" s="4"/>
      <c r="Q1199" s="28"/>
      <c r="R1199" s="28"/>
      <c r="S1199" s="28"/>
      <c r="T1199" s="4"/>
      <c r="U1199" s="4"/>
      <c r="V1199" s="4"/>
      <c r="W1199" s="4"/>
      <c r="X1199" s="4"/>
      <c r="Y1199" s="4"/>
      <c r="Z1199" s="4"/>
    </row>
    <row r="1200" ht="12.75" customHeight="1">
      <c r="A1200" s="28"/>
      <c r="B1200" s="28"/>
      <c r="C1200" s="28"/>
      <c r="D1200" s="4"/>
      <c r="E1200" s="28"/>
      <c r="F1200" s="28"/>
      <c r="G1200" s="28"/>
      <c r="H1200" s="4"/>
      <c r="I1200" s="28"/>
      <c r="J1200" s="28"/>
      <c r="K1200" s="28"/>
      <c r="L1200" s="4"/>
      <c r="M1200" s="28"/>
      <c r="N1200" s="28"/>
      <c r="O1200" s="28"/>
      <c r="P1200" s="4"/>
      <c r="Q1200" s="28"/>
      <c r="R1200" s="28"/>
      <c r="S1200" s="28"/>
      <c r="T1200" s="4"/>
      <c r="U1200" s="4"/>
      <c r="V1200" s="4"/>
      <c r="W1200" s="4"/>
      <c r="X1200" s="4"/>
      <c r="Y1200" s="4"/>
      <c r="Z1200" s="4"/>
    </row>
    <row r="1201" ht="12.75" customHeight="1">
      <c r="A1201" s="28"/>
      <c r="B1201" s="28"/>
      <c r="C1201" s="28"/>
      <c r="D1201" s="4"/>
      <c r="E1201" s="28"/>
      <c r="F1201" s="28"/>
      <c r="G1201" s="28"/>
      <c r="H1201" s="4"/>
      <c r="I1201" s="28"/>
      <c r="J1201" s="28"/>
      <c r="K1201" s="28"/>
      <c r="L1201" s="4"/>
      <c r="M1201" s="28"/>
      <c r="N1201" s="28"/>
      <c r="O1201" s="28"/>
      <c r="P1201" s="4"/>
      <c r="Q1201" s="28"/>
      <c r="R1201" s="28"/>
      <c r="S1201" s="28"/>
      <c r="T1201" s="4"/>
      <c r="U1201" s="4"/>
      <c r="V1201" s="4"/>
      <c r="W1201" s="4"/>
      <c r="X1201" s="4"/>
      <c r="Y1201" s="4"/>
      <c r="Z1201" s="4"/>
    </row>
    <row r="1202" ht="12.75" customHeight="1">
      <c r="A1202" s="28"/>
      <c r="B1202" s="28"/>
      <c r="C1202" s="28"/>
      <c r="D1202" s="4"/>
      <c r="E1202" s="28"/>
      <c r="F1202" s="28"/>
      <c r="G1202" s="28"/>
      <c r="H1202" s="4"/>
      <c r="I1202" s="28"/>
      <c r="J1202" s="28"/>
      <c r="K1202" s="28"/>
      <c r="L1202" s="4"/>
      <c r="M1202" s="28"/>
      <c r="N1202" s="28"/>
      <c r="O1202" s="28"/>
      <c r="P1202" s="4"/>
      <c r="Q1202" s="28"/>
      <c r="R1202" s="28"/>
      <c r="S1202" s="28"/>
      <c r="T1202" s="4"/>
      <c r="U1202" s="4"/>
      <c r="V1202" s="4"/>
      <c r="W1202" s="4"/>
      <c r="X1202" s="4"/>
      <c r="Y1202" s="4"/>
      <c r="Z1202" s="4"/>
    </row>
    <row r="1203" ht="12.75" customHeight="1">
      <c r="A1203" s="28"/>
      <c r="B1203" s="28"/>
      <c r="C1203" s="28"/>
      <c r="D1203" s="4"/>
      <c r="E1203" s="28"/>
      <c r="F1203" s="28"/>
      <c r="G1203" s="28"/>
      <c r="H1203" s="4"/>
      <c r="I1203" s="28"/>
      <c r="J1203" s="28"/>
      <c r="K1203" s="28"/>
      <c r="L1203" s="4"/>
      <c r="M1203" s="28"/>
      <c r="N1203" s="28"/>
      <c r="O1203" s="28"/>
      <c r="P1203" s="4"/>
      <c r="Q1203" s="28"/>
      <c r="R1203" s="28"/>
      <c r="S1203" s="28"/>
      <c r="T1203" s="4"/>
      <c r="U1203" s="4"/>
      <c r="V1203" s="4"/>
      <c r="W1203" s="4"/>
      <c r="X1203" s="4"/>
      <c r="Y1203" s="4"/>
      <c r="Z1203" s="4"/>
    </row>
    <row r="1204" ht="12.75" customHeight="1">
      <c r="A1204" s="28"/>
      <c r="B1204" s="28"/>
      <c r="C1204" s="28"/>
      <c r="D1204" s="4"/>
      <c r="E1204" s="28"/>
      <c r="F1204" s="28"/>
      <c r="G1204" s="28"/>
      <c r="H1204" s="4"/>
      <c r="I1204" s="28"/>
      <c r="J1204" s="28"/>
      <c r="K1204" s="28"/>
      <c r="L1204" s="4"/>
      <c r="M1204" s="28"/>
      <c r="N1204" s="28"/>
      <c r="O1204" s="28"/>
      <c r="P1204" s="4"/>
      <c r="Q1204" s="28"/>
      <c r="R1204" s="28"/>
      <c r="S1204" s="28"/>
      <c r="T1204" s="4"/>
      <c r="U1204" s="4"/>
      <c r="V1204" s="4"/>
      <c r="W1204" s="4"/>
      <c r="X1204" s="4"/>
      <c r="Y1204" s="4"/>
      <c r="Z1204" s="4"/>
    </row>
    <row r="1205" ht="12.75" customHeight="1">
      <c r="A1205" s="28"/>
      <c r="B1205" s="28"/>
      <c r="C1205" s="28"/>
      <c r="D1205" s="4"/>
      <c r="E1205" s="28"/>
      <c r="F1205" s="28"/>
      <c r="G1205" s="28"/>
      <c r="H1205" s="4"/>
      <c r="I1205" s="28"/>
      <c r="J1205" s="28"/>
      <c r="K1205" s="28"/>
      <c r="L1205" s="4"/>
      <c r="M1205" s="28"/>
      <c r="N1205" s="28"/>
      <c r="O1205" s="28"/>
      <c r="P1205" s="4"/>
      <c r="Q1205" s="28"/>
      <c r="R1205" s="28"/>
      <c r="S1205" s="28"/>
      <c r="T1205" s="4"/>
      <c r="U1205" s="4"/>
      <c r="V1205" s="4"/>
      <c r="W1205" s="4"/>
      <c r="X1205" s="4"/>
      <c r="Y1205" s="4"/>
      <c r="Z1205" s="4"/>
    </row>
    <row r="1206" ht="12.75" customHeight="1">
      <c r="A1206" s="28"/>
      <c r="B1206" s="28"/>
      <c r="C1206" s="28"/>
      <c r="D1206" s="4"/>
      <c r="E1206" s="28"/>
      <c r="F1206" s="28"/>
      <c r="G1206" s="28"/>
      <c r="H1206" s="4"/>
      <c r="I1206" s="28"/>
      <c r="J1206" s="28"/>
      <c r="K1206" s="28"/>
      <c r="L1206" s="4"/>
      <c r="M1206" s="28"/>
      <c r="N1206" s="28"/>
      <c r="O1206" s="28"/>
      <c r="P1206" s="4"/>
      <c r="Q1206" s="28"/>
      <c r="R1206" s="28"/>
      <c r="S1206" s="28"/>
      <c r="T1206" s="4"/>
      <c r="U1206" s="4"/>
      <c r="V1206" s="4"/>
      <c r="W1206" s="4"/>
      <c r="X1206" s="4"/>
      <c r="Y1206" s="4"/>
      <c r="Z1206" s="4"/>
    </row>
    <row r="1207" ht="12.75" customHeight="1">
      <c r="A1207" s="28"/>
      <c r="B1207" s="28"/>
      <c r="C1207" s="28"/>
      <c r="D1207" s="4"/>
      <c r="E1207" s="28"/>
      <c r="F1207" s="28"/>
      <c r="G1207" s="28"/>
      <c r="H1207" s="4"/>
      <c r="I1207" s="28"/>
      <c r="J1207" s="28"/>
      <c r="K1207" s="28"/>
      <c r="L1207" s="4"/>
      <c r="M1207" s="28"/>
      <c r="N1207" s="28"/>
      <c r="O1207" s="28"/>
      <c r="P1207" s="4"/>
      <c r="Q1207" s="28"/>
      <c r="R1207" s="28"/>
      <c r="S1207" s="28"/>
      <c r="T1207" s="4"/>
      <c r="U1207" s="4"/>
      <c r="V1207" s="4"/>
      <c r="W1207" s="4"/>
      <c r="X1207" s="4"/>
      <c r="Y1207" s="4"/>
      <c r="Z1207" s="4"/>
    </row>
    <row r="1208" ht="12.75" customHeight="1">
      <c r="A1208" s="28"/>
      <c r="B1208" s="28"/>
      <c r="C1208" s="28"/>
      <c r="D1208" s="4"/>
      <c r="E1208" s="28"/>
      <c r="F1208" s="28"/>
      <c r="G1208" s="28"/>
      <c r="H1208" s="4"/>
      <c r="I1208" s="28"/>
      <c r="J1208" s="28"/>
      <c r="K1208" s="28"/>
      <c r="L1208" s="4"/>
      <c r="M1208" s="28"/>
      <c r="N1208" s="28"/>
      <c r="O1208" s="28"/>
      <c r="P1208" s="4"/>
      <c r="Q1208" s="28"/>
      <c r="R1208" s="28"/>
      <c r="S1208" s="28"/>
      <c r="T1208" s="4"/>
      <c r="U1208" s="4"/>
      <c r="V1208" s="4"/>
      <c r="W1208" s="4"/>
      <c r="X1208" s="4"/>
      <c r="Y1208" s="4"/>
      <c r="Z1208" s="4"/>
    </row>
    <row r="1209" ht="12.75" customHeight="1">
      <c r="A1209" s="28"/>
      <c r="B1209" s="28"/>
      <c r="C1209" s="28"/>
      <c r="D1209" s="4"/>
      <c r="E1209" s="28"/>
      <c r="F1209" s="28"/>
      <c r="G1209" s="28"/>
      <c r="H1209" s="4"/>
      <c r="I1209" s="28"/>
      <c r="J1209" s="28"/>
      <c r="K1209" s="28"/>
      <c r="L1209" s="4"/>
      <c r="M1209" s="28"/>
      <c r="N1209" s="28"/>
      <c r="O1209" s="28"/>
      <c r="P1209" s="4"/>
      <c r="Q1209" s="28"/>
      <c r="R1209" s="28"/>
      <c r="S1209" s="28"/>
      <c r="T1209" s="4"/>
      <c r="U1209" s="4"/>
      <c r="V1209" s="4"/>
      <c r="W1209" s="4"/>
      <c r="X1209" s="4"/>
      <c r="Y1209" s="4"/>
      <c r="Z1209" s="4"/>
    </row>
    <row r="1210" ht="12.75" customHeight="1">
      <c r="A1210" s="28"/>
      <c r="B1210" s="28"/>
      <c r="C1210" s="28"/>
      <c r="D1210" s="4"/>
      <c r="E1210" s="28"/>
      <c r="F1210" s="28"/>
      <c r="G1210" s="28"/>
      <c r="H1210" s="4"/>
      <c r="I1210" s="28"/>
      <c r="J1210" s="28"/>
      <c r="K1210" s="28"/>
      <c r="L1210" s="4"/>
      <c r="M1210" s="28"/>
      <c r="N1210" s="28"/>
      <c r="O1210" s="28"/>
      <c r="P1210" s="4"/>
      <c r="Q1210" s="28"/>
      <c r="R1210" s="28"/>
      <c r="S1210" s="28"/>
      <c r="T1210" s="4"/>
      <c r="U1210" s="4"/>
      <c r="V1210" s="4"/>
      <c r="W1210" s="4"/>
      <c r="X1210" s="4"/>
      <c r="Y1210" s="4"/>
      <c r="Z1210" s="4"/>
    </row>
    <row r="1211" ht="12.75" customHeight="1">
      <c r="A1211" s="28"/>
      <c r="B1211" s="28"/>
      <c r="C1211" s="28"/>
      <c r="D1211" s="4"/>
      <c r="E1211" s="28"/>
      <c r="F1211" s="28"/>
      <c r="G1211" s="28"/>
      <c r="H1211" s="4"/>
      <c r="I1211" s="28"/>
      <c r="J1211" s="28"/>
      <c r="K1211" s="28"/>
      <c r="L1211" s="4"/>
      <c r="M1211" s="28"/>
      <c r="N1211" s="28"/>
      <c r="O1211" s="28"/>
      <c r="P1211" s="4"/>
      <c r="Q1211" s="28"/>
      <c r="R1211" s="28"/>
      <c r="S1211" s="28"/>
      <c r="T1211" s="4"/>
      <c r="U1211" s="4"/>
      <c r="V1211" s="4"/>
      <c r="W1211" s="4"/>
      <c r="X1211" s="4"/>
      <c r="Y1211" s="4"/>
      <c r="Z1211" s="4"/>
    </row>
    <row r="1212" ht="12.75" customHeight="1">
      <c r="A1212" s="28"/>
      <c r="B1212" s="28"/>
      <c r="C1212" s="28"/>
      <c r="D1212" s="4"/>
      <c r="E1212" s="28"/>
      <c r="F1212" s="28"/>
      <c r="G1212" s="28"/>
      <c r="H1212" s="4"/>
      <c r="I1212" s="28"/>
      <c r="J1212" s="28"/>
      <c r="K1212" s="28"/>
      <c r="L1212" s="4"/>
      <c r="M1212" s="28"/>
      <c r="N1212" s="28"/>
      <c r="O1212" s="28"/>
      <c r="P1212" s="4"/>
      <c r="Q1212" s="28"/>
      <c r="R1212" s="28"/>
      <c r="S1212" s="28"/>
      <c r="T1212" s="4"/>
      <c r="U1212" s="4"/>
      <c r="V1212" s="4"/>
      <c r="W1212" s="4"/>
      <c r="X1212" s="4"/>
      <c r="Y1212" s="4"/>
      <c r="Z1212" s="4"/>
    </row>
    <row r="1213" ht="12.75" customHeight="1">
      <c r="A1213" s="28"/>
      <c r="B1213" s="28"/>
      <c r="C1213" s="28"/>
      <c r="D1213" s="4"/>
      <c r="E1213" s="28"/>
      <c r="F1213" s="28"/>
      <c r="G1213" s="28"/>
      <c r="H1213" s="4"/>
      <c r="I1213" s="28"/>
      <c r="J1213" s="28"/>
      <c r="K1213" s="28"/>
      <c r="L1213" s="4"/>
      <c r="M1213" s="28"/>
      <c r="N1213" s="28"/>
      <c r="O1213" s="28"/>
      <c r="P1213" s="4"/>
      <c r="Q1213" s="28"/>
      <c r="R1213" s="28"/>
      <c r="S1213" s="28"/>
      <c r="T1213" s="4"/>
      <c r="U1213" s="4"/>
      <c r="V1213" s="4"/>
      <c r="W1213" s="4"/>
      <c r="X1213" s="4"/>
      <c r="Y1213" s="4"/>
      <c r="Z1213" s="4"/>
    </row>
    <row r="1214" ht="12.75" customHeight="1">
      <c r="A1214" s="28"/>
      <c r="B1214" s="28"/>
      <c r="C1214" s="28"/>
      <c r="D1214" s="4"/>
      <c r="E1214" s="28"/>
      <c r="F1214" s="28"/>
      <c r="G1214" s="28"/>
      <c r="H1214" s="4"/>
      <c r="I1214" s="28"/>
      <c r="J1214" s="28"/>
      <c r="K1214" s="28"/>
      <c r="L1214" s="4"/>
      <c r="M1214" s="28"/>
      <c r="N1214" s="28"/>
      <c r="O1214" s="28"/>
      <c r="P1214" s="4"/>
      <c r="Q1214" s="28"/>
      <c r="R1214" s="28"/>
      <c r="S1214" s="28"/>
      <c r="T1214" s="4"/>
      <c r="U1214" s="4"/>
      <c r="V1214" s="4"/>
      <c r="W1214" s="4"/>
      <c r="X1214" s="4"/>
      <c r="Y1214" s="4"/>
      <c r="Z1214" s="4"/>
    </row>
    <row r="1215" ht="12.75" customHeight="1">
      <c r="A1215" s="28"/>
      <c r="B1215" s="28"/>
      <c r="C1215" s="28"/>
      <c r="D1215" s="4"/>
      <c r="E1215" s="28"/>
      <c r="F1215" s="28"/>
      <c r="G1215" s="28"/>
      <c r="H1215" s="4"/>
      <c r="I1215" s="28"/>
      <c r="J1215" s="28"/>
      <c r="K1215" s="28"/>
      <c r="L1215" s="4"/>
      <c r="M1215" s="28"/>
      <c r="N1215" s="28"/>
      <c r="O1215" s="28"/>
      <c r="P1215" s="4"/>
      <c r="Q1215" s="28"/>
      <c r="R1215" s="28"/>
      <c r="S1215" s="28"/>
      <c r="T1215" s="4"/>
      <c r="U1215" s="4"/>
      <c r="V1215" s="4"/>
      <c r="W1215" s="4"/>
      <c r="X1215" s="4"/>
      <c r="Y1215" s="4"/>
      <c r="Z1215" s="4"/>
    </row>
    <row r="1216" ht="12.75" customHeight="1">
      <c r="A1216" s="28"/>
      <c r="B1216" s="28"/>
      <c r="C1216" s="28"/>
      <c r="D1216" s="4"/>
      <c r="E1216" s="28"/>
      <c r="F1216" s="28"/>
      <c r="G1216" s="28"/>
      <c r="H1216" s="4"/>
      <c r="I1216" s="28"/>
      <c r="J1216" s="28"/>
      <c r="K1216" s="28"/>
      <c r="L1216" s="4"/>
      <c r="M1216" s="28"/>
      <c r="N1216" s="28"/>
      <c r="O1216" s="28"/>
      <c r="P1216" s="4"/>
      <c r="Q1216" s="28"/>
      <c r="R1216" s="28"/>
      <c r="S1216" s="28"/>
      <c r="T1216" s="4"/>
      <c r="U1216" s="4"/>
      <c r="V1216" s="4"/>
      <c r="W1216" s="4"/>
      <c r="X1216" s="4"/>
      <c r="Y1216" s="4"/>
      <c r="Z1216" s="4"/>
    </row>
    <row r="1217" ht="12.75" customHeight="1">
      <c r="A1217" s="28"/>
      <c r="B1217" s="28"/>
      <c r="C1217" s="28"/>
      <c r="D1217" s="4"/>
      <c r="E1217" s="28"/>
      <c r="F1217" s="28"/>
      <c r="G1217" s="28"/>
      <c r="H1217" s="4"/>
      <c r="I1217" s="28"/>
      <c r="J1217" s="28"/>
      <c r="K1217" s="28"/>
      <c r="L1217" s="4"/>
      <c r="M1217" s="28"/>
      <c r="N1217" s="28"/>
      <c r="O1217" s="28"/>
      <c r="P1217" s="4"/>
      <c r="Q1217" s="28"/>
      <c r="R1217" s="28"/>
      <c r="S1217" s="28"/>
      <c r="T1217" s="4"/>
      <c r="U1217" s="4"/>
      <c r="V1217" s="4"/>
      <c r="W1217" s="4"/>
      <c r="X1217" s="4"/>
      <c r="Y1217" s="4"/>
      <c r="Z1217" s="4"/>
    </row>
    <row r="1218" ht="12.75" customHeight="1">
      <c r="A1218" s="28"/>
      <c r="B1218" s="28"/>
      <c r="C1218" s="28"/>
      <c r="D1218" s="4"/>
      <c r="E1218" s="28"/>
      <c r="F1218" s="28"/>
      <c r="G1218" s="28"/>
      <c r="H1218" s="4"/>
      <c r="I1218" s="28"/>
      <c r="J1218" s="28"/>
      <c r="K1218" s="28"/>
      <c r="L1218" s="4"/>
      <c r="M1218" s="28"/>
      <c r="N1218" s="28"/>
      <c r="O1218" s="28"/>
      <c r="P1218" s="4"/>
      <c r="Q1218" s="28"/>
      <c r="R1218" s="28"/>
      <c r="S1218" s="28"/>
      <c r="T1218" s="4"/>
      <c r="U1218" s="4"/>
      <c r="V1218" s="4"/>
      <c r="W1218" s="4"/>
      <c r="X1218" s="4"/>
      <c r="Y1218" s="4"/>
      <c r="Z1218" s="4"/>
    </row>
    <row r="1219" ht="12.75" customHeight="1">
      <c r="A1219" s="28"/>
      <c r="B1219" s="28"/>
      <c r="C1219" s="28"/>
      <c r="D1219" s="4"/>
      <c r="E1219" s="28"/>
      <c r="F1219" s="28"/>
      <c r="G1219" s="28"/>
      <c r="H1219" s="4"/>
      <c r="I1219" s="28"/>
      <c r="J1219" s="28"/>
      <c r="K1219" s="28"/>
      <c r="L1219" s="4"/>
      <c r="M1219" s="28"/>
      <c r="N1219" s="28"/>
      <c r="O1219" s="28"/>
      <c r="P1219" s="4"/>
      <c r="Q1219" s="28"/>
      <c r="R1219" s="28"/>
      <c r="S1219" s="28"/>
      <c r="T1219" s="4"/>
      <c r="U1219" s="4"/>
      <c r="V1219" s="4"/>
      <c r="W1219" s="4"/>
      <c r="X1219" s="4"/>
      <c r="Y1219" s="4"/>
      <c r="Z1219" s="4"/>
    </row>
    <row r="1220" ht="12.75" customHeight="1">
      <c r="A1220" s="28"/>
      <c r="B1220" s="28"/>
      <c r="C1220" s="28"/>
      <c r="D1220" s="4"/>
      <c r="E1220" s="28"/>
      <c r="F1220" s="28"/>
      <c r="G1220" s="28"/>
      <c r="H1220" s="4"/>
      <c r="I1220" s="28"/>
      <c r="J1220" s="28"/>
      <c r="K1220" s="28"/>
      <c r="L1220" s="4"/>
      <c r="M1220" s="28"/>
      <c r="N1220" s="28"/>
      <c r="O1220" s="28"/>
      <c r="P1220" s="4"/>
      <c r="Q1220" s="28"/>
      <c r="R1220" s="28"/>
      <c r="S1220" s="28"/>
      <c r="T1220" s="4"/>
      <c r="U1220" s="4"/>
      <c r="V1220" s="4"/>
      <c r="W1220" s="4"/>
      <c r="X1220" s="4"/>
      <c r="Y1220" s="4"/>
      <c r="Z1220" s="4"/>
    </row>
    <row r="1221" ht="12.75" customHeight="1">
      <c r="A1221" s="28"/>
      <c r="B1221" s="28"/>
      <c r="C1221" s="28"/>
      <c r="D1221" s="4"/>
      <c r="E1221" s="28"/>
      <c r="F1221" s="28"/>
      <c r="G1221" s="28"/>
      <c r="H1221" s="4"/>
      <c r="I1221" s="28"/>
      <c r="J1221" s="28"/>
      <c r="K1221" s="28"/>
      <c r="L1221" s="4"/>
      <c r="M1221" s="28"/>
      <c r="N1221" s="28"/>
      <c r="O1221" s="28"/>
      <c r="P1221" s="4"/>
      <c r="Q1221" s="28"/>
      <c r="R1221" s="28"/>
      <c r="S1221" s="28"/>
      <c r="T1221" s="4"/>
      <c r="U1221" s="4"/>
      <c r="V1221" s="4"/>
      <c r="W1221" s="4"/>
      <c r="X1221" s="4"/>
      <c r="Y1221" s="4"/>
      <c r="Z1221" s="4"/>
    </row>
    <row r="1222" ht="12.75" customHeight="1">
      <c r="A1222" s="28"/>
      <c r="B1222" s="28"/>
      <c r="C1222" s="28"/>
      <c r="D1222" s="4"/>
      <c r="E1222" s="28"/>
      <c r="F1222" s="28"/>
      <c r="G1222" s="28"/>
      <c r="H1222" s="4"/>
      <c r="I1222" s="28"/>
      <c r="J1222" s="28"/>
      <c r="K1222" s="28"/>
      <c r="L1222" s="4"/>
      <c r="M1222" s="28"/>
      <c r="N1222" s="28"/>
      <c r="O1222" s="28"/>
      <c r="P1222" s="4"/>
      <c r="Q1222" s="28"/>
      <c r="R1222" s="28"/>
      <c r="S1222" s="28"/>
      <c r="T1222" s="4"/>
      <c r="U1222" s="4"/>
      <c r="V1222" s="4"/>
      <c r="W1222" s="4"/>
      <c r="X1222" s="4"/>
      <c r="Y1222" s="4"/>
      <c r="Z1222" s="4"/>
    </row>
    <row r="1223" ht="12.75" customHeight="1">
      <c r="A1223" s="28"/>
      <c r="B1223" s="28"/>
      <c r="C1223" s="28"/>
      <c r="D1223" s="4"/>
      <c r="E1223" s="28"/>
      <c r="F1223" s="28"/>
      <c r="G1223" s="28"/>
      <c r="H1223" s="4"/>
      <c r="I1223" s="28"/>
      <c r="J1223" s="28"/>
      <c r="K1223" s="28"/>
      <c r="L1223" s="4"/>
      <c r="M1223" s="28"/>
      <c r="N1223" s="28"/>
      <c r="O1223" s="28"/>
      <c r="P1223" s="4"/>
      <c r="Q1223" s="28"/>
      <c r="R1223" s="28"/>
      <c r="S1223" s="28"/>
      <c r="T1223" s="4"/>
      <c r="U1223" s="4"/>
      <c r="V1223" s="4"/>
      <c r="W1223" s="4"/>
      <c r="X1223" s="4"/>
      <c r="Y1223" s="4"/>
      <c r="Z1223" s="4"/>
    </row>
    <row r="1224" ht="12.75" customHeight="1">
      <c r="A1224" s="28"/>
      <c r="B1224" s="28"/>
      <c r="C1224" s="28"/>
      <c r="D1224" s="4"/>
      <c r="E1224" s="28"/>
      <c r="F1224" s="28"/>
      <c r="G1224" s="28"/>
      <c r="H1224" s="4"/>
      <c r="I1224" s="28"/>
      <c r="J1224" s="28"/>
      <c r="K1224" s="28"/>
      <c r="L1224" s="4"/>
      <c r="M1224" s="28"/>
      <c r="N1224" s="28"/>
      <c r="O1224" s="28"/>
      <c r="P1224" s="4"/>
      <c r="Q1224" s="28"/>
      <c r="R1224" s="28"/>
      <c r="S1224" s="28"/>
      <c r="T1224" s="4"/>
      <c r="U1224" s="4"/>
      <c r="V1224" s="4"/>
      <c r="W1224" s="4"/>
      <c r="X1224" s="4"/>
      <c r="Y1224" s="4"/>
      <c r="Z1224" s="4"/>
    </row>
    <row r="1225" ht="12.75" customHeight="1">
      <c r="A1225" s="28"/>
      <c r="B1225" s="28"/>
      <c r="C1225" s="28"/>
      <c r="D1225" s="4"/>
      <c r="E1225" s="28"/>
      <c r="F1225" s="28"/>
      <c r="G1225" s="28"/>
      <c r="H1225" s="4"/>
      <c r="I1225" s="28"/>
      <c r="J1225" s="28"/>
      <c r="K1225" s="28"/>
      <c r="L1225" s="4"/>
      <c r="M1225" s="28"/>
      <c r="N1225" s="28"/>
      <c r="O1225" s="28"/>
      <c r="P1225" s="4"/>
      <c r="Q1225" s="28"/>
      <c r="R1225" s="28"/>
      <c r="S1225" s="28"/>
      <c r="T1225" s="4"/>
      <c r="U1225" s="4"/>
      <c r="V1225" s="4"/>
      <c r="W1225" s="4"/>
      <c r="X1225" s="4"/>
      <c r="Y1225" s="4"/>
      <c r="Z1225" s="4"/>
    </row>
    <row r="1226" ht="12.75" customHeight="1">
      <c r="A1226" s="28"/>
      <c r="B1226" s="28"/>
      <c r="C1226" s="28"/>
      <c r="D1226" s="4"/>
      <c r="E1226" s="28"/>
      <c r="F1226" s="28"/>
      <c r="G1226" s="28"/>
      <c r="H1226" s="4"/>
      <c r="I1226" s="28"/>
      <c r="J1226" s="28"/>
      <c r="K1226" s="28"/>
      <c r="L1226" s="4"/>
      <c r="M1226" s="28"/>
      <c r="N1226" s="28"/>
      <c r="O1226" s="28"/>
      <c r="P1226" s="4"/>
      <c r="Q1226" s="28"/>
      <c r="R1226" s="28"/>
      <c r="S1226" s="28"/>
      <c r="T1226" s="4"/>
      <c r="U1226" s="4"/>
      <c r="V1226" s="4"/>
      <c r="W1226" s="4"/>
      <c r="X1226" s="4"/>
      <c r="Y1226" s="4"/>
      <c r="Z1226" s="4"/>
    </row>
    <row r="1227" ht="12.75" customHeight="1">
      <c r="A1227" s="28"/>
      <c r="B1227" s="28"/>
      <c r="C1227" s="28"/>
      <c r="D1227" s="4"/>
      <c r="E1227" s="28"/>
      <c r="F1227" s="28"/>
      <c r="G1227" s="28"/>
      <c r="H1227" s="4"/>
      <c r="I1227" s="28"/>
      <c r="J1227" s="28"/>
      <c r="K1227" s="28"/>
      <c r="L1227" s="4"/>
      <c r="M1227" s="28"/>
      <c r="N1227" s="28"/>
      <c r="O1227" s="28"/>
      <c r="P1227" s="4"/>
      <c r="Q1227" s="28"/>
      <c r="R1227" s="28"/>
      <c r="S1227" s="28"/>
      <c r="T1227" s="4"/>
      <c r="U1227" s="4"/>
      <c r="V1227" s="4"/>
      <c r="W1227" s="4"/>
      <c r="X1227" s="4"/>
      <c r="Y1227" s="4"/>
      <c r="Z1227" s="4"/>
    </row>
    <row r="1228" ht="12.75" customHeight="1">
      <c r="A1228" s="28"/>
      <c r="B1228" s="28"/>
      <c r="C1228" s="28"/>
      <c r="D1228" s="4"/>
      <c r="E1228" s="28"/>
      <c r="F1228" s="28"/>
      <c r="G1228" s="28"/>
      <c r="H1228" s="4"/>
      <c r="I1228" s="28"/>
      <c r="J1228" s="28"/>
      <c r="K1228" s="28"/>
      <c r="L1228" s="4"/>
      <c r="M1228" s="28"/>
      <c r="N1228" s="28"/>
      <c r="O1228" s="28"/>
      <c r="P1228" s="4"/>
      <c r="Q1228" s="28"/>
      <c r="R1228" s="28"/>
      <c r="S1228" s="28"/>
      <c r="T1228" s="4"/>
      <c r="U1228" s="4"/>
      <c r="V1228" s="4"/>
      <c r="W1228" s="4"/>
      <c r="X1228" s="4"/>
      <c r="Y1228" s="4"/>
      <c r="Z1228" s="4"/>
    </row>
    <row r="1229" ht="12.75" customHeight="1">
      <c r="A1229" s="28"/>
      <c r="B1229" s="28"/>
      <c r="C1229" s="28"/>
      <c r="D1229" s="4"/>
      <c r="E1229" s="28"/>
      <c r="F1229" s="28"/>
      <c r="G1229" s="28"/>
      <c r="H1229" s="4"/>
      <c r="I1229" s="28"/>
      <c r="J1229" s="28"/>
      <c r="K1229" s="28"/>
      <c r="L1229" s="4"/>
      <c r="M1229" s="28"/>
      <c r="N1229" s="28"/>
      <c r="O1229" s="28"/>
      <c r="P1229" s="4"/>
      <c r="Q1229" s="28"/>
      <c r="R1229" s="28"/>
      <c r="S1229" s="28"/>
      <c r="T1229" s="4"/>
      <c r="U1229" s="4"/>
      <c r="V1229" s="4"/>
      <c r="W1229" s="4"/>
      <c r="X1229" s="4"/>
      <c r="Y1229" s="4"/>
      <c r="Z1229" s="4"/>
    </row>
    <row r="1230" ht="12.75" customHeight="1">
      <c r="A1230" s="28"/>
      <c r="B1230" s="28"/>
      <c r="C1230" s="28"/>
      <c r="D1230" s="4"/>
      <c r="E1230" s="28"/>
      <c r="F1230" s="28"/>
      <c r="G1230" s="28"/>
      <c r="H1230" s="4"/>
      <c r="I1230" s="28"/>
      <c r="J1230" s="28"/>
      <c r="K1230" s="28"/>
      <c r="L1230" s="4"/>
      <c r="M1230" s="28"/>
      <c r="N1230" s="28"/>
      <c r="O1230" s="28"/>
      <c r="P1230" s="4"/>
      <c r="Q1230" s="28"/>
      <c r="R1230" s="28"/>
      <c r="S1230" s="28"/>
      <c r="T1230" s="4"/>
      <c r="U1230" s="4"/>
      <c r="V1230" s="4"/>
      <c r="W1230" s="4"/>
      <c r="X1230" s="4"/>
      <c r="Y1230" s="4"/>
      <c r="Z1230" s="4"/>
    </row>
    <row r="1231" ht="12.75" customHeight="1">
      <c r="A1231" s="28"/>
      <c r="B1231" s="28"/>
      <c r="C1231" s="28"/>
      <c r="D1231" s="4"/>
      <c r="E1231" s="28"/>
      <c r="F1231" s="28"/>
      <c r="G1231" s="28"/>
      <c r="H1231" s="4"/>
      <c r="I1231" s="28"/>
      <c r="J1231" s="28"/>
      <c r="K1231" s="28"/>
      <c r="L1231" s="4"/>
      <c r="M1231" s="28"/>
      <c r="N1231" s="28"/>
      <c r="O1231" s="28"/>
      <c r="P1231" s="4"/>
      <c r="Q1231" s="28"/>
      <c r="R1231" s="28"/>
      <c r="S1231" s="28"/>
      <c r="T1231" s="4"/>
      <c r="U1231" s="4"/>
      <c r="V1231" s="4"/>
      <c r="W1231" s="4"/>
      <c r="X1231" s="4"/>
      <c r="Y1231" s="4"/>
      <c r="Z1231" s="4"/>
    </row>
    <row r="1232" ht="12.75" customHeight="1">
      <c r="A1232" s="28"/>
      <c r="B1232" s="28"/>
      <c r="C1232" s="28"/>
      <c r="D1232" s="4"/>
      <c r="E1232" s="28"/>
      <c r="F1232" s="28"/>
      <c r="G1232" s="28"/>
      <c r="H1232" s="4"/>
      <c r="I1232" s="28"/>
      <c r="J1232" s="28"/>
      <c r="K1232" s="28"/>
      <c r="L1232" s="4"/>
      <c r="M1232" s="28"/>
      <c r="N1232" s="28"/>
      <c r="O1232" s="28"/>
      <c r="P1232" s="4"/>
      <c r="Q1232" s="28"/>
      <c r="R1232" s="28"/>
      <c r="S1232" s="28"/>
      <c r="T1232" s="4"/>
      <c r="U1232" s="4"/>
      <c r="V1232" s="4"/>
      <c r="W1232" s="4"/>
      <c r="X1232" s="4"/>
      <c r="Y1232" s="4"/>
      <c r="Z1232" s="4"/>
    </row>
    <row r="1233" ht="12.75" customHeight="1">
      <c r="A1233" s="28"/>
      <c r="B1233" s="28"/>
      <c r="C1233" s="28"/>
      <c r="D1233" s="4"/>
      <c r="E1233" s="28"/>
      <c r="F1233" s="28"/>
      <c r="G1233" s="28"/>
      <c r="H1233" s="4"/>
      <c r="I1233" s="28"/>
      <c r="J1233" s="28"/>
      <c r="K1233" s="28"/>
      <c r="L1233" s="4"/>
      <c r="M1233" s="28"/>
      <c r="N1233" s="28"/>
      <c r="O1233" s="28"/>
      <c r="P1233" s="4"/>
      <c r="Q1233" s="28"/>
      <c r="R1233" s="28"/>
      <c r="S1233" s="28"/>
      <c r="T1233" s="4"/>
      <c r="U1233" s="4"/>
      <c r="V1233" s="4"/>
      <c r="W1233" s="4"/>
      <c r="X1233" s="4"/>
      <c r="Y1233" s="4"/>
      <c r="Z1233" s="4"/>
    </row>
    <row r="1234" ht="12.75" customHeight="1">
      <c r="A1234" s="28"/>
      <c r="B1234" s="28"/>
      <c r="C1234" s="28"/>
      <c r="D1234" s="4"/>
      <c r="E1234" s="28"/>
      <c r="F1234" s="28"/>
      <c r="G1234" s="28"/>
      <c r="H1234" s="4"/>
      <c r="I1234" s="28"/>
      <c r="J1234" s="28"/>
      <c r="K1234" s="28"/>
      <c r="L1234" s="4"/>
      <c r="M1234" s="28"/>
      <c r="N1234" s="28"/>
      <c r="O1234" s="28"/>
      <c r="P1234" s="4"/>
      <c r="Q1234" s="28"/>
      <c r="R1234" s="28"/>
      <c r="S1234" s="28"/>
      <c r="T1234" s="4"/>
      <c r="U1234" s="4"/>
      <c r="V1234" s="4"/>
      <c r="W1234" s="4"/>
      <c r="X1234" s="4"/>
      <c r="Y1234" s="4"/>
      <c r="Z1234" s="4"/>
    </row>
    <row r="1235" ht="12.75" customHeight="1">
      <c r="A1235" s="28"/>
      <c r="B1235" s="28"/>
      <c r="C1235" s="28"/>
      <c r="D1235" s="4"/>
      <c r="E1235" s="28"/>
      <c r="F1235" s="28"/>
      <c r="G1235" s="28"/>
      <c r="H1235" s="4"/>
      <c r="I1235" s="28"/>
      <c r="J1235" s="28"/>
      <c r="K1235" s="28"/>
      <c r="L1235" s="4"/>
      <c r="M1235" s="28"/>
      <c r="N1235" s="28"/>
      <c r="O1235" s="28"/>
      <c r="P1235" s="4"/>
      <c r="Q1235" s="28"/>
      <c r="R1235" s="28"/>
      <c r="S1235" s="28"/>
      <c r="T1235" s="4"/>
      <c r="U1235" s="4"/>
      <c r="V1235" s="4"/>
      <c r="W1235" s="4"/>
      <c r="X1235" s="4"/>
      <c r="Y1235" s="4"/>
      <c r="Z1235" s="4"/>
    </row>
    <row r="1236" ht="12.75" customHeight="1">
      <c r="A1236" s="28"/>
      <c r="B1236" s="28"/>
      <c r="C1236" s="28"/>
      <c r="D1236" s="4"/>
      <c r="E1236" s="28"/>
      <c r="F1236" s="28"/>
      <c r="G1236" s="28"/>
      <c r="H1236" s="4"/>
      <c r="I1236" s="28"/>
      <c r="J1236" s="28"/>
      <c r="K1236" s="28"/>
      <c r="L1236" s="4"/>
      <c r="M1236" s="28"/>
      <c r="N1236" s="28"/>
      <c r="O1236" s="28"/>
      <c r="P1236" s="4"/>
      <c r="Q1236" s="28"/>
      <c r="R1236" s="28"/>
      <c r="S1236" s="28"/>
      <c r="T1236" s="4"/>
      <c r="U1236" s="4"/>
      <c r="V1236" s="4"/>
      <c r="W1236" s="4"/>
      <c r="X1236" s="4"/>
      <c r="Y1236" s="4"/>
      <c r="Z1236" s="4"/>
    </row>
    <row r="1237" ht="12.75" customHeight="1">
      <c r="A1237" s="28"/>
      <c r="B1237" s="28"/>
      <c r="C1237" s="28"/>
      <c r="D1237" s="4"/>
      <c r="E1237" s="28"/>
      <c r="F1237" s="28"/>
      <c r="G1237" s="28"/>
      <c r="H1237" s="4"/>
      <c r="I1237" s="28"/>
      <c r="J1237" s="28"/>
      <c r="K1237" s="28"/>
      <c r="L1237" s="4"/>
      <c r="M1237" s="28"/>
      <c r="N1237" s="28"/>
      <c r="O1237" s="28"/>
      <c r="P1237" s="4"/>
      <c r="Q1237" s="28"/>
      <c r="R1237" s="28"/>
      <c r="S1237" s="28"/>
      <c r="T1237" s="4"/>
      <c r="U1237" s="4"/>
      <c r="V1237" s="4"/>
      <c r="W1237" s="4"/>
      <c r="X1237" s="4"/>
      <c r="Y1237" s="4"/>
      <c r="Z1237" s="4"/>
    </row>
    <row r="1238" ht="12.75" customHeight="1">
      <c r="A1238" s="28"/>
      <c r="B1238" s="28"/>
      <c r="C1238" s="28"/>
      <c r="D1238" s="4"/>
      <c r="E1238" s="28"/>
      <c r="F1238" s="28"/>
      <c r="G1238" s="28"/>
      <c r="H1238" s="4"/>
      <c r="I1238" s="28"/>
      <c r="J1238" s="28"/>
      <c r="K1238" s="28"/>
      <c r="L1238" s="4"/>
      <c r="M1238" s="28"/>
      <c r="N1238" s="28"/>
      <c r="O1238" s="28"/>
      <c r="P1238" s="4"/>
      <c r="Q1238" s="28"/>
      <c r="R1238" s="28"/>
      <c r="S1238" s="28"/>
      <c r="T1238" s="4"/>
      <c r="U1238" s="4"/>
      <c r="V1238" s="4"/>
      <c r="W1238" s="4"/>
      <c r="X1238" s="4"/>
      <c r="Y1238" s="4"/>
      <c r="Z1238" s="4"/>
    </row>
    <row r="1239" ht="12.75" customHeight="1">
      <c r="A1239" s="28"/>
      <c r="B1239" s="28"/>
      <c r="C1239" s="28"/>
      <c r="D1239" s="4"/>
      <c r="E1239" s="28"/>
      <c r="F1239" s="28"/>
      <c r="G1239" s="28"/>
      <c r="H1239" s="4"/>
      <c r="I1239" s="28"/>
      <c r="J1239" s="28"/>
      <c r="K1239" s="28"/>
      <c r="L1239" s="4"/>
      <c r="M1239" s="28"/>
      <c r="N1239" s="28"/>
      <c r="O1239" s="28"/>
      <c r="P1239" s="4"/>
      <c r="Q1239" s="28"/>
      <c r="R1239" s="28"/>
      <c r="S1239" s="28"/>
      <c r="T1239" s="4"/>
      <c r="U1239" s="4"/>
      <c r="V1239" s="4"/>
      <c r="W1239" s="4"/>
      <c r="X1239" s="4"/>
      <c r="Y1239" s="4"/>
      <c r="Z1239" s="4"/>
    </row>
    <row r="1240" ht="12.75" customHeight="1">
      <c r="A1240" s="28"/>
      <c r="B1240" s="28"/>
      <c r="C1240" s="28"/>
      <c r="D1240" s="4"/>
      <c r="E1240" s="28"/>
      <c r="F1240" s="28"/>
      <c r="G1240" s="28"/>
      <c r="H1240" s="4"/>
      <c r="I1240" s="28"/>
      <c r="J1240" s="28"/>
      <c r="K1240" s="28"/>
      <c r="L1240" s="4"/>
      <c r="M1240" s="28"/>
      <c r="N1240" s="28"/>
      <c r="O1240" s="28"/>
      <c r="P1240" s="4"/>
      <c r="Q1240" s="28"/>
      <c r="R1240" s="28"/>
      <c r="S1240" s="28"/>
      <c r="T1240" s="4"/>
      <c r="U1240" s="4"/>
      <c r="V1240" s="4"/>
      <c r="W1240" s="4"/>
      <c r="X1240" s="4"/>
      <c r="Y1240" s="4"/>
      <c r="Z1240" s="4"/>
    </row>
    <row r="1241" ht="12.75" customHeight="1">
      <c r="A1241" s="28"/>
      <c r="B1241" s="28"/>
      <c r="C1241" s="28"/>
      <c r="D1241" s="4"/>
      <c r="E1241" s="28"/>
      <c r="F1241" s="28"/>
      <c r="G1241" s="28"/>
      <c r="H1241" s="4"/>
      <c r="I1241" s="28"/>
      <c r="J1241" s="28"/>
      <c r="K1241" s="28"/>
      <c r="L1241" s="4"/>
      <c r="M1241" s="28"/>
      <c r="N1241" s="28"/>
      <c r="O1241" s="28"/>
      <c r="P1241" s="4"/>
      <c r="Q1241" s="28"/>
      <c r="R1241" s="28"/>
      <c r="S1241" s="28"/>
      <c r="T1241" s="4"/>
      <c r="U1241" s="4"/>
      <c r="V1241" s="4"/>
      <c r="W1241" s="4"/>
      <c r="X1241" s="4"/>
      <c r="Y1241" s="4"/>
      <c r="Z1241" s="4"/>
    </row>
    <row r="1242" ht="12.75" customHeight="1">
      <c r="A1242" s="28"/>
      <c r="B1242" s="28"/>
      <c r="C1242" s="28"/>
      <c r="D1242" s="4"/>
      <c r="E1242" s="28"/>
      <c r="F1242" s="28"/>
      <c r="G1242" s="28"/>
      <c r="H1242" s="4"/>
      <c r="I1242" s="28"/>
      <c r="J1242" s="28"/>
      <c r="K1242" s="28"/>
      <c r="L1242" s="4"/>
      <c r="M1242" s="28"/>
      <c r="N1242" s="28"/>
      <c r="O1242" s="28"/>
      <c r="P1242" s="4"/>
      <c r="Q1242" s="28"/>
      <c r="R1242" s="28"/>
      <c r="S1242" s="28"/>
      <c r="T1242" s="4"/>
      <c r="U1242" s="4"/>
      <c r="V1242" s="4"/>
      <c r="W1242" s="4"/>
      <c r="X1242" s="4"/>
      <c r="Y1242" s="4"/>
      <c r="Z1242" s="4"/>
    </row>
    <row r="1243" ht="12.75" customHeight="1">
      <c r="A1243" s="28"/>
      <c r="B1243" s="28"/>
      <c r="C1243" s="28"/>
      <c r="D1243" s="4"/>
      <c r="E1243" s="28"/>
      <c r="F1243" s="28"/>
      <c r="G1243" s="28"/>
      <c r="H1243" s="4"/>
      <c r="I1243" s="28"/>
      <c r="J1243" s="28"/>
      <c r="K1243" s="28"/>
      <c r="L1243" s="4"/>
      <c r="M1243" s="28"/>
      <c r="N1243" s="28"/>
      <c r="O1243" s="28"/>
      <c r="P1243" s="4"/>
      <c r="Q1243" s="28"/>
      <c r="R1243" s="28"/>
      <c r="S1243" s="28"/>
      <c r="T1243" s="4"/>
      <c r="U1243" s="4"/>
      <c r="V1243" s="4"/>
      <c r="W1243" s="4"/>
      <c r="X1243" s="4"/>
      <c r="Y1243" s="4"/>
      <c r="Z1243" s="4"/>
    </row>
    <row r="1244" ht="12.75" customHeight="1">
      <c r="A1244" s="28"/>
      <c r="B1244" s="28"/>
      <c r="C1244" s="28"/>
      <c r="D1244" s="4"/>
      <c r="E1244" s="28"/>
      <c r="F1244" s="28"/>
      <c r="G1244" s="28"/>
      <c r="H1244" s="4"/>
      <c r="I1244" s="28"/>
      <c r="J1244" s="28"/>
      <c r="K1244" s="28"/>
      <c r="L1244" s="4"/>
      <c r="M1244" s="28"/>
      <c r="N1244" s="28"/>
      <c r="O1244" s="28"/>
      <c r="P1244" s="4"/>
      <c r="Q1244" s="28"/>
      <c r="R1244" s="28"/>
      <c r="S1244" s="28"/>
      <c r="T1244" s="4"/>
      <c r="U1244" s="4"/>
      <c r="V1244" s="4"/>
      <c r="W1244" s="4"/>
      <c r="X1244" s="4"/>
      <c r="Y1244" s="4"/>
      <c r="Z1244" s="4"/>
    </row>
    <row r="1245" ht="12.75" customHeight="1">
      <c r="A1245" s="28"/>
      <c r="B1245" s="28"/>
      <c r="C1245" s="28"/>
      <c r="D1245" s="4"/>
      <c r="E1245" s="28"/>
      <c r="F1245" s="28"/>
      <c r="G1245" s="28"/>
      <c r="H1245" s="4"/>
      <c r="I1245" s="28"/>
      <c r="J1245" s="28"/>
      <c r="K1245" s="28"/>
      <c r="L1245" s="4"/>
      <c r="M1245" s="28"/>
      <c r="N1245" s="28"/>
      <c r="O1245" s="28"/>
      <c r="P1245" s="4"/>
      <c r="Q1245" s="28"/>
      <c r="R1245" s="28"/>
      <c r="S1245" s="28"/>
      <c r="T1245" s="4"/>
      <c r="U1245" s="4"/>
      <c r="V1245" s="4"/>
      <c r="W1245" s="4"/>
      <c r="X1245" s="4"/>
      <c r="Y1245" s="4"/>
      <c r="Z1245" s="4"/>
    </row>
    <row r="1246" ht="12.75" customHeight="1">
      <c r="A1246" s="28"/>
      <c r="B1246" s="28"/>
      <c r="C1246" s="28"/>
      <c r="D1246" s="4"/>
      <c r="E1246" s="28"/>
      <c r="F1246" s="28"/>
      <c r="G1246" s="28"/>
      <c r="H1246" s="4"/>
      <c r="I1246" s="28"/>
      <c r="J1246" s="28"/>
      <c r="K1246" s="28"/>
      <c r="L1246" s="4"/>
      <c r="M1246" s="28"/>
      <c r="N1246" s="28"/>
      <c r="O1246" s="28"/>
      <c r="P1246" s="4"/>
      <c r="Q1246" s="28"/>
      <c r="R1246" s="28"/>
      <c r="S1246" s="28"/>
      <c r="T1246" s="4"/>
      <c r="U1246" s="4"/>
      <c r="V1246" s="4"/>
      <c r="W1246" s="4"/>
      <c r="X1246" s="4"/>
      <c r="Y1246" s="4"/>
      <c r="Z1246" s="4"/>
    </row>
    <row r="1247" ht="12.75" customHeight="1">
      <c r="A1247" s="28"/>
      <c r="B1247" s="28"/>
      <c r="C1247" s="28"/>
      <c r="D1247" s="4"/>
      <c r="E1247" s="28"/>
      <c r="F1247" s="28"/>
      <c r="G1247" s="28"/>
      <c r="H1247" s="4"/>
      <c r="I1247" s="28"/>
      <c r="J1247" s="28"/>
      <c r="K1247" s="28"/>
      <c r="L1247" s="4"/>
      <c r="M1247" s="28"/>
      <c r="N1247" s="28"/>
      <c r="O1247" s="28"/>
      <c r="P1247" s="4"/>
      <c r="Q1247" s="28"/>
      <c r="R1247" s="28"/>
      <c r="S1247" s="28"/>
      <c r="T1247" s="4"/>
      <c r="U1247" s="4"/>
      <c r="V1247" s="4"/>
      <c r="W1247" s="4"/>
      <c r="X1247" s="4"/>
      <c r="Y1247" s="4"/>
      <c r="Z1247" s="4"/>
    </row>
    <row r="1248" ht="12.75" customHeight="1">
      <c r="A1248" s="28"/>
      <c r="B1248" s="28"/>
      <c r="C1248" s="28"/>
      <c r="D1248" s="4"/>
      <c r="E1248" s="28"/>
      <c r="F1248" s="28"/>
      <c r="G1248" s="28"/>
      <c r="H1248" s="4"/>
      <c r="I1248" s="28"/>
      <c r="J1248" s="28"/>
      <c r="K1248" s="28"/>
      <c r="L1248" s="4"/>
      <c r="M1248" s="28"/>
      <c r="N1248" s="28"/>
      <c r="O1248" s="28"/>
      <c r="P1248" s="4"/>
      <c r="Q1248" s="28"/>
      <c r="R1248" s="28"/>
      <c r="S1248" s="28"/>
      <c r="T1248" s="4"/>
      <c r="U1248" s="4"/>
      <c r="V1248" s="4"/>
      <c r="W1248" s="4"/>
      <c r="X1248" s="4"/>
      <c r="Y1248" s="4"/>
      <c r="Z1248" s="4"/>
    </row>
    <row r="1249" ht="12.75" customHeight="1">
      <c r="A1249" s="28"/>
      <c r="B1249" s="28"/>
      <c r="C1249" s="28"/>
      <c r="D1249" s="4"/>
      <c r="E1249" s="28"/>
      <c r="F1249" s="28"/>
      <c r="G1249" s="28"/>
      <c r="H1249" s="4"/>
      <c r="I1249" s="28"/>
      <c r="J1249" s="28"/>
      <c r="K1249" s="28"/>
      <c r="L1249" s="4"/>
      <c r="M1249" s="28"/>
      <c r="N1249" s="28"/>
      <c r="O1249" s="28"/>
      <c r="P1249" s="4"/>
      <c r="Q1249" s="28"/>
      <c r="R1249" s="28"/>
      <c r="S1249" s="28"/>
      <c r="T1249" s="4"/>
      <c r="U1249" s="4"/>
      <c r="V1249" s="4"/>
      <c r="W1249" s="4"/>
      <c r="X1249" s="4"/>
      <c r="Y1249" s="4"/>
      <c r="Z1249" s="4"/>
    </row>
    <row r="1250" ht="12.75" customHeight="1">
      <c r="A1250" s="28"/>
      <c r="B1250" s="28"/>
      <c r="C1250" s="28"/>
      <c r="D1250" s="4"/>
      <c r="E1250" s="28"/>
      <c r="F1250" s="28"/>
      <c r="G1250" s="28"/>
      <c r="H1250" s="4"/>
      <c r="I1250" s="28"/>
      <c r="J1250" s="28"/>
      <c r="K1250" s="28"/>
      <c r="L1250" s="4"/>
      <c r="M1250" s="28"/>
      <c r="N1250" s="28"/>
      <c r="O1250" s="28"/>
      <c r="P1250" s="4"/>
      <c r="Q1250" s="28"/>
      <c r="R1250" s="28"/>
      <c r="S1250" s="28"/>
      <c r="T1250" s="4"/>
      <c r="U1250" s="4"/>
      <c r="V1250" s="4"/>
      <c r="W1250" s="4"/>
      <c r="X1250" s="4"/>
      <c r="Y1250" s="4"/>
      <c r="Z1250" s="4"/>
    </row>
    <row r="1251" ht="12.75" customHeight="1">
      <c r="A1251" s="28"/>
      <c r="B1251" s="28"/>
      <c r="C1251" s="28"/>
      <c r="D1251" s="4"/>
      <c r="E1251" s="28"/>
      <c r="F1251" s="28"/>
      <c r="G1251" s="28"/>
      <c r="H1251" s="4"/>
      <c r="I1251" s="28"/>
      <c r="J1251" s="28"/>
      <c r="K1251" s="28"/>
      <c r="L1251" s="4"/>
      <c r="M1251" s="28"/>
      <c r="N1251" s="28"/>
      <c r="O1251" s="28"/>
      <c r="P1251" s="4"/>
      <c r="Q1251" s="28"/>
      <c r="R1251" s="28"/>
      <c r="S1251" s="28"/>
      <c r="T1251" s="4"/>
      <c r="U1251" s="4"/>
      <c r="V1251" s="4"/>
      <c r="W1251" s="4"/>
      <c r="X1251" s="4"/>
      <c r="Y1251" s="4"/>
      <c r="Z1251" s="4"/>
    </row>
    <row r="1252" ht="12.75" customHeight="1">
      <c r="A1252" s="28"/>
      <c r="B1252" s="28"/>
      <c r="C1252" s="28"/>
      <c r="D1252" s="4"/>
      <c r="E1252" s="28"/>
      <c r="F1252" s="28"/>
      <c r="G1252" s="28"/>
      <c r="H1252" s="4"/>
      <c r="I1252" s="28"/>
      <c r="J1252" s="28"/>
      <c r="K1252" s="28"/>
      <c r="L1252" s="4"/>
      <c r="M1252" s="28"/>
      <c r="N1252" s="28"/>
      <c r="O1252" s="28"/>
      <c r="P1252" s="4"/>
      <c r="Q1252" s="28"/>
      <c r="R1252" s="28"/>
      <c r="S1252" s="28"/>
      <c r="T1252" s="4"/>
      <c r="U1252" s="4"/>
      <c r="V1252" s="4"/>
      <c r="W1252" s="4"/>
      <c r="X1252" s="4"/>
      <c r="Y1252" s="4"/>
      <c r="Z1252" s="4"/>
    </row>
    <row r="1253" ht="12.75" customHeight="1">
      <c r="A1253" s="28"/>
      <c r="B1253" s="28"/>
      <c r="C1253" s="28"/>
      <c r="D1253" s="4"/>
      <c r="E1253" s="28"/>
      <c r="F1253" s="28"/>
      <c r="G1253" s="28"/>
      <c r="H1253" s="4"/>
      <c r="I1253" s="28"/>
      <c r="J1253" s="28"/>
      <c r="K1253" s="28"/>
      <c r="L1253" s="4"/>
      <c r="M1253" s="28"/>
      <c r="N1253" s="28"/>
      <c r="O1253" s="28"/>
      <c r="P1253" s="4"/>
      <c r="Q1253" s="28"/>
      <c r="R1253" s="28"/>
      <c r="S1253" s="28"/>
      <c r="T1253" s="4"/>
      <c r="U1253" s="4"/>
      <c r="V1253" s="4"/>
      <c r="W1253" s="4"/>
      <c r="X1253" s="4"/>
      <c r="Y1253" s="4"/>
      <c r="Z1253" s="4"/>
    </row>
    <row r="1254" ht="12.75" customHeight="1">
      <c r="A1254" s="28"/>
      <c r="B1254" s="28"/>
      <c r="C1254" s="28"/>
      <c r="D1254" s="4"/>
      <c r="E1254" s="28"/>
      <c r="F1254" s="28"/>
      <c r="G1254" s="28"/>
      <c r="H1254" s="4"/>
      <c r="I1254" s="28"/>
      <c r="J1254" s="28"/>
      <c r="K1254" s="28"/>
      <c r="L1254" s="4"/>
      <c r="M1254" s="28"/>
      <c r="N1254" s="28"/>
      <c r="O1254" s="28"/>
      <c r="P1254" s="4"/>
      <c r="Q1254" s="28"/>
      <c r="R1254" s="28"/>
      <c r="S1254" s="28"/>
      <c r="T1254" s="4"/>
      <c r="U1254" s="4"/>
      <c r="V1254" s="4"/>
      <c r="W1254" s="4"/>
      <c r="X1254" s="4"/>
      <c r="Y1254" s="4"/>
      <c r="Z1254" s="4"/>
    </row>
    <row r="1255" ht="12.75" customHeight="1">
      <c r="A1255" s="28"/>
      <c r="B1255" s="28"/>
      <c r="C1255" s="28"/>
      <c r="D1255" s="4"/>
      <c r="E1255" s="28"/>
      <c r="F1255" s="28"/>
      <c r="G1255" s="28"/>
      <c r="H1255" s="4"/>
      <c r="I1255" s="28"/>
      <c r="J1255" s="28"/>
      <c r="K1255" s="28"/>
      <c r="L1255" s="4"/>
      <c r="M1255" s="28"/>
      <c r="N1255" s="28"/>
      <c r="O1255" s="28"/>
      <c r="P1255" s="4"/>
      <c r="Q1255" s="28"/>
      <c r="R1255" s="28"/>
      <c r="S1255" s="28"/>
      <c r="T1255" s="4"/>
      <c r="U1255" s="4"/>
      <c r="V1255" s="4"/>
      <c r="W1255" s="4"/>
      <c r="X1255" s="4"/>
      <c r="Y1255" s="4"/>
      <c r="Z1255" s="4"/>
    </row>
    <row r="1256" ht="12.75" customHeight="1">
      <c r="A1256" s="28"/>
      <c r="B1256" s="28"/>
      <c r="C1256" s="28"/>
      <c r="D1256" s="4"/>
      <c r="E1256" s="28"/>
      <c r="F1256" s="28"/>
      <c r="G1256" s="28"/>
      <c r="H1256" s="4"/>
      <c r="I1256" s="28"/>
      <c r="J1256" s="28"/>
      <c r="K1256" s="28"/>
      <c r="L1256" s="4"/>
      <c r="M1256" s="28"/>
      <c r="N1256" s="28"/>
      <c r="O1256" s="28"/>
      <c r="P1256" s="4"/>
      <c r="Q1256" s="28"/>
      <c r="R1256" s="28"/>
      <c r="S1256" s="28"/>
      <c r="T1256" s="4"/>
      <c r="U1256" s="4"/>
      <c r="V1256" s="4"/>
      <c r="W1256" s="4"/>
      <c r="X1256" s="4"/>
      <c r="Y1256" s="4"/>
      <c r="Z1256" s="4"/>
    </row>
    <row r="1257" ht="12.75" customHeight="1">
      <c r="A1257" s="28"/>
      <c r="B1257" s="28"/>
      <c r="C1257" s="28"/>
      <c r="D1257" s="4"/>
      <c r="E1257" s="28"/>
      <c r="F1257" s="28"/>
      <c r="G1257" s="28"/>
      <c r="H1257" s="4"/>
      <c r="I1257" s="28"/>
      <c r="J1257" s="28"/>
      <c r="K1257" s="28"/>
      <c r="L1257" s="4"/>
      <c r="M1257" s="28"/>
      <c r="N1257" s="28"/>
      <c r="O1257" s="28"/>
      <c r="P1257" s="4"/>
      <c r="Q1257" s="28"/>
      <c r="R1257" s="28"/>
      <c r="S1257" s="28"/>
      <c r="T1257" s="4"/>
      <c r="U1257" s="4"/>
      <c r="V1257" s="4"/>
      <c r="W1257" s="4"/>
      <c r="X1257" s="4"/>
      <c r="Y1257" s="4"/>
      <c r="Z1257" s="4"/>
    </row>
    <row r="1258" ht="12.75" customHeight="1">
      <c r="A1258" s="28"/>
      <c r="B1258" s="28"/>
      <c r="C1258" s="28"/>
      <c r="D1258" s="4"/>
      <c r="E1258" s="28"/>
      <c r="F1258" s="28"/>
      <c r="G1258" s="28"/>
      <c r="H1258" s="4"/>
      <c r="I1258" s="28"/>
      <c r="J1258" s="28"/>
      <c r="K1258" s="28"/>
      <c r="L1258" s="4"/>
      <c r="M1258" s="28"/>
      <c r="N1258" s="28"/>
      <c r="O1258" s="28"/>
      <c r="P1258" s="4"/>
      <c r="Q1258" s="28"/>
      <c r="R1258" s="28"/>
      <c r="S1258" s="28"/>
      <c r="T1258" s="4"/>
      <c r="U1258" s="4"/>
      <c r="V1258" s="4"/>
      <c r="W1258" s="4"/>
      <c r="X1258" s="4"/>
      <c r="Y1258" s="4"/>
      <c r="Z1258" s="4"/>
    </row>
    <row r="1259" ht="12.75" customHeight="1">
      <c r="A1259" s="28"/>
      <c r="B1259" s="28"/>
      <c r="C1259" s="28"/>
      <c r="D1259" s="4"/>
      <c r="E1259" s="28"/>
      <c r="F1259" s="28"/>
      <c r="G1259" s="28"/>
      <c r="H1259" s="4"/>
      <c r="I1259" s="28"/>
      <c r="J1259" s="28"/>
      <c r="K1259" s="28"/>
      <c r="L1259" s="4"/>
      <c r="M1259" s="28"/>
      <c r="N1259" s="28"/>
      <c r="O1259" s="28"/>
      <c r="P1259" s="4"/>
      <c r="Q1259" s="28"/>
      <c r="R1259" s="28"/>
      <c r="S1259" s="28"/>
      <c r="T1259" s="4"/>
      <c r="U1259" s="4"/>
      <c r="V1259" s="4"/>
      <c r="W1259" s="4"/>
      <c r="X1259" s="4"/>
      <c r="Y1259" s="4"/>
      <c r="Z1259" s="4"/>
    </row>
    <row r="1260" ht="12.75" customHeight="1">
      <c r="A1260" s="28"/>
      <c r="B1260" s="28"/>
      <c r="C1260" s="28"/>
      <c r="D1260" s="4"/>
      <c r="E1260" s="28"/>
      <c r="F1260" s="28"/>
      <c r="G1260" s="28"/>
      <c r="H1260" s="4"/>
      <c r="I1260" s="28"/>
      <c r="J1260" s="28"/>
      <c r="K1260" s="28"/>
      <c r="L1260" s="4"/>
      <c r="M1260" s="28"/>
      <c r="N1260" s="28"/>
      <c r="O1260" s="28"/>
      <c r="P1260" s="4"/>
      <c r="Q1260" s="28"/>
      <c r="R1260" s="28"/>
      <c r="S1260" s="28"/>
      <c r="T1260" s="4"/>
      <c r="U1260" s="4"/>
      <c r="V1260" s="4"/>
      <c r="W1260" s="4"/>
      <c r="X1260" s="4"/>
      <c r="Y1260" s="4"/>
      <c r="Z1260" s="4"/>
    </row>
    <row r="1261" ht="12.75" customHeight="1">
      <c r="A1261" s="28"/>
      <c r="B1261" s="28"/>
      <c r="C1261" s="28"/>
      <c r="D1261" s="4"/>
      <c r="E1261" s="28"/>
      <c r="F1261" s="28"/>
      <c r="G1261" s="28"/>
      <c r="H1261" s="4"/>
      <c r="I1261" s="28"/>
      <c r="J1261" s="28"/>
      <c r="K1261" s="28"/>
      <c r="L1261" s="4"/>
      <c r="M1261" s="28"/>
      <c r="N1261" s="28"/>
      <c r="O1261" s="28"/>
      <c r="P1261" s="4"/>
      <c r="Q1261" s="28"/>
      <c r="R1261" s="28"/>
      <c r="S1261" s="28"/>
      <c r="T1261" s="4"/>
      <c r="U1261" s="4"/>
      <c r="V1261" s="4"/>
      <c r="W1261" s="4"/>
      <c r="X1261" s="4"/>
      <c r="Y1261" s="4"/>
      <c r="Z1261" s="4"/>
    </row>
    <row r="1262" ht="12.75" customHeight="1">
      <c r="A1262" s="28"/>
      <c r="B1262" s="28"/>
      <c r="C1262" s="28"/>
      <c r="D1262" s="4"/>
      <c r="E1262" s="28"/>
      <c r="F1262" s="28"/>
      <c r="G1262" s="28"/>
      <c r="H1262" s="4"/>
      <c r="I1262" s="28"/>
      <c r="J1262" s="28"/>
      <c r="K1262" s="28"/>
      <c r="L1262" s="4"/>
      <c r="M1262" s="28"/>
      <c r="N1262" s="28"/>
      <c r="O1262" s="28"/>
      <c r="P1262" s="4"/>
      <c r="Q1262" s="28"/>
      <c r="R1262" s="28"/>
      <c r="S1262" s="28"/>
      <c r="T1262" s="4"/>
      <c r="U1262" s="4"/>
      <c r="V1262" s="4"/>
      <c r="W1262" s="4"/>
      <c r="X1262" s="4"/>
      <c r="Y1262" s="4"/>
      <c r="Z1262" s="4"/>
    </row>
    <row r="1263" ht="12.75" customHeight="1">
      <c r="A1263" s="28"/>
      <c r="B1263" s="28"/>
      <c r="C1263" s="28"/>
      <c r="D1263" s="4"/>
      <c r="E1263" s="28"/>
      <c r="F1263" s="28"/>
      <c r="G1263" s="28"/>
      <c r="H1263" s="4"/>
      <c r="I1263" s="28"/>
      <c r="J1263" s="28"/>
      <c r="K1263" s="28"/>
      <c r="L1263" s="4"/>
      <c r="M1263" s="28"/>
      <c r="N1263" s="28"/>
      <c r="O1263" s="28"/>
      <c r="P1263" s="4"/>
      <c r="Q1263" s="28"/>
      <c r="R1263" s="28"/>
      <c r="S1263" s="28"/>
      <c r="T1263" s="4"/>
      <c r="U1263" s="4"/>
      <c r="V1263" s="4"/>
      <c r="W1263" s="4"/>
      <c r="X1263" s="4"/>
      <c r="Y1263" s="4"/>
      <c r="Z1263" s="4"/>
    </row>
    <row r="1264" ht="12.75" customHeight="1">
      <c r="A1264" s="28"/>
      <c r="B1264" s="28"/>
      <c r="C1264" s="28"/>
      <c r="D1264" s="4"/>
      <c r="E1264" s="28"/>
      <c r="F1264" s="28"/>
      <c r="G1264" s="28"/>
      <c r="H1264" s="4"/>
      <c r="I1264" s="28"/>
      <c r="J1264" s="28"/>
      <c r="K1264" s="28"/>
      <c r="L1264" s="4"/>
      <c r="M1264" s="28"/>
      <c r="N1264" s="28"/>
      <c r="O1264" s="28"/>
      <c r="P1264" s="4"/>
      <c r="Q1264" s="28"/>
      <c r="R1264" s="28"/>
      <c r="S1264" s="28"/>
      <c r="T1264" s="4"/>
      <c r="U1264" s="4"/>
      <c r="V1264" s="4"/>
      <c r="W1264" s="4"/>
      <c r="X1264" s="4"/>
      <c r="Y1264" s="4"/>
      <c r="Z1264" s="4"/>
    </row>
    <row r="1265" ht="12.75" customHeight="1">
      <c r="A1265" s="28"/>
      <c r="B1265" s="28"/>
      <c r="C1265" s="28"/>
      <c r="D1265" s="4"/>
      <c r="E1265" s="28"/>
      <c r="F1265" s="28"/>
      <c r="G1265" s="28"/>
      <c r="H1265" s="4"/>
      <c r="I1265" s="28"/>
      <c r="J1265" s="28"/>
      <c r="K1265" s="28"/>
      <c r="L1265" s="4"/>
      <c r="M1265" s="28"/>
      <c r="N1265" s="28"/>
      <c r="O1265" s="28"/>
      <c r="P1265" s="4"/>
      <c r="Q1265" s="28"/>
      <c r="R1265" s="28"/>
      <c r="S1265" s="28"/>
      <c r="T1265" s="4"/>
      <c r="U1265" s="4"/>
      <c r="V1265" s="4"/>
      <c r="W1265" s="4"/>
      <c r="X1265" s="4"/>
      <c r="Y1265" s="4"/>
      <c r="Z1265" s="4"/>
    </row>
    <row r="1266" ht="12.75" customHeight="1">
      <c r="A1266" s="28"/>
      <c r="B1266" s="28"/>
      <c r="C1266" s="28"/>
      <c r="D1266" s="4"/>
      <c r="E1266" s="28"/>
      <c r="F1266" s="28"/>
      <c r="G1266" s="28"/>
      <c r="H1266" s="4"/>
      <c r="I1266" s="28"/>
      <c r="J1266" s="28"/>
      <c r="K1266" s="28"/>
      <c r="L1266" s="4"/>
      <c r="M1266" s="28"/>
      <c r="N1266" s="28"/>
      <c r="O1266" s="28"/>
      <c r="P1266" s="4"/>
      <c r="Q1266" s="28"/>
      <c r="R1266" s="28"/>
      <c r="S1266" s="28"/>
      <c r="T1266" s="4"/>
      <c r="U1266" s="4"/>
      <c r="V1266" s="4"/>
      <c r="W1266" s="4"/>
      <c r="X1266" s="4"/>
      <c r="Y1266" s="4"/>
      <c r="Z1266" s="4"/>
    </row>
    <row r="1267" ht="12.75" customHeight="1">
      <c r="A1267" s="28"/>
      <c r="B1267" s="28"/>
      <c r="C1267" s="28"/>
      <c r="D1267" s="4"/>
      <c r="E1267" s="28"/>
      <c r="F1267" s="28"/>
      <c r="G1267" s="28"/>
      <c r="H1267" s="4"/>
      <c r="I1267" s="28"/>
      <c r="J1267" s="28"/>
      <c r="K1267" s="28"/>
      <c r="L1267" s="4"/>
      <c r="M1267" s="28"/>
      <c r="N1267" s="28"/>
      <c r="O1267" s="28"/>
      <c r="P1267" s="4"/>
      <c r="Q1267" s="28"/>
      <c r="R1267" s="28"/>
      <c r="S1267" s="28"/>
      <c r="T1267" s="4"/>
      <c r="U1267" s="4"/>
      <c r="V1267" s="4"/>
      <c r="W1267" s="4"/>
      <c r="X1267" s="4"/>
      <c r="Y1267" s="4"/>
      <c r="Z1267" s="4"/>
    </row>
    <row r="1268" ht="12.75" customHeight="1">
      <c r="A1268" s="28"/>
      <c r="B1268" s="28"/>
      <c r="C1268" s="28"/>
      <c r="D1268" s="4"/>
      <c r="E1268" s="28"/>
      <c r="F1268" s="28"/>
      <c r="G1268" s="28"/>
      <c r="H1268" s="4"/>
      <c r="I1268" s="28"/>
      <c r="J1268" s="28"/>
      <c r="K1268" s="28"/>
      <c r="L1268" s="4"/>
      <c r="M1268" s="28"/>
      <c r="N1268" s="28"/>
      <c r="O1268" s="28"/>
      <c r="P1268" s="4"/>
      <c r="Q1268" s="28"/>
      <c r="R1268" s="28"/>
      <c r="S1268" s="28"/>
      <c r="T1268" s="4"/>
      <c r="U1268" s="4"/>
      <c r="V1268" s="4"/>
      <c r="W1268" s="4"/>
      <c r="X1268" s="4"/>
      <c r="Y1268" s="4"/>
      <c r="Z1268" s="4"/>
    </row>
    <row r="1269" ht="12.75" customHeight="1">
      <c r="A1269" s="28"/>
      <c r="B1269" s="28"/>
      <c r="C1269" s="28"/>
      <c r="D1269" s="4"/>
      <c r="E1269" s="28"/>
      <c r="F1269" s="28"/>
      <c r="G1269" s="28"/>
      <c r="H1269" s="4"/>
      <c r="I1269" s="28"/>
      <c r="J1269" s="28"/>
      <c r="K1269" s="28"/>
      <c r="L1269" s="4"/>
      <c r="M1269" s="28"/>
      <c r="N1269" s="28"/>
      <c r="O1269" s="28"/>
      <c r="P1269" s="4"/>
      <c r="Q1269" s="28"/>
      <c r="R1269" s="28"/>
      <c r="S1269" s="28"/>
      <c r="T1269" s="4"/>
      <c r="U1269" s="4"/>
      <c r="V1269" s="4"/>
      <c r="W1269" s="4"/>
      <c r="X1269" s="4"/>
      <c r="Y1269" s="4"/>
      <c r="Z1269" s="4"/>
    </row>
    <row r="1270" ht="12.75" customHeight="1">
      <c r="A1270" s="28"/>
      <c r="B1270" s="28"/>
      <c r="C1270" s="28"/>
      <c r="D1270" s="4"/>
      <c r="E1270" s="28"/>
      <c r="F1270" s="28"/>
      <c r="G1270" s="28"/>
      <c r="H1270" s="4"/>
      <c r="I1270" s="28"/>
      <c r="J1270" s="28"/>
      <c r="K1270" s="28"/>
      <c r="L1270" s="4"/>
      <c r="M1270" s="28"/>
      <c r="N1270" s="28"/>
      <c r="O1270" s="28"/>
      <c r="P1270" s="4"/>
      <c r="Q1270" s="28"/>
      <c r="R1270" s="28"/>
      <c r="S1270" s="28"/>
      <c r="T1270" s="4"/>
      <c r="U1270" s="4"/>
      <c r="V1270" s="4"/>
      <c r="W1270" s="4"/>
      <c r="X1270" s="4"/>
      <c r="Y1270" s="4"/>
      <c r="Z1270" s="4"/>
    </row>
    <row r="1271" ht="12.75" customHeight="1">
      <c r="A1271" s="28"/>
      <c r="B1271" s="28"/>
      <c r="C1271" s="28"/>
      <c r="D1271" s="4"/>
      <c r="E1271" s="28"/>
      <c r="F1271" s="28"/>
      <c r="G1271" s="28"/>
      <c r="H1271" s="4"/>
      <c r="I1271" s="28"/>
      <c r="J1271" s="28"/>
      <c r="K1271" s="28"/>
      <c r="L1271" s="4"/>
      <c r="M1271" s="28"/>
      <c r="N1271" s="28"/>
      <c r="O1271" s="28"/>
      <c r="P1271" s="4"/>
      <c r="Q1271" s="28"/>
      <c r="R1271" s="28"/>
      <c r="S1271" s="28"/>
      <c r="T1271" s="4"/>
      <c r="U1271" s="4"/>
      <c r="V1271" s="4"/>
      <c r="W1271" s="4"/>
      <c r="X1271" s="4"/>
      <c r="Y1271" s="4"/>
      <c r="Z1271" s="4"/>
    </row>
    <row r="1272" ht="12.75" customHeight="1">
      <c r="A1272" s="28"/>
      <c r="B1272" s="28"/>
      <c r="C1272" s="28"/>
      <c r="D1272" s="4"/>
      <c r="E1272" s="28"/>
      <c r="F1272" s="28"/>
      <c r="G1272" s="28"/>
      <c r="H1272" s="4"/>
      <c r="I1272" s="28"/>
      <c r="J1272" s="28"/>
      <c r="K1272" s="28"/>
      <c r="L1272" s="4"/>
      <c r="M1272" s="28"/>
      <c r="N1272" s="28"/>
      <c r="O1272" s="28"/>
      <c r="P1272" s="4"/>
      <c r="Q1272" s="28"/>
      <c r="R1272" s="28"/>
      <c r="S1272" s="28"/>
      <c r="T1272" s="4"/>
      <c r="U1272" s="4"/>
      <c r="V1272" s="4"/>
      <c r="W1272" s="4"/>
      <c r="X1272" s="4"/>
      <c r="Y1272" s="4"/>
      <c r="Z1272" s="4"/>
    </row>
    <row r="1273" ht="12.75" customHeight="1">
      <c r="A1273" s="28"/>
      <c r="B1273" s="28"/>
      <c r="C1273" s="28"/>
      <c r="D1273" s="4"/>
      <c r="E1273" s="28"/>
      <c r="F1273" s="28"/>
      <c r="G1273" s="28"/>
      <c r="H1273" s="4"/>
      <c r="I1273" s="28"/>
      <c r="J1273" s="28"/>
      <c r="K1273" s="28"/>
      <c r="L1273" s="4"/>
      <c r="M1273" s="28"/>
      <c r="N1273" s="28"/>
      <c r="O1273" s="28"/>
      <c r="P1273" s="4"/>
      <c r="Q1273" s="28"/>
      <c r="R1273" s="28"/>
      <c r="S1273" s="28"/>
      <c r="T1273" s="4"/>
      <c r="U1273" s="4"/>
      <c r="V1273" s="4"/>
      <c r="W1273" s="4"/>
      <c r="X1273" s="4"/>
      <c r="Y1273" s="4"/>
      <c r="Z1273" s="4"/>
    </row>
    <row r="1274" ht="12.75" customHeight="1">
      <c r="A1274" s="28"/>
      <c r="B1274" s="28"/>
      <c r="C1274" s="28"/>
      <c r="D1274" s="4"/>
      <c r="E1274" s="28"/>
      <c r="F1274" s="28"/>
      <c r="G1274" s="28"/>
      <c r="H1274" s="4"/>
      <c r="I1274" s="28"/>
      <c r="J1274" s="28"/>
      <c r="K1274" s="28"/>
      <c r="L1274" s="4"/>
      <c r="M1274" s="28"/>
      <c r="N1274" s="28"/>
      <c r="O1274" s="28"/>
      <c r="P1274" s="4"/>
      <c r="Q1274" s="28"/>
      <c r="R1274" s="28"/>
      <c r="S1274" s="28"/>
      <c r="T1274" s="4"/>
      <c r="U1274" s="4"/>
      <c r="V1274" s="4"/>
      <c r="W1274" s="4"/>
      <c r="X1274" s="4"/>
      <c r="Y1274" s="4"/>
      <c r="Z1274" s="4"/>
    </row>
    <row r="1275" ht="12.75" customHeight="1">
      <c r="A1275" s="28"/>
      <c r="B1275" s="28"/>
      <c r="C1275" s="28"/>
      <c r="D1275" s="4"/>
      <c r="E1275" s="28"/>
      <c r="F1275" s="28"/>
      <c r="G1275" s="28"/>
      <c r="H1275" s="4"/>
      <c r="I1275" s="28"/>
      <c r="J1275" s="28"/>
      <c r="K1275" s="28"/>
      <c r="L1275" s="4"/>
      <c r="M1275" s="28"/>
      <c r="N1275" s="28"/>
      <c r="O1275" s="28"/>
      <c r="P1275" s="4"/>
      <c r="Q1275" s="28"/>
      <c r="R1275" s="28"/>
      <c r="S1275" s="28"/>
      <c r="T1275" s="4"/>
      <c r="U1275" s="4"/>
      <c r="V1275" s="4"/>
      <c r="W1275" s="4"/>
      <c r="X1275" s="4"/>
      <c r="Y1275" s="4"/>
      <c r="Z1275" s="4"/>
    </row>
    <row r="1276" ht="12.75" customHeight="1">
      <c r="A1276" s="28"/>
      <c r="B1276" s="28"/>
      <c r="C1276" s="28"/>
      <c r="D1276" s="4"/>
      <c r="E1276" s="28"/>
      <c r="F1276" s="28"/>
      <c r="G1276" s="28"/>
      <c r="H1276" s="4"/>
      <c r="I1276" s="28"/>
      <c r="J1276" s="28"/>
      <c r="K1276" s="28"/>
      <c r="L1276" s="4"/>
      <c r="M1276" s="28"/>
      <c r="N1276" s="28"/>
      <c r="O1276" s="28"/>
      <c r="P1276" s="4"/>
      <c r="Q1276" s="28"/>
      <c r="R1276" s="28"/>
      <c r="S1276" s="28"/>
      <c r="T1276" s="4"/>
      <c r="U1276" s="4"/>
      <c r="V1276" s="4"/>
      <c r="W1276" s="4"/>
      <c r="X1276" s="4"/>
      <c r="Y1276" s="4"/>
      <c r="Z1276" s="4"/>
    </row>
    <row r="1277" ht="12.75" customHeight="1">
      <c r="A1277" s="28"/>
      <c r="B1277" s="28"/>
      <c r="C1277" s="28"/>
      <c r="D1277" s="4"/>
      <c r="E1277" s="28"/>
      <c r="F1277" s="28"/>
      <c r="G1277" s="28"/>
      <c r="H1277" s="4"/>
      <c r="I1277" s="28"/>
      <c r="J1277" s="28"/>
      <c r="K1277" s="28"/>
      <c r="L1277" s="4"/>
      <c r="M1277" s="28"/>
      <c r="N1277" s="28"/>
      <c r="O1277" s="28"/>
      <c r="P1277" s="4"/>
      <c r="Q1277" s="28"/>
      <c r="R1277" s="28"/>
      <c r="S1277" s="28"/>
      <c r="T1277" s="4"/>
      <c r="U1277" s="4"/>
      <c r="V1277" s="4"/>
      <c r="W1277" s="4"/>
      <c r="X1277" s="4"/>
      <c r="Y1277" s="4"/>
      <c r="Z1277" s="4"/>
    </row>
    <row r="1278" ht="12.75" customHeight="1">
      <c r="A1278" s="28"/>
      <c r="B1278" s="28"/>
      <c r="C1278" s="28"/>
      <c r="D1278" s="4"/>
      <c r="E1278" s="28"/>
      <c r="F1278" s="28"/>
      <c r="G1278" s="28"/>
      <c r="H1278" s="4"/>
      <c r="I1278" s="28"/>
      <c r="J1278" s="28"/>
      <c r="K1278" s="28"/>
      <c r="L1278" s="4"/>
      <c r="M1278" s="28"/>
      <c r="N1278" s="28"/>
      <c r="O1278" s="28"/>
      <c r="P1278" s="4"/>
      <c r="Q1278" s="28"/>
      <c r="R1278" s="28"/>
      <c r="S1278" s="28"/>
      <c r="T1278" s="4"/>
      <c r="U1278" s="4"/>
      <c r="V1278" s="4"/>
      <c r="W1278" s="4"/>
      <c r="X1278" s="4"/>
      <c r="Y1278" s="4"/>
      <c r="Z1278" s="4"/>
    </row>
    <row r="1279" ht="12.75" customHeight="1">
      <c r="A1279" s="28"/>
      <c r="B1279" s="28"/>
      <c r="C1279" s="28"/>
      <c r="D1279" s="4"/>
      <c r="E1279" s="28"/>
      <c r="F1279" s="28"/>
      <c r="G1279" s="28"/>
      <c r="H1279" s="4"/>
      <c r="I1279" s="28"/>
      <c r="J1279" s="28"/>
      <c r="K1279" s="28"/>
      <c r="L1279" s="4"/>
      <c r="M1279" s="28"/>
      <c r="N1279" s="28"/>
      <c r="O1279" s="28"/>
      <c r="P1279" s="4"/>
      <c r="Q1279" s="28"/>
      <c r="R1279" s="28"/>
      <c r="S1279" s="28"/>
      <c r="T1279" s="4"/>
      <c r="U1279" s="4"/>
      <c r="V1279" s="4"/>
      <c r="W1279" s="4"/>
      <c r="X1279" s="4"/>
      <c r="Y1279" s="4"/>
      <c r="Z1279" s="4"/>
    </row>
    <row r="1280" ht="12.75" customHeight="1">
      <c r="A1280" s="28"/>
      <c r="B1280" s="28"/>
      <c r="C1280" s="28"/>
      <c r="D1280" s="4"/>
      <c r="E1280" s="28"/>
      <c r="F1280" s="28"/>
      <c r="G1280" s="28"/>
      <c r="H1280" s="4"/>
      <c r="I1280" s="28"/>
      <c r="J1280" s="28"/>
      <c r="K1280" s="28"/>
      <c r="L1280" s="4"/>
      <c r="M1280" s="28"/>
      <c r="N1280" s="28"/>
      <c r="O1280" s="28"/>
      <c r="P1280" s="4"/>
      <c r="Q1280" s="28"/>
      <c r="R1280" s="28"/>
      <c r="S1280" s="28"/>
      <c r="T1280" s="4"/>
      <c r="U1280" s="4"/>
      <c r="V1280" s="4"/>
      <c r="W1280" s="4"/>
      <c r="X1280" s="4"/>
      <c r="Y1280" s="4"/>
      <c r="Z1280" s="4"/>
    </row>
    <row r="1281" ht="12.75" customHeight="1">
      <c r="A1281" s="28"/>
      <c r="B1281" s="28"/>
      <c r="C1281" s="28"/>
      <c r="D1281" s="4"/>
      <c r="E1281" s="28"/>
      <c r="F1281" s="28"/>
      <c r="G1281" s="28"/>
      <c r="H1281" s="4"/>
      <c r="I1281" s="28"/>
      <c r="J1281" s="28"/>
      <c r="K1281" s="28"/>
      <c r="L1281" s="4"/>
      <c r="M1281" s="28"/>
      <c r="N1281" s="28"/>
      <c r="O1281" s="28"/>
      <c r="P1281" s="4"/>
      <c r="Q1281" s="28"/>
      <c r="R1281" s="28"/>
      <c r="S1281" s="28"/>
      <c r="T1281" s="4"/>
      <c r="U1281" s="4"/>
      <c r="V1281" s="4"/>
      <c r="W1281" s="4"/>
      <c r="X1281" s="4"/>
      <c r="Y1281" s="4"/>
      <c r="Z1281" s="4"/>
    </row>
    <row r="1282" ht="12.75" customHeight="1">
      <c r="A1282" s="28"/>
      <c r="B1282" s="28"/>
      <c r="C1282" s="28"/>
      <c r="D1282" s="4"/>
      <c r="E1282" s="28"/>
      <c r="F1282" s="28"/>
      <c r="G1282" s="28"/>
      <c r="H1282" s="4"/>
      <c r="I1282" s="28"/>
      <c r="J1282" s="28"/>
      <c r="K1282" s="28"/>
      <c r="L1282" s="4"/>
      <c r="M1282" s="28"/>
      <c r="N1282" s="28"/>
      <c r="O1282" s="28"/>
      <c r="P1282" s="4"/>
      <c r="Q1282" s="28"/>
      <c r="R1282" s="28"/>
      <c r="S1282" s="28"/>
      <c r="T1282" s="4"/>
      <c r="U1282" s="4"/>
      <c r="V1282" s="4"/>
      <c r="W1282" s="4"/>
      <c r="X1282" s="4"/>
      <c r="Y1282" s="4"/>
      <c r="Z1282" s="4"/>
    </row>
    <row r="1283" ht="12.75" customHeight="1">
      <c r="A1283" s="28"/>
      <c r="B1283" s="28"/>
      <c r="C1283" s="28"/>
      <c r="D1283" s="4"/>
      <c r="E1283" s="28"/>
      <c r="F1283" s="28"/>
      <c r="G1283" s="28"/>
      <c r="H1283" s="4"/>
      <c r="I1283" s="28"/>
      <c r="J1283" s="28"/>
      <c r="K1283" s="28"/>
      <c r="L1283" s="4"/>
      <c r="M1283" s="28"/>
      <c r="N1283" s="28"/>
      <c r="O1283" s="28"/>
      <c r="P1283" s="4"/>
      <c r="Q1283" s="28"/>
      <c r="R1283" s="28"/>
      <c r="S1283" s="28"/>
      <c r="T1283" s="4"/>
      <c r="U1283" s="4"/>
      <c r="V1283" s="4"/>
      <c r="W1283" s="4"/>
      <c r="X1283" s="4"/>
      <c r="Y1283" s="4"/>
      <c r="Z1283" s="4"/>
    </row>
    <row r="1284" ht="12.75" customHeight="1">
      <c r="A1284" s="28"/>
      <c r="B1284" s="28"/>
      <c r="C1284" s="28"/>
      <c r="D1284" s="4"/>
      <c r="E1284" s="28"/>
      <c r="F1284" s="28"/>
      <c r="G1284" s="28"/>
      <c r="H1284" s="4"/>
      <c r="I1284" s="28"/>
      <c r="J1284" s="28"/>
      <c r="K1284" s="28"/>
      <c r="L1284" s="4"/>
      <c r="M1284" s="28"/>
      <c r="N1284" s="28"/>
      <c r="O1284" s="28"/>
      <c r="P1284" s="4"/>
      <c r="Q1284" s="28"/>
      <c r="R1284" s="28"/>
      <c r="S1284" s="28"/>
      <c r="T1284" s="4"/>
      <c r="U1284" s="4"/>
      <c r="V1284" s="4"/>
      <c r="W1284" s="4"/>
      <c r="X1284" s="4"/>
      <c r="Y1284" s="4"/>
      <c r="Z1284" s="4"/>
    </row>
    <row r="1285" ht="12.75" customHeight="1">
      <c r="A1285" s="28"/>
      <c r="B1285" s="28"/>
      <c r="C1285" s="28"/>
      <c r="D1285" s="4"/>
      <c r="E1285" s="28"/>
      <c r="F1285" s="28"/>
      <c r="G1285" s="28"/>
      <c r="H1285" s="4"/>
      <c r="I1285" s="28"/>
      <c r="J1285" s="28"/>
      <c r="K1285" s="28"/>
      <c r="L1285" s="4"/>
      <c r="M1285" s="28"/>
      <c r="N1285" s="28"/>
      <c r="O1285" s="28"/>
      <c r="P1285" s="4"/>
      <c r="Q1285" s="28"/>
      <c r="R1285" s="28"/>
      <c r="S1285" s="28"/>
      <c r="T1285" s="4"/>
      <c r="U1285" s="4"/>
      <c r="V1285" s="4"/>
      <c r="W1285" s="4"/>
      <c r="X1285" s="4"/>
      <c r="Y1285" s="4"/>
      <c r="Z1285" s="4"/>
    </row>
    <row r="1286" ht="12.75" customHeight="1">
      <c r="A1286" s="28"/>
      <c r="B1286" s="28"/>
      <c r="C1286" s="28"/>
      <c r="D1286" s="4"/>
      <c r="E1286" s="28"/>
      <c r="F1286" s="28"/>
      <c r="G1286" s="28"/>
      <c r="H1286" s="4"/>
      <c r="I1286" s="28"/>
      <c r="J1286" s="28"/>
      <c r="K1286" s="28"/>
      <c r="L1286" s="4"/>
      <c r="M1286" s="28"/>
      <c r="N1286" s="28"/>
      <c r="O1286" s="28"/>
      <c r="P1286" s="4"/>
      <c r="Q1286" s="28"/>
      <c r="R1286" s="28"/>
      <c r="S1286" s="28"/>
      <c r="T1286" s="4"/>
      <c r="U1286" s="4"/>
      <c r="V1286" s="4"/>
      <c r="W1286" s="4"/>
      <c r="X1286" s="4"/>
      <c r="Y1286" s="4"/>
      <c r="Z1286" s="4"/>
    </row>
    <row r="1287" ht="12.75" customHeight="1">
      <c r="A1287" s="28"/>
      <c r="B1287" s="28"/>
      <c r="C1287" s="28"/>
      <c r="D1287" s="4"/>
      <c r="E1287" s="28"/>
      <c r="F1287" s="28"/>
      <c r="G1287" s="28"/>
      <c r="H1287" s="4"/>
      <c r="I1287" s="28"/>
      <c r="J1287" s="28"/>
      <c r="K1287" s="28"/>
      <c r="L1287" s="4"/>
      <c r="M1287" s="28"/>
      <c r="N1287" s="28"/>
      <c r="O1287" s="28"/>
      <c r="P1287" s="4"/>
      <c r="Q1287" s="28"/>
      <c r="R1287" s="28"/>
      <c r="S1287" s="28"/>
      <c r="T1287" s="4"/>
      <c r="U1287" s="4"/>
      <c r="V1287" s="4"/>
      <c r="W1287" s="4"/>
      <c r="X1287" s="4"/>
      <c r="Y1287" s="4"/>
      <c r="Z1287" s="4"/>
    </row>
    <row r="1288" ht="12.75" customHeight="1">
      <c r="A1288" s="28"/>
      <c r="B1288" s="28"/>
      <c r="C1288" s="28"/>
      <c r="D1288" s="4"/>
      <c r="E1288" s="28"/>
      <c r="F1288" s="28"/>
      <c r="G1288" s="28"/>
      <c r="H1288" s="4"/>
      <c r="I1288" s="28"/>
      <c r="J1288" s="28"/>
      <c r="K1288" s="28"/>
      <c r="L1288" s="4"/>
      <c r="M1288" s="28"/>
      <c r="N1288" s="28"/>
      <c r="O1288" s="28"/>
      <c r="P1288" s="4"/>
      <c r="Q1288" s="28"/>
      <c r="R1288" s="28"/>
      <c r="S1288" s="28"/>
      <c r="T1288" s="4"/>
      <c r="U1288" s="4"/>
      <c r="V1288" s="4"/>
      <c r="W1288" s="4"/>
      <c r="X1288" s="4"/>
      <c r="Y1288" s="4"/>
      <c r="Z1288" s="4"/>
    </row>
    <row r="1289" ht="12.75" customHeight="1">
      <c r="A1289" s="28"/>
      <c r="B1289" s="28"/>
      <c r="C1289" s="28"/>
      <c r="D1289" s="4"/>
      <c r="E1289" s="28"/>
      <c r="F1289" s="28"/>
      <c r="G1289" s="28"/>
      <c r="H1289" s="4"/>
      <c r="I1289" s="28"/>
      <c r="J1289" s="28"/>
      <c r="K1289" s="28"/>
      <c r="L1289" s="4"/>
      <c r="M1289" s="28"/>
      <c r="N1289" s="28"/>
      <c r="O1289" s="28"/>
      <c r="P1289" s="4"/>
      <c r="Q1289" s="28"/>
      <c r="R1289" s="28"/>
      <c r="S1289" s="28"/>
      <c r="T1289" s="4"/>
      <c r="U1289" s="4"/>
      <c r="V1289" s="4"/>
      <c r="W1289" s="4"/>
      <c r="X1289" s="4"/>
      <c r="Y1289" s="4"/>
      <c r="Z1289" s="4"/>
    </row>
    <row r="1290" ht="12.75" customHeight="1">
      <c r="A1290" s="28"/>
      <c r="B1290" s="28"/>
      <c r="C1290" s="28"/>
      <c r="D1290" s="4"/>
      <c r="E1290" s="28"/>
      <c r="F1290" s="28"/>
      <c r="G1290" s="28"/>
      <c r="H1290" s="4"/>
      <c r="I1290" s="28"/>
      <c r="J1290" s="28"/>
      <c r="K1290" s="28"/>
      <c r="L1290" s="4"/>
      <c r="M1290" s="28"/>
      <c r="N1290" s="28"/>
      <c r="O1290" s="28"/>
      <c r="P1290" s="4"/>
      <c r="Q1290" s="28"/>
      <c r="R1290" s="28"/>
      <c r="S1290" s="28"/>
      <c r="T1290" s="4"/>
      <c r="U1290" s="4"/>
      <c r="V1290" s="4"/>
      <c r="W1290" s="4"/>
      <c r="X1290" s="4"/>
      <c r="Y1290" s="4"/>
      <c r="Z1290" s="4"/>
    </row>
    <row r="1291" ht="12.75" customHeight="1">
      <c r="A1291" s="28"/>
      <c r="B1291" s="28"/>
      <c r="C1291" s="28"/>
      <c r="D1291" s="4"/>
      <c r="E1291" s="28"/>
      <c r="F1291" s="28"/>
      <c r="G1291" s="28"/>
      <c r="H1291" s="4"/>
      <c r="I1291" s="28"/>
      <c r="J1291" s="28"/>
      <c r="K1291" s="28"/>
      <c r="L1291" s="4"/>
      <c r="M1291" s="28"/>
      <c r="N1291" s="28"/>
      <c r="O1291" s="28"/>
      <c r="P1291" s="4"/>
      <c r="Q1291" s="28"/>
      <c r="R1291" s="28"/>
      <c r="S1291" s="28"/>
      <c r="T1291" s="4"/>
      <c r="U1291" s="4"/>
      <c r="V1291" s="4"/>
      <c r="W1291" s="4"/>
      <c r="X1291" s="4"/>
      <c r="Y1291" s="4"/>
      <c r="Z1291" s="4"/>
    </row>
    <row r="1292" ht="12.75" customHeight="1">
      <c r="A1292" s="28"/>
      <c r="B1292" s="28"/>
      <c r="C1292" s="28"/>
      <c r="D1292" s="4"/>
      <c r="E1292" s="28"/>
      <c r="F1292" s="28"/>
      <c r="G1292" s="28"/>
      <c r="H1292" s="4"/>
      <c r="I1292" s="28"/>
      <c r="J1292" s="28"/>
      <c r="K1292" s="28"/>
      <c r="L1292" s="4"/>
      <c r="M1292" s="28"/>
      <c r="N1292" s="28"/>
      <c r="O1292" s="28"/>
      <c r="P1292" s="4"/>
      <c r="Q1292" s="28"/>
      <c r="R1292" s="28"/>
      <c r="S1292" s="28"/>
      <c r="T1292" s="4"/>
      <c r="U1292" s="4"/>
      <c r="V1292" s="4"/>
      <c r="W1292" s="4"/>
      <c r="X1292" s="4"/>
      <c r="Y1292" s="4"/>
      <c r="Z1292" s="4"/>
    </row>
    <row r="1293" ht="12.75" customHeight="1">
      <c r="A1293" s="28"/>
      <c r="B1293" s="28"/>
      <c r="C1293" s="28"/>
      <c r="D1293" s="4"/>
      <c r="E1293" s="28"/>
      <c r="F1293" s="28"/>
      <c r="G1293" s="28"/>
      <c r="H1293" s="4"/>
      <c r="I1293" s="28"/>
      <c r="J1293" s="28"/>
      <c r="K1293" s="28"/>
      <c r="L1293" s="4"/>
      <c r="M1293" s="28"/>
      <c r="N1293" s="28"/>
      <c r="O1293" s="28"/>
      <c r="P1293" s="4"/>
      <c r="Q1293" s="28"/>
      <c r="R1293" s="28"/>
      <c r="S1293" s="28"/>
      <c r="T1293" s="4"/>
      <c r="U1293" s="4"/>
      <c r="V1293" s="4"/>
      <c r="W1293" s="4"/>
      <c r="X1293" s="4"/>
      <c r="Y1293" s="4"/>
      <c r="Z1293" s="4"/>
    </row>
    <row r="1294" ht="12.75" customHeight="1">
      <c r="A1294" s="28"/>
      <c r="B1294" s="28"/>
      <c r="C1294" s="28"/>
      <c r="D1294" s="4"/>
      <c r="E1294" s="28"/>
      <c r="F1294" s="28"/>
      <c r="G1294" s="28"/>
      <c r="H1294" s="4"/>
      <c r="I1294" s="28"/>
      <c r="J1294" s="28"/>
      <c r="K1294" s="28"/>
      <c r="L1294" s="4"/>
      <c r="M1294" s="28"/>
      <c r="N1294" s="28"/>
      <c r="O1294" s="28"/>
      <c r="P1294" s="4"/>
      <c r="Q1294" s="28"/>
      <c r="R1294" s="28"/>
      <c r="S1294" s="28"/>
      <c r="T1294" s="4"/>
      <c r="U1294" s="4"/>
      <c r="V1294" s="4"/>
      <c r="W1294" s="4"/>
      <c r="X1294" s="4"/>
      <c r="Y1294" s="4"/>
      <c r="Z1294" s="4"/>
    </row>
    <row r="1295" ht="12.75" customHeight="1">
      <c r="A1295" s="28"/>
      <c r="B1295" s="28"/>
      <c r="C1295" s="28"/>
      <c r="D1295" s="4"/>
      <c r="E1295" s="28"/>
      <c r="F1295" s="28"/>
      <c r="G1295" s="28"/>
      <c r="H1295" s="4"/>
      <c r="I1295" s="28"/>
      <c r="J1295" s="28"/>
      <c r="K1295" s="28"/>
      <c r="L1295" s="4"/>
      <c r="M1295" s="28"/>
      <c r="N1295" s="28"/>
      <c r="O1295" s="28"/>
      <c r="P1295" s="4"/>
      <c r="Q1295" s="28"/>
      <c r="R1295" s="28"/>
      <c r="S1295" s="28"/>
      <c r="T1295" s="4"/>
      <c r="U1295" s="4"/>
      <c r="V1295" s="4"/>
      <c r="W1295" s="4"/>
      <c r="X1295" s="4"/>
      <c r="Y1295" s="4"/>
      <c r="Z1295" s="4"/>
    </row>
    <row r="1296" ht="12.75" customHeight="1">
      <c r="A1296" s="28"/>
      <c r="B1296" s="28"/>
      <c r="C1296" s="28"/>
      <c r="D1296" s="4"/>
      <c r="E1296" s="28"/>
      <c r="F1296" s="28"/>
      <c r="G1296" s="28"/>
      <c r="H1296" s="4"/>
      <c r="I1296" s="28"/>
      <c r="J1296" s="28"/>
      <c r="K1296" s="28"/>
      <c r="L1296" s="4"/>
      <c r="M1296" s="28"/>
      <c r="N1296" s="28"/>
      <c r="O1296" s="28"/>
      <c r="P1296" s="4"/>
      <c r="Q1296" s="28"/>
      <c r="R1296" s="28"/>
      <c r="S1296" s="28"/>
      <c r="T1296" s="4"/>
      <c r="U1296" s="4"/>
      <c r="V1296" s="4"/>
      <c r="W1296" s="4"/>
      <c r="X1296" s="4"/>
      <c r="Y1296" s="4"/>
      <c r="Z1296" s="4"/>
    </row>
    <row r="1297" ht="12.75" customHeight="1">
      <c r="A1297" s="28"/>
      <c r="B1297" s="28"/>
      <c r="C1297" s="28"/>
      <c r="D1297" s="4"/>
      <c r="E1297" s="28"/>
      <c r="F1297" s="28"/>
      <c r="G1297" s="28"/>
      <c r="H1297" s="4"/>
      <c r="I1297" s="28"/>
      <c r="J1297" s="28"/>
      <c r="K1297" s="28"/>
      <c r="L1297" s="4"/>
      <c r="M1297" s="28"/>
      <c r="N1297" s="28"/>
      <c r="O1297" s="28"/>
      <c r="P1297" s="4"/>
      <c r="Q1297" s="28"/>
      <c r="R1297" s="28"/>
      <c r="S1297" s="28"/>
      <c r="T1297" s="4"/>
      <c r="U1297" s="4"/>
      <c r="V1297" s="4"/>
      <c r="W1297" s="4"/>
      <c r="X1297" s="4"/>
      <c r="Y1297" s="4"/>
      <c r="Z1297" s="4"/>
    </row>
    <row r="1298" ht="12.75" customHeight="1">
      <c r="A1298" s="28"/>
      <c r="B1298" s="28"/>
      <c r="C1298" s="28"/>
      <c r="D1298" s="4"/>
      <c r="E1298" s="28"/>
      <c r="F1298" s="28"/>
      <c r="G1298" s="28"/>
      <c r="H1298" s="4"/>
      <c r="I1298" s="28"/>
      <c r="J1298" s="28"/>
      <c r="K1298" s="28"/>
      <c r="L1298" s="4"/>
      <c r="M1298" s="28"/>
      <c r="N1298" s="28"/>
      <c r="O1298" s="28"/>
      <c r="P1298" s="4"/>
      <c r="Q1298" s="28"/>
      <c r="R1298" s="28"/>
      <c r="S1298" s="28"/>
      <c r="T1298" s="4"/>
      <c r="U1298" s="4"/>
      <c r="V1298" s="4"/>
      <c r="W1298" s="4"/>
      <c r="X1298" s="4"/>
      <c r="Y1298" s="4"/>
      <c r="Z1298" s="4"/>
    </row>
    <row r="1299" ht="12.75" customHeight="1">
      <c r="A1299" s="28"/>
      <c r="B1299" s="28"/>
      <c r="C1299" s="28"/>
      <c r="D1299" s="4"/>
      <c r="E1299" s="28"/>
      <c r="F1299" s="28"/>
      <c r="G1299" s="28"/>
      <c r="H1299" s="4"/>
      <c r="I1299" s="28"/>
      <c r="J1299" s="28"/>
      <c r="K1299" s="28"/>
      <c r="L1299" s="4"/>
      <c r="M1299" s="28"/>
      <c r="N1299" s="28"/>
      <c r="O1299" s="28"/>
      <c r="P1299" s="4"/>
      <c r="Q1299" s="28"/>
      <c r="R1299" s="28"/>
      <c r="S1299" s="28"/>
      <c r="T1299" s="4"/>
      <c r="U1299" s="4"/>
      <c r="V1299" s="4"/>
      <c r="W1299" s="4"/>
      <c r="X1299" s="4"/>
      <c r="Y1299" s="4"/>
      <c r="Z1299" s="4"/>
    </row>
    <row r="1300" ht="12.75" customHeight="1">
      <c r="A1300" s="28"/>
      <c r="B1300" s="28"/>
      <c r="C1300" s="28"/>
      <c r="D1300" s="4"/>
      <c r="E1300" s="28"/>
      <c r="F1300" s="28"/>
      <c r="G1300" s="28"/>
      <c r="H1300" s="4"/>
      <c r="I1300" s="28"/>
      <c r="J1300" s="28"/>
      <c r="K1300" s="28"/>
      <c r="L1300" s="4"/>
      <c r="M1300" s="28"/>
      <c r="N1300" s="28"/>
      <c r="O1300" s="28"/>
      <c r="P1300" s="4"/>
      <c r="Q1300" s="28"/>
      <c r="R1300" s="28"/>
      <c r="S1300" s="28"/>
      <c r="T1300" s="4"/>
      <c r="U1300" s="4"/>
      <c r="V1300" s="4"/>
      <c r="W1300" s="4"/>
      <c r="X1300" s="4"/>
      <c r="Y1300" s="4"/>
      <c r="Z1300" s="4"/>
    </row>
    <row r="1301" ht="12.75" customHeight="1">
      <c r="A1301" s="28"/>
      <c r="B1301" s="28"/>
      <c r="C1301" s="28"/>
      <c r="D1301" s="4"/>
      <c r="E1301" s="28"/>
      <c r="F1301" s="28"/>
      <c r="G1301" s="28"/>
      <c r="H1301" s="4"/>
      <c r="I1301" s="28"/>
      <c r="J1301" s="28"/>
      <c r="K1301" s="28"/>
      <c r="L1301" s="4"/>
      <c r="M1301" s="28"/>
      <c r="N1301" s="28"/>
      <c r="O1301" s="28"/>
      <c r="P1301" s="4"/>
      <c r="Q1301" s="28"/>
      <c r="R1301" s="28"/>
      <c r="S1301" s="28"/>
      <c r="T1301" s="4"/>
      <c r="U1301" s="4"/>
      <c r="V1301" s="4"/>
      <c r="W1301" s="4"/>
      <c r="X1301" s="4"/>
      <c r="Y1301" s="4"/>
      <c r="Z1301" s="4"/>
    </row>
    <row r="1302" ht="12.75" customHeight="1">
      <c r="A1302" s="28"/>
      <c r="B1302" s="28"/>
      <c r="C1302" s="28"/>
      <c r="D1302" s="4"/>
      <c r="E1302" s="28"/>
      <c r="F1302" s="28"/>
      <c r="G1302" s="28"/>
      <c r="H1302" s="4"/>
      <c r="I1302" s="28"/>
      <c r="J1302" s="28"/>
      <c r="K1302" s="28"/>
      <c r="L1302" s="4"/>
      <c r="M1302" s="28"/>
      <c r="N1302" s="28"/>
      <c r="O1302" s="28"/>
      <c r="P1302" s="4"/>
      <c r="Q1302" s="28"/>
      <c r="R1302" s="28"/>
      <c r="S1302" s="28"/>
      <c r="T1302" s="4"/>
      <c r="U1302" s="4"/>
      <c r="V1302" s="4"/>
      <c r="W1302" s="4"/>
      <c r="X1302" s="4"/>
      <c r="Y1302" s="4"/>
      <c r="Z1302" s="4"/>
    </row>
    <row r="1303" ht="12.75" customHeight="1">
      <c r="A1303" s="28"/>
      <c r="B1303" s="28"/>
      <c r="C1303" s="28"/>
      <c r="D1303" s="4"/>
      <c r="E1303" s="28"/>
      <c r="F1303" s="28"/>
      <c r="G1303" s="28"/>
      <c r="H1303" s="4"/>
      <c r="I1303" s="28"/>
      <c r="J1303" s="28"/>
      <c r="K1303" s="28"/>
      <c r="L1303" s="4"/>
      <c r="M1303" s="28"/>
      <c r="N1303" s="28"/>
      <c r="O1303" s="28"/>
      <c r="P1303" s="4"/>
      <c r="Q1303" s="28"/>
      <c r="R1303" s="28"/>
      <c r="S1303" s="28"/>
      <c r="T1303" s="4"/>
      <c r="U1303" s="4"/>
      <c r="V1303" s="4"/>
      <c r="W1303" s="4"/>
      <c r="X1303" s="4"/>
      <c r="Y1303" s="4"/>
      <c r="Z1303" s="4"/>
    </row>
    <row r="1304" ht="12.75" customHeight="1">
      <c r="A1304" s="28"/>
      <c r="B1304" s="28"/>
      <c r="C1304" s="28"/>
      <c r="D1304" s="4"/>
      <c r="E1304" s="28"/>
      <c r="F1304" s="28"/>
      <c r="G1304" s="28"/>
      <c r="H1304" s="4"/>
      <c r="I1304" s="28"/>
      <c r="J1304" s="28"/>
      <c r="K1304" s="28"/>
      <c r="L1304" s="4"/>
      <c r="M1304" s="28"/>
      <c r="N1304" s="28"/>
      <c r="O1304" s="28"/>
      <c r="P1304" s="4"/>
      <c r="Q1304" s="28"/>
      <c r="R1304" s="28"/>
      <c r="S1304" s="28"/>
      <c r="T1304" s="4"/>
      <c r="U1304" s="4"/>
      <c r="V1304" s="4"/>
      <c r="W1304" s="4"/>
      <c r="X1304" s="4"/>
      <c r="Y1304" s="4"/>
      <c r="Z1304" s="4"/>
    </row>
    <row r="1305" ht="12.75" customHeight="1">
      <c r="A1305" s="28"/>
      <c r="B1305" s="28"/>
      <c r="C1305" s="28"/>
      <c r="D1305" s="4"/>
      <c r="E1305" s="28"/>
      <c r="F1305" s="28"/>
      <c r="G1305" s="28"/>
      <c r="H1305" s="4"/>
      <c r="I1305" s="28"/>
      <c r="J1305" s="28"/>
      <c r="K1305" s="28"/>
      <c r="L1305" s="4"/>
      <c r="M1305" s="28"/>
      <c r="N1305" s="28"/>
      <c r="O1305" s="28"/>
      <c r="P1305" s="4"/>
      <c r="Q1305" s="28"/>
      <c r="R1305" s="28"/>
      <c r="S1305" s="28"/>
      <c r="T1305" s="4"/>
      <c r="U1305" s="4"/>
      <c r="V1305" s="4"/>
      <c r="W1305" s="4"/>
      <c r="X1305" s="4"/>
      <c r="Y1305" s="4"/>
      <c r="Z1305" s="4"/>
    </row>
    <row r="1306" ht="12.75" customHeight="1">
      <c r="A1306" s="28"/>
      <c r="B1306" s="28"/>
      <c r="C1306" s="28"/>
      <c r="D1306" s="4"/>
      <c r="E1306" s="28"/>
      <c r="F1306" s="28"/>
      <c r="G1306" s="28"/>
      <c r="H1306" s="4"/>
      <c r="I1306" s="28"/>
      <c r="J1306" s="28"/>
      <c r="K1306" s="28"/>
      <c r="L1306" s="4"/>
      <c r="M1306" s="28"/>
      <c r="N1306" s="28"/>
      <c r="O1306" s="28"/>
      <c r="P1306" s="4"/>
      <c r="Q1306" s="28"/>
      <c r="R1306" s="28"/>
      <c r="S1306" s="28"/>
      <c r="T1306" s="4"/>
      <c r="U1306" s="4"/>
      <c r="V1306" s="4"/>
      <c r="W1306" s="4"/>
      <c r="X1306" s="4"/>
      <c r="Y1306" s="4"/>
      <c r="Z1306" s="4"/>
    </row>
    <row r="1307" ht="12.75" customHeight="1">
      <c r="A1307" s="28"/>
      <c r="B1307" s="28"/>
      <c r="C1307" s="28"/>
      <c r="D1307" s="4"/>
      <c r="E1307" s="28"/>
      <c r="F1307" s="28"/>
      <c r="G1307" s="28"/>
      <c r="H1307" s="4"/>
      <c r="I1307" s="28"/>
      <c r="J1307" s="28"/>
      <c r="K1307" s="28"/>
      <c r="L1307" s="4"/>
      <c r="M1307" s="28"/>
      <c r="N1307" s="28"/>
      <c r="O1307" s="28"/>
      <c r="P1307" s="4"/>
      <c r="Q1307" s="28"/>
      <c r="R1307" s="28"/>
      <c r="S1307" s="28"/>
      <c r="T1307" s="4"/>
      <c r="U1307" s="4"/>
      <c r="V1307" s="4"/>
      <c r="W1307" s="4"/>
      <c r="X1307" s="4"/>
      <c r="Y1307" s="4"/>
      <c r="Z1307" s="4"/>
    </row>
    <row r="1308" ht="12.75" customHeight="1">
      <c r="A1308" s="28"/>
      <c r="B1308" s="28"/>
      <c r="C1308" s="28"/>
      <c r="D1308" s="4"/>
      <c r="E1308" s="28"/>
      <c r="F1308" s="28"/>
      <c r="G1308" s="28"/>
      <c r="H1308" s="4"/>
      <c r="I1308" s="28"/>
      <c r="J1308" s="28"/>
      <c r="K1308" s="28"/>
      <c r="L1308" s="4"/>
      <c r="M1308" s="28"/>
      <c r="N1308" s="28"/>
      <c r="O1308" s="28"/>
      <c r="P1308" s="4"/>
      <c r="Q1308" s="28"/>
      <c r="R1308" s="28"/>
      <c r="S1308" s="28"/>
      <c r="T1308" s="4"/>
      <c r="U1308" s="4"/>
      <c r="V1308" s="4"/>
      <c r="W1308" s="4"/>
      <c r="X1308" s="4"/>
      <c r="Y1308" s="4"/>
      <c r="Z1308" s="4"/>
    </row>
    <row r="1309" ht="12.75" customHeight="1">
      <c r="A1309" s="28"/>
      <c r="B1309" s="28"/>
      <c r="C1309" s="28"/>
      <c r="D1309" s="4"/>
      <c r="E1309" s="28"/>
      <c r="F1309" s="28"/>
      <c r="G1309" s="28"/>
      <c r="H1309" s="4"/>
      <c r="I1309" s="28"/>
      <c r="J1309" s="28"/>
      <c r="K1309" s="28"/>
      <c r="L1309" s="4"/>
      <c r="M1309" s="28"/>
      <c r="N1309" s="28"/>
      <c r="O1309" s="28"/>
      <c r="P1309" s="4"/>
      <c r="Q1309" s="28"/>
      <c r="R1309" s="28"/>
      <c r="S1309" s="28"/>
      <c r="T1309" s="4"/>
      <c r="U1309" s="4"/>
      <c r="V1309" s="4"/>
      <c r="W1309" s="4"/>
      <c r="X1309" s="4"/>
      <c r="Y1309" s="4"/>
      <c r="Z1309" s="4"/>
    </row>
    <row r="1310" ht="12.75" customHeight="1">
      <c r="A1310" s="28"/>
      <c r="B1310" s="28"/>
      <c r="C1310" s="28"/>
      <c r="D1310" s="4"/>
      <c r="E1310" s="28"/>
      <c r="F1310" s="28"/>
      <c r="G1310" s="28"/>
      <c r="H1310" s="4"/>
      <c r="I1310" s="28"/>
      <c r="J1310" s="28"/>
      <c r="K1310" s="28"/>
      <c r="L1310" s="4"/>
      <c r="M1310" s="28"/>
      <c r="N1310" s="28"/>
      <c r="O1310" s="28"/>
      <c r="P1310" s="4"/>
      <c r="Q1310" s="28"/>
      <c r="R1310" s="28"/>
      <c r="S1310" s="28"/>
      <c r="T1310" s="4"/>
      <c r="U1310" s="4"/>
      <c r="V1310" s="4"/>
      <c r="W1310" s="4"/>
      <c r="X1310" s="4"/>
      <c r="Y1310" s="4"/>
      <c r="Z1310" s="4"/>
    </row>
    <row r="1311" ht="12.75" customHeight="1">
      <c r="A1311" s="28"/>
      <c r="B1311" s="28"/>
      <c r="C1311" s="28"/>
      <c r="D1311" s="4"/>
      <c r="E1311" s="28"/>
      <c r="F1311" s="28"/>
      <c r="G1311" s="28"/>
      <c r="H1311" s="4"/>
      <c r="I1311" s="28"/>
      <c r="J1311" s="28"/>
      <c r="K1311" s="28"/>
      <c r="L1311" s="4"/>
      <c r="M1311" s="28"/>
      <c r="N1311" s="28"/>
      <c r="O1311" s="28"/>
      <c r="P1311" s="4"/>
      <c r="Q1311" s="28"/>
      <c r="R1311" s="28"/>
      <c r="S1311" s="28"/>
      <c r="T1311" s="4"/>
      <c r="U1311" s="4"/>
      <c r="V1311" s="4"/>
      <c r="W1311" s="4"/>
      <c r="X1311" s="4"/>
      <c r="Y1311" s="4"/>
      <c r="Z1311" s="4"/>
    </row>
    <row r="1312" ht="12.75" customHeight="1">
      <c r="A1312" s="28"/>
      <c r="B1312" s="28"/>
      <c r="C1312" s="28"/>
      <c r="D1312" s="4"/>
      <c r="E1312" s="28"/>
      <c r="F1312" s="28"/>
      <c r="G1312" s="28"/>
      <c r="H1312" s="4"/>
      <c r="I1312" s="28"/>
      <c r="J1312" s="28"/>
      <c r="K1312" s="28"/>
      <c r="L1312" s="4"/>
      <c r="M1312" s="28"/>
      <c r="N1312" s="28"/>
      <c r="O1312" s="28"/>
      <c r="P1312" s="4"/>
      <c r="Q1312" s="28"/>
      <c r="R1312" s="28"/>
      <c r="S1312" s="28"/>
      <c r="T1312" s="4"/>
      <c r="U1312" s="4"/>
      <c r="V1312" s="4"/>
      <c r="W1312" s="4"/>
      <c r="X1312" s="4"/>
      <c r="Y1312" s="4"/>
      <c r="Z1312" s="4"/>
    </row>
    <row r="1313" ht="12.75" customHeight="1">
      <c r="A1313" s="28"/>
      <c r="B1313" s="28"/>
      <c r="C1313" s="28"/>
      <c r="D1313" s="4"/>
      <c r="E1313" s="28"/>
      <c r="F1313" s="28"/>
      <c r="G1313" s="28"/>
      <c r="H1313" s="4"/>
      <c r="I1313" s="28"/>
      <c r="J1313" s="28"/>
      <c r="K1313" s="28"/>
      <c r="L1313" s="4"/>
      <c r="M1313" s="28"/>
      <c r="N1313" s="28"/>
      <c r="O1313" s="28"/>
      <c r="P1313" s="4"/>
      <c r="Q1313" s="28"/>
      <c r="R1313" s="28"/>
      <c r="S1313" s="28"/>
      <c r="T1313" s="4"/>
      <c r="U1313" s="4"/>
      <c r="V1313" s="4"/>
      <c r="W1313" s="4"/>
      <c r="X1313" s="4"/>
      <c r="Y1313" s="4"/>
      <c r="Z1313" s="4"/>
    </row>
    <row r="1314" ht="12.75" customHeight="1">
      <c r="A1314" s="28"/>
      <c r="B1314" s="28"/>
      <c r="C1314" s="28"/>
      <c r="D1314" s="4"/>
      <c r="E1314" s="28"/>
      <c r="F1314" s="28"/>
      <c r="G1314" s="28"/>
      <c r="H1314" s="4"/>
      <c r="I1314" s="28"/>
      <c r="J1314" s="28"/>
      <c r="K1314" s="28"/>
      <c r="L1314" s="4"/>
      <c r="M1314" s="28"/>
      <c r="N1314" s="28"/>
      <c r="O1314" s="28"/>
      <c r="P1314" s="4"/>
      <c r="Q1314" s="28"/>
      <c r="R1314" s="28"/>
      <c r="S1314" s="28"/>
      <c r="T1314" s="4"/>
      <c r="U1314" s="4"/>
      <c r="V1314" s="4"/>
      <c r="W1314" s="4"/>
      <c r="X1314" s="4"/>
      <c r="Y1314" s="4"/>
      <c r="Z1314" s="4"/>
    </row>
    <row r="1315" ht="12.75" customHeight="1">
      <c r="A1315" s="28"/>
      <c r="B1315" s="28"/>
      <c r="C1315" s="28"/>
      <c r="D1315" s="4"/>
      <c r="E1315" s="28"/>
      <c r="F1315" s="28"/>
      <c r="G1315" s="28"/>
      <c r="H1315" s="4"/>
      <c r="I1315" s="28"/>
      <c r="J1315" s="28"/>
      <c r="K1315" s="28"/>
      <c r="L1315" s="4"/>
      <c r="M1315" s="28"/>
      <c r="N1315" s="28"/>
      <c r="O1315" s="28"/>
      <c r="P1315" s="4"/>
      <c r="Q1315" s="28"/>
      <c r="R1315" s="28"/>
      <c r="S1315" s="28"/>
      <c r="T1315" s="4"/>
      <c r="U1315" s="4"/>
      <c r="V1315" s="4"/>
      <c r="W1315" s="4"/>
      <c r="X1315" s="4"/>
      <c r="Y1315" s="4"/>
      <c r="Z1315" s="4"/>
    </row>
    <row r="1316" ht="12.75" customHeight="1">
      <c r="A1316" s="28"/>
      <c r="B1316" s="28"/>
      <c r="C1316" s="28"/>
      <c r="D1316" s="4"/>
      <c r="E1316" s="28"/>
      <c r="F1316" s="28"/>
      <c r="G1316" s="28"/>
      <c r="H1316" s="4"/>
      <c r="I1316" s="28"/>
      <c r="J1316" s="28"/>
      <c r="K1316" s="28"/>
      <c r="L1316" s="4"/>
      <c r="M1316" s="28"/>
      <c r="N1316" s="28"/>
      <c r="O1316" s="28"/>
      <c r="P1316" s="4"/>
      <c r="Q1316" s="28"/>
      <c r="R1316" s="28"/>
      <c r="S1316" s="28"/>
      <c r="T1316" s="4"/>
      <c r="U1316" s="4"/>
      <c r="V1316" s="4"/>
      <c r="W1316" s="4"/>
      <c r="X1316" s="4"/>
      <c r="Y1316" s="4"/>
      <c r="Z1316" s="4"/>
    </row>
    <row r="1317" ht="12.75" customHeight="1">
      <c r="A1317" s="28"/>
      <c r="B1317" s="28"/>
      <c r="C1317" s="28"/>
      <c r="D1317" s="4"/>
      <c r="E1317" s="28"/>
      <c r="F1317" s="28"/>
      <c r="G1317" s="28"/>
      <c r="H1317" s="4"/>
      <c r="I1317" s="28"/>
      <c r="J1317" s="28"/>
      <c r="K1317" s="28"/>
      <c r="L1317" s="4"/>
      <c r="M1317" s="28"/>
      <c r="N1317" s="28"/>
      <c r="O1317" s="28"/>
      <c r="P1317" s="4"/>
      <c r="Q1317" s="28"/>
      <c r="R1317" s="28"/>
      <c r="S1317" s="28"/>
      <c r="T1317" s="4"/>
      <c r="U1317" s="4"/>
      <c r="V1317" s="4"/>
      <c r="W1317" s="4"/>
      <c r="X1317" s="4"/>
      <c r="Y1317" s="4"/>
      <c r="Z1317" s="4"/>
    </row>
    <row r="1318" ht="12.75" customHeight="1">
      <c r="A1318" s="28"/>
      <c r="B1318" s="28"/>
      <c r="C1318" s="28"/>
      <c r="D1318" s="4"/>
      <c r="E1318" s="28"/>
      <c r="F1318" s="28"/>
      <c r="G1318" s="28"/>
      <c r="H1318" s="4"/>
      <c r="I1318" s="28"/>
      <c r="J1318" s="28"/>
      <c r="K1318" s="28"/>
      <c r="L1318" s="4"/>
      <c r="M1318" s="28"/>
      <c r="N1318" s="28"/>
      <c r="O1318" s="28"/>
      <c r="P1318" s="4"/>
      <c r="Q1318" s="28"/>
      <c r="R1318" s="28"/>
      <c r="S1318" s="28"/>
      <c r="T1318" s="4"/>
      <c r="U1318" s="4"/>
      <c r="V1318" s="4"/>
      <c r="W1318" s="4"/>
      <c r="X1318" s="4"/>
      <c r="Y1318" s="4"/>
      <c r="Z1318" s="4"/>
    </row>
    <row r="1319" ht="12.75" customHeight="1">
      <c r="A1319" s="28"/>
      <c r="B1319" s="28"/>
      <c r="C1319" s="28"/>
      <c r="D1319" s="4"/>
      <c r="E1319" s="28"/>
      <c r="F1319" s="28"/>
      <c r="G1319" s="28"/>
      <c r="H1319" s="4"/>
      <c r="I1319" s="28"/>
      <c r="J1319" s="28"/>
      <c r="K1319" s="28"/>
      <c r="L1319" s="4"/>
      <c r="M1319" s="28"/>
      <c r="N1319" s="28"/>
      <c r="O1319" s="28"/>
      <c r="P1319" s="4"/>
      <c r="Q1319" s="28"/>
      <c r="R1319" s="28"/>
      <c r="S1319" s="28"/>
      <c r="T1319" s="4"/>
      <c r="U1319" s="4"/>
      <c r="V1319" s="4"/>
      <c r="W1319" s="4"/>
      <c r="X1319" s="4"/>
      <c r="Y1319" s="4"/>
      <c r="Z1319" s="4"/>
    </row>
    <row r="1320" ht="12.75" customHeight="1">
      <c r="A1320" s="28"/>
      <c r="B1320" s="28"/>
      <c r="C1320" s="28"/>
      <c r="D1320" s="4"/>
      <c r="E1320" s="28"/>
      <c r="F1320" s="28"/>
      <c r="G1320" s="28"/>
      <c r="H1320" s="4"/>
      <c r="I1320" s="28"/>
      <c r="J1320" s="28"/>
      <c r="K1320" s="28"/>
      <c r="L1320" s="4"/>
      <c r="M1320" s="28"/>
      <c r="N1320" s="28"/>
      <c r="O1320" s="28"/>
      <c r="P1320" s="4"/>
      <c r="Q1320" s="28"/>
      <c r="R1320" s="28"/>
      <c r="S1320" s="28"/>
      <c r="T1320" s="4"/>
      <c r="U1320" s="4"/>
      <c r="V1320" s="4"/>
      <c r="W1320" s="4"/>
      <c r="X1320" s="4"/>
      <c r="Y1320" s="4"/>
      <c r="Z1320" s="4"/>
    </row>
    <row r="1321" ht="12.75" customHeight="1">
      <c r="A1321" s="28"/>
      <c r="B1321" s="28"/>
      <c r="C1321" s="28"/>
      <c r="D1321" s="4"/>
      <c r="E1321" s="28"/>
      <c r="F1321" s="28"/>
      <c r="G1321" s="28"/>
      <c r="H1321" s="4"/>
      <c r="I1321" s="28"/>
      <c r="J1321" s="28"/>
      <c r="K1321" s="28"/>
      <c r="L1321" s="4"/>
      <c r="M1321" s="28"/>
      <c r="N1321" s="28"/>
      <c r="O1321" s="28"/>
      <c r="P1321" s="4"/>
      <c r="Q1321" s="28"/>
      <c r="R1321" s="28"/>
      <c r="S1321" s="28"/>
      <c r="T1321" s="4"/>
      <c r="U1321" s="4"/>
      <c r="V1321" s="4"/>
      <c r="W1321" s="4"/>
      <c r="X1321" s="4"/>
      <c r="Y1321" s="4"/>
      <c r="Z1321" s="4"/>
    </row>
    <row r="1322" ht="12.75" customHeight="1">
      <c r="A1322" s="28"/>
      <c r="B1322" s="28"/>
      <c r="C1322" s="28"/>
      <c r="D1322" s="4"/>
      <c r="E1322" s="28"/>
      <c r="F1322" s="28"/>
      <c r="G1322" s="28"/>
      <c r="H1322" s="4"/>
      <c r="I1322" s="28"/>
      <c r="J1322" s="28"/>
      <c r="K1322" s="28"/>
      <c r="L1322" s="4"/>
      <c r="M1322" s="28"/>
      <c r="N1322" s="28"/>
      <c r="O1322" s="28"/>
      <c r="P1322" s="4"/>
      <c r="Q1322" s="28"/>
      <c r="R1322" s="28"/>
      <c r="S1322" s="28"/>
      <c r="T1322" s="4"/>
      <c r="U1322" s="4"/>
      <c r="V1322" s="4"/>
      <c r="W1322" s="4"/>
      <c r="X1322" s="4"/>
      <c r="Y1322" s="4"/>
      <c r="Z1322" s="4"/>
    </row>
    <row r="1323" ht="12.75" customHeight="1">
      <c r="A1323" s="28"/>
      <c r="B1323" s="28"/>
      <c r="C1323" s="28"/>
      <c r="D1323" s="4"/>
      <c r="E1323" s="28"/>
      <c r="F1323" s="28"/>
      <c r="G1323" s="28"/>
      <c r="H1323" s="4"/>
      <c r="I1323" s="28"/>
      <c r="J1323" s="28"/>
      <c r="K1323" s="28"/>
      <c r="L1323" s="4"/>
      <c r="M1323" s="28"/>
      <c r="N1323" s="28"/>
      <c r="O1323" s="28"/>
      <c r="P1323" s="4"/>
      <c r="Q1323" s="28"/>
      <c r="R1323" s="28"/>
      <c r="S1323" s="28"/>
      <c r="T1323" s="4"/>
      <c r="U1323" s="4"/>
      <c r="V1323" s="4"/>
      <c r="W1323" s="4"/>
      <c r="X1323" s="4"/>
      <c r="Y1323" s="4"/>
      <c r="Z1323" s="4"/>
    </row>
    <row r="1324" ht="12.75" customHeight="1">
      <c r="A1324" s="28"/>
      <c r="B1324" s="28"/>
      <c r="C1324" s="28"/>
      <c r="D1324" s="4"/>
      <c r="E1324" s="28"/>
      <c r="F1324" s="28"/>
      <c r="G1324" s="28"/>
      <c r="H1324" s="4"/>
      <c r="I1324" s="28"/>
      <c r="J1324" s="28"/>
      <c r="K1324" s="28"/>
      <c r="L1324" s="4"/>
      <c r="M1324" s="28"/>
      <c r="N1324" s="28"/>
      <c r="O1324" s="28"/>
      <c r="P1324" s="4"/>
      <c r="Q1324" s="28"/>
      <c r="R1324" s="28"/>
      <c r="S1324" s="28"/>
      <c r="T1324" s="4"/>
      <c r="U1324" s="4"/>
      <c r="V1324" s="4"/>
      <c r="W1324" s="4"/>
      <c r="X1324" s="4"/>
      <c r="Y1324" s="4"/>
      <c r="Z1324" s="4"/>
    </row>
    <row r="1325" ht="12.75" customHeight="1">
      <c r="A1325" s="28"/>
      <c r="B1325" s="28"/>
      <c r="C1325" s="28"/>
      <c r="D1325" s="4"/>
      <c r="E1325" s="28"/>
      <c r="F1325" s="28"/>
      <c r="G1325" s="28"/>
      <c r="H1325" s="4"/>
      <c r="I1325" s="28"/>
      <c r="J1325" s="28"/>
      <c r="K1325" s="28"/>
      <c r="L1325" s="4"/>
      <c r="M1325" s="28"/>
      <c r="N1325" s="28"/>
      <c r="O1325" s="28"/>
      <c r="P1325" s="4"/>
      <c r="Q1325" s="28"/>
      <c r="R1325" s="28"/>
      <c r="S1325" s="28"/>
      <c r="T1325" s="4"/>
      <c r="U1325" s="4"/>
      <c r="V1325" s="4"/>
      <c r="W1325" s="4"/>
      <c r="X1325" s="4"/>
      <c r="Y1325" s="4"/>
      <c r="Z1325" s="4"/>
    </row>
    <row r="1326" ht="12.75" customHeight="1">
      <c r="A1326" s="28"/>
      <c r="B1326" s="28"/>
      <c r="C1326" s="28"/>
      <c r="D1326" s="4"/>
      <c r="E1326" s="28"/>
      <c r="F1326" s="28"/>
      <c r="G1326" s="28"/>
      <c r="H1326" s="4"/>
      <c r="I1326" s="28"/>
      <c r="J1326" s="28"/>
      <c r="K1326" s="28"/>
      <c r="L1326" s="4"/>
      <c r="M1326" s="28"/>
      <c r="N1326" s="28"/>
      <c r="O1326" s="28"/>
      <c r="P1326" s="4"/>
      <c r="Q1326" s="28"/>
      <c r="R1326" s="28"/>
      <c r="S1326" s="28"/>
      <c r="T1326" s="4"/>
      <c r="U1326" s="4"/>
      <c r="V1326" s="4"/>
      <c r="W1326" s="4"/>
      <c r="X1326" s="4"/>
      <c r="Y1326" s="4"/>
      <c r="Z1326" s="4"/>
    </row>
    <row r="1327" ht="12.75" customHeight="1">
      <c r="A1327" s="28"/>
      <c r="B1327" s="28"/>
      <c r="C1327" s="28"/>
      <c r="D1327" s="4"/>
      <c r="E1327" s="28"/>
      <c r="F1327" s="28"/>
      <c r="G1327" s="28"/>
      <c r="H1327" s="4"/>
      <c r="I1327" s="28"/>
      <c r="J1327" s="28"/>
      <c r="K1327" s="28"/>
      <c r="L1327" s="4"/>
      <c r="M1327" s="28"/>
      <c r="N1327" s="28"/>
      <c r="O1327" s="28"/>
      <c r="P1327" s="4"/>
      <c r="Q1327" s="28"/>
      <c r="R1327" s="28"/>
      <c r="S1327" s="28"/>
      <c r="T1327" s="4"/>
      <c r="U1327" s="4"/>
      <c r="V1327" s="4"/>
      <c r="W1327" s="4"/>
      <c r="X1327" s="4"/>
      <c r="Y1327" s="4"/>
      <c r="Z1327" s="4"/>
    </row>
    <row r="1328" ht="12.75" customHeight="1">
      <c r="A1328" s="28"/>
      <c r="B1328" s="28"/>
      <c r="C1328" s="28"/>
      <c r="D1328" s="4"/>
      <c r="E1328" s="28"/>
      <c r="F1328" s="28"/>
      <c r="G1328" s="28"/>
      <c r="H1328" s="4"/>
      <c r="I1328" s="28"/>
      <c r="J1328" s="28"/>
      <c r="K1328" s="28"/>
      <c r="L1328" s="4"/>
      <c r="M1328" s="28"/>
      <c r="N1328" s="28"/>
      <c r="O1328" s="28"/>
      <c r="P1328" s="4"/>
      <c r="Q1328" s="28"/>
      <c r="R1328" s="28"/>
      <c r="S1328" s="28"/>
      <c r="T1328" s="4"/>
      <c r="U1328" s="4"/>
      <c r="V1328" s="4"/>
      <c r="W1328" s="4"/>
      <c r="X1328" s="4"/>
      <c r="Y1328" s="4"/>
      <c r="Z1328" s="4"/>
    </row>
    <row r="1329" ht="12.75" customHeight="1">
      <c r="A1329" s="28"/>
      <c r="B1329" s="28"/>
      <c r="C1329" s="28"/>
      <c r="D1329" s="4"/>
      <c r="E1329" s="28"/>
      <c r="F1329" s="28"/>
      <c r="G1329" s="28"/>
      <c r="H1329" s="4"/>
      <c r="I1329" s="28"/>
      <c r="J1329" s="28"/>
      <c r="K1329" s="28"/>
      <c r="L1329" s="4"/>
      <c r="M1329" s="28"/>
      <c r="N1329" s="28"/>
      <c r="O1329" s="28"/>
      <c r="P1329" s="4"/>
      <c r="Q1329" s="28"/>
      <c r="R1329" s="28"/>
      <c r="S1329" s="28"/>
      <c r="T1329" s="4"/>
      <c r="U1329" s="4"/>
      <c r="V1329" s="4"/>
      <c r="W1329" s="4"/>
      <c r="X1329" s="4"/>
      <c r="Y1329" s="4"/>
      <c r="Z1329" s="4"/>
    </row>
    <row r="1330" ht="12.75" customHeight="1">
      <c r="A1330" s="28"/>
      <c r="B1330" s="28"/>
      <c r="C1330" s="28"/>
      <c r="D1330" s="4"/>
      <c r="E1330" s="28"/>
      <c r="F1330" s="28"/>
      <c r="G1330" s="28"/>
      <c r="H1330" s="4"/>
      <c r="I1330" s="28"/>
      <c r="J1330" s="28"/>
      <c r="K1330" s="28"/>
      <c r="L1330" s="4"/>
      <c r="M1330" s="28"/>
      <c r="N1330" s="28"/>
      <c r="O1330" s="28"/>
      <c r="P1330" s="4"/>
      <c r="Q1330" s="28"/>
      <c r="R1330" s="28"/>
      <c r="S1330" s="28"/>
      <c r="T1330" s="4"/>
      <c r="U1330" s="4"/>
      <c r="V1330" s="4"/>
      <c r="W1330" s="4"/>
      <c r="X1330" s="4"/>
      <c r="Y1330" s="4"/>
      <c r="Z1330" s="4"/>
    </row>
    <row r="1331" ht="12.75" customHeight="1">
      <c r="A1331" s="28"/>
      <c r="B1331" s="28"/>
      <c r="C1331" s="28"/>
      <c r="D1331" s="4"/>
      <c r="E1331" s="28"/>
      <c r="F1331" s="28"/>
      <c r="G1331" s="28"/>
      <c r="H1331" s="4"/>
      <c r="I1331" s="28"/>
      <c r="J1331" s="28"/>
      <c r="K1331" s="28"/>
      <c r="L1331" s="4"/>
      <c r="M1331" s="28"/>
      <c r="N1331" s="28"/>
      <c r="O1331" s="28"/>
      <c r="P1331" s="4"/>
      <c r="Q1331" s="28"/>
      <c r="R1331" s="28"/>
      <c r="S1331" s="28"/>
      <c r="T1331" s="4"/>
      <c r="U1331" s="4"/>
      <c r="V1331" s="4"/>
      <c r="W1331" s="4"/>
      <c r="X1331" s="4"/>
      <c r="Y1331" s="4"/>
      <c r="Z1331" s="4"/>
    </row>
    <row r="1332" ht="12.75" customHeight="1">
      <c r="A1332" s="28"/>
      <c r="B1332" s="28"/>
      <c r="C1332" s="28"/>
      <c r="D1332" s="4"/>
      <c r="E1332" s="28"/>
      <c r="F1332" s="28"/>
      <c r="G1332" s="28"/>
      <c r="H1332" s="4"/>
      <c r="I1332" s="28"/>
      <c r="J1332" s="28"/>
      <c r="K1332" s="28"/>
      <c r="L1332" s="4"/>
      <c r="M1332" s="28"/>
      <c r="N1332" s="28"/>
      <c r="O1332" s="28"/>
      <c r="P1332" s="4"/>
      <c r="Q1332" s="28"/>
      <c r="R1332" s="28"/>
      <c r="S1332" s="28"/>
      <c r="T1332" s="4"/>
      <c r="U1332" s="4"/>
      <c r="V1332" s="4"/>
      <c r="W1332" s="4"/>
      <c r="X1332" s="4"/>
      <c r="Y1332" s="4"/>
      <c r="Z1332" s="4"/>
    </row>
    <row r="1333" ht="12.75" customHeight="1">
      <c r="A1333" s="28"/>
      <c r="B1333" s="28"/>
      <c r="C1333" s="28"/>
      <c r="D1333" s="4"/>
      <c r="E1333" s="28"/>
      <c r="F1333" s="28"/>
      <c r="G1333" s="28"/>
      <c r="H1333" s="4"/>
      <c r="I1333" s="28"/>
      <c r="J1333" s="28"/>
      <c r="K1333" s="28"/>
      <c r="L1333" s="4"/>
      <c r="M1333" s="28"/>
      <c r="N1333" s="28"/>
      <c r="O1333" s="28"/>
      <c r="P1333" s="4"/>
      <c r="Q1333" s="28"/>
      <c r="R1333" s="28"/>
      <c r="S1333" s="28"/>
      <c r="T1333" s="4"/>
      <c r="U1333" s="4"/>
      <c r="V1333" s="4"/>
      <c r="W1333" s="4"/>
      <c r="X1333" s="4"/>
      <c r="Y1333" s="4"/>
      <c r="Z1333" s="4"/>
    </row>
    <row r="1334" ht="12.75" customHeight="1">
      <c r="A1334" s="28"/>
      <c r="B1334" s="28"/>
      <c r="C1334" s="28"/>
      <c r="D1334" s="4"/>
      <c r="E1334" s="28"/>
      <c r="F1334" s="28"/>
      <c r="G1334" s="28"/>
      <c r="H1334" s="4"/>
      <c r="I1334" s="28"/>
      <c r="J1334" s="28"/>
      <c r="K1334" s="28"/>
      <c r="L1334" s="4"/>
      <c r="M1334" s="28"/>
      <c r="N1334" s="28"/>
      <c r="O1334" s="28"/>
      <c r="P1334" s="4"/>
      <c r="Q1334" s="28"/>
      <c r="R1334" s="28"/>
      <c r="S1334" s="28"/>
      <c r="T1334" s="4"/>
      <c r="U1334" s="4"/>
      <c r="V1334" s="4"/>
      <c r="W1334" s="4"/>
      <c r="X1334" s="4"/>
      <c r="Y1334" s="4"/>
      <c r="Z1334" s="4"/>
    </row>
    <row r="1335" ht="12.75" customHeight="1">
      <c r="A1335" s="28"/>
      <c r="B1335" s="28"/>
      <c r="C1335" s="28"/>
      <c r="D1335" s="4"/>
      <c r="E1335" s="28"/>
      <c r="F1335" s="28"/>
      <c r="G1335" s="28"/>
      <c r="H1335" s="4"/>
      <c r="I1335" s="28"/>
      <c r="J1335" s="28"/>
      <c r="K1335" s="28"/>
      <c r="L1335" s="4"/>
      <c r="M1335" s="28"/>
      <c r="N1335" s="28"/>
      <c r="O1335" s="28"/>
      <c r="P1335" s="4"/>
      <c r="Q1335" s="28"/>
      <c r="R1335" s="28"/>
      <c r="S1335" s="28"/>
      <c r="T1335" s="4"/>
      <c r="U1335" s="4"/>
      <c r="V1335" s="4"/>
      <c r="W1335" s="4"/>
      <c r="X1335" s="4"/>
      <c r="Y1335" s="4"/>
      <c r="Z1335" s="4"/>
    </row>
    <row r="1336" ht="12.75" customHeight="1">
      <c r="A1336" s="28"/>
      <c r="B1336" s="28"/>
      <c r="C1336" s="28"/>
      <c r="D1336" s="4"/>
      <c r="E1336" s="28"/>
      <c r="F1336" s="28"/>
      <c r="G1336" s="28"/>
      <c r="H1336" s="4"/>
      <c r="I1336" s="28"/>
      <c r="J1336" s="28"/>
      <c r="K1336" s="28"/>
      <c r="L1336" s="4"/>
      <c r="M1336" s="28"/>
      <c r="N1336" s="28"/>
      <c r="O1336" s="28"/>
      <c r="P1336" s="4"/>
      <c r="Q1336" s="28"/>
      <c r="R1336" s="28"/>
      <c r="S1336" s="28"/>
      <c r="T1336" s="4"/>
      <c r="U1336" s="4"/>
      <c r="V1336" s="4"/>
      <c r="W1336" s="4"/>
      <c r="X1336" s="4"/>
      <c r="Y1336" s="4"/>
      <c r="Z1336" s="4"/>
    </row>
    <row r="1337" ht="12.75" customHeight="1">
      <c r="A1337" s="28"/>
      <c r="B1337" s="28"/>
      <c r="C1337" s="28"/>
      <c r="D1337" s="4"/>
      <c r="E1337" s="28"/>
      <c r="F1337" s="28"/>
      <c r="G1337" s="28"/>
      <c r="H1337" s="4"/>
      <c r="I1337" s="28"/>
      <c r="J1337" s="28"/>
      <c r="K1337" s="28"/>
      <c r="L1337" s="4"/>
      <c r="M1337" s="28"/>
      <c r="N1337" s="28"/>
      <c r="O1337" s="28"/>
      <c r="P1337" s="4"/>
      <c r="Q1337" s="28"/>
      <c r="R1337" s="28"/>
      <c r="S1337" s="28"/>
      <c r="T1337" s="4"/>
      <c r="U1337" s="4"/>
      <c r="V1337" s="4"/>
      <c r="W1337" s="4"/>
      <c r="X1337" s="4"/>
      <c r="Y1337" s="4"/>
      <c r="Z1337" s="4"/>
    </row>
    <row r="1338" ht="12.75" customHeight="1">
      <c r="A1338" s="28"/>
      <c r="B1338" s="28"/>
      <c r="C1338" s="28"/>
      <c r="D1338" s="4"/>
      <c r="E1338" s="28"/>
      <c r="F1338" s="28"/>
      <c r="G1338" s="28"/>
      <c r="H1338" s="4"/>
      <c r="I1338" s="28"/>
      <c r="J1338" s="28"/>
      <c r="K1338" s="28"/>
      <c r="L1338" s="4"/>
      <c r="M1338" s="28"/>
      <c r="N1338" s="28"/>
      <c r="O1338" s="28"/>
      <c r="P1338" s="4"/>
      <c r="Q1338" s="28"/>
      <c r="R1338" s="28"/>
      <c r="S1338" s="28"/>
      <c r="T1338" s="4"/>
      <c r="U1338" s="4"/>
      <c r="V1338" s="4"/>
      <c r="W1338" s="4"/>
      <c r="X1338" s="4"/>
      <c r="Y1338" s="4"/>
      <c r="Z1338" s="4"/>
    </row>
    <row r="1339" ht="12.75" customHeight="1">
      <c r="A1339" s="28"/>
      <c r="B1339" s="28"/>
      <c r="C1339" s="28"/>
      <c r="D1339" s="4"/>
      <c r="E1339" s="28"/>
      <c r="F1339" s="28"/>
      <c r="G1339" s="28"/>
      <c r="H1339" s="4"/>
      <c r="I1339" s="28"/>
      <c r="J1339" s="28"/>
      <c r="K1339" s="28"/>
      <c r="L1339" s="4"/>
      <c r="M1339" s="28"/>
      <c r="N1339" s="28"/>
      <c r="O1339" s="28"/>
      <c r="P1339" s="4"/>
      <c r="Q1339" s="28"/>
      <c r="R1339" s="28"/>
      <c r="S1339" s="28"/>
      <c r="T1339" s="4"/>
      <c r="U1339" s="4"/>
      <c r="V1339" s="4"/>
      <c r="W1339" s="4"/>
      <c r="X1339" s="4"/>
      <c r="Y1339" s="4"/>
      <c r="Z1339" s="4"/>
    </row>
    <row r="1340" ht="12.75" customHeight="1">
      <c r="A1340" s="28"/>
      <c r="B1340" s="28"/>
      <c r="C1340" s="28"/>
      <c r="D1340" s="4"/>
      <c r="E1340" s="28"/>
      <c r="F1340" s="28"/>
      <c r="G1340" s="28"/>
      <c r="H1340" s="4"/>
      <c r="I1340" s="28"/>
      <c r="J1340" s="28"/>
      <c r="K1340" s="28"/>
      <c r="L1340" s="4"/>
      <c r="M1340" s="28"/>
      <c r="N1340" s="28"/>
      <c r="O1340" s="28"/>
      <c r="P1340" s="4"/>
      <c r="Q1340" s="28"/>
      <c r="R1340" s="28"/>
      <c r="S1340" s="28"/>
      <c r="T1340" s="4"/>
      <c r="U1340" s="4"/>
      <c r="V1340" s="4"/>
      <c r="W1340" s="4"/>
      <c r="X1340" s="4"/>
      <c r="Y1340" s="4"/>
      <c r="Z1340" s="4"/>
    </row>
    <row r="1341" ht="12.75" customHeight="1">
      <c r="A1341" s="28"/>
      <c r="B1341" s="28"/>
      <c r="C1341" s="28"/>
      <c r="D1341" s="4"/>
      <c r="E1341" s="28"/>
      <c r="F1341" s="28"/>
      <c r="G1341" s="28"/>
      <c r="H1341" s="4"/>
      <c r="I1341" s="28"/>
      <c r="J1341" s="28"/>
      <c r="K1341" s="28"/>
      <c r="L1341" s="4"/>
      <c r="M1341" s="28"/>
      <c r="N1341" s="28"/>
      <c r="O1341" s="28"/>
      <c r="P1341" s="4"/>
      <c r="Q1341" s="28"/>
      <c r="R1341" s="28"/>
      <c r="S1341" s="28"/>
      <c r="T1341" s="4"/>
      <c r="U1341" s="4"/>
      <c r="V1341" s="4"/>
      <c r="W1341" s="4"/>
      <c r="X1341" s="4"/>
      <c r="Y1341" s="4"/>
      <c r="Z1341" s="4"/>
    </row>
    <row r="1342" ht="12.75" customHeight="1">
      <c r="A1342" s="28"/>
      <c r="B1342" s="28"/>
      <c r="C1342" s="28"/>
      <c r="D1342" s="4"/>
      <c r="E1342" s="28"/>
      <c r="F1342" s="28"/>
      <c r="G1342" s="28"/>
      <c r="H1342" s="4"/>
      <c r="I1342" s="28"/>
      <c r="J1342" s="28"/>
      <c r="K1342" s="28"/>
      <c r="L1342" s="4"/>
      <c r="M1342" s="28"/>
      <c r="N1342" s="28"/>
      <c r="O1342" s="28"/>
      <c r="P1342" s="4"/>
      <c r="Q1342" s="28"/>
      <c r="R1342" s="28"/>
      <c r="S1342" s="28"/>
      <c r="T1342" s="4"/>
      <c r="U1342" s="4"/>
      <c r="V1342" s="4"/>
      <c r="W1342" s="4"/>
      <c r="X1342" s="4"/>
      <c r="Y1342" s="4"/>
      <c r="Z1342" s="4"/>
    </row>
    <row r="1343" ht="12.75" customHeight="1">
      <c r="A1343" s="28"/>
      <c r="B1343" s="28"/>
      <c r="C1343" s="28"/>
      <c r="D1343" s="4"/>
      <c r="E1343" s="28"/>
      <c r="F1343" s="28"/>
      <c r="G1343" s="28"/>
      <c r="H1343" s="4"/>
      <c r="I1343" s="28"/>
      <c r="J1343" s="28"/>
      <c r="K1343" s="28"/>
      <c r="L1343" s="4"/>
      <c r="M1343" s="28"/>
      <c r="N1343" s="28"/>
      <c r="O1343" s="28"/>
      <c r="P1343" s="4"/>
      <c r="Q1343" s="28"/>
      <c r="R1343" s="28"/>
      <c r="S1343" s="28"/>
      <c r="T1343" s="4"/>
      <c r="U1343" s="4"/>
      <c r="V1343" s="4"/>
      <c r="W1343" s="4"/>
      <c r="X1343" s="4"/>
      <c r="Y1343" s="4"/>
      <c r="Z1343" s="4"/>
    </row>
    <row r="1344" ht="12.75" customHeight="1">
      <c r="A1344" s="28"/>
      <c r="B1344" s="28"/>
      <c r="C1344" s="28"/>
      <c r="D1344" s="4"/>
      <c r="E1344" s="28"/>
      <c r="F1344" s="28"/>
      <c r="G1344" s="28"/>
      <c r="H1344" s="4"/>
      <c r="I1344" s="28"/>
      <c r="J1344" s="28"/>
      <c r="K1344" s="28"/>
      <c r="L1344" s="4"/>
      <c r="M1344" s="28"/>
      <c r="N1344" s="28"/>
      <c r="O1344" s="28"/>
      <c r="P1344" s="4"/>
      <c r="Q1344" s="28"/>
      <c r="R1344" s="28"/>
      <c r="S1344" s="28"/>
      <c r="T1344" s="4"/>
      <c r="U1344" s="4"/>
      <c r="V1344" s="4"/>
      <c r="W1344" s="4"/>
      <c r="X1344" s="4"/>
      <c r="Y1344" s="4"/>
      <c r="Z1344" s="4"/>
    </row>
    <row r="1345" ht="12.75" customHeight="1">
      <c r="A1345" s="28"/>
      <c r="B1345" s="28"/>
      <c r="C1345" s="28"/>
      <c r="D1345" s="4"/>
      <c r="E1345" s="28"/>
      <c r="F1345" s="28"/>
      <c r="G1345" s="28"/>
      <c r="H1345" s="4"/>
      <c r="I1345" s="28"/>
      <c r="J1345" s="28"/>
      <c r="K1345" s="28"/>
      <c r="L1345" s="4"/>
      <c r="M1345" s="28"/>
      <c r="N1345" s="28"/>
      <c r="O1345" s="28"/>
      <c r="P1345" s="4"/>
      <c r="Q1345" s="28"/>
      <c r="R1345" s="28"/>
      <c r="S1345" s="28"/>
      <c r="T1345" s="4"/>
      <c r="U1345" s="4"/>
      <c r="V1345" s="4"/>
      <c r="W1345" s="4"/>
      <c r="X1345" s="4"/>
      <c r="Y1345" s="4"/>
      <c r="Z1345" s="4"/>
    </row>
    <row r="1346" ht="12.75" customHeight="1">
      <c r="A1346" s="28"/>
      <c r="B1346" s="28"/>
      <c r="C1346" s="28"/>
      <c r="D1346" s="4"/>
      <c r="E1346" s="28"/>
      <c r="F1346" s="28"/>
      <c r="G1346" s="28"/>
      <c r="H1346" s="4"/>
      <c r="I1346" s="28"/>
      <c r="J1346" s="28"/>
      <c r="K1346" s="28"/>
      <c r="L1346" s="4"/>
      <c r="M1346" s="28"/>
      <c r="N1346" s="28"/>
      <c r="O1346" s="28"/>
      <c r="P1346" s="4"/>
      <c r="Q1346" s="28"/>
      <c r="R1346" s="28"/>
      <c r="S1346" s="28"/>
      <c r="T1346" s="4"/>
      <c r="U1346" s="4"/>
      <c r="V1346" s="4"/>
      <c r="W1346" s="4"/>
      <c r="X1346" s="4"/>
      <c r="Y1346" s="4"/>
      <c r="Z1346" s="4"/>
    </row>
    <row r="1347" ht="12.75" customHeight="1">
      <c r="A1347" s="28"/>
      <c r="B1347" s="28"/>
      <c r="C1347" s="28"/>
      <c r="D1347" s="4"/>
      <c r="E1347" s="28"/>
      <c r="F1347" s="28"/>
      <c r="G1347" s="28"/>
      <c r="H1347" s="4"/>
      <c r="I1347" s="28"/>
      <c r="J1347" s="28"/>
      <c r="K1347" s="28"/>
      <c r="L1347" s="4"/>
      <c r="M1347" s="28"/>
      <c r="N1347" s="28"/>
      <c r="O1347" s="28"/>
      <c r="P1347" s="4"/>
      <c r="Q1347" s="28"/>
      <c r="R1347" s="28"/>
      <c r="S1347" s="28"/>
      <c r="T1347" s="4"/>
      <c r="U1347" s="4"/>
      <c r="V1347" s="4"/>
      <c r="W1347" s="4"/>
      <c r="X1347" s="4"/>
      <c r="Y1347" s="4"/>
      <c r="Z1347" s="4"/>
    </row>
    <row r="1348" ht="12.75" customHeight="1">
      <c r="A1348" s="28"/>
      <c r="B1348" s="28"/>
      <c r="C1348" s="28"/>
      <c r="D1348" s="4"/>
      <c r="E1348" s="28"/>
      <c r="F1348" s="28"/>
      <c r="G1348" s="28"/>
      <c r="H1348" s="4"/>
      <c r="I1348" s="28"/>
      <c r="J1348" s="28"/>
      <c r="K1348" s="28"/>
      <c r="L1348" s="4"/>
      <c r="M1348" s="28"/>
      <c r="N1348" s="28"/>
      <c r="O1348" s="28"/>
      <c r="P1348" s="4"/>
      <c r="Q1348" s="28"/>
      <c r="R1348" s="28"/>
      <c r="S1348" s="28"/>
      <c r="T1348" s="4"/>
      <c r="U1348" s="4"/>
      <c r="V1348" s="4"/>
      <c r="W1348" s="4"/>
      <c r="X1348" s="4"/>
      <c r="Y1348" s="4"/>
      <c r="Z1348" s="4"/>
    </row>
    <row r="1349" ht="12.75" customHeight="1">
      <c r="A1349" s="28"/>
      <c r="B1349" s="28"/>
      <c r="C1349" s="28"/>
      <c r="D1349" s="4"/>
      <c r="E1349" s="28"/>
      <c r="F1349" s="28"/>
      <c r="G1349" s="28"/>
      <c r="H1349" s="4"/>
      <c r="I1349" s="28"/>
      <c r="J1349" s="28"/>
      <c r="K1349" s="28"/>
      <c r="L1349" s="4"/>
      <c r="M1349" s="28"/>
      <c r="N1349" s="28"/>
      <c r="O1349" s="28"/>
      <c r="P1349" s="4"/>
      <c r="Q1349" s="28"/>
      <c r="R1349" s="28"/>
      <c r="S1349" s="28"/>
      <c r="T1349" s="4"/>
      <c r="U1349" s="4"/>
      <c r="V1349" s="4"/>
      <c r="W1349" s="4"/>
      <c r="X1349" s="4"/>
      <c r="Y1349" s="4"/>
      <c r="Z1349" s="4"/>
    </row>
    <row r="1350" ht="12.75" customHeight="1">
      <c r="A1350" s="28"/>
      <c r="B1350" s="28"/>
      <c r="C1350" s="28"/>
      <c r="D1350" s="4"/>
      <c r="E1350" s="28"/>
      <c r="F1350" s="28"/>
      <c r="G1350" s="28"/>
      <c r="H1350" s="4"/>
      <c r="I1350" s="28"/>
      <c r="J1350" s="28"/>
      <c r="K1350" s="28"/>
      <c r="L1350" s="4"/>
      <c r="M1350" s="28"/>
      <c r="N1350" s="28"/>
      <c r="O1350" s="28"/>
      <c r="P1350" s="4"/>
      <c r="Q1350" s="28"/>
      <c r="R1350" s="28"/>
      <c r="S1350" s="28"/>
      <c r="T1350" s="4"/>
      <c r="U1350" s="4"/>
      <c r="V1350" s="4"/>
      <c r="W1350" s="4"/>
      <c r="X1350" s="4"/>
      <c r="Y1350" s="4"/>
      <c r="Z1350" s="4"/>
    </row>
    <row r="1351" ht="12.75" customHeight="1">
      <c r="A1351" s="28"/>
      <c r="B1351" s="28"/>
      <c r="C1351" s="28"/>
      <c r="D1351" s="4"/>
      <c r="E1351" s="28"/>
      <c r="F1351" s="28"/>
      <c r="G1351" s="28"/>
      <c r="H1351" s="4"/>
      <c r="I1351" s="28"/>
      <c r="J1351" s="28"/>
      <c r="K1351" s="28"/>
      <c r="L1351" s="4"/>
      <c r="M1351" s="28"/>
      <c r="N1351" s="28"/>
      <c r="O1351" s="28"/>
      <c r="P1351" s="4"/>
      <c r="Q1351" s="28"/>
      <c r="R1351" s="28"/>
      <c r="S1351" s="28"/>
      <c r="T1351" s="4"/>
      <c r="U1351" s="4"/>
      <c r="V1351" s="4"/>
      <c r="W1351" s="4"/>
      <c r="X1351" s="4"/>
      <c r="Y1351" s="4"/>
      <c r="Z1351" s="4"/>
    </row>
    <row r="1352" ht="12.75" customHeight="1">
      <c r="A1352" s="28"/>
      <c r="B1352" s="28"/>
      <c r="C1352" s="28"/>
      <c r="D1352" s="4"/>
      <c r="E1352" s="28"/>
      <c r="F1352" s="28"/>
      <c r="G1352" s="28"/>
      <c r="H1352" s="4"/>
      <c r="I1352" s="28"/>
      <c r="J1352" s="28"/>
      <c r="K1352" s="28"/>
      <c r="L1352" s="4"/>
      <c r="M1352" s="28"/>
      <c r="N1352" s="28"/>
      <c r="O1352" s="28"/>
      <c r="P1352" s="4"/>
      <c r="Q1352" s="28"/>
      <c r="R1352" s="28"/>
      <c r="S1352" s="28"/>
      <c r="T1352" s="4"/>
      <c r="U1352" s="4"/>
      <c r="V1352" s="4"/>
      <c r="W1352" s="4"/>
      <c r="X1352" s="4"/>
      <c r="Y1352" s="4"/>
      <c r="Z1352" s="4"/>
    </row>
    <row r="1353" ht="12.75" customHeight="1">
      <c r="A1353" s="28"/>
      <c r="B1353" s="28"/>
      <c r="C1353" s="28"/>
      <c r="D1353" s="4"/>
      <c r="E1353" s="28"/>
      <c r="F1353" s="28"/>
      <c r="G1353" s="28"/>
      <c r="H1353" s="4"/>
      <c r="I1353" s="28"/>
      <c r="J1353" s="28"/>
      <c r="K1353" s="28"/>
      <c r="L1353" s="4"/>
      <c r="M1353" s="28"/>
      <c r="N1353" s="28"/>
      <c r="O1353" s="28"/>
      <c r="P1353" s="4"/>
      <c r="Q1353" s="28"/>
      <c r="R1353" s="28"/>
      <c r="S1353" s="28"/>
      <c r="T1353" s="4"/>
      <c r="U1353" s="4"/>
      <c r="V1353" s="4"/>
      <c r="W1353" s="4"/>
      <c r="X1353" s="4"/>
      <c r="Y1353" s="4"/>
      <c r="Z1353" s="4"/>
    </row>
    <row r="1354" ht="12.75" customHeight="1">
      <c r="A1354" s="28"/>
      <c r="B1354" s="28"/>
      <c r="C1354" s="28"/>
      <c r="D1354" s="4"/>
      <c r="E1354" s="28"/>
      <c r="F1354" s="28"/>
      <c r="G1354" s="28"/>
      <c r="H1354" s="4"/>
      <c r="I1354" s="28"/>
      <c r="J1354" s="28"/>
      <c r="K1354" s="28"/>
      <c r="L1354" s="4"/>
      <c r="M1354" s="28"/>
      <c r="N1354" s="28"/>
      <c r="O1354" s="28"/>
      <c r="P1354" s="4"/>
      <c r="Q1354" s="28"/>
      <c r="R1354" s="28"/>
      <c r="S1354" s="28"/>
      <c r="T1354" s="4"/>
      <c r="U1354" s="4"/>
      <c r="V1354" s="4"/>
      <c r="W1354" s="4"/>
      <c r="X1354" s="4"/>
      <c r="Y1354" s="4"/>
      <c r="Z1354" s="4"/>
    </row>
    <row r="1355" ht="12.75" customHeight="1">
      <c r="A1355" s="28"/>
      <c r="B1355" s="28"/>
      <c r="C1355" s="28"/>
      <c r="D1355" s="4"/>
      <c r="E1355" s="28"/>
      <c r="F1355" s="28"/>
      <c r="G1355" s="28"/>
      <c r="H1355" s="4"/>
      <c r="I1355" s="28"/>
      <c r="J1355" s="28"/>
      <c r="K1355" s="28"/>
      <c r="L1355" s="4"/>
      <c r="M1355" s="28"/>
      <c r="N1355" s="28"/>
      <c r="O1355" s="28"/>
      <c r="P1355" s="4"/>
      <c r="Q1355" s="28"/>
      <c r="R1355" s="28"/>
      <c r="S1355" s="28"/>
      <c r="T1355" s="4"/>
      <c r="U1355" s="4"/>
      <c r="V1355" s="4"/>
      <c r="W1355" s="4"/>
      <c r="X1355" s="4"/>
      <c r="Y1355" s="4"/>
      <c r="Z1355" s="4"/>
    </row>
    <row r="1356" ht="12.75" customHeight="1">
      <c r="A1356" s="28"/>
      <c r="B1356" s="28"/>
      <c r="C1356" s="28"/>
      <c r="D1356" s="4"/>
      <c r="E1356" s="28"/>
      <c r="F1356" s="28"/>
      <c r="G1356" s="28"/>
      <c r="H1356" s="4"/>
      <c r="I1356" s="28"/>
      <c r="J1356" s="28"/>
      <c r="K1356" s="28"/>
      <c r="L1356" s="4"/>
      <c r="M1356" s="28"/>
      <c r="N1356" s="28"/>
      <c r="O1356" s="28"/>
      <c r="P1356" s="4"/>
      <c r="Q1356" s="28"/>
      <c r="R1356" s="28"/>
      <c r="S1356" s="28"/>
      <c r="T1356" s="4"/>
      <c r="U1356" s="4"/>
      <c r="V1356" s="4"/>
      <c r="W1356" s="4"/>
      <c r="X1356" s="4"/>
      <c r="Y1356" s="4"/>
      <c r="Z1356" s="4"/>
    </row>
    <row r="1357" ht="12.75" customHeight="1">
      <c r="A1357" s="28"/>
      <c r="B1357" s="28"/>
      <c r="C1357" s="28"/>
      <c r="D1357" s="4"/>
      <c r="E1357" s="28"/>
      <c r="F1357" s="28"/>
      <c r="G1357" s="28"/>
      <c r="H1357" s="4"/>
      <c r="I1357" s="28"/>
      <c r="J1357" s="28"/>
      <c r="K1357" s="28"/>
      <c r="L1357" s="4"/>
      <c r="M1357" s="28"/>
      <c r="N1357" s="28"/>
      <c r="O1357" s="28"/>
      <c r="P1357" s="4"/>
      <c r="Q1357" s="28"/>
      <c r="R1357" s="28"/>
      <c r="S1357" s="28"/>
      <c r="T1357" s="4"/>
      <c r="U1357" s="4"/>
      <c r="V1357" s="4"/>
      <c r="W1357" s="4"/>
      <c r="X1357" s="4"/>
      <c r="Y1357" s="4"/>
      <c r="Z1357" s="4"/>
    </row>
    <row r="1358" ht="12.75" customHeight="1">
      <c r="A1358" s="28"/>
      <c r="B1358" s="28"/>
      <c r="C1358" s="28"/>
      <c r="D1358" s="4"/>
      <c r="E1358" s="28"/>
      <c r="F1358" s="28"/>
      <c r="G1358" s="28"/>
      <c r="H1358" s="4"/>
      <c r="I1358" s="28"/>
      <c r="J1358" s="28"/>
      <c r="K1358" s="28"/>
      <c r="L1358" s="4"/>
      <c r="M1358" s="28"/>
      <c r="N1358" s="28"/>
      <c r="O1358" s="28"/>
      <c r="P1358" s="4"/>
      <c r="Q1358" s="28"/>
      <c r="R1358" s="28"/>
      <c r="S1358" s="28"/>
      <c r="T1358" s="4"/>
      <c r="U1358" s="4"/>
      <c r="V1358" s="4"/>
      <c r="W1358" s="4"/>
      <c r="X1358" s="4"/>
      <c r="Y1358" s="4"/>
      <c r="Z1358" s="4"/>
    </row>
    <row r="1359" ht="12.75" customHeight="1">
      <c r="A1359" s="28"/>
      <c r="B1359" s="28"/>
      <c r="C1359" s="28"/>
      <c r="D1359" s="4"/>
      <c r="E1359" s="28"/>
      <c r="F1359" s="28"/>
      <c r="G1359" s="28"/>
      <c r="H1359" s="4"/>
      <c r="I1359" s="28"/>
      <c r="J1359" s="28"/>
      <c r="K1359" s="28"/>
      <c r="L1359" s="4"/>
      <c r="M1359" s="28"/>
      <c r="N1359" s="28"/>
      <c r="O1359" s="28"/>
      <c r="P1359" s="4"/>
      <c r="Q1359" s="28"/>
      <c r="R1359" s="28"/>
      <c r="S1359" s="28"/>
      <c r="T1359" s="4"/>
      <c r="U1359" s="4"/>
      <c r="V1359" s="4"/>
      <c r="W1359" s="4"/>
      <c r="X1359" s="4"/>
      <c r="Y1359" s="4"/>
      <c r="Z1359" s="4"/>
    </row>
    <row r="1360" ht="12.75" customHeight="1">
      <c r="A1360" s="28"/>
      <c r="B1360" s="28"/>
      <c r="C1360" s="28"/>
      <c r="D1360" s="4"/>
      <c r="E1360" s="28"/>
      <c r="F1360" s="28"/>
      <c r="G1360" s="28"/>
      <c r="H1360" s="4"/>
      <c r="I1360" s="28"/>
      <c r="J1360" s="28"/>
      <c r="K1360" s="28"/>
      <c r="L1360" s="4"/>
      <c r="M1360" s="28"/>
      <c r="N1360" s="28"/>
      <c r="O1360" s="28"/>
      <c r="P1360" s="4"/>
      <c r="Q1360" s="28"/>
      <c r="R1360" s="28"/>
      <c r="S1360" s="28"/>
      <c r="T1360" s="4"/>
      <c r="U1360" s="4"/>
      <c r="V1360" s="4"/>
      <c r="W1360" s="4"/>
      <c r="X1360" s="4"/>
      <c r="Y1360" s="4"/>
      <c r="Z1360" s="4"/>
    </row>
    <row r="1361" ht="12.75" customHeight="1">
      <c r="A1361" s="28"/>
      <c r="B1361" s="28"/>
      <c r="C1361" s="28"/>
      <c r="D1361" s="4"/>
      <c r="E1361" s="28"/>
      <c r="F1361" s="28"/>
      <c r="G1361" s="28"/>
      <c r="H1361" s="4"/>
      <c r="I1361" s="28"/>
      <c r="J1361" s="28"/>
      <c r="K1361" s="28"/>
      <c r="L1361" s="4"/>
      <c r="M1361" s="28"/>
      <c r="N1361" s="28"/>
      <c r="O1361" s="28"/>
      <c r="P1361" s="4"/>
      <c r="Q1361" s="28"/>
      <c r="R1361" s="28"/>
      <c r="S1361" s="28"/>
      <c r="T1361" s="4"/>
      <c r="U1361" s="4"/>
      <c r="V1361" s="4"/>
      <c r="W1361" s="4"/>
      <c r="X1361" s="4"/>
      <c r="Y1361" s="4"/>
      <c r="Z1361" s="4"/>
    </row>
    <row r="1362" ht="12.75" customHeight="1">
      <c r="A1362" s="28"/>
      <c r="B1362" s="28"/>
      <c r="C1362" s="28"/>
      <c r="D1362" s="4"/>
      <c r="E1362" s="28"/>
      <c r="F1362" s="28"/>
      <c r="G1362" s="28"/>
      <c r="H1362" s="4"/>
      <c r="I1362" s="28"/>
      <c r="J1362" s="28"/>
      <c r="K1362" s="28"/>
      <c r="L1362" s="4"/>
      <c r="M1362" s="28"/>
      <c r="N1362" s="28"/>
      <c r="O1362" s="28"/>
      <c r="P1362" s="4"/>
      <c r="Q1362" s="28"/>
      <c r="R1362" s="28"/>
      <c r="S1362" s="28"/>
      <c r="T1362" s="4"/>
      <c r="U1362" s="4"/>
      <c r="V1362" s="4"/>
      <c r="W1362" s="4"/>
      <c r="X1362" s="4"/>
      <c r="Y1362" s="4"/>
      <c r="Z1362" s="4"/>
    </row>
    <row r="1363" ht="12.75" customHeight="1">
      <c r="A1363" s="28"/>
      <c r="B1363" s="28"/>
      <c r="C1363" s="28"/>
      <c r="D1363" s="4"/>
      <c r="E1363" s="28"/>
      <c r="F1363" s="28"/>
      <c r="G1363" s="28"/>
      <c r="H1363" s="4"/>
      <c r="I1363" s="28"/>
      <c r="J1363" s="28"/>
      <c r="K1363" s="28"/>
      <c r="L1363" s="4"/>
      <c r="M1363" s="28"/>
      <c r="N1363" s="28"/>
      <c r="O1363" s="28"/>
      <c r="P1363" s="4"/>
      <c r="Q1363" s="28"/>
      <c r="R1363" s="28"/>
      <c r="S1363" s="28"/>
      <c r="T1363" s="4"/>
      <c r="U1363" s="4"/>
      <c r="V1363" s="4"/>
      <c r="W1363" s="4"/>
      <c r="X1363" s="4"/>
      <c r="Y1363" s="4"/>
      <c r="Z1363" s="4"/>
    </row>
    <row r="1364" ht="12.75" customHeight="1">
      <c r="A1364" s="28"/>
      <c r="B1364" s="28"/>
      <c r="C1364" s="28"/>
      <c r="D1364" s="4"/>
      <c r="E1364" s="28"/>
      <c r="F1364" s="28"/>
      <c r="G1364" s="28"/>
      <c r="H1364" s="4"/>
      <c r="I1364" s="28"/>
      <c r="J1364" s="28"/>
      <c r="K1364" s="28"/>
      <c r="L1364" s="4"/>
      <c r="M1364" s="28"/>
      <c r="N1364" s="28"/>
      <c r="O1364" s="28"/>
      <c r="P1364" s="4"/>
      <c r="Q1364" s="28"/>
      <c r="R1364" s="28"/>
      <c r="S1364" s="28"/>
      <c r="T1364" s="4"/>
      <c r="U1364" s="4"/>
      <c r="V1364" s="4"/>
      <c r="W1364" s="4"/>
      <c r="X1364" s="4"/>
      <c r="Y1364" s="4"/>
      <c r="Z1364" s="4"/>
    </row>
    <row r="1365" ht="12.75" customHeight="1">
      <c r="A1365" s="28"/>
      <c r="B1365" s="28"/>
      <c r="C1365" s="28"/>
      <c r="D1365" s="4"/>
      <c r="E1365" s="28"/>
      <c r="F1365" s="28"/>
      <c r="G1365" s="28"/>
      <c r="H1365" s="4"/>
      <c r="I1365" s="28"/>
      <c r="J1365" s="28"/>
      <c r="K1365" s="28"/>
      <c r="L1365" s="4"/>
      <c r="M1365" s="28"/>
      <c r="N1365" s="28"/>
      <c r="O1365" s="28"/>
      <c r="P1365" s="4"/>
      <c r="Q1365" s="28"/>
      <c r="R1365" s="28"/>
      <c r="S1365" s="28"/>
      <c r="T1365" s="4"/>
      <c r="U1365" s="4"/>
      <c r="V1365" s="4"/>
      <c r="W1365" s="4"/>
      <c r="X1365" s="4"/>
      <c r="Y1365" s="4"/>
      <c r="Z1365" s="4"/>
    </row>
    <row r="1366" ht="12.75" customHeight="1">
      <c r="A1366" s="28"/>
      <c r="B1366" s="28"/>
      <c r="C1366" s="28"/>
      <c r="D1366" s="4"/>
      <c r="E1366" s="28"/>
      <c r="F1366" s="28"/>
      <c r="G1366" s="28"/>
      <c r="H1366" s="4"/>
      <c r="I1366" s="28"/>
      <c r="J1366" s="28"/>
      <c r="K1366" s="28"/>
      <c r="L1366" s="4"/>
      <c r="M1366" s="28"/>
      <c r="N1366" s="28"/>
      <c r="O1366" s="28"/>
      <c r="P1366" s="4"/>
      <c r="Q1366" s="28"/>
      <c r="R1366" s="28"/>
      <c r="S1366" s="28"/>
      <c r="T1366" s="4"/>
      <c r="U1366" s="4"/>
      <c r="V1366" s="4"/>
      <c r="W1366" s="4"/>
      <c r="X1366" s="4"/>
      <c r="Y1366" s="4"/>
      <c r="Z1366" s="4"/>
    </row>
    <row r="1367" ht="12.75" customHeight="1">
      <c r="A1367" s="28"/>
      <c r="B1367" s="28"/>
      <c r="C1367" s="28"/>
      <c r="D1367" s="4"/>
      <c r="E1367" s="28"/>
      <c r="F1367" s="28"/>
      <c r="G1367" s="28"/>
      <c r="H1367" s="4"/>
      <c r="I1367" s="28"/>
      <c r="J1367" s="28"/>
      <c r="K1367" s="28"/>
      <c r="L1367" s="4"/>
      <c r="M1367" s="28"/>
      <c r="N1367" s="28"/>
      <c r="O1367" s="28"/>
      <c r="P1367" s="4"/>
      <c r="Q1367" s="28"/>
      <c r="R1367" s="28"/>
      <c r="S1367" s="28"/>
      <c r="T1367" s="4"/>
      <c r="U1367" s="4"/>
      <c r="V1367" s="4"/>
      <c r="W1367" s="4"/>
      <c r="X1367" s="4"/>
      <c r="Y1367" s="4"/>
      <c r="Z1367" s="4"/>
    </row>
    <row r="1368" ht="12.75" customHeight="1">
      <c r="A1368" s="28"/>
      <c r="B1368" s="28"/>
      <c r="C1368" s="28"/>
      <c r="D1368" s="4"/>
      <c r="E1368" s="28"/>
      <c r="F1368" s="28"/>
      <c r="G1368" s="28"/>
      <c r="H1368" s="4"/>
      <c r="I1368" s="28"/>
      <c r="J1368" s="28"/>
      <c r="K1368" s="28"/>
      <c r="L1368" s="4"/>
      <c r="M1368" s="28"/>
      <c r="N1368" s="28"/>
      <c r="O1368" s="28"/>
      <c r="P1368" s="4"/>
      <c r="Q1368" s="28"/>
      <c r="R1368" s="28"/>
      <c r="S1368" s="28"/>
      <c r="T1368" s="4"/>
      <c r="U1368" s="4"/>
      <c r="V1368" s="4"/>
      <c r="W1368" s="4"/>
      <c r="X1368" s="4"/>
      <c r="Y1368" s="4"/>
      <c r="Z1368" s="4"/>
    </row>
    <row r="1369" ht="12.75" customHeight="1">
      <c r="A1369" s="28"/>
      <c r="B1369" s="28"/>
      <c r="C1369" s="28"/>
      <c r="D1369" s="4"/>
      <c r="E1369" s="28"/>
      <c r="F1369" s="28"/>
      <c r="G1369" s="28"/>
      <c r="H1369" s="4"/>
      <c r="I1369" s="28"/>
      <c r="J1369" s="28"/>
      <c r="K1369" s="28"/>
      <c r="L1369" s="4"/>
      <c r="M1369" s="28"/>
      <c r="N1369" s="28"/>
      <c r="O1369" s="28"/>
      <c r="P1369" s="4"/>
      <c r="Q1369" s="28"/>
      <c r="R1369" s="28"/>
      <c r="S1369" s="28"/>
      <c r="T1369" s="4"/>
      <c r="U1369" s="4"/>
      <c r="V1369" s="4"/>
      <c r="W1369" s="4"/>
      <c r="X1369" s="4"/>
      <c r="Y1369" s="4"/>
      <c r="Z1369" s="4"/>
    </row>
    <row r="1370" ht="12.75" customHeight="1">
      <c r="A1370" s="28"/>
      <c r="B1370" s="28"/>
      <c r="C1370" s="28"/>
      <c r="D1370" s="4"/>
      <c r="E1370" s="28"/>
      <c r="F1370" s="28"/>
      <c r="G1370" s="28"/>
      <c r="H1370" s="4"/>
      <c r="I1370" s="28"/>
      <c r="J1370" s="28"/>
      <c r="K1370" s="28"/>
      <c r="L1370" s="4"/>
      <c r="M1370" s="28"/>
      <c r="N1370" s="28"/>
      <c r="O1370" s="28"/>
      <c r="P1370" s="4"/>
      <c r="Q1370" s="28"/>
      <c r="R1370" s="28"/>
      <c r="S1370" s="28"/>
      <c r="T1370" s="4"/>
      <c r="U1370" s="4"/>
      <c r="V1370" s="4"/>
      <c r="W1370" s="4"/>
      <c r="X1370" s="4"/>
      <c r="Y1370" s="4"/>
      <c r="Z1370" s="4"/>
    </row>
    <row r="1371" ht="12.75" customHeight="1">
      <c r="A1371" s="28"/>
      <c r="B1371" s="28"/>
      <c r="C1371" s="28"/>
      <c r="D1371" s="4"/>
      <c r="E1371" s="28"/>
      <c r="F1371" s="28"/>
      <c r="G1371" s="28"/>
      <c r="H1371" s="4"/>
      <c r="I1371" s="28"/>
      <c r="J1371" s="28"/>
      <c r="K1371" s="28"/>
      <c r="L1371" s="4"/>
      <c r="M1371" s="28"/>
      <c r="N1371" s="28"/>
      <c r="O1371" s="28"/>
      <c r="P1371" s="4"/>
      <c r="Q1371" s="28"/>
      <c r="R1371" s="28"/>
      <c r="S1371" s="28"/>
      <c r="T1371" s="4"/>
      <c r="U1371" s="4"/>
      <c r="V1371" s="4"/>
      <c r="W1371" s="4"/>
      <c r="X1371" s="4"/>
      <c r="Y1371" s="4"/>
      <c r="Z1371" s="4"/>
    </row>
    <row r="1372" ht="12.75" customHeight="1">
      <c r="A1372" s="28"/>
      <c r="B1372" s="28"/>
      <c r="C1372" s="28"/>
      <c r="D1372" s="4"/>
      <c r="E1372" s="28"/>
      <c r="F1372" s="28"/>
      <c r="G1372" s="28"/>
      <c r="H1372" s="4"/>
      <c r="I1372" s="28"/>
      <c r="J1372" s="28"/>
      <c r="K1372" s="28"/>
      <c r="L1372" s="4"/>
      <c r="M1372" s="28"/>
      <c r="N1372" s="28"/>
      <c r="O1372" s="28"/>
      <c r="P1372" s="4"/>
      <c r="Q1372" s="28"/>
      <c r="R1372" s="28"/>
      <c r="S1372" s="28"/>
      <c r="T1372" s="4"/>
      <c r="U1372" s="4"/>
      <c r="V1372" s="4"/>
      <c r="W1372" s="4"/>
      <c r="X1372" s="4"/>
      <c r="Y1372" s="4"/>
      <c r="Z1372" s="4"/>
    </row>
    <row r="1373" ht="12.75" customHeight="1">
      <c r="A1373" s="28"/>
      <c r="B1373" s="28"/>
      <c r="C1373" s="28"/>
      <c r="D1373" s="4"/>
      <c r="E1373" s="28"/>
      <c r="F1373" s="28"/>
      <c r="G1373" s="28"/>
      <c r="H1373" s="4"/>
      <c r="I1373" s="28"/>
      <c r="J1373" s="28"/>
      <c r="K1373" s="28"/>
      <c r="L1373" s="4"/>
      <c r="M1373" s="28"/>
      <c r="N1373" s="28"/>
      <c r="O1373" s="28"/>
      <c r="P1373" s="4"/>
      <c r="Q1373" s="28"/>
      <c r="R1373" s="28"/>
      <c r="S1373" s="28"/>
      <c r="T1373" s="4"/>
      <c r="U1373" s="4"/>
      <c r="V1373" s="4"/>
      <c r="W1373" s="4"/>
      <c r="X1373" s="4"/>
      <c r="Y1373" s="4"/>
      <c r="Z1373" s="4"/>
    </row>
    <row r="1374" ht="12.75" customHeight="1">
      <c r="A1374" s="28"/>
      <c r="B1374" s="28"/>
      <c r="C1374" s="28"/>
      <c r="D1374" s="4"/>
      <c r="E1374" s="28"/>
      <c r="F1374" s="28"/>
      <c r="G1374" s="28"/>
      <c r="H1374" s="4"/>
      <c r="I1374" s="28"/>
      <c r="J1374" s="28"/>
      <c r="K1374" s="28"/>
      <c r="L1374" s="4"/>
      <c r="M1374" s="28"/>
      <c r="N1374" s="28"/>
      <c r="O1374" s="28"/>
      <c r="P1374" s="4"/>
      <c r="Q1374" s="28"/>
      <c r="R1374" s="28"/>
      <c r="S1374" s="28"/>
      <c r="T1374" s="4"/>
      <c r="U1374" s="4"/>
      <c r="V1374" s="4"/>
      <c r="W1374" s="4"/>
      <c r="X1374" s="4"/>
      <c r="Y1374" s="4"/>
      <c r="Z1374" s="4"/>
    </row>
    <row r="1375" ht="12.75" customHeight="1">
      <c r="A1375" s="28"/>
      <c r="B1375" s="28"/>
      <c r="C1375" s="28"/>
      <c r="D1375" s="4"/>
      <c r="E1375" s="28"/>
      <c r="F1375" s="28"/>
      <c r="G1375" s="28"/>
      <c r="H1375" s="4"/>
      <c r="I1375" s="28"/>
      <c r="J1375" s="28"/>
      <c r="K1375" s="28"/>
      <c r="L1375" s="4"/>
      <c r="M1375" s="28"/>
      <c r="N1375" s="28"/>
      <c r="O1375" s="28"/>
      <c r="P1375" s="4"/>
      <c r="Q1375" s="28"/>
      <c r="R1375" s="28"/>
      <c r="S1375" s="28"/>
      <c r="T1375" s="4"/>
      <c r="U1375" s="4"/>
      <c r="V1375" s="4"/>
      <c r="W1375" s="4"/>
      <c r="X1375" s="4"/>
      <c r="Y1375" s="4"/>
      <c r="Z1375" s="4"/>
    </row>
    <row r="1376" ht="12.75" customHeight="1">
      <c r="A1376" s="28"/>
      <c r="B1376" s="28"/>
      <c r="C1376" s="28"/>
      <c r="D1376" s="4"/>
      <c r="E1376" s="28"/>
      <c r="F1376" s="28"/>
      <c r="G1376" s="28"/>
      <c r="H1376" s="4"/>
      <c r="I1376" s="28"/>
      <c r="J1376" s="28"/>
      <c r="K1376" s="28"/>
      <c r="L1376" s="4"/>
      <c r="M1376" s="28"/>
      <c r="N1376" s="28"/>
      <c r="O1376" s="28"/>
      <c r="P1376" s="4"/>
      <c r="Q1376" s="28"/>
      <c r="R1376" s="28"/>
      <c r="S1376" s="28"/>
      <c r="T1376" s="4"/>
      <c r="U1376" s="4"/>
      <c r="V1376" s="4"/>
      <c r="W1376" s="4"/>
      <c r="X1376" s="4"/>
      <c r="Y1376" s="4"/>
      <c r="Z1376" s="4"/>
    </row>
    <row r="1377" ht="12.75" customHeight="1">
      <c r="A1377" s="28"/>
      <c r="B1377" s="28"/>
      <c r="C1377" s="28"/>
      <c r="D1377" s="4"/>
      <c r="E1377" s="28"/>
      <c r="F1377" s="28"/>
      <c r="G1377" s="28"/>
      <c r="H1377" s="4"/>
      <c r="I1377" s="28"/>
      <c r="J1377" s="28"/>
      <c r="K1377" s="28"/>
      <c r="L1377" s="4"/>
      <c r="M1377" s="28"/>
      <c r="N1377" s="28"/>
      <c r="O1377" s="28"/>
      <c r="P1377" s="4"/>
      <c r="Q1377" s="28"/>
      <c r="R1377" s="28"/>
      <c r="S1377" s="28"/>
      <c r="T1377" s="4"/>
      <c r="U1377" s="4"/>
      <c r="V1377" s="4"/>
      <c r="W1377" s="4"/>
      <c r="X1377" s="4"/>
      <c r="Y1377" s="4"/>
      <c r="Z1377" s="4"/>
    </row>
    <row r="1378" ht="12.75" customHeight="1">
      <c r="A1378" s="28"/>
      <c r="B1378" s="28"/>
      <c r="C1378" s="28"/>
      <c r="D1378" s="4"/>
      <c r="E1378" s="28"/>
      <c r="F1378" s="28"/>
      <c r="G1378" s="28"/>
      <c r="H1378" s="4"/>
      <c r="I1378" s="28"/>
      <c r="J1378" s="28"/>
      <c r="K1378" s="28"/>
      <c r="L1378" s="4"/>
      <c r="M1378" s="28"/>
      <c r="N1378" s="28"/>
      <c r="O1378" s="28"/>
      <c r="P1378" s="4"/>
      <c r="Q1378" s="28"/>
      <c r="R1378" s="28"/>
      <c r="S1378" s="28"/>
      <c r="T1378" s="4"/>
      <c r="U1378" s="4"/>
      <c r="V1378" s="4"/>
      <c r="W1378" s="4"/>
      <c r="X1378" s="4"/>
      <c r="Y1378" s="4"/>
      <c r="Z1378" s="4"/>
    </row>
    <row r="1379" ht="12.75" customHeight="1">
      <c r="A1379" s="28"/>
      <c r="B1379" s="28"/>
      <c r="C1379" s="28"/>
      <c r="D1379" s="4"/>
      <c r="E1379" s="28"/>
      <c r="F1379" s="28"/>
      <c r="G1379" s="28"/>
      <c r="H1379" s="4"/>
      <c r="I1379" s="28"/>
      <c r="J1379" s="28"/>
      <c r="K1379" s="28"/>
      <c r="L1379" s="4"/>
      <c r="M1379" s="28"/>
      <c r="N1379" s="28"/>
      <c r="O1379" s="28"/>
      <c r="P1379" s="4"/>
      <c r="Q1379" s="28"/>
      <c r="R1379" s="28"/>
      <c r="S1379" s="28"/>
      <c r="T1379" s="4"/>
      <c r="U1379" s="4"/>
      <c r="V1379" s="4"/>
      <c r="W1379" s="4"/>
      <c r="X1379" s="4"/>
      <c r="Y1379" s="4"/>
      <c r="Z1379" s="4"/>
    </row>
    <row r="1380" ht="12.75" customHeight="1">
      <c r="A1380" s="28"/>
      <c r="B1380" s="28"/>
      <c r="C1380" s="28"/>
      <c r="D1380" s="4"/>
      <c r="E1380" s="28"/>
      <c r="F1380" s="28"/>
      <c r="G1380" s="28"/>
      <c r="H1380" s="4"/>
      <c r="I1380" s="28"/>
      <c r="J1380" s="28"/>
      <c r="K1380" s="28"/>
      <c r="L1380" s="4"/>
      <c r="M1380" s="28"/>
      <c r="N1380" s="28"/>
      <c r="O1380" s="28"/>
      <c r="P1380" s="4"/>
      <c r="Q1380" s="28"/>
      <c r="R1380" s="28"/>
      <c r="S1380" s="28"/>
      <c r="T1380" s="4"/>
      <c r="U1380" s="4"/>
      <c r="V1380" s="4"/>
      <c r="W1380" s="4"/>
      <c r="X1380" s="4"/>
      <c r="Y1380" s="4"/>
      <c r="Z1380" s="4"/>
    </row>
    <row r="1381" ht="12.75" customHeight="1">
      <c r="A1381" s="28"/>
      <c r="B1381" s="28"/>
      <c r="C1381" s="28"/>
      <c r="D1381" s="4"/>
      <c r="E1381" s="28"/>
      <c r="F1381" s="28"/>
      <c r="G1381" s="28"/>
      <c r="H1381" s="4"/>
      <c r="I1381" s="28"/>
      <c r="J1381" s="28"/>
      <c r="K1381" s="28"/>
      <c r="L1381" s="4"/>
      <c r="M1381" s="28"/>
      <c r="N1381" s="28"/>
      <c r="O1381" s="28"/>
      <c r="P1381" s="4"/>
      <c r="Q1381" s="28"/>
      <c r="R1381" s="28"/>
      <c r="S1381" s="28"/>
      <c r="T1381" s="4"/>
      <c r="U1381" s="4"/>
      <c r="V1381" s="4"/>
      <c r="W1381" s="4"/>
      <c r="X1381" s="4"/>
      <c r="Y1381" s="4"/>
      <c r="Z1381" s="4"/>
    </row>
    <row r="1382" ht="12.75" customHeight="1">
      <c r="A1382" s="28"/>
      <c r="B1382" s="28"/>
      <c r="C1382" s="28"/>
      <c r="D1382" s="4"/>
      <c r="E1382" s="28"/>
      <c r="F1382" s="28"/>
      <c r="G1382" s="28"/>
      <c r="H1382" s="4"/>
      <c r="I1382" s="28"/>
      <c r="J1382" s="28"/>
      <c r="K1382" s="28"/>
      <c r="L1382" s="4"/>
      <c r="M1382" s="28"/>
      <c r="N1382" s="28"/>
      <c r="O1382" s="28"/>
      <c r="P1382" s="4"/>
      <c r="Q1382" s="28"/>
      <c r="R1382" s="28"/>
      <c r="S1382" s="28"/>
      <c r="T1382" s="4"/>
      <c r="U1382" s="4"/>
      <c r="V1382" s="4"/>
      <c r="W1382" s="4"/>
      <c r="X1382" s="4"/>
      <c r="Y1382" s="4"/>
      <c r="Z1382" s="4"/>
    </row>
    <row r="1383" ht="12.75" customHeight="1">
      <c r="A1383" s="28"/>
      <c r="B1383" s="28"/>
      <c r="C1383" s="28"/>
      <c r="D1383" s="4"/>
      <c r="E1383" s="28"/>
      <c r="F1383" s="28"/>
      <c r="G1383" s="28"/>
      <c r="H1383" s="4"/>
      <c r="I1383" s="28"/>
      <c r="J1383" s="28"/>
      <c r="K1383" s="28"/>
      <c r="L1383" s="4"/>
      <c r="M1383" s="28"/>
      <c r="N1383" s="28"/>
      <c r="O1383" s="28"/>
      <c r="P1383" s="4"/>
      <c r="Q1383" s="28"/>
      <c r="R1383" s="28"/>
      <c r="S1383" s="28"/>
      <c r="T1383" s="4"/>
      <c r="U1383" s="4"/>
      <c r="V1383" s="4"/>
      <c r="W1383" s="4"/>
      <c r="X1383" s="4"/>
      <c r="Y1383" s="4"/>
      <c r="Z1383" s="4"/>
    </row>
    <row r="1384" ht="12.75" customHeight="1">
      <c r="A1384" s="28"/>
      <c r="B1384" s="28"/>
      <c r="C1384" s="28"/>
      <c r="D1384" s="4"/>
      <c r="E1384" s="28"/>
      <c r="F1384" s="28"/>
      <c r="G1384" s="28"/>
      <c r="H1384" s="4"/>
      <c r="I1384" s="28"/>
      <c r="J1384" s="28"/>
      <c r="K1384" s="28"/>
      <c r="L1384" s="4"/>
      <c r="M1384" s="28"/>
      <c r="N1384" s="28"/>
      <c r="O1384" s="28"/>
      <c r="P1384" s="4"/>
      <c r="Q1384" s="28"/>
      <c r="R1384" s="28"/>
      <c r="S1384" s="28"/>
      <c r="T1384" s="4"/>
      <c r="U1384" s="4"/>
      <c r="V1384" s="4"/>
      <c r="W1384" s="4"/>
      <c r="X1384" s="4"/>
      <c r="Y1384" s="4"/>
      <c r="Z1384" s="4"/>
    </row>
    <row r="1385" ht="12.75" customHeight="1">
      <c r="A1385" s="28"/>
      <c r="B1385" s="28"/>
      <c r="C1385" s="28"/>
      <c r="D1385" s="4"/>
      <c r="E1385" s="28"/>
      <c r="F1385" s="28"/>
      <c r="G1385" s="28"/>
      <c r="H1385" s="4"/>
      <c r="I1385" s="28"/>
      <c r="J1385" s="28"/>
      <c r="K1385" s="28"/>
      <c r="L1385" s="4"/>
      <c r="M1385" s="28"/>
      <c r="N1385" s="28"/>
      <c r="O1385" s="28"/>
      <c r="P1385" s="4"/>
      <c r="Q1385" s="28"/>
      <c r="R1385" s="28"/>
      <c r="S1385" s="28"/>
      <c r="T1385" s="4"/>
      <c r="U1385" s="4"/>
      <c r="V1385" s="4"/>
      <c r="W1385" s="4"/>
      <c r="X1385" s="4"/>
      <c r="Y1385" s="4"/>
      <c r="Z1385" s="4"/>
    </row>
    <row r="1386" ht="12.75" customHeight="1">
      <c r="A1386" s="28"/>
      <c r="B1386" s="28"/>
      <c r="C1386" s="28"/>
      <c r="D1386" s="4"/>
      <c r="E1386" s="28"/>
      <c r="F1386" s="28"/>
      <c r="G1386" s="28"/>
      <c r="H1386" s="4"/>
      <c r="I1386" s="28"/>
      <c r="J1386" s="28"/>
      <c r="K1386" s="28"/>
      <c r="L1386" s="4"/>
      <c r="M1386" s="28"/>
      <c r="N1386" s="28"/>
      <c r="O1386" s="28"/>
      <c r="P1386" s="4"/>
      <c r="Q1386" s="28"/>
      <c r="R1386" s="28"/>
      <c r="S1386" s="28"/>
      <c r="T1386" s="4"/>
      <c r="U1386" s="4"/>
      <c r="V1386" s="4"/>
      <c r="W1386" s="4"/>
      <c r="X1386" s="4"/>
      <c r="Y1386" s="4"/>
      <c r="Z1386" s="4"/>
    </row>
    <row r="1387" ht="12.75" customHeight="1">
      <c r="A1387" s="28"/>
      <c r="B1387" s="28"/>
      <c r="C1387" s="28"/>
      <c r="D1387" s="4"/>
      <c r="E1387" s="28"/>
      <c r="F1387" s="28"/>
      <c r="G1387" s="28"/>
      <c r="H1387" s="4"/>
      <c r="I1387" s="28"/>
      <c r="J1387" s="28"/>
      <c r="K1387" s="28"/>
      <c r="L1387" s="4"/>
      <c r="M1387" s="28"/>
      <c r="N1387" s="28"/>
      <c r="O1387" s="28"/>
      <c r="P1387" s="4"/>
      <c r="Q1387" s="28"/>
      <c r="R1387" s="28"/>
      <c r="S1387" s="28"/>
      <c r="T1387" s="4"/>
      <c r="U1387" s="4"/>
      <c r="V1387" s="4"/>
      <c r="W1387" s="4"/>
      <c r="X1387" s="4"/>
      <c r="Y1387" s="4"/>
      <c r="Z1387" s="4"/>
    </row>
    <row r="1388" ht="12.75" customHeight="1">
      <c r="A1388" s="28"/>
      <c r="B1388" s="28"/>
      <c r="C1388" s="28"/>
      <c r="D1388" s="4"/>
      <c r="E1388" s="28"/>
      <c r="F1388" s="28"/>
      <c r="G1388" s="28"/>
      <c r="H1388" s="4"/>
      <c r="I1388" s="28"/>
      <c r="J1388" s="28"/>
      <c r="K1388" s="28"/>
      <c r="L1388" s="4"/>
      <c r="M1388" s="28"/>
      <c r="N1388" s="28"/>
      <c r="O1388" s="28"/>
      <c r="P1388" s="4"/>
      <c r="Q1388" s="28"/>
      <c r="R1388" s="28"/>
      <c r="S1388" s="28"/>
      <c r="T1388" s="4"/>
      <c r="U1388" s="4"/>
      <c r="V1388" s="4"/>
      <c r="W1388" s="4"/>
      <c r="X1388" s="4"/>
      <c r="Y1388" s="4"/>
      <c r="Z1388" s="4"/>
    </row>
    <row r="1389" ht="12.75" customHeight="1">
      <c r="A1389" s="28"/>
      <c r="B1389" s="28"/>
      <c r="C1389" s="28"/>
      <c r="D1389" s="4"/>
      <c r="E1389" s="28"/>
      <c r="F1389" s="28"/>
      <c r="G1389" s="28"/>
      <c r="H1389" s="4"/>
      <c r="I1389" s="28"/>
      <c r="J1389" s="28"/>
      <c r="K1389" s="28"/>
      <c r="L1389" s="4"/>
      <c r="M1389" s="28"/>
      <c r="N1389" s="28"/>
      <c r="O1389" s="28"/>
      <c r="P1389" s="4"/>
      <c r="Q1389" s="28"/>
      <c r="R1389" s="28"/>
      <c r="S1389" s="28"/>
      <c r="T1389" s="4"/>
      <c r="U1389" s="4"/>
      <c r="V1389" s="4"/>
      <c r="W1389" s="4"/>
      <c r="X1389" s="4"/>
      <c r="Y1389" s="4"/>
      <c r="Z1389" s="4"/>
    </row>
    <row r="1390" ht="12.75" customHeight="1">
      <c r="A1390" s="28"/>
      <c r="B1390" s="28"/>
      <c r="C1390" s="28"/>
      <c r="D1390" s="4"/>
      <c r="E1390" s="28"/>
      <c r="F1390" s="28"/>
      <c r="G1390" s="28"/>
      <c r="H1390" s="4"/>
      <c r="I1390" s="28"/>
      <c r="J1390" s="28"/>
      <c r="K1390" s="28"/>
      <c r="L1390" s="4"/>
      <c r="M1390" s="28"/>
      <c r="N1390" s="28"/>
      <c r="O1390" s="28"/>
      <c r="P1390" s="4"/>
      <c r="Q1390" s="28"/>
      <c r="R1390" s="28"/>
      <c r="S1390" s="28"/>
      <c r="T1390" s="4"/>
      <c r="U1390" s="4"/>
      <c r="V1390" s="4"/>
      <c r="W1390" s="4"/>
      <c r="X1390" s="4"/>
      <c r="Y1390" s="4"/>
      <c r="Z1390" s="4"/>
    </row>
    <row r="1391" ht="12.75" customHeight="1">
      <c r="A1391" s="28"/>
      <c r="B1391" s="28"/>
      <c r="C1391" s="28"/>
      <c r="D1391" s="4"/>
      <c r="E1391" s="28"/>
      <c r="F1391" s="28"/>
      <c r="G1391" s="28"/>
      <c r="H1391" s="4"/>
      <c r="I1391" s="28"/>
      <c r="J1391" s="28"/>
      <c r="K1391" s="28"/>
      <c r="L1391" s="4"/>
      <c r="M1391" s="28"/>
      <c r="N1391" s="28"/>
      <c r="O1391" s="28"/>
      <c r="P1391" s="4"/>
      <c r="Q1391" s="28"/>
      <c r="R1391" s="28"/>
      <c r="S1391" s="28"/>
      <c r="T1391" s="4"/>
      <c r="U1391" s="4"/>
      <c r="V1391" s="4"/>
      <c r="W1391" s="4"/>
      <c r="X1391" s="4"/>
      <c r="Y1391" s="4"/>
      <c r="Z1391" s="4"/>
    </row>
    <row r="1392" ht="12.75" customHeight="1">
      <c r="A1392" s="28"/>
      <c r="B1392" s="28"/>
      <c r="C1392" s="28"/>
      <c r="D1392" s="4"/>
      <c r="E1392" s="28"/>
      <c r="F1392" s="28"/>
      <c r="G1392" s="28"/>
      <c r="H1392" s="4"/>
      <c r="I1392" s="28"/>
      <c r="J1392" s="28"/>
      <c r="K1392" s="28"/>
      <c r="L1392" s="4"/>
      <c r="M1392" s="28"/>
      <c r="N1392" s="28"/>
      <c r="O1392" s="28"/>
      <c r="P1392" s="4"/>
      <c r="Q1392" s="28"/>
      <c r="R1392" s="28"/>
      <c r="S1392" s="28"/>
      <c r="T1392" s="4"/>
      <c r="U1392" s="4"/>
      <c r="V1392" s="4"/>
      <c r="W1392" s="4"/>
      <c r="X1392" s="4"/>
      <c r="Y1392" s="4"/>
      <c r="Z1392" s="4"/>
    </row>
    <row r="1393" ht="12.75" customHeight="1">
      <c r="A1393" s="28"/>
      <c r="B1393" s="28"/>
      <c r="C1393" s="28"/>
      <c r="D1393" s="4"/>
      <c r="E1393" s="28"/>
      <c r="F1393" s="28"/>
      <c r="G1393" s="28"/>
      <c r="H1393" s="4"/>
      <c r="I1393" s="28"/>
      <c r="J1393" s="28"/>
      <c r="K1393" s="28"/>
      <c r="L1393" s="4"/>
      <c r="M1393" s="28"/>
      <c r="N1393" s="28"/>
      <c r="O1393" s="28"/>
      <c r="P1393" s="4"/>
      <c r="Q1393" s="28"/>
      <c r="R1393" s="28"/>
      <c r="S1393" s="28"/>
      <c r="T1393" s="4"/>
      <c r="U1393" s="4"/>
      <c r="V1393" s="4"/>
      <c r="W1393" s="4"/>
      <c r="X1393" s="4"/>
      <c r="Y1393" s="4"/>
      <c r="Z1393" s="4"/>
    </row>
    <row r="1394" ht="12.75" customHeight="1">
      <c r="A1394" s="28"/>
      <c r="B1394" s="28"/>
      <c r="C1394" s="28"/>
      <c r="D1394" s="4"/>
      <c r="E1394" s="28"/>
      <c r="F1394" s="28"/>
      <c r="G1394" s="28"/>
      <c r="H1394" s="4"/>
      <c r="I1394" s="28"/>
      <c r="J1394" s="28"/>
      <c r="K1394" s="28"/>
      <c r="L1394" s="4"/>
      <c r="M1394" s="28"/>
      <c r="N1394" s="28"/>
      <c r="O1394" s="28"/>
      <c r="P1394" s="4"/>
      <c r="Q1394" s="28"/>
      <c r="R1394" s="28"/>
      <c r="S1394" s="28"/>
      <c r="T1394" s="4"/>
      <c r="U1394" s="4"/>
      <c r="V1394" s="4"/>
      <c r="W1394" s="4"/>
      <c r="X1394" s="4"/>
      <c r="Y1394" s="4"/>
      <c r="Z1394" s="4"/>
    </row>
    <row r="1395" ht="12.75" customHeight="1">
      <c r="A1395" s="28"/>
      <c r="B1395" s="28"/>
      <c r="C1395" s="28"/>
      <c r="D1395" s="4"/>
      <c r="E1395" s="28"/>
      <c r="F1395" s="28"/>
      <c r="G1395" s="28"/>
      <c r="H1395" s="4"/>
      <c r="I1395" s="28"/>
      <c r="J1395" s="28"/>
      <c r="K1395" s="28"/>
      <c r="L1395" s="4"/>
      <c r="M1395" s="28"/>
      <c r="N1395" s="28"/>
      <c r="O1395" s="28"/>
      <c r="P1395" s="4"/>
      <c r="Q1395" s="28"/>
      <c r="R1395" s="28"/>
      <c r="S1395" s="28"/>
      <c r="T1395" s="4"/>
      <c r="U1395" s="4"/>
      <c r="V1395" s="4"/>
      <c r="W1395" s="4"/>
      <c r="X1395" s="4"/>
      <c r="Y1395" s="4"/>
      <c r="Z1395" s="4"/>
    </row>
    <row r="1396" ht="12.75" customHeight="1">
      <c r="A1396" s="28"/>
      <c r="B1396" s="28"/>
      <c r="C1396" s="28"/>
      <c r="D1396" s="4"/>
      <c r="E1396" s="28"/>
      <c r="F1396" s="28"/>
      <c r="G1396" s="28"/>
      <c r="H1396" s="4"/>
      <c r="I1396" s="28"/>
      <c r="J1396" s="28"/>
      <c r="K1396" s="28"/>
      <c r="L1396" s="4"/>
      <c r="M1396" s="28"/>
      <c r="N1396" s="28"/>
      <c r="O1396" s="28"/>
      <c r="P1396" s="4"/>
      <c r="Q1396" s="28"/>
      <c r="R1396" s="28"/>
      <c r="S1396" s="28"/>
      <c r="T1396" s="4"/>
      <c r="U1396" s="4"/>
      <c r="V1396" s="4"/>
      <c r="W1396" s="4"/>
      <c r="X1396" s="4"/>
      <c r="Y1396" s="4"/>
      <c r="Z1396" s="4"/>
    </row>
    <row r="1397" ht="12.75" customHeight="1">
      <c r="A1397" s="28"/>
      <c r="B1397" s="28"/>
      <c r="C1397" s="28"/>
      <c r="D1397" s="4"/>
      <c r="E1397" s="28"/>
      <c r="F1397" s="28"/>
      <c r="G1397" s="28"/>
      <c r="H1397" s="4"/>
      <c r="I1397" s="28"/>
      <c r="J1397" s="28"/>
      <c r="K1397" s="28"/>
      <c r="L1397" s="4"/>
      <c r="M1397" s="28"/>
      <c r="N1397" s="28"/>
      <c r="O1397" s="28"/>
      <c r="P1397" s="4"/>
      <c r="Q1397" s="28"/>
      <c r="R1397" s="28"/>
      <c r="S1397" s="28"/>
      <c r="T1397" s="4"/>
      <c r="U1397" s="4"/>
      <c r="V1397" s="4"/>
      <c r="W1397" s="4"/>
      <c r="X1397" s="4"/>
      <c r="Y1397" s="4"/>
      <c r="Z1397" s="4"/>
    </row>
    <row r="1398" ht="12.75" customHeight="1">
      <c r="A1398" s="28"/>
      <c r="B1398" s="28"/>
      <c r="C1398" s="28"/>
      <c r="D1398" s="4"/>
      <c r="E1398" s="28"/>
      <c r="F1398" s="28"/>
      <c r="G1398" s="28"/>
      <c r="H1398" s="4"/>
      <c r="I1398" s="28"/>
      <c r="J1398" s="28"/>
      <c r="K1398" s="28"/>
      <c r="L1398" s="4"/>
      <c r="M1398" s="28"/>
      <c r="N1398" s="28"/>
      <c r="O1398" s="28"/>
      <c r="P1398" s="4"/>
      <c r="Q1398" s="28"/>
      <c r="R1398" s="28"/>
      <c r="S1398" s="28"/>
      <c r="T1398" s="4"/>
      <c r="U1398" s="4"/>
      <c r="V1398" s="4"/>
      <c r="W1398" s="4"/>
      <c r="X1398" s="4"/>
      <c r="Y1398" s="4"/>
      <c r="Z1398" s="4"/>
    </row>
    <row r="1399" ht="12.75" customHeight="1">
      <c r="A1399" s="28"/>
      <c r="B1399" s="28"/>
      <c r="C1399" s="28"/>
      <c r="D1399" s="4"/>
      <c r="E1399" s="28"/>
      <c r="F1399" s="28"/>
      <c r="G1399" s="28"/>
      <c r="H1399" s="4"/>
      <c r="I1399" s="28"/>
      <c r="J1399" s="28"/>
      <c r="K1399" s="28"/>
      <c r="L1399" s="4"/>
      <c r="M1399" s="28"/>
      <c r="N1399" s="28"/>
      <c r="O1399" s="28"/>
      <c r="P1399" s="4"/>
      <c r="Q1399" s="28"/>
      <c r="R1399" s="28"/>
      <c r="S1399" s="28"/>
      <c r="T1399" s="4"/>
      <c r="U1399" s="4"/>
      <c r="V1399" s="4"/>
      <c r="W1399" s="4"/>
      <c r="X1399" s="4"/>
      <c r="Y1399" s="4"/>
      <c r="Z1399" s="4"/>
    </row>
  </sheetData>
  <conditionalFormatting sqref="F269:F398">
    <cfRule type="colorScale" priority="1">
      <colorScale>
        <cfvo type="min"/>
        <cfvo type="percentile" val="50"/>
        <cfvo type="max"/>
        <color rgb="FFC00000"/>
        <color rgb="FFFFEB84"/>
        <color rgb="FF92D050"/>
      </colorScale>
    </cfRule>
  </conditionalFormatting>
  <conditionalFormatting sqref="A1:Z1000">
    <cfRule type="cellIs" dxfId="0" priority="2" operator="equal">
      <formula>"Wyoming"</formula>
    </cfRule>
  </conditionalFormatting>
  <conditionalFormatting sqref="A1:Z1000">
    <cfRule type="cellIs" dxfId="1" priority="3" operator="equal">
      <formula>"Wisconsin"</formula>
    </cfRule>
  </conditionalFormatting>
  <conditionalFormatting sqref="A1:Z1000">
    <cfRule type="cellIs" dxfId="2" priority="4" operator="equal">
      <formula>"Western Michigan"</formula>
    </cfRule>
  </conditionalFormatting>
  <conditionalFormatting sqref="A1:Z1000">
    <cfRule type="cellIs" dxfId="3" priority="5" operator="equal">
      <formula>"Western Kentucky"</formula>
    </cfRule>
  </conditionalFormatting>
  <conditionalFormatting sqref="A1:Z1000">
    <cfRule type="cellIs" dxfId="4" priority="6" operator="equal">
      <formula>"West Virginia"</formula>
    </cfRule>
  </conditionalFormatting>
  <conditionalFormatting sqref="A1:Z1000">
    <cfRule type="cellIs" dxfId="5" priority="7" operator="equal">
      <formula>"Washington State"</formula>
    </cfRule>
  </conditionalFormatting>
  <conditionalFormatting sqref="A1:Z1000">
    <cfRule type="cellIs" dxfId="6" priority="8" operator="equal">
      <formula>"Washington"</formula>
    </cfRule>
  </conditionalFormatting>
  <conditionalFormatting sqref="A1:Z1000">
    <cfRule type="cellIs" dxfId="7" priority="9" operator="equal">
      <formula>"Wake Forest"</formula>
    </cfRule>
  </conditionalFormatting>
  <conditionalFormatting sqref="A1:Z1000">
    <cfRule type="cellIs" dxfId="8" priority="10" operator="equal">
      <formula>"Virginia Tech"</formula>
    </cfRule>
  </conditionalFormatting>
  <conditionalFormatting sqref="A1:Z1000">
    <cfRule type="cellIs" dxfId="9" priority="11" operator="equal">
      <formula>"Virginia"</formula>
    </cfRule>
  </conditionalFormatting>
  <conditionalFormatting sqref="A1:Z1000">
    <cfRule type="cellIs" dxfId="10" priority="12" operator="equal">
      <formula>"Vanderbilt"</formula>
    </cfRule>
  </conditionalFormatting>
  <conditionalFormatting sqref="A1:Z1000">
    <cfRule type="cellIs" dxfId="11" priority="13" operator="equal">
      <formula>"UTEP"</formula>
    </cfRule>
  </conditionalFormatting>
  <conditionalFormatting sqref="A1:Z1000">
    <cfRule type="cellIs" dxfId="12" priority="14" operator="equal">
      <formula>"Utah State"</formula>
    </cfRule>
  </conditionalFormatting>
  <conditionalFormatting sqref="A1:Z1000">
    <cfRule type="cellIs" dxfId="13" priority="15" operator="equal">
      <formula>"Utah"</formula>
    </cfRule>
  </conditionalFormatting>
  <conditionalFormatting sqref="A1:Z1000">
    <cfRule type="cellIs" dxfId="14" priority="16" operator="equal">
      <formula>"UNLV"</formula>
    </cfRule>
  </conditionalFormatting>
  <conditionalFormatting sqref="A1:Z1000">
    <cfRule type="cellIs" dxfId="15" priority="17" operator="equal">
      <formula>"UL-Monroe"</formula>
    </cfRule>
  </conditionalFormatting>
  <conditionalFormatting sqref="A1:Z1000">
    <cfRule type="cellIs" dxfId="16" priority="18" operator="equal">
      <formula>"UL-Lafayette"</formula>
    </cfRule>
  </conditionalFormatting>
  <conditionalFormatting sqref="A1:Z1000">
    <cfRule type="cellIs" dxfId="17" priority="19" operator="equal">
      <formula>"UCLA"</formula>
    </cfRule>
  </conditionalFormatting>
  <conditionalFormatting sqref="A1:Z1000">
    <cfRule type="cellIs" dxfId="18" priority="20" operator="equal">
      <formula>"UAB"</formula>
    </cfRule>
  </conditionalFormatting>
  <conditionalFormatting sqref="A1:Z1000">
    <cfRule type="cellIs" dxfId="19" priority="21" operator="equal">
      <formula>"Tulsa"</formula>
    </cfRule>
  </conditionalFormatting>
  <conditionalFormatting sqref="A1:Z1000">
    <cfRule type="cellIs" dxfId="20" priority="22" operator="equal">
      <formula>"Tulane"</formula>
    </cfRule>
  </conditionalFormatting>
  <conditionalFormatting sqref="A1:Z1000">
    <cfRule type="cellIs" dxfId="21" priority="23" operator="equal">
      <formula>"Troy"</formula>
    </cfRule>
  </conditionalFormatting>
  <conditionalFormatting sqref="A1:Z1000">
    <cfRule type="cellIs" dxfId="22" priority="24" operator="equal">
      <formula>"Toledo"</formula>
    </cfRule>
  </conditionalFormatting>
  <conditionalFormatting sqref="A1:Z1000">
    <cfRule type="cellIs" dxfId="23" priority="25" operator="equal">
      <formula>"Texas-San Antonio"</formula>
    </cfRule>
  </conditionalFormatting>
  <conditionalFormatting sqref="A1:Z1000">
    <cfRule type="cellIs" dxfId="24" priority="26" operator="equal">
      <formula>"Texas Tech"</formula>
    </cfRule>
  </conditionalFormatting>
  <conditionalFormatting sqref="A1:Z1000">
    <cfRule type="cellIs" dxfId="25" priority="27" operator="equal">
      <formula>"Texas State"</formula>
    </cfRule>
  </conditionalFormatting>
  <conditionalFormatting sqref="A1:Z1000">
    <cfRule type="cellIs" dxfId="26" priority="28" operator="equal">
      <formula>"Texas A&amp;M"</formula>
    </cfRule>
  </conditionalFormatting>
  <conditionalFormatting sqref="A1:Z1000">
    <cfRule type="cellIs" dxfId="27" priority="29" operator="equal">
      <formula>"Texas"</formula>
    </cfRule>
  </conditionalFormatting>
  <conditionalFormatting sqref="A1:Z1000">
    <cfRule type="cellIs" dxfId="28" priority="30" operator="equal">
      <formula>"Tennessee"</formula>
    </cfRule>
  </conditionalFormatting>
  <conditionalFormatting sqref="A1:Z1000">
    <cfRule type="cellIs" dxfId="29" priority="31" operator="equal">
      <formula>"Temple"</formula>
    </cfRule>
  </conditionalFormatting>
  <conditionalFormatting sqref="A1:Z1000">
    <cfRule type="cellIs" dxfId="30" priority="32" operator="equal">
      <formula>"TCU"</formula>
    </cfRule>
  </conditionalFormatting>
  <conditionalFormatting sqref="A1:Z1000">
    <cfRule type="cellIs" dxfId="31" priority="33" operator="equal">
      <formula>"Syracuse"</formula>
    </cfRule>
  </conditionalFormatting>
  <conditionalFormatting sqref="A1:Z1000">
    <cfRule type="cellIs" dxfId="32" priority="34" operator="equal">
      <formula>"Stanford"</formula>
    </cfRule>
  </conditionalFormatting>
  <conditionalFormatting sqref="A1:Z1000">
    <cfRule type="cellIs" dxfId="33" priority="35" operator="equal">
      <formula>"Southern Mississippi"</formula>
    </cfRule>
  </conditionalFormatting>
  <conditionalFormatting sqref="A1:Z1000">
    <cfRule type="cellIs" dxfId="34" priority="36" operator="equal">
      <formula>"Southern Methodist"</formula>
    </cfRule>
  </conditionalFormatting>
  <conditionalFormatting sqref="A1:Z1000">
    <cfRule type="cellIs" dxfId="35" priority="37" operator="equal">
      <formula>"Southern Cal"</formula>
    </cfRule>
  </conditionalFormatting>
  <conditionalFormatting sqref="A1:Z1000">
    <cfRule type="cellIs" dxfId="36" priority="38" operator="equal">
      <formula>"South Florida"</formula>
    </cfRule>
  </conditionalFormatting>
  <conditionalFormatting sqref="A1:Z1000">
    <cfRule type="cellIs" dxfId="37" priority="39" operator="equal">
      <formula>"South Carolina"</formula>
    </cfRule>
  </conditionalFormatting>
  <conditionalFormatting sqref="A1:Z1000">
    <cfRule type="cellIs" dxfId="38" priority="40" operator="equal">
      <formula>"South Alabama"</formula>
    </cfRule>
  </conditionalFormatting>
  <conditionalFormatting sqref="A1:Z1000">
    <cfRule type="cellIs" dxfId="39" priority="41" operator="equal">
      <formula>"San Jose State"</formula>
    </cfRule>
  </conditionalFormatting>
  <conditionalFormatting sqref="A1:Z1000">
    <cfRule type="cellIs" dxfId="40" priority="42" operator="equal">
      <formula>"San Diego State"</formula>
    </cfRule>
  </conditionalFormatting>
  <conditionalFormatting sqref="A1:Z1000">
    <cfRule type="cellIs" dxfId="41" priority="43" operator="equal">
      <formula>"Rutgers"</formula>
    </cfRule>
  </conditionalFormatting>
  <conditionalFormatting sqref="A1:Z1000">
    <cfRule type="cellIs" dxfId="42" priority="44" operator="equal">
      <formula>"Rice"</formula>
    </cfRule>
  </conditionalFormatting>
  <conditionalFormatting sqref="A1:Z1000">
    <cfRule type="cellIs" dxfId="43" priority="45" operator="equal">
      <formula>"Purdue"</formula>
    </cfRule>
  </conditionalFormatting>
  <conditionalFormatting sqref="A1:Z1000">
    <cfRule type="cellIs" dxfId="44" priority="46" operator="equal">
      <formula>"Pittsburgh"</formula>
    </cfRule>
  </conditionalFormatting>
  <conditionalFormatting sqref="A1:Z1000">
    <cfRule type="cellIs" dxfId="45" priority="47" operator="equal">
      <formula>"Penn State"</formula>
    </cfRule>
  </conditionalFormatting>
  <conditionalFormatting sqref="A1:Z1000">
    <cfRule type="cellIs" dxfId="46" priority="48" operator="equal">
      <formula>"Oregon State"</formula>
    </cfRule>
  </conditionalFormatting>
  <conditionalFormatting sqref="A1:Z1000">
    <cfRule type="cellIs" dxfId="47" priority="49" operator="equal">
      <formula>"Oregon"</formula>
    </cfRule>
  </conditionalFormatting>
  <conditionalFormatting sqref="A1:Z1000">
    <cfRule type="cellIs" dxfId="48" priority="50" operator="equal">
      <formula>"Old Dominion"</formula>
    </cfRule>
  </conditionalFormatting>
  <conditionalFormatting sqref="A1:Z1000">
    <cfRule type="cellIs" dxfId="49" priority="51" operator="equal">
      <formula>"Oklahoma State"</formula>
    </cfRule>
  </conditionalFormatting>
  <conditionalFormatting sqref="A1:Z1000">
    <cfRule type="cellIs" dxfId="50" priority="52" operator="equal">
      <formula>"Oklahoma"</formula>
    </cfRule>
  </conditionalFormatting>
  <conditionalFormatting sqref="A1:Z1000">
    <cfRule type="cellIs" dxfId="51" priority="53" operator="equal">
      <formula>"Ohio State"</formula>
    </cfRule>
  </conditionalFormatting>
  <conditionalFormatting sqref="A1:Z1000">
    <cfRule type="cellIs" dxfId="52" priority="54" operator="equal">
      <formula>"Ohio"</formula>
    </cfRule>
  </conditionalFormatting>
  <conditionalFormatting sqref="A1:Z1000">
    <cfRule type="cellIs" dxfId="53" priority="55" operator="equal">
      <formula>"Notre Dame"</formula>
    </cfRule>
  </conditionalFormatting>
  <conditionalFormatting sqref="A1:Z1000">
    <cfRule type="cellIs" dxfId="54" priority="56" operator="equal">
      <formula>"Northwestern"</formula>
    </cfRule>
  </conditionalFormatting>
  <conditionalFormatting sqref="A1:Z1000">
    <cfRule type="cellIs" dxfId="55" priority="57" operator="equal">
      <formula>"Northern Illinois"</formula>
    </cfRule>
  </conditionalFormatting>
  <conditionalFormatting sqref="A1:Z1000">
    <cfRule type="cellIs" dxfId="56" priority="58" operator="equal">
      <formula>"North Texas"</formula>
    </cfRule>
  </conditionalFormatting>
  <conditionalFormatting sqref="A1:Z1000">
    <cfRule type="cellIs" dxfId="57" priority="59" operator="equal">
      <formula>"North Carolina"</formula>
    </cfRule>
  </conditionalFormatting>
  <conditionalFormatting sqref="A1:Z1000">
    <cfRule type="cellIs" dxfId="58" priority="60" operator="equal">
      <formula>"New Mexico State"</formula>
    </cfRule>
  </conditionalFormatting>
  <conditionalFormatting sqref="A1:Z1000">
    <cfRule type="cellIs" dxfId="59" priority="61" operator="equal">
      <formula>"New Mexico"</formula>
    </cfRule>
  </conditionalFormatting>
  <conditionalFormatting sqref="A1:Z1000">
    <cfRule type="cellIs" dxfId="60" priority="62" operator="equal">
      <formula>"Nevada"</formula>
    </cfRule>
  </conditionalFormatting>
  <conditionalFormatting sqref="A1:Z1000">
    <cfRule type="cellIs" dxfId="61" priority="63" operator="equal">
      <formula>"Nebraska"</formula>
    </cfRule>
  </conditionalFormatting>
  <conditionalFormatting sqref="A1:Z1000">
    <cfRule type="cellIs" dxfId="62" priority="64" operator="equal">
      <formula>"North Carolina State"</formula>
    </cfRule>
  </conditionalFormatting>
  <conditionalFormatting sqref="A1:Z1000">
    <cfRule type="cellIs" dxfId="63" priority="65" operator="equal">
      <formula>"Navy"</formula>
    </cfRule>
  </conditionalFormatting>
  <conditionalFormatting sqref="A1:Z1000">
    <cfRule type="cellIs" dxfId="64" priority="66" operator="equal">
      <formula>"Missouri"</formula>
    </cfRule>
  </conditionalFormatting>
  <conditionalFormatting sqref="A1:Z1000">
    <cfRule type="cellIs" dxfId="65" priority="67" operator="equal">
      <formula>"Mississippi State"</formula>
    </cfRule>
  </conditionalFormatting>
  <conditionalFormatting sqref="A1:Z1000">
    <cfRule type="cellIs" dxfId="66" priority="68" operator="equal">
      <formula>"Mississippi"</formula>
    </cfRule>
  </conditionalFormatting>
  <conditionalFormatting sqref="A1:Z1000">
    <cfRule type="cellIs" dxfId="67" priority="69" operator="equal">
      <formula>"Minnesota"</formula>
    </cfRule>
  </conditionalFormatting>
  <conditionalFormatting sqref="A1:Z1000">
    <cfRule type="cellIs" dxfId="68" priority="70" operator="equal">
      <formula>"Middle Tennessee"</formula>
    </cfRule>
  </conditionalFormatting>
  <conditionalFormatting sqref="A1:Z1000">
    <cfRule type="cellIs" dxfId="69" priority="71" operator="equal">
      <formula>"Michigan State"</formula>
    </cfRule>
  </conditionalFormatting>
  <conditionalFormatting sqref="A1:Z1000">
    <cfRule type="cellIs" dxfId="70" priority="72" operator="equal">
      <formula>"Michigan"</formula>
    </cfRule>
  </conditionalFormatting>
  <conditionalFormatting sqref="A1:Z1000">
    <cfRule type="cellIs" dxfId="71" priority="73" operator="equal">
      <formula>"Miami (OH)"</formula>
    </cfRule>
  </conditionalFormatting>
  <conditionalFormatting sqref="A1:Z1000">
    <cfRule type="cellIs" dxfId="72" priority="74" operator="equal">
      <formula>"Miami"</formula>
    </cfRule>
  </conditionalFormatting>
  <conditionalFormatting sqref="A1:Z1000">
    <cfRule type="cellIs" dxfId="73" priority="75" operator="equal">
      <formula>"Memphis"</formula>
    </cfRule>
  </conditionalFormatting>
  <conditionalFormatting sqref="A1:Z1000">
    <cfRule type="cellIs" dxfId="74" priority="76" operator="equal">
      <formula>"Massachusetts"</formula>
    </cfRule>
  </conditionalFormatting>
  <conditionalFormatting sqref="A1:Z1000">
    <cfRule type="cellIs" dxfId="75" priority="77" operator="equal">
      <formula>"Maryland"</formula>
    </cfRule>
  </conditionalFormatting>
  <conditionalFormatting sqref="A1:Z1000">
    <cfRule type="cellIs" dxfId="76" priority="78" operator="equal">
      <formula>"Marshall"</formula>
    </cfRule>
  </conditionalFormatting>
  <conditionalFormatting sqref="A1:Z1000">
    <cfRule type="cellIs" dxfId="77" priority="79" operator="equal">
      <formula>"LSU"</formula>
    </cfRule>
  </conditionalFormatting>
  <conditionalFormatting sqref="A1:Z1000">
    <cfRule type="cellIs" dxfId="78" priority="80" operator="equal">
      <formula>"Louisville"</formula>
    </cfRule>
  </conditionalFormatting>
  <conditionalFormatting sqref="A1:Z1000">
    <cfRule type="cellIs" dxfId="79" priority="81" operator="equal">
      <formula>"Louisiana Tech"</formula>
    </cfRule>
  </conditionalFormatting>
  <conditionalFormatting sqref="A1:Z1000">
    <cfRule type="cellIs" dxfId="80" priority="82" operator="equal">
      <formula>"Liberty"</formula>
    </cfRule>
  </conditionalFormatting>
  <conditionalFormatting sqref="A1:Z1000">
    <cfRule type="cellIs" dxfId="81" priority="83" operator="equal">
      <formula>"Kentucky"</formula>
    </cfRule>
  </conditionalFormatting>
  <conditionalFormatting sqref="A1:Z1000">
    <cfRule type="cellIs" dxfId="82" priority="84" operator="equal">
      <formula>"Kent State"</formula>
    </cfRule>
  </conditionalFormatting>
  <conditionalFormatting sqref="A1:Z1000">
    <cfRule type="cellIs" dxfId="83" priority="85" operator="equal">
      <formula>"Kansas State"</formula>
    </cfRule>
  </conditionalFormatting>
  <conditionalFormatting sqref="A1:Z1000">
    <cfRule type="cellIs" dxfId="84" priority="86" operator="equal">
      <formula>"Kansas"</formula>
    </cfRule>
  </conditionalFormatting>
  <conditionalFormatting sqref="A1:Z1000">
    <cfRule type="cellIs" dxfId="85" priority="87" operator="equal">
      <formula>"Iowa State"</formula>
    </cfRule>
  </conditionalFormatting>
  <conditionalFormatting sqref="A1:Z1000">
    <cfRule type="cellIs" dxfId="86" priority="88" operator="equal">
      <formula>"Iowa"</formula>
    </cfRule>
  </conditionalFormatting>
  <conditionalFormatting sqref="A1:Z1000">
    <cfRule type="cellIs" dxfId="87" priority="89" operator="equal">
      <formula>"Indiana"</formula>
    </cfRule>
  </conditionalFormatting>
  <conditionalFormatting sqref="A1:Z1000">
    <cfRule type="cellIs" dxfId="88" priority="90" operator="equal">
      <formula>"Illinois"</formula>
    </cfRule>
  </conditionalFormatting>
  <conditionalFormatting sqref="A1:Z1000">
    <cfRule type="cellIs" dxfId="89" priority="91" operator="equal">
      <formula>"Idaho"</formula>
    </cfRule>
  </conditionalFormatting>
  <conditionalFormatting sqref="A1:Z1000">
    <cfRule type="cellIs" dxfId="90" priority="92" operator="equal">
      <formula>"Houston"</formula>
    </cfRule>
  </conditionalFormatting>
  <conditionalFormatting sqref="A1:Z1000">
    <cfRule type="cellIs" dxfId="91" priority="93" operator="equal">
      <formula>"Hawaii"</formula>
    </cfRule>
  </conditionalFormatting>
  <conditionalFormatting sqref="A1:Z1000">
    <cfRule type="cellIs" dxfId="92" priority="94" operator="equal">
      <formula>"Georgia Tech"</formula>
    </cfRule>
  </conditionalFormatting>
  <conditionalFormatting sqref="A1:Z1000">
    <cfRule type="cellIs" dxfId="93" priority="95" operator="equal">
      <formula>"Georgia State"</formula>
    </cfRule>
  </conditionalFormatting>
  <conditionalFormatting sqref="A1:Z1000">
    <cfRule type="cellIs" dxfId="94" priority="96" operator="equal">
      <formula>"Georgia Southern"</formula>
    </cfRule>
  </conditionalFormatting>
  <conditionalFormatting sqref="A1:Z1000">
    <cfRule type="cellIs" dxfId="95" priority="97" operator="equal">
      <formula>"Georgia"</formula>
    </cfRule>
  </conditionalFormatting>
  <conditionalFormatting sqref="A1:Z1000">
    <cfRule type="cellIs" dxfId="96" priority="98" operator="equal">
      <formula>"Fresno State"</formula>
    </cfRule>
  </conditionalFormatting>
  <conditionalFormatting sqref="A1:Z1000">
    <cfRule type="cellIs" dxfId="97" priority="99" operator="equal">
      <formula>"Florida State"</formula>
    </cfRule>
  </conditionalFormatting>
  <conditionalFormatting sqref="A1:Z1000">
    <cfRule type="cellIs" dxfId="98" priority="100" operator="equal">
      <formula>"Florida International"</formula>
    </cfRule>
  </conditionalFormatting>
  <conditionalFormatting sqref="A1:Z1000">
    <cfRule type="cellIs" dxfId="99" priority="101" operator="equal">
      <formula>"Florida Atlantic"</formula>
    </cfRule>
  </conditionalFormatting>
  <conditionalFormatting sqref="A1:Z1000">
    <cfRule type="cellIs" dxfId="100" priority="102" operator="equal">
      <formula>"Florida"</formula>
    </cfRule>
  </conditionalFormatting>
  <conditionalFormatting sqref="A1:Z1000">
    <cfRule type="cellIs" dxfId="101" priority="103" operator="equal">
      <formula>"Eastern Michigan"</formula>
    </cfRule>
  </conditionalFormatting>
  <conditionalFormatting sqref="A1:Z1000">
    <cfRule type="cellIs" dxfId="102" priority="104" operator="equal">
      <formula>"East Carolina"</formula>
    </cfRule>
  </conditionalFormatting>
  <conditionalFormatting sqref="A1:Z1000">
    <cfRule type="cellIs" dxfId="103" priority="105" operator="equal">
      <formula>"Duke"</formula>
    </cfRule>
  </conditionalFormatting>
  <conditionalFormatting sqref="A1:Z1000">
    <cfRule type="cellIs" dxfId="104" priority="106" operator="equal">
      <formula>"Connecticut"</formula>
    </cfRule>
  </conditionalFormatting>
  <conditionalFormatting sqref="A1:Z1000">
    <cfRule type="cellIs" dxfId="105" priority="107" operator="equal">
      <formula>"Colorado State"</formula>
    </cfRule>
  </conditionalFormatting>
  <conditionalFormatting sqref="A1:Z1000">
    <cfRule type="cellIs" dxfId="106" priority="108" operator="equal">
      <formula>"Colorado"</formula>
    </cfRule>
  </conditionalFormatting>
  <conditionalFormatting sqref="A1:Z1000">
    <cfRule type="cellIs" dxfId="107" priority="109" operator="equal">
      <formula>"Coastal Carolina"</formula>
    </cfRule>
  </conditionalFormatting>
  <conditionalFormatting sqref="A1:Z1000">
    <cfRule type="cellIs" dxfId="108" priority="110" operator="equal">
      <formula>"Clemson"</formula>
    </cfRule>
  </conditionalFormatting>
  <conditionalFormatting sqref="A1:Z1000">
    <cfRule type="cellIs" dxfId="109" priority="111" operator="equal">
      <formula>"Cincinnati"</formula>
    </cfRule>
  </conditionalFormatting>
  <conditionalFormatting sqref="A1:Z1000">
    <cfRule type="cellIs" dxfId="110" priority="112" operator="equal">
      <formula>"Charlotte"</formula>
    </cfRule>
  </conditionalFormatting>
  <conditionalFormatting sqref="A1:Z1000">
    <cfRule type="cellIs" dxfId="111" priority="113" operator="equal">
      <formula>"Central Michigan"</formula>
    </cfRule>
  </conditionalFormatting>
  <conditionalFormatting sqref="A1:Z1000">
    <cfRule type="cellIs" dxfId="112" priority="114" operator="equal">
      <formula>"Central Florida"</formula>
    </cfRule>
  </conditionalFormatting>
  <conditionalFormatting sqref="A1:Z1000">
    <cfRule type="cellIs" dxfId="113" priority="115" operator="equal">
      <formula>"California"</formula>
    </cfRule>
  </conditionalFormatting>
  <conditionalFormatting sqref="A1:Z1000">
    <cfRule type="cellIs" dxfId="114" priority="116" operator="equal">
      <formula>"BYU"</formula>
    </cfRule>
  </conditionalFormatting>
  <conditionalFormatting sqref="A1:Z1000">
    <cfRule type="cellIs" dxfId="115" priority="117" operator="equal">
      <formula>"Buffalo"</formula>
    </cfRule>
  </conditionalFormatting>
  <conditionalFormatting sqref="A1:Z1000">
    <cfRule type="cellIs" dxfId="116" priority="118" operator="equal">
      <formula>"Bowling Green"</formula>
    </cfRule>
  </conditionalFormatting>
  <conditionalFormatting sqref="A1:Z1000">
    <cfRule type="cellIs" dxfId="117" priority="119" operator="equal">
      <formula>"Boston College"</formula>
    </cfRule>
  </conditionalFormatting>
  <conditionalFormatting sqref="A1:Z1000">
    <cfRule type="cellIs" dxfId="118" priority="120" operator="equal">
      <formula>"Boise State"</formula>
    </cfRule>
  </conditionalFormatting>
  <conditionalFormatting sqref="A1:Z1000">
    <cfRule type="cellIs" dxfId="119" priority="121" operator="equal">
      <formula>"Baylor"</formula>
    </cfRule>
  </conditionalFormatting>
  <conditionalFormatting sqref="A1:Z1000">
    <cfRule type="cellIs" dxfId="120" priority="122" operator="equal">
      <formula>"Ball State"</formula>
    </cfRule>
  </conditionalFormatting>
  <conditionalFormatting sqref="A1:Z1000">
    <cfRule type="cellIs" dxfId="121" priority="123" operator="equal">
      <formula>"Auburn"</formula>
    </cfRule>
  </conditionalFormatting>
  <conditionalFormatting sqref="A1:Z1000">
    <cfRule type="cellIs" dxfId="122" priority="124" operator="equal">
      <formula>"Army"</formula>
    </cfRule>
  </conditionalFormatting>
  <conditionalFormatting sqref="A1:Z1000">
    <cfRule type="cellIs" dxfId="123" priority="125" operator="equal">
      <formula>"Arkansas State"</formula>
    </cfRule>
  </conditionalFormatting>
  <conditionalFormatting sqref="A1:Z1000">
    <cfRule type="cellIs" dxfId="124" priority="126" operator="equal">
      <formula>"Arkansas"</formula>
    </cfRule>
  </conditionalFormatting>
  <conditionalFormatting sqref="A1:Z1000">
    <cfRule type="cellIs" dxfId="125" priority="127" operator="equal">
      <formula>"Arizona State"</formula>
    </cfRule>
  </conditionalFormatting>
  <conditionalFormatting sqref="A1:Z1000">
    <cfRule type="cellIs" dxfId="126" priority="128" operator="equal">
      <formula>"Arizona"</formula>
    </cfRule>
  </conditionalFormatting>
  <conditionalFormatting sqref="A1:Z1000">
    <cfRule type="cellIs" dxfId="127" priority="129" operator="equal">
      <formula>"Appalachian State"</formula>
    </cfRule>
  </conditionalFormatting>
  <conditionalFormatting sqref="A1:Z1000">
    <cfRule type="cellIs" dxfId="128" priority="130" operator="equal">
      <formula>"Alabama"</formula>
    </cfRule>
  </conditionalFormatting>
  <conditionalFormatting sqref="A1:Z1000">
    <cfRule type="cellIs" dxfId="129" priority="131" operator="equal">
      <formula>"Akron"</formula>
    </cfRule>
  </conditionalFormatting>
  <conditionalFormatting sqref="A1:Z1000">
    <cfRule type="cellIs" dxfId="130" priority="132" operator="equal">
      <formula>"Air Force"</formula>
    </cfRule>
  </conditionalFormatting>
  <conditionalFormatting sqref="B3:B132 F3:F132 J3:J132 N3:N132 R3:R132 B136:B265 F136:F265 J136:J265 N136:N265 R136:R265 B269:B398 F269:F398 J269:J398 N269:N398 R269:R398 B402:B532 F402:F532">
    <cfRule type="colorScale" priority="133">
      <colorScale>
        <cfvo type="min"/>
        <cfvo type="percentile" val="50"/>
        <cfvo type="max"/>
        <color rgb="FFC00000"/>
        <color rgb="FFFFEB84"/>
        <color rgb="FF92D050"/>
      </colorScale>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3" width="20.86"/>
    <col customWidth="1" hidden="1" min="4" max="11" width="14.43"/>
    <col customWidth="1" hidden="1" min="12" max="14" width="11.57"/>
    <col customWidth="1" min="15" max="16" width="7.29"/>
    <col customWidth="1" min="17" max="17" width="10.14"/>
    <col customWidth="1" min="18" max="18" width="3.0"/>
    <col customWidth="1" min="19" max="19" width="10.14"/>
    <col customWidth="1" min="20" max="20" width="3.0"/>
    <col customWidth="1" min="21" max="21" width="9.14"/>
    <col customWidth="1" min="22" max="22" width="10.14"/>
    <col customWidth="1" hidden="1" min="23" max="23" width="20.86"/>
    <col customWidth="1" min="24" max="24" width="20.86"/>
    <col customWidth="1" min="25" max="25" width="8.71"/>
    <col customWidth="1" min="26" max="26" width="20.86"/>
    <col customWidth="1" min="27" max="27" width="8.71"/>
    <col customWidth="1" min="28" max="28" width="20.86"/>
    <col customWidth="1" min="29" max="33" width="8.71"/>
    <col customWidth="1" min="34" max="34" width="10.14"/>
    <col customWidth="1" min="35" max="35" width="9.14"/>
    <col customWidth="1" hidden="1" min="36" max="36" width="20.71"/>
    <col customWidth="1" min="37" max="50" width="8.71"/>
  </cols>
  <sheetData>
    <row r="1" ht="12.75" customHeight="1">
      <c r="A1" s="6" t="s">
        <v>0</v>
      </c>
      <c r="B1" s="9" t="s">
        <v>13</v>
      </c>
      <c r="C1" s="6" t="s">
        <v>16</v>
      </c>
      <c r="D1" s="6" t="s">
        <v>19</v>
      </c>
      <c r="E1" s="8" t="s">
        <v>21</v>
      </c>
      <c r="F1" s="8" t="s">
        <v>24</v>
      </c>
      <c r="G1" s="8" t="s">
        <v>29</v>
      </c>
      <c r="H1" s="6" t="s">
        <v>31</v>
      </c>
      <c r="I1" s="8" t="s">
        <v>34</v>
      </c>
      <c r="J1" s="8" t="s">
        <v>36</v>
      </c>
      <c r="K1" s="8" t="s">
        <v>39</v>
      </c>
      <c r="L1" s="14" t="s">
        <v>42</v>
      </c>
      <c r="M1" s="14" t="s">
        <v>50</v>
      </c>
      <c r="N1" s="15" t="s">
        <v>52</v>
      </c>
      <c r="O1" s="16" t="s">
        <v>54</v>
      </c>
      <c r="P1" s="16" t="s">
        <v>56</v>
      </c>
      <c r="Q1" s="17" t="s">
        <v>59</v>
      </c>
      <c r="S1" s="14" t="s">
        <v>61</v>
      </c>
      <c r="U1" s="8" t="s">
        <v>63</v>
      </c>
      <c r="V1" s="6" t="s">
        <v>66</v>
      </c>
      <c r="W1" s="8" t="s">
        <v>67</v>
      </c>
      <c r="X1" s="8" t="s">
        <v>68</v>
      </c>
      <c r="Y1" s="8" t="s">
        <v>11</v>
      </c>
      <c r="Z1" s="8" t="s">
        <v>70</v>
      </c>
      <c r="AA1" s="8" t="s">
        <v>71</v>
      </c>
      <c r="AB1" s="8" t="s">
        <v>72</v>
      </c>
      <c r="AC1" s="8" t="s">
        <v>71</v>
      </c>
      <c r="AD1" s="8" t="s">
        <v>75</v>
      </c>
      <c r="AE1" s="8" t="s">
        <v>76</v>
      </c>
      <c r="AF1" s="8" t="s">
        <v>77</v>
      </c>
      <c r="AG1" s="8" t="s">
        <v>78</v>
      </c>
      <c r="AH1" s="8" t="s">
        <v>80</v>
      </c>
      <c r="AI1" s="6"/>
      <c r="AJ1" s="4" t="s">
        <v>83</v>
      </c>
      <c r="AK1" s="6"/>
      <c r="AL1" s="6"/>
      <c r="AM1" s="6"/>
      <c r="AN1" s="6"/>
      <c r="AO1" s="6"/>
      <c r="AP1" s="6"/>
      <c r="AQ1" s="6"/>
      <c r="AR1" s="6"/>
      <c r="AS1" s="6"/>
      <c r="AT1" s="6"/>
      <c r="AU1" s="6"/>
      <c r="AV1" s="6"/>
      <c r="AW1" s="6"/>
      <c r="AX1" s="6"/>
    </row>
    <row r="2" ht="12.75" hidden="1" customHeight="1">
      <c r="A2" s="3">
        <v>2.0</v>
      </c>
      <c r="B2" s="3" t="s">
        <v>18</v>
      </c>
      <c r="C2" s="3" t="s">
        <v>93</v>
      </c>
      <c r="D2" s="4">
        <f>IFERROR(VLOOKUP(B2,Week1,2,FALSE),0)</f>
        <v>45.8</v>
      </c>
      <c r="E2" s="4">
        <f>IF(ISBLANK(B2),,IFERROR(VLOOKUP(B2,CurrentRank!$B$2:$C$132,2,FALSE),0))</f>
        <v>84.24</v>
      </c>
      <c r="F2" s="4">
        <f>IFERROR(VLOOKUP(B2,Week1,3,FALSE),130)</f>
        <v>1</v>
      </c>
      <c r="G2" s="4">
        <f>IF(ISBLANK(B2),,IFERROR(VLOOKUP(B2,CurrentRank!$B$2:$D$132,3,FALSE),130))</f>
        <v>4</v>
      </c>
      <c r="H2" s="4">
        <f>IFERROR(VLOOKUP(C2,Week1,2,FALSE),0)</f>
        <v>6.67</v>
      </c>
      <c r="I2" s="4">
        <f>IF(ISBLANK(B2),,IFERROR(VLOOKUP(C2,CurrentRank!$B$2:$C$132,2,FALSE),0))</f>
        <v>36.48</v>
      </c>
      <c r="J2" s="4">
        <f>IFERROR(VLOOKUP(C2,Week1,3,FALSE),130)</f>
        <v>35</v>
      </c>
      <c r="K2" s="4">
        <f>IF(ISBLANK(C2),,IFERROR(VLOOKUP(C2,CurrentRank!$B$2:$D$132,3,FALSE),130))</f>
        <v>52</v>
      </c>
      <c r="L2" s="19">
        <f t="shared" ref="L2:L17" si="1">IF(U2= "Yes", 0, IF(ISBLANK(C2),,(D2+H2)*0.015))</f>
        <v>0.78705</v>
      </c>
      <c r="M2" s="19">
        <f t="shared" ref="M2:M17" si="2">IF(U2= "Yes", 0, IF(ISBLANK(D2),,(E2+I2)*0.015))</f>
        <v>1.8108</v>
      </c>
      <c r="N2" s="24">
        <f t="shared" ref="N2:N17" si="3">IF(ISBLANK(C2),,(F2+J2)/2)</f>
        <v>18</v>
      </c>
      <c r="O2" s="21">
        <f t="shared" ref="O2:O1004" si="4">IF(H2=0,,(D2-(H2+L2))/2)</f>
        <v>19.171475</v>
      </c>
      <c r="P2" s="21">
        <f t="shared" ref="P2:P17" si="5">IF(ISBLANK(C2),,(E2-(I2+L2))/2)</f>
        <v>23.486475</v>
      </c>
      <c r="Q2" s="22">
        <f t="shared" ref="Q2:Q1005" si="6">IF(ISBLANK(O2),,1-((ABS(O2/2)+N2/2)/100))</f>
        <v>0.814142625</v>
      </c>
      <c r="R2" s="25" t="str">
        <f t="shared" ref="R2:R1005" si="7">IF(ISBLANK(Q2),,IF(Q2&gt;=0.975,"A+",IF(Q2&gt;=0.925,"A",IF(Q2&gt;=0.895,"A-",IF(Q2&gt;=0.865,"B+",IF(Q2&gt;=0.825,"B",IF(Q2&gt;=0.795,"B-",IF(Q2&gt;=0.765,"C+",IF(Q2&gt;=0.725,"C",IF(Q2&gt;=0.695,"C-",IF(Q2&gt;=0.665,"D+",IF(Q2&gt;=0.625,"D",IF(Q2&gt;=0.595,"D-",IF(Q2&lt;0.6,"F"))))))))))))))</f>
        <v>B-</v>
      </c>
      <c r="S2" s="19">
        <f t="shared" ref="S2:S1004" si="8">IF(IF(H2=0,,IF(ISBLANK(AC2),,1-(((AE2/2+N2/2)-(AD2*2))/100)))&gt;1, 1, IF(H2=0,,IF(ISBLANK(AC2),,1-(((AE2/2+N2/2)-(AD2*2))/100))))</f>
        <v>0.79</v>
      </c>
      <c r="T2" s="19" t="str">
        <f t="shared" ref="T2:T1004" si="9">IF(ISBLANK(S2),,IF(S2&gt;=0.975,"A+",IF(S2&gt;=0.925,"A",IF(S2&gt;=0.895,"A-",IF(S2&gt;=0.865,"B+",IF(S2&gt;=0.825,"B",IF(S2&gt;=0.795,"B-",IF(S2&gt;=0.765,"C+",IF(S2&gt;=0.725,"C",IF(S2&gt;=0.695,"C-",IF(S2&gt;=0.665,"D+",IF(S2&gt;=0.625,"D",IF(S2&gt;=0.595,"D-",IF(S2&lt;0.6,"F"))))))))))))))</f>
        <v>C+</v>
      </c>
      <c r="U2" s="3" t="s">
        <v>203</v>
      </c>
      <c r="V2" s="4" t="str">
        <f>IF(ISBLANK(C2),,IFERROR(IF(VLOOKUP(B2,Standings!$A:$F, 6, 0)=VLOOKUP(C2,Standings!$A:$F, 6, 0), VLOOKUP(B2,Standings!$A:$F, 6, 0), "Non-con"), "FCS"))</f>
        <v>ACC</v>
      </c>
      <c r="W2" s="3" t="str">
        <f t="shared" ref="W2:W1005" si="10">IF(ISBLANK(O2),,IF(O2&gt;0,C2,B2))</f>
        <v>Wake Forest</v>
      </c>
      <c r="X2" s="3" t="str">
        <f t="shared" ref="X2:X1004" si="11">IF(ISBLANK(O2),,IF(O2&lt;0,C2,B2))</f>
        <v>Clemson</v>
      </c>
      <c r="Y2" s="30">
        <f>IF(D2=0,,IF(ISBLANK(Q2),,VLOOKUP(X2,Week1,2,FALSE)/(VLOOKUP(X2,Week1,2,FALSE)+VLOOKUP(W2,Week1,2,FALSE))+0.05)*100)</f>
        <v>92.28797408</v>
      </c>
      <c r="Z2" s="3" t="s">
        <v>18</v>
      </c>
      <c r="AA2" s="3">
        <v>37.0</v>
      </c>
      <c r="AB2" s="4" t="str">
        <f t="shared" ref="AB2:AB17" si="12">IF(Z2&lt;&gt;"",(IF(Z2=B2, C2, B2)),"")</f>
        <v>Wake Forest</v>
      </c>
      <c r="AC2" s="3">
        <v>13.0</v>
      </c>
      <c r="AD2" s="3"/>
      <c r="AE2" s="3">
        <f t="shared" ref="AE2:AE1004" si="13">IF(ISBLANK(AC2),,AA2-AC2)</f>
        <v>24</v>
      </c>
      <c r="AF2" s="3"/>
      <c r="AG2" s="3">
        <f t="shared" ref="AG2:AG21" si="14">IF(ISBLANK(S2),,If(X2=Z2, 1, 0))</f>
        <v>1</v>
      </c>
      <c r="AH2" s="3"/>
      <c r="AI2" s="7"/>
      <c r="AJ2" s="4"/>
      <c r="AK2" s="7"/>
      <c r="AL2" s="7"/>
      <c r="AM2" s="7"/>
      <c r="AN2" s="7"/>
      <c r="AO2" s="7"/>
      <c r="AP2" s="7"/>
      <c r="AQ2" s="7"/>
      <c r="AR2" s="7"/>
      <c r="AS2" s="7"/>
      <c r="AT2" s="7"/>
      <c r="AU2" s="7"/>
      <c r="AV2" s="7"/>
      <c r="AW2" s="7"/>
      <c r="AX2" s="7"/>
    </row>
    <row r="3" ht="12.75" hidden="1" customHeight="1">
      <c r="A3" s="3">
        <v>2.0</v>
      </c>
      <c r="B3" s="3" t="s">
        <v>187</v>
      </c>
      <c r="C3" s="3" t="s">
        <v>28</v>
      </c>
      <c r="D3" s="4">
        <f>IFERROR(VLOOKUP(B3,Week1,2,FALSE),0)</f>
        <v>6.67</v>
      </c>
      <c r="E3" s="4">
        <f>IF(ISBLANK(B3),,IFERROR(VLOOKUP(B3,CurrentRank!$B$2:$C$132,2,FALSE),0))</f>
        <v>28.66</v>
      </c>
      <c r="F3" s="4">
        <f>IFERROR(VLOOKUP(B3,Week1,3,FALSE),130)</f>
        <v>35</v>
      </c>
      <c r="G3" s="4">
        <f>IF(ISBLANK(B3),,IFERROR(VLOOKUP(B3,CurrentRank!$B$2:$D$132,3,FALSE),130))</f>
        <v>120</v>
      </c>
      <c r="H3" s="4">
        <f>IFERROR(VLOOKUP(C3,Week1,2,FALSE),0)</f>
        <v>36.88</v>
      </c>
      <c r="I3" s="4">
        <f>IF(ISBLANK(B3),,IFERROR(VLOOKUP(C3,CurrentRank!$B$2:$C$132,2,FALSE),0))</f>
        <v>78.79</v>
      </c>
      <c r="J3" s="4">
        <f>IFERROR(VLOOKUP(C3,Week1,3,FALSE),130)</f>
        <v>10</v>
      </c>
      <c r="K3" s="4">
        <f>IF(ISBLANK(C3),,IFERROR(VLOOKUP(C3,CurrentRank!$B$2:$D$132,3,FALSE),130))</f>
        <v>7</v>
      </c>
      <c r="L3" s="19">
        <f t="shared" si="1"/>
        <v>0.65325</v>
      </c>
      <c r="M3" s="19">
        <f t="shared" si="2"/>
        <v>1.61175</v>
      </c>
      <c r="N3" s="24">
        <f t="shared" si="3"/>
        <v>22.5</v>
      </c>
      <c r="O3" s="21">
        <f t="shared" si="4"/>
        <v>-15.431625</v>
      </c>
      <c r="P3" s="21">
        <f t="shared" si="5"/>
        <v>-25.391625</v>
      </c>
      <c r="Q3" s="22">
        <f t="shared" si="6"/>
        <v>0.810341875</v>
      </c>
      <c r="R3" s="25" t="str">
        <f t="shared" si="7"/>
        <v>B-</v>
      </c>
      <c r="S3" s="19">
        <f t="shared" si="8"/>
        <v>0.8175</v>
      </c>
      <c r="T3" s="19" t="str">
        <f t="shared" si="9"/>
        <v>B-</v>
      </c>
      <c r="U3" s="3" t="s">
        <v>203</v>
      </c>
      <c r="V3" s="4" t="str">
        <f>IF(ISBLANK(C3),,IFERROR(IF(VLOOKUP(B3,Standings!$A:$F, 6, 0)=VLOOKUP(C3,Standings!$A:$F, 6, 0), VLOOKUP(B3,Standings!$A:$F, 6, 0), "Non-con"), "FCS"))</f>
        <v>ACC</v>
      </c>
      <c r="W3" s="3" t="str">
        <f t="shared" si="10"/>
        <v>Duke</v>
      </c>
      <c r="X3" s="3" t="str">
        <f t="shared" si="11"/>
        <v>Notre Dame</v>
      </c>
      <c r="Y3" s="30">
        <f>IF(D3=0,,IF(ISBLANK(Q3),,VLOOKUP(X3,Week1,2,FALSE)/(VLOOKUP(X3,Week1,2,FALSE)+VLOOKUP(W3,Week1,2,FALSE))+0.05)*100)</f>
        <v>89.68427095</v>
      </c>
      <c r="Z3" s="3" t="s">
        <v>28</v>
      </c>
      <c r="AA3" s="3">
        <v>27.0</v>
      </c>
      <c r="AB3" s="4" t="str">
        <f t="shared" si="12"/>
        <v>Duke</v>
      </c>
      <c r="AC3" s="3">
        <v>13.0</v>
      </c>
      <c r="AD3" s="3"/>
      <c r="AE3" s="3">
        <f t="shared" si="13"/>
        <v>14</v>
      </c>
      <c r="AF3" s="3"/>
      <c r="AG3" s="3">
        <f t="shared" si="14"/>
        <v>1</v>
      </c>
      <c r="AH3" s="3"/>
      <c r="AI3" s="7"/>
      <c r="AJ3" s="4"/>
      <c r="AK3" s="7"/>
      <c r="AL3" s="7"/>
      <c r="AM3" s="7"/>
      <c r="AN3" s="7"/>
      <c r="AO3" s="7"/>
      <c r="AP3" s="7"/>
      <c r="AQ3" s="7"/>
      <c r="AR3" s="7"/>
      <c r="AS3" s="7"/>
      <c r="AT3" s="7"/>
      <c r="AU3" s="7"/>
      <c r="AV3" s="7"/>
      <c r="AW3" s="7"/>
      <c r="AX3" s="7"/>
    </row>
    <row r="4" ht="12.75" hidden="1" customHeight="1">
      <c r="A4" s="3">
        <v>2.0</v>
      </c>
      <c r="B4" s="3" t="s">
        <v>132</v>
      </c>
      <c r="C4" s="3" t="s">
        <v>55</v>
      </c>
      <c r="D4" s="4">
        <f>IFERROR(VLOOKUP(B4,Week1,2,FALSE),0)</f>
        <v>6.67</v>
      </c>
      <c r="E4" s="4">
        <f>IF(ISBLANK(B4),,IFERROR(VLOOKUP(B4,CurrentRank!$B$2:$C$132,2,FALSE),0))</f>
        <v>37.38</v>
      </c>
      <c r="F4" s="4">
        <f>IFERROR(VLOOKUP(B4,Week1,3,FALSE),130)</f>
        <v>35</v>
      </c>
      <c r="G4" s="4">
        <f>IF(ISBLANK(B4),,IFERROR(VLOOKUP(B4,CurrentRank!$B$2:$D$132,3,FALSE),130))</f>
        <v>43</v>
      </c>
      <c r="H4" s="4">
        <f>IFERROR(VLOOKUP(C4,Week1,2,FALSE),0)</f>
        <v>30.49</v>
      </c>
      <c r="I4" s="4">
        <f>IF(ISBLANK(B4),,IFERROR(VLOOKUP(C4,CurrentRank!$B$2:$C$132,2,FALSE),0))</f>
        <v>59.34</v>
      </c>
      <c r="J4" s="4">
        <f>IFERROR(VLOOKUP(C4,Week1,3,FALSE),130)</f>
        <v>16</v>
      </c>
      <c r="K4" s="4">
        <f>IF(ISBLANK(C4),,IFERROR(VLOOKUP(C4,CurrentRank!$B$2:$D$132,3,FALSE),130))</f>
        <v>22</v>
      </c>
      <c r="L4" s="19">
        <f t="shared" si="1"/>
        <v>0.5574</v>
      </c>
      <c r="M4" s="19">
        <f t="shared" si="2"/>
        <v>1.4508</v>
      </c>
      <c r="N4" s="24">
        <f t="shared" si="3"/>
        <v>25.5</v>
      </c>
      <c r="O4" s="21">
        <f t="shared" si="4"/>
        <v>-12.1887</v>
      </c>
      <c r="P4" s="21">
        <f t="shared" si="5"/>
        <v>-11.2587</v>
      </c>
      <c r="Q4" s="22">
        <f t="shared" si="6"/>
        <v>0.8115565</v>
      </c>
      <c r="R4" s="25" t="str">
        <f t="shared" si="7"/>
        <v>B-</v>
      </c>
      <c r="S4" s="19">
        <f t="shared" si="8"/>
        <v>0.8275</v>
      </c>
      <c r="T4" s="19" t="str">
        <f t="shared" si="9"/>
        <v>B</v>
      </c>
      <c r="U4" s="3" t="s">
        <v>203</v>
      </c>
      <c r="V4" s="4" t="str">
        <f>IF(ISBLANK(C4),,IFERROR(IF(VLOOKUP(B4,Standings!$A:$F, 6, 0)=VLOOKUP(C4,Standings!$A:$F, 6, 0), VLOOKUP(B4,Standings!$A:$F, 6, 0), "Non-con"), "FCS"))</f>
        <v>Non-con</v>
      </c>
      <c r="W4" s="3" t="str">
        <f t="shared" si="10"/>
        <v>Tulsa</v>
      </c>
      <c r="X4" s="3" t="str">
        <f t="shared" si="11"/>
        <v>Oklahoma State</v>
      </c>
      <c r="Y4" s="30">
        <f>IF(D4=0,,IF(ISBLANK(Q4),,VLOOKUP(X4,Week1,2,FALSE)/(VLOOKUP(X4,Week1,2,FALSE)+VLOOKUP(W4,Week1,2,FALSE))+0.05)*100)</f>
        <v>87.05059203</v>
      </c>
      <c r="Z4" s="3" t="s">
        <v>55</v>
      </c>
      <c r="AA4" s="3">
        <v>16.0</v>
      </c>
      <c r="AB4" s="4" t="str">
        <f t="shared" si="12"/>
        <v>Tulsa</v>
      </c>
      <c r="AC4" s="3">
        <v>7.0</v>
      </c>
      <c r="AD4" s="3"/>
      <c r="AE4" s="3">
        <f t="shared" si="13"/>
        <v>9</v>
      </c>
      <c r="AF4" s="3"/>
      <c r="AG4" s="3">
        <f t="shared" si="14"/>
        <v>1</v>
      </c>
      <c r="AH4" s="3"/>
      <c r="AI4" s="7"/>
      <c r="AJ4" s="4"/>
      <c r="AK4" s="7"/>
      <c r="AL4" s="7"/>
      <c r="AM4" s="7"/>
      <c r="AN4" s="7"/>
      <c r="AO4" s="7"/>
      <c r="AP4" s="7"/>
      <c r="AQ4" s="7"/>
      <c r="AR4" s="7"/>
      <c r="AS4" s="7"/>
      <c r="AT4" s="7"/>
      <c r="AU4" s="7"/>
      <c r="AV4" s="7"/>
      <c r="AW4" s="7"/>
      <c r="AX4" s="7"/>
    </row>
    <row r="5" ht="12.75" hidden="1" customHeight="1">
      <c r="A5" s="3">
        <v>2.0</v>
      </c>
      <c r="B5" s="3" t="s">
        <v>128</v>
      </c>
      <c r="C5" s="3" t="s">
        <v>38</v>
      </c>
      <c r="D5" s="4">
        <f>IFERROR(VLOOKUP(B5,Week1,2,FALSE),0)</f>
        <v>6.67</v>
      </c>
      <c r="E5" s="4">
        <f>IF(ISBLANK(B5),,IFERROR(VLOOKUP(B5,CurrentRank!$B$2:$C$132,2,FALSE),0))</f>
        <v>26.74</v>
      </c>
      <c r="F5" s="4">
        <f>IFERROR(VLOOKUP(B5,Week1,3,FALSE),130)</f>
        <v>35</v>
      </c>
      <c r="G5" s="4">
        <f>IF(ISBLANK(B5),,IFERROR(VLOOKUP(B5,CurrentRank!$B$2:$D$132,3,FALSE),130))</f>
        <v>123</v>
      </c>
      <c r="H5" s="4">
        <f>IFERROR(VLOOKUP(C5,Week1,2,FALSE),0)</f>
        <v>28.08</v>
      </c>
      <c r="I5" s="4">
        <f>IF(ISBLANK(B5),,IFERROR(VLOOKUP(C5,CurrentRank!$B$2:$C$132,2,FALSE),0))</f>
        <v>63.1</v>
      </c>
      <c r="J5" s="4">
        <f>IFERROR(VLOOKUP(C5,Week1,3,FALSE),130)</f>
        <v>19</v>
      </c>
      <c r="K5" s="4">
        <f>IF(ISBLANK(C5),,IFERROR(VLOOKUP(C5,CurrentRank!$B$2:$D$132,3,FALSE),130))</f>
        <v>18</v>
      </c>
      <c r="L5" s="19">
        <f t="shared" si="1"/>
        <v>0.52125</v>
      </c>
      <c r="M5" s="19">
        <f t="shared" si="2"/>
        <v>1.3476</v>
      </c>
      <c r="N5" s="24">
        <f t="shared" si="3"/>
        <v>27</v>
      </c>
      <c r="O5" s="21">
        <f t="shared" si="4"/>
        <v>-10.965625</v>
      </c>
      <c r="P5" s="21">
        <f t="shared" si="5"/>
        <v>-18.440625</v>
      </c>
      <c r="Q5" s="22">
        <f t="shared" si="6"/>
        <v>0.810171875</v>
      </c>
      <c r="R5" s="25" t="str">
        <f t="shared" si="7"/>
        <v>B-</v>
      </c>
      <c r="S5" s="19">
        <f t="shared" si="8"/>
        <v>0.74</v>
      </c>
      <c r="T5" s="19" t="str">
        <f t="shared" si="9"/>
        <v>C</v>
      </c>
      <c r="U5" s="3" t="s">
        <v>203</v>
      </c>
      <c r="V5" s="4" t="str">
        <f>IF(ISBLANK(C5),,IFERROR(IF(VLOOKUP(B5,Standings!$A:$F, 6, 0)=VLOOKUP(C5,Standings!$A:$F, 6, 0), VLOOKUP(B5,Standings!$A:$F, 6, 0), "Non-con"), "FCS"))</f>
        <v>ACC</v>
      </c>
      <c r="W5" s="3" t="str">
        <f t="shared" si="10"/>
        <v>Syracuse</v>
      </c>
      <c r="X5" s="3" t="str">
        <f t="shared" si="11"/>
        <v>North Carolina</v>
      </c>
      <c r="Y5" s="30">
        <f>IF(D5=0,,IF(ISBLANK(Q5),,VLOOKUP(X5,Week1,2,FALSE)/(VLOOKUP(X5,Week1,2,FALSE)+VLOOKUP(W5,Week1,2,FALSE))+0.05)*100)</f>
        <v>85.8057554</v>
      </c>
      <c r="Z5" s="3" t="s">
        <v>38</v>
      </c>
      <c r="AA5" s="3">
        <v>31.0</v>
      </c>
      <c r="AB5" s="4" t="str">
        <f t="shared" si="12"/>
        <v>Syracuse</v>
      </c>
      <c r="AC5" s="3">
        <v>6.0</v>
      </c>
      <c r="AD5" s="3"/>
      <c r="AE5" s="3">
        <f t="shared" si="13"/>
        <v>25</v>
      </c>
      <c r="AF5" s="3"/>
      <c r="AG5" s="3">
        <f t="shared" si="14"/>
        <v>1</v>
      </c>
      <c r="AH5" s="3"/>
      <c r="AI5" s="7"/>
      <c r="AJ5" s="4"/>
      <c r="AK5" s="7"/>
      <c r="AL5" s="7"/>
      <c r="AM5" s="7"/>
      <c r="AN5" s="7"/>
      <c r="AO5" s="7"/>
      <c r="AP5" s="7"/>
      <c r="AQ5" s="7"/>
      <c r="AR5" s="7"/>
      <c r="AS5" s="7"/>
      <c r="AT5" s="7"/>
      <c r="AU5" s="7"/>
      <c r="AV5" s="7"/>
      <c r="AW5" s="7"/>
      <c r="AX5" s="7"/>
    </row>
    <row r="6" ht="12.75" hidden="1" customHeight="1">
      <c r="A6" s="3">
        <v>5.0</v>
      </c>
      <c r="B6" s="3" t="s">
        <v>123</v>
      </c>
      <c r="C6" s="3" t="s">
        <v>69</v>
      </c>
      <c r="D6" s="4">
        <f>IFERROR(VLOOKUP(B6,Week4,2,FALSE),0)</f>
        <v>18.3</v>
      </c>
      <c r="E6" s="4">
        <f>IF(ISBLANK(B6),,IFERROR(VLOOKUP(B6,CurrentRank!$B$2:$C$132,2,FALSE),0))</f>
        <v>13.91</v>
      </c>
      <c r="F6" s="4">
        <f>IFERROR(VLOOKUP(B6,Week4,3,FALSE),130)</f>
        <v>130</v>
      </c>
      <c r="G6" s="4">
        <f>IF(ISBLANK(B6),,IFERROR(VLOOKUP(B6,CurrentRank!$B$2:$D$132,3,FALSE),130))</f>
        <v>129</v>
      </c>
      <c r="H6" s="4">
        <f>IFERROR(VLOOKUP(C6,Week4,2,FALSE),0)</f>
        <v>69.04</v>
      </c>
      <c r="I6" s="4">
        <f>IF(ISBLANK(B6),,IFERROR(VLOOKUP(C6,CurrentRank!$B$2:$C$132,2,FALSE),0))</f>
        <v>72.9</v>
      </c>
      <c r="J6" s="4">
        <f>IFERROR(VLOOKUP(C6,Week4,3,FALSE),130)</f>
        <v>11</v>
      </c>
      <c r="K6" s="4">
        <f>IF(ISBLANK(C6),,IFERROR(VLOOKUP(C6,CurrentRank!$B$2:$D$132,3,FALSE),130))</f>
        <v>9</v>
      </c>
      <c r="L6" s="19">
        <f t="shared" si="1"/>
        <v>1.3101</v>
      </c>
      <c r="M6" s="19">
        <f t="shared" si="2"/>
        <v>1.30215</v>
      </c>
      <c r="N6" s="24">
        <f t="shared" si="3"/>
        <v>70.5</v>
      </c>
      <c r="O6" s="21">
        <f t="shared" si="4"/>
        <v>-26.02505</v>
      </c>
      <c r="P6" s="21">
        <f t="shared" si="5"/>
        <v>-30.15005</v>
      </c>
      <c r="Q6" s="22">
        <f t="shared" si="6"/>
        <v>0.51737475</v>
      </c>
      <c r="R6" s="25" t="str">
        <f t="shared" si="7"/>
        <v>F</v>
      </c>
      <c r="S6" s="19">
        <f t="shared" si="8"/>
        <v>0.5425</v>
      </c>
      <c r="T6" s="19" t="str">
        <f t="shared" si="9"/>
        <v>F</v>
      </c>
      <c r="U6" s="3" t="s">
        <v>203</v>
      </c>
      <c r="V6" s="4" t="str">
        <f>IF(ISBLANK(C6),,IFERROR(IF(VLOOKUP(B6,Standings!$A:$F, 6, 0)=VLOOKUP(C6,Standings!$A:$F, 6, 0), VLOOKUP(B6,Standings!$A:$F, 6, 0), "Non-con"), "FCS"))</f>
        <v>AAC</v>
      </c>
      <c r="W6" s="3" t="str">
        <f t="shared" si="10"/>
        <v>South Florida</v>
      </c>
      <c r="X6" s="3" t="str">
        <f t="shared" si="11"/>
        <v>Cincinnati</v>
      </c>
      <c r="Y6" s="30">
        <f>IF(D6=0,,IF(ISBLANK(Q6),,VLOOKUP(X6,Week4,2,FALSE)/(VLOOKUP(X6,Week4,2,FALSE)+VLOOKUP(W6,Week4,2,FALSE))+0.05)*100)</f>
        <v>84.04740096</v>
      </c>
      <c r="Z6" s="3" t="s">
        <v>69</v>
      </c>
      <c r="AA6" s="3">
        <v>28.0</v>
      </c>
      <c r="AB6" s="4" t="str">
        <f t="shared" si="12"/>
        <v>South Florida</v>
      </c>
      <c r="AC6" s="3">
        <v>7.0</v>
      </c>
      <c r="AD6" s="3"/>
      <c r="AE6" s="3">
        <f t="shared" si="13"/>
        <v>21</v>
      </c>
      <c r="AF6" s="3"/>
      <c r="AG6" s="3">
        <f t="shared" si="14"/>
        <v>1</v>
      </c>
      <c r="AH6" s="3"/>
      <c r="AI6" s="7"/>
      <c r="AJ6" s="4"/>
      <c r="AK6" s="7"/>
      <c r="AL6" s="7"/>
      <c r="AM6" s="7"/>
      <c r="AN6" s="7"/>
      <c r="AO6" s="7"/>
      <c r="AP6" s="7"/>
      <c r="AQ6" s="7"/>
      <c r="AR6" s="7"/>
      <c r="AS6" s="7"/>
      <c r="AT6" s="7"/>
      <c r="AU6" s="7"/>
      <c r="AV6" s="7"/>
      <c r="AW6" s="7"/>
      <c r="AX6" s="7"/>
    </row>
    <row r="7" ht="12.75" hidden="1" customHeight="1">
      <c r="A7" s="3">
        <v>14.0</v>
      </c>
      <c r="B7" s="3" t="s">
        <v>128</v>
      </c>
      <c r="C7" s="3" t="s">
        <v>28</v>
      </c>
      <c r="D7" s="4">
        <f>IFERROR(VLOOKUP(B7,Week13,2,FALSE),0)</f>
        <v>25.45</v>
      </c>
      <c r="E7" s="4">
        <f>IF(ISBLANK(B7),,IFERROR(VLOOKUP(B7,CurrentRank!$B$2:$C$132,2,FALSE),0))</f>
        <v>26.74</v>
      </c>
      <c r="F7" s="4">
        <f>IFERROR(VLOOKUP(B7,Week13,3,FALSE),130)</f>
        <v>123</v>
      </c>
      <c r="G7" s="4">
        <f>IF(ISBLANK(B7),,IFERROR(VLOOKUP(B7,CurrentRank!$B$2:$D$132,3,FALSE),130))</f>
        <v>123</v>
      </c>
      <c r="H7" s="4">
        <f>IFERROR(VLOOKUP(C7,Week13,2,FALSE),0)</f>
        <v>90.44</v>
      </c>
      <c r="I7" s="4">
        <f>IF(ISBLANK(B7),,IFERROR(VLOOKUP(C7,CurrentRank!$B$2:$C$132,2,FALSE),0))</f>
        <v>78.79</v>
      </c>
      <c r="J7" s="4">
        <f>IFERROR(VLOOKUP(C7,Week13,3,FALSE),130)</f>
        <v>2</v>
      </c>
      <c r="K7" s="4">
        <f>IF(ISBLANK(C7),,IFERROR(VLOOKUP(C7,CurrentRank!$B$2:$D$132,3,FALSE),130))</f>
        <v>7</v>
      </c>
      <c r="L7" s="19">
        <f t="shared" si="1"/>
        <v>1.73835</v>
      </c>
      <c r="M7" s="19">
        <f t="shared" si="2"/>
        <v>1.58295</v>
      </c>
      <c r="N7" s="24">
        <f t="shared" si="3"/>
        <v>62.5</v>
      </c>
      <c r="O7" s="21">
        <f t="shared" si="4"/>
        <v>-33.364175</v>
      </c>
      <c r="P7" s="21">
        <f t="shared" si="5"/>
        <v>-26.894175</v>
      </c>
      <c r="Q7" s="22">
        <f t="shared" si="6"/>
        <v>0.520679125</v>
      </c>
      <c r="R7" s="25" t="str">
        <f t="shared" si="7"/>
        <v>F</v>
      </c>
      <c r="S7" s="19">
        <f t="shared" si="8"/>
        <v>0.5675</v>
      </c>
      <c r="T7" s="19" t="str">
        <f t="shared" si="9"/>
        <v>F</v>
      </c>
      <c r="U7" s="3" t="s">
        <v>203</v>
      </c>
      <c r="V7" s="4" t="str">
        <f>IF(ISBLANK(C7),,IFERROR(IF(VLOOKUP(B7,Standings!$A:$F, 6, 0)=VLOOKUP(C7,Standings!$A:$F, 6, 0), VLOOKUP(B7,Standings!$A:$F, 6, 0), "Non-con"), "FCS"))</f>
        <v>ACC</v>
      </c>
      <c r="W7" s="3" t="str">
        <f t="shared" si="10"/>
        <v>Syracuse</v>
      </c>
      <c r="X7" s="3" t="str">
        <f t="shared" si="11"/>
        <v>Notre Dame</v>
      </c>
      <c r="Y7" s="30">
        <f>IF(D7=0,,IF(ISBLANK(Q7),,VLOOKUP(X7,Week13,2,FALSE)/(VLOOKUP(X7,Week13,2,FALSE)+VLOOKUP(W7,Week13,2,FALSE))+0.05)*100)</f>
        <v>83.03952023</v>
      </c>
      <c r="Z7" s="3" t="s">
        <v>28</v>
      </c>
      <c r="AA7" s="3">
        <v>45.0</v>
      </c>
      <c r="AB7" s="4" t="str">
        <f t="shared" si="12"/>
        <v>Syracuse</v>
      </c>
      <c r="AC7" s="3">
        <v>21.0</v>
      </c>
      <c r="AD7" s="3"/>
      <c r="AE7" s="3">
        <f t="shared" si="13"/>
        <v>24</v>
      </c>
      <c r="AF7" s="3"/>
      <c r="AG7" s="3">
        <f t="shared" si="14"/>
        <v>1</v>
      </c>
      <c r="AH7" s="3"/>
      <c r="AI7" s="7"/>
      <c r="AJ7" s="4" t="s">
        <v>73</v>
      </c>
      <c r="AK7" s="7"/>
      <c r="AL7" s="7"/>
      <c r="AM7" s="7"/>
      <c r="AN7" s="7"/>
      <c r="AO7" s="7"/>
      <c r="AP7" s="7"/>
      <c r="AQ7" s="7"/>
      <c r="AR7" s="7"/>
      <c r="AS7" s="7"/>
      <c r="AT7" s="7"/>
      <c r="AU7" s="7"/>
      <c r="AV7" s="7"/>
      <c r="AW7" s="7"/>
      <c r="AX7" s="7"/>
    </row>
    <row r="8" ht="12.75" customHeight="1">
      <c r="A8" s="3">
        <v>10.0</v>
      </c>
      <c r="B8" s="3" t="s">
        <v>18</v>
      </c>
      <c r="C8" s="3" t="s">
        <v>28</v>
      </c>
      <c r="D8" s="4">
        <f>IFERROR(VLOOKUP(B8,Week9,2,FALSE),0)</f>
        <v>94.26</v>
      </c>
      <c r="E8" s="4">
        <f>IF(ISBLANK(B8),,IFERROR(VLOOKUP(B8,CurrentRank!$B$2:$C$132,2,FALSE),0))</f>
        <v>84.24</v>
      </c>
      <c r="F8" s="4">
        <f>IFERROR(VLOOKUP(B8,Week9,3,FALSE),130)</f>
        <v>1</v>
      </c>
      <c r="G8" s="4">
        <f>IF(ISBLANK(B8),,IFERROR(VLOOKUP(B8,CurrentRank!$B$2:$D$132,3,FALSE),130))</f>
        <v>4</v>
      </c>
      <c r="H8" s="4">
        <f>IFERROR(VLOOKUP(C8,Week9,2,FALSE),0)</f>
        <v>86.91</v>
      </c>
      <c r="I8" s="4">
        <f>IF(ISBLANK(B8),,IFERROR(VLOOKUP(C8,CurrentRank!$B$2:$C$132,2,FALSE),0))</f>
        <v>78.79</v>
      </c>
      <c r="J8" s="4">
        <f>IFERROR(VLOOKUP(C8,Week9,3,FALSE),130)</f>
        <v>3</v>
      </c>
      <c r="K8" s="4">
        <f>IF(ISBLANK(C8),,IFERROR(VLOOKUP(C8,CurrentRank!$B$2:$D$132,3,FALSE),130))</f>
        <v>7</v>
      </c>
      <c r="L8" s="19">
        <f t="shared" si="1"/>
        <v>2.71755</v>
      </c>
      <c r="M8" s="19">
        <f t="shared" si="2"/>
        <v>2.44545</v>
      </c>
      <c r="N8" s="24">
        <f t="shared" si="3"/>
        <v>2</v>
      </c>
      <c r="O8" s="21">
        <f t="shared" si="4"/>
        <v>2.316225</v>
      </c>
      <c r="P8" s="21">
        <f t="shared" si="5"/>
        <v>1.366225</v>
      </c>
      <c r="Q8" s="22">
        <f t="shared" si="6"/>
        <v>0.978418875</v>
      </c>
      <c r="R8" s="25" t="str">
        <f t="shared" si="7"/>
        <v>A+</v>
      </c>
      <c r="S8" s="19">
        <f t="shared" si="8"/>
        <v>0.975</v>
      </c>
      <c r="T8" s="19" t="str">
        <f t="shared" si="9"/>
        <v>A+</v>
      </c>
      <c r="U8" s="3" t="s">
        <v>203</v>
      </c>
      <c r="V8" s="4" t="str">
        <f>IF(ISBLANK(C8),,IFERROR(IF(VLOOKUP(B8,Standings!$A:$F, 6, 0)=VLOOKUP(C8,Standings!$A:$F, 6, 0), VLOOKUP(B8,Standings!$A:$F, 6, 0), "Non-con"), "FCS"))</f>
        <v>ACC</v>
      </c>
      <c r="W8" s="3" t="str">
        <f t="shared" si="10"/>
        <v>Notre Dame</v>
      </c>
      <c r="X8" s="3" t="str">
        <f t="shared" si="11"/>
        <v>Clemson</v>
      </c>
      <c r="Y8" s="30">
        <f>IF(D8=0,,IF(ISBLANK(Q8),,VLOOKUP(X8,Week9,2,FALSE)/(VLOOKUP(X8,Week9,2,FALSE)+VLOOKUP(W8,Week9,2,FALSE))+0.05)*100)</f>
        <v>57.02848154</v>
      </c>
      <c r="Z8" s="3" t="s">
        <v>28</v>
      </c>
      <c r="AA8" s="3">
        <v>47.0</v>
      </c>
      <c r="AB8" s="4" t="str">
        <f t="shared" si="12"/>
        <v>Clemson</v>
      </c>
      <c r="AC8" s="3">
        <v>40.0</v>
      </c>
      <c r="AD8" s="3">
        <v>1.0</v>
      </c>
      <c r="AE8" s="3">
        <f t="shared" si="13"/>
        <v>7</v>
      </c>
      <c r="AF8" s="3"/>
      <c r="AG8" s="3">
        <f t="shared" si="14"/>
        <v>0</v>
      </c>
      <c r="AH8" s="3">
        <f>IF(ISBLANK(S8),,IF(X8=Z8, 1, 0))</f>
        <v>0</v>
      </c>
      <c r="AI8" s="7"/>
      <c r="AJ8" s="4"/>
      <c r="AK8" s="7"/>
      <c r="AL8" s="7"/>
      <c r="AM8" s="7"/>
      <c r="AN8" s="7"/>
      <c r="AO8" s="7"/>
      <c r="AP8" s="7"/>
      <c r="AQ8" s="7"/>
      <c r="AR8" s="7"/>
      <c r="AS8" s="7"/>
      <c r="AT8" s="7"/>
      <c r="AU8" s="7"/>
      <c r="AV8" s="7"/>
      <c r="AW8" s="7"/>
      <c r="AX8" s="7"/>
    </row>
    <row r="9" ht="12.75" hidden="1" customHeight="1">
      <c r="A9" s="3">
        <v>5.0</v>
      </c>
      <c r="B9" s="3" t="s">
        <v>55</v>
      </c>
      <c r="C9" s="3" t="s">
        <v>192</v>
      </c>
      <c r="D9" s="4">
        <f>IFERROR(VLOOKUP(B9,Week4,2,FALSE),0)</f>
        <v>67.72</v>
      </c>
      <c r="E9" s="4">
        <f>IF(ISBLANK(B9),,IFERROR(VLOOKUP(B9,CurrentRank!$B$2:$C$132,2,FALSE),0))</f>
        <v>59.34</v>
      </c>
      <c r="F9" s="4">
        <f>IFERROR(VLOOKUP(B9,Week4,3,FALSE),130)</f>
        <v>12</v>
      </c>
      <c r="G9" s="4">
        <f>IF(ISBLANK(B9),,IFERROR(VLOOKUP(B9,CurrentRank!$B$2:$D$132,3,FALSE),130))</f>
        <v>22</v>
      </c>
      <c r="H9" s="4">
        <f>IFERROR(VLOOKUP(C9,Week4,2,FALSE),0)</f>
        <v>19.44</v>
      </c>
      <c r="I9" s="4">
        <f>IF(ISBLANK(B9),,IFERROR(VLOOKUP(C9,CurrentRank!$B$2:$C$132,2,FALSE),0))</f>
        <v>21.55</v>
      </c>
      <c r="J9" s="4">
        <f>IFERROR(VLOOKUP(C9,Week4,3,FALSE),130)</f>
        <v>129</v>
      </c>
      <c r="K9" s="4">
        <f>IF(ISBLANK(C9),,IFERROR(VLOOKUP(C9,CurrentRank!$B$2:$D$132,3,FALSE),130))</f>
        <v>127</v>
      </c>
      <c r="L9" s="19">
        <f t="shared" si="1"/>
        <v>1.3074</v>
      </c>
      <c r="M9" s="19">
        <f t="shared" si="2"/>
        <v>1.21335</v>
      </c>
      <c r="N9" s="24">
        <f t="shared" si="3"/>
        <v>70.5</v>
      </c>
      <c r="O9" s="21">
        <f t="shared" si="4"/>
        <v>23.4863</v>
      </c>
      <c r="P9" s="21">
        <f t="shared" si="5"/>
        <v>18.2413</v>
      </c>
      <c r="Q9" s="22">
        <f t="shared" si="6"/>
        <v>0.5300685</v>
      </c>
      <c r="R9" s="25" t="str">
        <f t="shared" si="7"/>
        <v>F</v>
      </c>
      <c r="S9" s="19">
        <f t="shared" si="8"/>
        <v>0.4475</v>
      </c>
      <c r="T9" s="19" t="str">
        <f t="shared" si="9"/>
        <v>F</v>
      </c>
      <c r="U9" s="3" t="s">
        <v>203</v>
      </c>
      <c r="V9" s="4" t="str">
        <f>IF(ISBLANK(C9),,IFERROR(IF(VLOOKUP(B9,Standings!$A:$F, 6, 0)=VLOOKUP(C9,Standings!$A:$F, 6, 0), VLOOKUP(B9,Standings!$A:$F, 6, 0), "Non-con"), "FCS"))</f>
        <v>BIG12</v>
      </c>
      <c r="W9" s="3" t="str">
        <f t="shared" si="10"/>
        <v>Kansas</v>
      </c>
      <c r="X9" s="3" t="str">
        <f t="shared" si="11"/>
        <v>Oklahoma State</v>
      </c>
      <c r="Y9" s="30">
        <f>IF(D9=0,,IF(ISBLANK(Q9),,VLOOKUP(X9,Week4,2,FALSE)/(VLOOKUP(X9,Week4,2,FALSE)+VLOOKUP(W9,Week4,2,FALSE))+0.05)*100)</f>
        <v>82.69619091</v>
      </c>
      <c r="Z9" s="3" t="s">
        <v>55</v>
      </c>
      <c r="AA9" s="3">
        <v>47.0</v>
      </c>
      <c r="AB9" s="4" t="str">
        <f t="shared" si="12"/>
        <v>Kansas</v>
      </c>
      <c r="AC9" s="3">
        <v>7.0</v>
      </c>
      <c r="AD9" s="3"/>
      <c r="AE9" s="3">
        <f t="shared" si="13"/>
        <v>40</v>
      </c>
      <c r="AF9" s="3"/>
      <c r="AG9" s="3">
        <f t="shared" si="14"/>
        <v>1</v>
      </c>
      <c r="AH9" s="3"/>
      <c r="AI9" s="7"/>
      <c r="AJ9" s="4"/>
      <c r="AK9" s="7"/>
      <c r="AL9" s="7"/>
      <c r="AM9" s="7"/>
      <c r="AN9" s="7"/>
      <c r="AO9" s="7"/>
      <c r="AP9" s="7"/>
      <c r="AQ9" s="7"/>
      <c r="AR9" s="7"/>
      <c r="AS9" s="7"/>
      <c r="AT9" s="7"/>
      <c r="AU9" s="7"/>
      <c r="AV9" s="7"/>
      <c r="AW9" s="7"/>
      <c r="AX9" s="7"/>
    </row>
    <row r="10" ht="12.75" hidden="1" customHeight="1">
      <c r="A10" s="3">
        <v>8.0</v>
      </c>
      <c r="B10" s="3" t="s">
        <v>128</v>
      </c>
      <c r="C10" s="3" t="s">
        <v>18</v>
      </c>
      <c r="D10" s="4">
        <f>IFERROR(VLOOKUP(B10,Week7,2,FALSE),0)</f>
        <v>28.46</v>
      </c>
      <c r="E10" s="4">
        <f>IF(ISBLANK(B10),,IFERROR(VLOOKUP(B10,CurrentRank!$B$2:$C$132,2,FALSE),0))</f>
        <v>26.74</v>
      </c>
      <c r="F10" s="4">
        <f>IFERROR(VLOOKUP(B10,Week7,3,FALSE),130)</f>
        <v>122</v>
      </c>
      <c r="G10" s="4">
        <f>IF(ISBLANK(B10),,IFERROR(VLOOKUP(B10,CurrentRank!$B$2:$D$132,3,FALSE),130))</f>
        <v>123</v>
      </c>
      <c r="H10" s="4">
        <f>IFERROR(VLOOKUP(C10,Week7,2,FALSE),0)</f>
        <v>95.81</v>
      </c>
      <c r="I10" s="4">
        <f>IF(ISBLANK(B10),,IFERROR(VLOOKUP(C10,CurrentRank!$B$2:$C$132,2,FALSE),0))</f>
        <v>84.24</v>
      </c>
      <c r="J10" s="4">
        <f>IFERROR(VLOOKUP(C10,Week7,3,FALSE),130)</f>
        <v>1</v>
      </c>
      <c r="K10" s="4">
        <f>IF(ISBLANK(C10),,IFERROR(VLOOKUP(C10,CurrentRank!$B$2:$D$132,3,FALSE),130))</f>
        <v>4</v>
      </c>
      <c r="L10" s="19">
        <f t="shared" si="1"/>
        <v>1.86405</v>
      </c>
      <c r="M10" s="19">
        <f t="shared" si="2"/>
        <v>1.6647</v>
      </c>
      <c r="N10" s="24">
        <f t="shared" si="3"/>
        <v>61.5</v>
      </c>
      <c r="O10" s="21">
        <f t="shared" si="4"/>
        <v>-34.607025</v>
      </c>
      <c r="P10" s="21">
        <f t="shared" si="5"/>
        <v>-29.682025</v>
      </c>
      <c r="Q10" s="22">
        <f t="shared" si="6"/>
        <v>0.519464875</v>
      </c>
      <c r="R10" s="25" t="str">
        <f t="shared" si="7"/>
        <v>F</v>
      </c>
      <c r="S10" s="19">
        <f t="shared" si="8"/>
        <v>0.5625</v>
      </c>
      <c r="T10" s="19" t="str">
        <f t="shared" si="9"/>
        <v>F</v>
      </c>
      <c r="U10" s="3" t="s">
        <v>203</v>
      </c>
      <c r="V10" s="4" t="str">
        <f>IF(ISBLANK(C10),,IFERROR(IF(VLOOKUP(B10,Standings!$A:$F, 6, 0)=VLOOKUP(C10,Standings!$A:$F, 6, 0), VLOOKUP(B10,Standings!$A:$F, 6, 0), "Non-con"), "FCS"))</f>
        <v>ACC</v>
      </c>
      <c r="W10" s="3" t="str">
        <f t="shared" si="10"/>
        <v>Syracuse</v>
      </c>
      <c r="X10" s="3" t="str">
        <f t="shared" si="11"/>
        <v>Clemson</v>
      </c>
      <c r="Y10" s="30">
        <f>IF(D10=0,,IF(ISBLANK(Q10),,VLOOKUP(X10,Week7,2,FALSE)/(VLOOKUP(X10,Week7,2,FALSE)+VLOOKUP(W10,Week7,2,FALSE))+0.05)*100)</f>
        <v>82.0982538</v>
      </c>
      <c r="Z10" s="3" t="s">
        <v>18</v>
      </c>
      <c r="AA10" s="3">
        <v>47.0</v>
      </c>
      <c r="AB10" s="4" t="str">
        <f t="shared" si="12"/>
        <v>Syracuse</v>
      </c>
      <c r="AC10" s="3">
        <v>21.0</v>
      </c>
      <c r="AD10" s="3"/>
      <c r="AE10" s="3">
        <f t="shared" si="13"/>
        <v>26</v>
      </c>
      <c r="AF10" s="3"/>
      <c r="AG10" s="3">
        <f t="shared" si="14"/>
        <v>1</v>
      </c>
      <c r="AH10" s="3"/>
      <c r="AI10" s="7"/>
      <c r="AJ10" s="4"/>
      <c r="AK10" s="7"/>
      <c r="AL10" s="7"/>
      <c r="AM10" s="7"/>
      <c r="AN10" s="7"/>
      <c r="AO10" s="7"/>
      <c r="AP10" s="7"/>
      <c r="AQ10" s="7"/>
      <c r="AR10" s="7"/>
      <c r="AS10" s="7"/>
      <c r="AT10" s="7"/>
      <c r="AU10" s="7"/>
      <c r="AV10" s="7"/>
      <c r="AW10" s="7"/>
      <c r="AX10" s="7"/>
    </row>
    <row r="11" ht="12.75" hidden="1" customHeight="1">
      <c r="A11" s="3">
        <v>13.0</v>
      </c>
      <c r="B11" s="3" t="s">
        <v>47</v>
      </c>
      <c r="C11" s="3" t="s">
        <v>123</v>
      </c>
      <c r="D11" s="4">
        <f>IFERROR(VLOOKUP(B11,Week12,2,FALSE),0)</f>
        <v>40.27</v>
      </c>
      <c r="E11" s="4">
        <f>IF(ISBLANK(B11),,IFERROR(VLOOKUP(B11,CurrentRank!$B$2:$C$132,2,FALSE),0))</f>
        <v>41.86</v>
      </c>
      <c r="F11" s="4">
        <f>IFERROR(VLOOKUP(B11,Week12,3,FALSE),130)</f>
        <v>39</v>
      </c>
      <c r="G11" s="4">
        <f>IF(ISBLANK(B11),,IFERROR(VLOOKUP(B11,CurrentRank!$B$2:$D$132,3,FALSE),130))</f>
        <v>30</v>
      </c>
      <c r="H11" s="4">
        <f>IFERROR(VLOOKUP(C11,Week12,2,FALSE),0)</f>
        <v>12.09</v>
      </c>
      <c r="I11" s="4">
        <f>IF(ISBLANK(B11),,IFERROR(VLOOKUP(C11,CurrentRank!$B$2:$C$132,2,FALSE),0))</f>
        <v>13.91</v>
      </c>
      <c r="J11" s="4">
        <f>IFERROR(VLOOKUP(C11,Week12,3,FALSE),130)</f>
        <v>129</v>
      </c>
      <c r="K11" s="4">
        <f>IF(ISBLANK(C11),,IFERROR(VLOOKUP(C11,CurrentRank!$B$2:$D$132,3,FALSE),130))</f>
        <v>129</v>
      </c>
      <c r="L11" s="19">
        <f t="shared" si="1"/>
        <v>0.7854</v>
      </c>
      <c r="M11" s="19">
        <f t="shared" si="2"/>
        <v>0.83655</v>
      </c>
      <c r="N11" s="24">
        <f t="shared" si="3"/>
        <v>84</v>
      </c>
      <c r="O11" s="21">
        <f t="shared" si="4"/>
        <v>13.6973</v>
      </c>
      <c r="P11" s="21">
        <f t="shared" si="5"/>
        <v>13.5823</v>
      </c>
      <c r="Q11" s="22">
        <f t="shared" si="6"/>
        <v>0.5115135</v>
      </c>
      <c r="R11" s="25" t="str">
        <f t="shared" si="7"/>
        <v>F</v>
      </c>
      <c r="S11" s="19">
        <f t="shared" si="8"/>
        <v>0.52</v>
      </c>
      <c r="T11" s="19" t="str">
        <f t="shared" si="9"/>
        <v>F</v>
      </c>
      <c r="U11" s="3" t="s">
        <v>203</v>
      </c>
      <c r="V11" s="4" t="str">
        <f>IF(ISBLANK(C11),,IFERROR(IF(VLOOKUP(B11,Standings!$A:$F, 6, 0)=VLOOKUP(C11,Standings!$A:$F, 6, 0), VLOOKUP(B11,Standings!$A:$F, 6, 0), "Non-con"), "FCS"))</f>
        <v>AAC</v>
      </c>
      <c r="W11" s="3" t="str">
        <f t="shared" si="10"/>
        <v>South Florida</v>
      </c>
      <c r="X11" s="3" t="str">
        <f t="shared" si="11"/>
        <v>Central Florida</v>
      </c>
      <c r="Y11" s="30">
        <f>IF(D11=0,,IF(ISBLANK(Q11),,VLOOKUP(X11,Week12,2,FALSE)/(VLOOKUP(X11,Week12,2,FALSE)+VLOOKUP(W11,Week12,2,FALSE))+0.05)*100)</f>
        <v>81.90985485</v>
      </c>
      <c r="Z11" s="3" t="s">
        <v>47</v>
      </c>
      <c r="AA11" s="3">
        <v>58.0</v>
      </c>
      <c r="AB11" s="4" t="str">
        <f t="shared" si="12"/>
        <v>South Florida</v>
      </c>
      <c r="AC11" s="3">
        <v>46.0</v>
      </c>
      <c r="AD11" s="3"/>
      <c r="AE11" s="3">
        <f t="shared" si="13"/>
        <v>12</v>
      </c>
      <c r="AF11" s="3"/>
      <c r="AG11" s="3">
        <f t="shared" si="14"/>
        <v>1</v>
      </c>
      <c r="AH11" s="3"/>
      <c r="AI11" s="7"/>
      <c r="AJ11" s="4" t="s">
        <v>79</v>
      </c>
      <c r="AK11" s="7"/>
      <c r="AL11" s="7"/>
      <c r="AM11" s="7"/>
      <c r="AN11" s="7"/>
      <c r="AO11" s="7"/>
      <c r="AP11" s="7"/>
      <c r="AQ11" s="7"/>
      <c r="AR11" s="7"/>
      <c r="AS11" s="7"/>
      <c r="AT11" s="7"/>
      <c r="AU11" s="7"/>
      <c r="AV11" s="7"/>
      <c r="AW11" s="7"/>
      <c r="AX11" s="7"/>
    </row>
    <row r="12" ht="12.75" hidden="1" customHeight="1">
      <c r="A12" s="3">
        <v>9.0</v>
      </c>
      <c r="B12" s="3" t="s">
        <v>28</v>
      </c>
      <c r="C12" s="3" t="s">
        <v>108</v>
      </c>
      <c r="D12" s="4">
        <f>IFERROR(VLOOKUP(B12,Week8,2,FALSE),0)</f>
        <v>86.13</v>
      </c>
      <c r="E12" s="4">
        <f>IF(ISBLANK(B12),,IFERROR(VLOOKUP(B12,CurrentRank!$B$2:$C$132,2,FALSE),0))</f>
        <v>78.79</v>
      </c>
      <c r="F12" s="4">
        <f>IFERROR(VLOOKUP(B12,Week8,3,FALSE),130)</f>
        <v>3</v>
      </c>
      <c r="G12" s="4">
        <f>IF(ISBLANK(B12),,IFERROR(VLOOKUP(B12,CurrentRank!$B$2:$D$132,3,FALSE),130))</f>
        <v>7</v>
      </c>
      <c r="H12" s="4">
        <f>IFERROR(VLOOKUP(C12,Week8,2,FALSE),0)</f>
        <v>26.51</v>
      </c>
      <c r="I12" s="4">
        <f>IF(ISBLANK(B12),,IFERROR(VLOOKUP(C12,CurrentRank!$B$2:$C$132,2,FALSE),0))</f>
        <v>30.15</v>
      </c>
      <c r="J12" s="4">
        <f>IFERROR(VLOOKUP(C12,Week8,3,FALSE),130)</f>
        <v>121</v>
      </c>
      <c r="K12" s="4">
        <f>IF(ISBLANK(C12),,IFERROR(VLOOKUP(C12,CurrentRank!$B$2:$D$132,3,FALSE),130))</f>
        <v>109</v>
      </c>
      <c r="L12" s="19">
        <f t="shared" si="1"/>
        <v>1.6896</v>
      </c>
      <c r="M12" s="19">
        <f t="shared" si="2"/>
        <v>1.6341</v>
      </c>
      <c r="N12" s="24">
        <f t="shared" si="3"/>
        <v>62</v>
      </c>
      <c r="O12" s="21">
        <f t="shared" si="4"/>
        <v>28.9652</v>
      </c>
      <c r="P12" s="21">
        <f t="shared" si="5"/>
        <v>23.4752</v>
      </c>
      <c r="Q12" s="22">
        <f t="shared" si="6"/>
        <v>0.545174</v>
      </c>
      <c r="R12" s="25" t="str">
        <f t="shared" si="7"/>
        <v>F</v>
      </c>
      <c r="S12" s="19">
        <f t="shared" si="8"/>
        <v>0.6</v>
      </c>
      <c r="T12" s="19" t="str">
        <f t="shared" si="9"/>
        <v>D-</v>
      </c>
      <c r="U12" s="3" t="s">
        <v>203</v>
      </c>
      <c r="V12" s="4" t="str">
        <f>IF(ISBLANK(C12),,IFERROR(IF(VLOOKUP(B12,Standings!$A:$F, 6, 0)=VLOOKUP(C12,Standings!$A:$F, 6, 0), VLOOKUP(B12,Standings!$A:$F, 6, 0), "Non-con"), "FCS"))</f>
        <v>ACC</v>
      </c>
      <c r="W12" s="3" t="str">
        <f t="shared" si="10"/>
        <v>Georgia Tech</v>
      </c>
      <c r="X12" s="3" t="str">
        <f t="shared" si="11"/>
        <v>Notre Dame</v>
      </c>
      <c r="Y12" s="30">
        <f>IF(D12=0,,IF(ISBLANK(Q12),,VLOOKUP(X12,Week8,2,FALSE)/(VLOOKUP(X12,Week8,2,FALSE)+VLOOKUP(W12,Week8,2,FALSE))+0.05)*100)</f>
        <v>81.46484375</v>
      </c>
      <c r="Z12" s="3" t="s">
        <v>28</v>
      </c>
      <c r="AA12" s="3">
        <v>31.0</v>
      </c>
      <c r="AB12" s="4" t="str">
        <f t="shared" si="12"/>
        <v>Georgia Tech</v>
      </c>
      <c r="AC12" s="3">
        <v>13.0</v>
      </c>
      <c r="AD12" s="3"/>
      <c r="AE12" s="3">
        <f t="shared" si="13"/>
        <v>18</v>
      </c>
      <c r="AF12" s="3"/>
      <c r="AG12" s="3">
        <f t="shared" si="14"/>
        <v>1</v>
      </c>
      <c r="AH12" s="3"/>
      <c r="AI12" s="7"/>
      <c r="AJ12" s="4" t="s">
        <v>98</v>
      </c>
      <c r="AK12" s="7"/>
      <c r="AL12" s="7"/>
      <c r="AM12" s="7"/>
      <c r="AN12" s="7"/>
      <c r="AO12" s="7"/>
      <c r="AP12" s="7"/>
      <c r="AQ12" s="7"/>
      <c r="AR12" s="7"/>
      <c r="AS12" s="7"/>
      <c r="AT12" s="7"/>
      <c r="AU12" s="7"/>
      <c r="AV12" s="7"/>
      <c r="AW12" s="7"/>
      <c r="AX12" s="7"/>
    </row>
    <row r="13" ht="12.75" hidden="1" customHeight="1">
      <c r="A13" s="3">
        <v>9.0</v>
      </c>
      <c r="B13" s="3" t="s">
        <v>81</v>
      </c>
      <c r="C13" s="3" t="s">
        <v>23</v>
      </c>
      <c r="D13" s="4">
        <f>IFERROR(VLOOKUP(B13,Week8,2,FALSE),0)</f>
        <v>29.5</v>
      </c>
      <c r="E13" s="4">
        <f>IF(ISBLANK(B13),,IFERROR(VLOOKUP(B13,CurrentRank!$B$2:$C$132,2,FALSE),0))</f>
        <v>33.91</v>
      </c>
      <c r="F13" s="4">
        <f>IFERROR(VLOOKUP(B13,Week8,3,FALSE),130)</f>
        <v>109</v>
      </c>
      <c r="G13" s="4">
        <f>IF(ISBLANK(B13),,IFERROR(VLOOKUP(B13,CurrentRank!$B$2:$D$132,3,FALSE),130))</f>
        <v>75</v>
      </c>
      <c r="H13" s="4">
        <f>IFERROR(VLOOKUP(C13,Week8,2,FALSE),0)</f>
        <v>92.87</v>
      </c>
      <c r="I13" s="4">
        <f>IF(ISBLANK(B13),,IFERROR(VLOOKUP(C13,CurrentRank!$B$2:$C$132,2,FALSE),0))</f>
        <v>96.59</v>
      </c>
      <c r="J13" s="4">
        <f>IFERROR(VLOOKUP(C13,Week8,3,FALSE),130)</f>
        <v>2</v>
      </c>
      <c r="K13" s="4">
        <f>IF(ISBLANK(C13),,IFERROR(VLOOKUP(C13,CurrentRank!$B$2:$D$132,3,FALSE),130))</f>
        <v>1</v>
      </c>
      <c r="L13" s="19">
        <f t="shared" si="1"/>
        <v>1.83555</v>
      </c>
      <c r="M13" s="19">
        <f t="shared" si="2"/>
        <v>1.9575</v>
      </c>
      <c r="N13" s="24">
        <f t="shared" si="3"/>
        <v>55.5</v>
      </c>
      <c r="O13" s="21">
        <f t="shared" si="4"/>
        <v>-32.602775</v>
      </c>
      <c r="P13" s="21">
        <f t="shared" si="5"/>
        <v>-32.257775</v>
      </c>
      <c r="Q13" s="22">
        <f t="shared" si="6"/>
        <v>0.559486125</v>
      </c>
      <c r="R13" s="25" t="str">
        <f t="shared" si="7"/>
        <v>F</v>
      </c>
      <c r="S13" s="19">
        <f t="shared" si="8"/>
        <v>0.5175</v>
      </c>
      <c r="T13" s="19" t="str">
        <f t="shared" si="9"/>
        <v>F</v>
      </c>
      <c r="U13" s="3" t="s">
        <v>203</v>
      </c>
      <c r="V13" s="4" t="str">
        <f>IF(ISBLANK(C13),,IFERROR(IF(VLOOKUP(B13,Standings!$A:$F, 6, 0)=VLOOKUP(C13,Standings!$A:$F, 6, 0), VLOOKUP(B13,Standings!$A:$F, 6, 0), "Non-con"), "FCS"))</f>
        <v>SEC</v>
      </c>
      <c r="W13" s="3" t="str">
        <f t="shared" si="10"/>
        <v>Mississippi State</v>
      </c>
      <c r="X13" s="3" t="str">
        <f t="shared" si="11"/>
        <v>Alabama</v>
      </c>
      <c r="Y13" s="30">
        <f>IF(D13=0,,IF(ISBLANK(Q13),,VLOOKUP(X13,Week8,2,FALSE)/(VLOOKUP(X13,Week8,2,FALSE)+VLOOKUP(W13,Week8,2,FALSE))+0.05)*100)</f>
        <v>80.89278418</v>
      </c>
      <c r="Z13" s="3" t="s">
        <v>23</v>
      </c>
      <c r="AA13" s="3">
        <v>41.0</v>
      </c>
      <c r="AB13" s="4" t="str">
        <f t="shared" si="12"/>
        <v>Mississippi State</v>
      </c>
      <c r="AC13" s="3">
        <v>0.0</v>
      </c>
      <c r="AD13" s="3"/>
      <c r="AE13" s="3">
        <f t="shared" si="13"/>
        <v>41</v>
      </c>
      <c r="AF13" s="3"/>
      <c r="AG13" s="3">
        <f t="shared" si="14"/>
        <v>1</v>
      </c>
      <c r="AH13" s="3"/>
      <c r="AI13" s="7"/>
      <c r="AJ13" s="4"/>
      <c r="AK13" s="7"/>
      <c r="AL13" s="7"/>
      <c r="AM13" s="7"/>
      <c r="AN13" s="7"/>
      <c r="AO13" s="7"/>
      <c r="AP13" s="7"/>
      <c r="AQ13" s="7"/>
      <c r="AR13" s="7"/>
      <c r="AS13" s="7"/>
      <c r="AT13" s="7"/>
      <c r="AU13" s="7"/>
      <c r="AV13" s="7"/>
      <c r="AW13" s="7"/>
      <c r="AX13" s="7"/>
    </row>
    <row r="14" ht="12.75" customHeight="1">
      <c r="A14" s="3">
        <v>17.0</v>
      </c>
      <c r="B14" s="3" t="s">
        <v>33</v>
      </c>
      <c r="C14" s="3" t="s">
        <v>69</v>
      </c>
      <c r="D14" s="4">
        <f>IFERROR(VLOOKUP(B14,Week16,2,FALSE),0)</f>
        <v>75.64</v>
      </c>
      <c r="E14" s="4">
        <f>IF(ISBLANK(B14),,IFERROR(VLOOKUP(B14,CurrentRank!$B$2:$C$132,2,FALSE),0))</f>
        <v>79.21</v>
      </c>
      <c r="F14" s="4">
        <f>IFERROR(VLOOKUP(B14,Week16,3,FALSE),130)</f>
        <v>10</v>
      </c>
      <c r="G14" s="4">
        <f>IF(ISBLANK(B14),,IFERROR(VLOOKUP(B14,CurrentRank!$B$2:$D$132,3,FALSE),130))</f>
        <v>6</v>
      </c>
      <c r="H14" s="4">
        <f>IFERROR(VLOOKUP(C14,Week16,2,FALSE),0)</f>
        <v>82.18</v>
      </c>
      <c r="I14" s="4">
        <f>IF(ISBLANK(B14),,IFERROR(VLOOKUP(C14,CurrentRank!$B$2:$C$132,2,FALSE),0))</f>
        <v>72.9</v>
      </c>
      <c r="J14" s="4">
        <f>IFERROR(VLOOKUP(C14,Week16,3,FALSE),130)</f>
        <v>6</v>
      </c>
      <c r="K14" s="4">
        <f>IF(ISBLANK(C14),,IFERROR(VLOOKUP(C14,CurrentRank!$B$2:$D$132,3,FALSE),130))</f>
        <v>9</v>
      </c>
      <c r="L14" s="19">
        <f t="shared" si="1"/>
        <v>0</v>
      </c>
      <c r="M14" s="19">
        <f t="shared" si="2"/>
        <v>0</v>
      </c>
      <c r="N14" s="24">
        <f t="shared" si="3"/>
        <v>8</v>
      </c>
      <c r="O14" s="21">
        <f t="shared" si="4"/>
        <v>-3.27</v>
      </c>
      <c r="P14" s="21">
        <f t="shared" si="5"/>
        <v>3.155</v>
      </c>
      <c r="Q14" s="22">
        <f t="shared" si="6"/>
        <v>0.94365</v>
      </c>
      <c r="R14" s="25" t="str">
        <f t="shared" si="7"/>
        <v>A</v>
      </c>
      <c r="S14" s="19">
        <f t="shared" si="8"/>
        <v>0.945</v>
      </c>
      <c r="T14" s="19" t="str">
        <f t="shared" si="9"/>
        <v>A</v>
      </c>
      <c r="U14" s="3" t="s">
        <v>223</v>
      </c>
      <c r="V14" s="4" t="str">
        <f>IF(ISBLANK(C14),,IFERROR(IF(VLOOKUP(B14,Standings!$A:$F, 6, 0)=VLOOKUP(C14,Standings!$A:$F, 6, 0), VLOOKUP(B14,Standings!$A:$F, 6, 0), "Non-con"), "FCS"))</f>
        <v>Non-con</v>
      </c>
      <c r="W14" s="3" t="str">
        <f t="shared" si="10"/>
        <v>Georgia</v>
      </c>
      <c r="X14" s="3" t="str">
        <f t="shared" si="11"/>
        <v>Cincinnati</v>
      </c>
      <c r="Y14" s="30">
        <f>IF(D14=0,,IF(ISBLANK(Q14),,VLOOKUP(X14,Week16,2,FALSE)/(VLOOKUP(X14,Week16,2,FALSE)+VLOOKUP(W14,Week16,2,FALSE)))*100)</f>
        <v>52.07198074</v>
      </c>
      <c r="Z14" s="3" t="s">
        <v>33</v>
      </c>
      <c r="AA14" s="3">
        <v>24.0</v>
      </c>
      <c r="AB14" s="4" t="str">
        <f t="shared" si="12"/>
        <v>Cincinnati</v>
      </c>
      <c r="AC14" s="3">
        <v>21.0</v>
      </c>
      <c r="AD14" s="3"/>
      <c r="AE14" s="3">
        <f t="shared" si="13"/>
        <v>3</v>
      </c>
      <c r="AF14" s="3" t="s">
        <v>224</v>
      </c>
      <c r="AG14" s="3">
        <f t="shared" si="14"/>
        <v>0</v>
      </c>
      <c r="AH14" s="3"/>
      <c r="AI14" s="7"/>
      <c r="AJ14" s="4"/>
      <c r="AK14" s="7"/>
      <c r="AL14" s="7"/>
      <c r="AM14" s="7"/>
      <c r="AN14" s="7"/>
      <c r="AO14" s="7"/>
      <c r="AP14" s="7"/>
      <c r="AQ14" s="7"/>
      <c r="AR14" s="7"/>
      <c r="AS14" s="7"/>
      <c r="AT14" s="7"/>
      <c r="AU14" s="7"/>
      <c r="AV14" s="7"/>
      <c r="AW14" s="7"/>
      <c r="AX14" s="7"/>
    </row>
    <row r="15" ht="12.75" hidden="1" customHeight="1">
      <c r="A15" s="3">
        <v>12.0</v>
      </c>
      <c r="B15" s="3" t="s">
        <v>48</v>
      </c>
      <c r="C15" s="3" t="s">
        <v>181</v>
      </c>
      <c r="D15" s="4">
        <f>IFERROR(VLOOKUP(B15,Week11,2,FALSE),0)</f>
        <v>80</v>
      </c>
      <c r="E15" s="4">
        <f>IF(ISBLANK(B15),,IFERROR(VLOOKUP(B15,CurrentRank!$B$2:$C$132,2,FALSE),0))</f>
        <v>68.03</v>
      </c>
      <c r="F15" s="4">
        <f>IFERROR(VLOOKUP(B15,Week11,3,FALSE),130)</f>
        <v>7</v>
      </c>
      <c r="G15" s="4">
        <f>IF(ISBLANK(B15),,IFERROR(VLOOKUP(B15,CurrentRank!$B$2:$D$132,3,FALSE),130))</f>
        <v>16</v>
      </c>
      <c r="H15" s="4">
        <f>IFERROR(VLOOKUP(C15,Week11,2,FALSE),0)</f>
        <v>26.23</v>
      </c>
      <c r="I15" s="4">
        <f>IF(ISBLANK(B15),,IFERROR(VLOOKUP(C15,CurrentRank!$B$2:$C$132,2,FALSE),0))</f>
        <v>25.47</v>
      </c>
      <c r="J15" s="4">
        <f>IFERROR(VLOOKUP(C15,Week11,3,FALSE),130)</f>
        <v>123</v>
      </c>
      <c r="K15" s="4">
        <f>IF(ISBLANK(C15),,IFERROR(VLOOKUP(C15,CurrentRank!$B$2:$D$132,3,FALSE),130))</f>
        <v>125</v>
      </c>
      <c r="L15" s="19">
        <f t="shared" si="1"/>
        <v>1.59345</v>
      </c>
      <c r="M15" s="19">
        <f t="shared" si="2"/>
        <v>1.4025</v>
      </c>
      <c r="N15" s="24">
        <f t="shared" si="3"/>
        <v>65</v>
      </c>
      <c r="O15" s="21">
        <f t="shared" si="4"/>
        <v>26.088275</v>
      </c>
      <c r="P15" s="21">
        <f t="shared" si="5"/>
        <v>20.483275</v>
      </c>
      <c r="Q15" s="22">
        <f t="shared" si="6"/>
        <v>0.544558625</v>
      </c>
      <c r="R15" s="25" t="str">
        <f t="shared" si="7"/>
        <v>F</v>
      </c>
      <c r="S15" s="19">
        <f t="shared" si="8"/>
        <v>0.57</v>
      </c>
      <c r="T15" s="19" t="str">
        <f t="shared" si="9"/>
        <v>F</v>
      </c>
      <c r="U15" s="3" t="s">
        <v>203</v>
      </c>
      <c r="V15" s="4" t="str">
        <f>IF(ISBLANK(C15),,IFERROR(IF(VLOOKUP(B15,Standings!$A:$F, 6, 0)=VLOOKUP(C15,Standings!$A:$F, 6, 0), VLOOKUP(B15,Standings!$A:$F, 6, 0), "Non-con"), "FCS"))</f>
        <v>SEC</v>
      </c>
      <c r="W15" s="3" t="str">
        <f t="shared" si="10"/>
        <v>Vanderbilt</v>
      </c>
      <c r="X15" s="3" t="str">
        <f t="shared" si="11"/>
        <v>Florida</v>
      </c>
      <c r="Y15" s="30">
        <f>IF(D15=0,,IF(ISBLANK(Q15),,VLOOKUP(X15,Week11,2,FALSE)/(VLOOKUP(X15,Week11,2,FALSE)+VLOOKUP(W15,Week11,2,FALSE))+0.05)*100)</f>
        <v>80.30829333</v>
      </c>
      <c r="Z15" s="3" t="s">
        <v>48</v>
      </c>
      <c r="AA15" s="3">
        <v>38.0</v>
      </c>
      <c r="AB15" s="4" t="str">
        <f t="shared" si="12"/>
        <v>Vanderbilt</v>
      </c>
      <c r="AC15" s="3">
        <v>17.0</v>
      </c>
      <c r="AD15" s="3"/>
      <c r="AE15" s="3">
        <f t="shared" si="13"/>
        <v>21</v>
      </c>
      <c r="AF15" s="3"/>
      <c r="AG15" s="3">
        <f t="shared" si="14"/>
        <v>1</v>
      </c>
      <c r="AH15" s="3"/>
      <c r="AI15" s="7"/>
      <c r="AJ15" s="4" t="s">
        <v>196</v>
      </c>
      <c r="AK15" s="7"/>
      <c r="AL15" s="7"/>
      <c r="AM15" s="7"/>
      <c r="AN15" s="7"/>
      <c r="AO15" s="7"/>
      <c r="AP15" s="7"/>
      <c r="AQ15" s="7"/>
      <c r="AR15" s="7"/>
      <c r="AS15" s="7"/>
      <c r="AT15" s="7"/>
      <c r="AU15" s="7"/>
      <c r="AV15" s="7"/>
      <c r="AW15" s="7"/>
      <c r="AX15" s="7"/>
    </row>
    <row r="16" ht="12.75" hidden="1" customHeight="1">
      <c r="A16" s="3">
        <v>8.0</v>
      </c>
      <c r="B16" s="3" t="s">
        <v>132</v>
      </c>
      <c r="C16" s="3" t="s">
        <v>123</v>
      </c>
      <c r="D16" s="4">
        <f>IFERROR(VLOOKUP(B16,Week7,2,FALSE),0)</f>
        <v>38.56</v>
      </c>
      <c r="E16" s="4">
        <f>IF(ISBLANK(B16),,IFERROR(VLOOKUP(B16,CurrentRank!$B$2:$C$132,2,FALSE),0))</f>
        <v>37.38</v>
      </c>
      <c r="F16" s="4">
        <f>IFERROR(VLOOKUP(B16,Week7,3,FALSE),130)</f>
        <v>41</v>
      </c>
      <c r="G16" s="4">
        <f>IF(ISBLANK(B16),,IFERROR(VLOOKUP(B16,CurrentRank!$B$2:$D$132,3,FALSE),130))</f>
        <v>43</v>
      </c>
      <c r="H16" s="4">
        <f>IFERROR(VLOOKUP(C16,Week7,2,FALSE),0)</f>
        <v>12.76</v>
      </c>
      <c r="I16" s="4">
        <f>IF(ISBLANK(B16),,IFERROR(VLOOKUP(C16,CurrentRank!$B$2:$C$132,2,FALSE),0))</f>
        <v>13.91</v>
      </c>
      <c r="J16" s="4">
        <f>IFERROR(VLOOKUP(C16,Week7,3,FALSE),130)</f>
        <v>130</v>
      </c>
      <c r="K16" s="4">
        <f>IF(ISBLANK(C16),,IFERROR(VLOOKUP(C16,CurrentRank!$B$2:$D$132,3,FALSE),130))</f>
        <v>129</v>
      </c>
      <c r="L16" s="19">
        <f t="shared" si="1"/>
        <v>0.7698</v>
      </c>
      <c r="M16" s="19">
        <f t="shared" si="2"/>
        <v>0.76935</v>
      </c>
      <c r="N16" s="24">
        <f t="shared" si="3"/>
        <v>85.5</v>
      </c>
      <c r="O16" s="21">
        <f t="shared" si="4"/>
        <v>12.5151</v>
      </c>
      <c r="P16" s="21">
        <f t="shared" si="5"/>
        <v>11.3501</v>
      </c>
      <c r="Q16" s="22">
        <f t="shared" si="6"/>
        <v>0.5099245</v>
      </c>
      <c r="R16" s="25" t="str">
        <f t="shared" si="7"/>
        <v>F</v>
      </c>
      <c r="S16" s="19">
        <f t="shared" si="8"/>
        <v>0.4275</v>
      </c>
      <c r="T16" s="19" t="str">
        <f t="shared" si="9"/>
        <v>F</v>
      </c>
      <c r="U16" s="3" t="s">
        <v>203</v>
      </c>
      <c r="V16" s="4" t="str">
        <f>IF(ISBLANK(C16),,IFERROR(IF(VLOOKUP(B16,Standings!$A:$F, 6, 0)=VLOOKUP(C16,Standings!$A:$F, 6, 0), VLOOKUP(B16,Standings!$A:$F, 6, 0), "Non-con"), "FCS"))</f>
        <v>AAC</v>
      </c>
      <c r="W16" s="3" t="str">
        <f t="shared" si="10"/>
        <v>South Florida</v>
      </c>
      <c r="X16" s="3" t="str">
        <f t="shared" si="11"/>
        <v>Tulsa</v>
      </c>
      <c r="Y16" s="30">
        <f>IF(D16=0,,IF(ISBLANK(Q16),,VLOOKUP(X16,Week7,2,FALSE)/(VLOOKUP(X16,Week7,2,FALSE)+VLOOKUP(W16,Week7,2,FALSE))+0.05)*100)</f>
        <v>80.13639906</v>
      </c>
      <c r="Z16" s="3" t="s">
        <v>132</v>
      </c>
      <c r="AA16" s="3">
        <v>42.0</v>
      </c>
      <c r="AB16" s="4" t="str">
        <f t="shared" si="12"/>
        <v>South Florida</v>
      </c>
      <c r="AC16" s="3">
        <v>13.0</v>
      </c>
      <c r="AD16" s="3"/>
      <c r="AE16" s="3">
        <f t="shared" si="13"/>
        <v>29</v>
      </c>
      <c r="AF16" s="3"/>
      <c r="AG16" s="3">
        <f t="shared" si="14"/>
        <v>1</v>
      </c>
      <c r="AH16" s="3"/>
      <c r="AI16" s="7"/>
      <c r="AJ16" s="4"/>
      <c r="AK16" s="7"/>
      <c r="AL16" s="7"/>
      <c r="AM16" s="7"/>
      <c r="AN16" s="7"/>
      <c r="AO16" s="7"/>
      <c r="AP16" s="7"/>
      <c r="AQ16" s="7"/>
      <c r="AR16" s="7"/>
      <c r="AS16" s="7"/>
      <c r="AT16" s="7"/>
      <c r="AU16" s="7"/>
      <c r="AV16" s="7"/>
      <c r="AW16" s="7"/>
      <c r="AX16" s="7"/>
    </row>
    <row r="17" ht="12.75" customHeight="1">
      <c r="A17" s="3">
        <v>17.0</v>
      </c>
      <c r="B17" s="3" t="s">
        <v>106</v>
      </c>
      <c r="C17" s="3" t="s">
        <v>100</v>
      </c>
      <c r="D17" s="4">
        <f>IFERROR(VLOOKUP(B17,Week16,2,FALSE),0)</f>
        <v>59.47</v>
      </c>
      <c r="E17" s="4">
        <f>IF(ISBLANK(B17),,IFERROR(VLOOKUP(B17,CurrentRank!$B$2:$C$132,2,FALSE),0))</f>
        <v>65.58</v>
      </c>
      <c r="F17" s="4">
        <f>IFERROR(VLOOKUP(B17,Week16,3,FALSE),130)</f>
        <v>21</v>
      </c>
      <c r="G17" s="4">
        <f>IF(ISBLANK(B17),,IFERROR(VLOOKUP(B17,CurrentRank!$B$2:$D$132,3,FALSE),130))</f>
        <v>17</v>
      </c>
      <c r="H17" s="4">
        <f>IFERROR(VLOOKUP(C17,Week16,2,FALSE),0)</f>
        <v>83.31</v>
      </c>
      <c r="I17" s="4">
        <f>IF(ISBLANK(B17),,IFERROR(VLOOKUP(C17,CurrentRank!$B$2:$C$132,2,FALSE),0))</f>
        <v>69.98</v>
      </c>
      <c r="J17" s="4">
        <f>IFERROR(VLOOKUP(C17,Week16,3,FALSE),130)</f>
        <v>5</v>
      </c>
      <c r="K17" s="4">
        <f>IF(ISBLANK(C17),,IFERROR(VLOOKUP(C17,CurrentRank!$B$2:$D$132,3,FALSE),130))</f>
        <v>13</v>
      </c>
      <c r="L17" s="19">
        <f t="shared" si="1"/>
        <v>0</v>
      </c>
      <c r="M17" s="19">
        <f t="shared" si="2"/>
        <v>0</v>
      </c>
      <c r="N17" s="24">
        <f t="shared" si="3"/>
        <v>13</v>
      </c>
      <c r="O17" s="21">
        <f t="shared" si="4"/>
        <v>-11.92</v>
      </c>
      <c r="P17" s="21">
        <f t="shared" si="5"/>
        <v>-2.2</v>
      </c>
      <c r="Q17" s="22">
        <f t="shared" si="6"/>
        <v>0.8754</v>
      </c>
      <c r="R17" s="25" t="str">
        <f t="shared" si="7"/>
        <v>B+</v>
      </c>
      <c r="S17" s="19">
        <f t="shared" si="8"/>
        <v>0.94</v>
      </c>
      <c r="T17" s="19" t="str">
        <f t="shared" si="9"/>
        <v>A</v>
      </c>
      <c r="U17" s="3" t="s">
        <v>223</v>
      </c>
      <c r="V17" s="4" t="str">
        <f>IF(ISBLANK(C17),,IFERROR(IF(VLOOKUP(B17,Standings!$A:$F, 6, 0)=VLOOKUP(C17,Standings!$A:$F, 6, 0), VLOOKUP(B17,Standings!$A:$F, 6, 0), "Non-con"), "FCS"))</f>
        <v>Non-con</v>
      </c>
      <c r="W17" s="3" t="str">
        <f t="shared" si="10"/>
        <v>Liberty</v>
      </c>
      <c r="X17" s="3" t="str">
        <f t="shared" si="11"/>
        <v>Coastal Carolina</v>
      </c>
      <c r="Y17" s="30">
        <f>IF(D17=0,,IF(ISBLANK(Q17),,VLOOKUP(X17,Week16,2,FALSE)/(VLOOKUP(X17,Week16,2,FALSE)+VLOOKUP(W17,Week16,2,FALSE)))*100)</f>
        <v>58.34850819</v>
      </c>
      <c r="Z17" s="3" t="s">
        <v>106</v>
      </c>
      <c r="AA17" s="3">
        <v>37.0</v>
      </c>
      <c r="AB17" s="4" t="str">
        <f t="shared" si="12"/>
        <v>Coastal Carolina</v>
      </c>
      <c r="AC17" s="3">
        <v>34.0</v>
      </c>
      <c r="AD17" s="3">
        <v>1.0</v>
      </c>
      <c r="AE17" s="3">
        <f t="shared" si="13"/>
        <v>3</v>
      </c>
      <c r="AF17" s="3" t="s">
        <v>224</v>
      </c>
      <c r="AG17" s="3">
        <f t="shared" si="14"/>
        <v>0</v>
      </c>
      <c r="AH17" s="3"/>
      <c r="AI17" s="7"/>
      <c r="AJ17" s="4"/>
      <c r="AK17" s="7"/>
      <c r="AL17" s="7"/>
      <c r="AM17" s="7"/>
      <c r="AN17" s="7"/>
      <c r="AO17" s="7"/>
      <c r="AP17" s="7"/>
      <c r="AQ17" s="7"/>
      <c r="AR17" s="7"/>
      <c r="AS17" s="7"/>
      <c r="AT17" s="7"/>
      <c r="AU17" s="7"/>
      <c r="AV17" s="7"/>
      <c r="AW17" s="7"/>
      <c r="AX17" s="7"/>
    </row>
    <row r="18" ht="12.75" hidden="1" customHeight="1">
      <c r="A18" s="3">
        <v>12.0</v>
      </c>
      <c r="B18" s="3" t="s">
        <v>18</v>
      </c>
      <c r="C18" s="3" t="s">
        <v>147</v>
      </c>
      <c r="D18" s="4">
        <f>IFERROR(VLOOKUP(B18,CurrentRank!$B$2:$C$132,2,FALSE),0)</f>
        <v>84.24</v>
      </c>
      <c r="E18" s="4">
        <f>IF(ISBLANK(B18),,IFERROR(VLOOKUP(B18,CurrentRank!$B$2:$C$132,2,FALSE),0))</f>
        <v>84.24</v>
      </c>
      <c r="F18" s="4">
        <f>IFERROR(VLOOKUP(B18,CurrentRank!$B$2:$D$132,3,FALSE),130)</f>
        <v>4</v>
      </c>
      <c r="G18" s="4">
        <f>IF(ISBLANK(B18),,IFERROR(VLOOKUP(B18,CurrentRank!$B$2:$D$132,3,FALSE),130))</f>
        <v>4</v>
      </c>
      <c r="H18" s="4">
        <f>IFERROR(VLOOKUP(C18,CurrentRank!$B$2:$C$132,2,FALSE),0)</f>
        <v>32.08</v>
      </c>
      <c r="I18" s="4">
        <f>IF(ISBLANK(B18),,IFERROR(VLOOKUP(C18,CurrentRank!$B$2:$C$132,2,FALSE),0))</f>
        <v>32.08</v>
      </c>
      <c r="J18" s="4">
        <f>IFERROR(VLOOKUP(C18,Week11,3,FALSE),130)</f>
        <v>118</v>
      </c>
      <c r="K18" s="4">
        <f>IFERROR(VLOOKUP(C18,CurrentRank!$B$2:$D$132,3,FALSE),130)</f>
        <v>93</v>
      </c>
      <c r="L18" s="19">
        <f t="shared" ref="L18:M18" si="15">IF(ISBLANK(C18),,(D18+H18)*0.015)</f>
        <v>1.7448</v>
      </c>
      <c r="M18" s="19">
        <f t="shared" si="15"/>
        <v>1.7448</v>
      </c>
      <c r="N18" s="24">
        <f>F18+K18</f>
        <v>97</v>
      </c>
      <c r="O18" s="21">
        <f t="shared" si="4"/>
        <v>25.2076</v>
      </c>
      <c r="P18" s="24">
        <f>(D18-(H18+L18))/2</f>
        <v>25.2076</v>
      </c>
      <c r="Q18" s="22">
        <f t="shared" si="6"/>
        <v>0.388962</v>
      </c>
      <c r="R18" s="25" t="str">
        <f t="shared" si="7"/>
        <v>F</v>
      </c>
      <c r="S18" s="19" t="str">
        <f t="shared" si="8"/>
        <v/>
      </c>
      <c r="T18" s="19" t="str">
        <f t="shared" si="9"/>
        <v/>
      </c>
      <c r="U18" s="3" t="s">
        <v>203</v>
      </c>
      <c r="V18" s="4" t="str">
        <f>IFERROR(IF(VLOOKUP(B18,Standings!$A:$F, 6, 0)=VLOOKUP(C18,Standings!$A:$F, 6, 0), VLOOKUP(B18,Standings!$A:$F, 6, 0), "Non-con"), "FCS")</f>
        <v>ACC</v>
      </c>
      <c r="W18" s="3" t="str">
        <f t="shared" si="10"/>
        <v>Florida State</v>
      </c>
      <c r="X18" s="3" t="str">
        <f t="shared" si="11"/>
        <v>Clemson</v>
      </c>
      <c r="Y18" s="30">
        <f>IF(D18=0,,IF(ISBLANK(Q18),,VLOOKUP(X18,Week11,2,FALSE)/(VLOOKUP(X18,Week11,2,FALSE)+VLOOKUP(W18,Week11,2,FALSE))+0.05)*100)</f>
        <v>80.10101464</v>
      </c>
      <c r="Z18" s="3"/>
      <c r="AA18" s="3"/>
      <c r="AB18" s="4"/>
      <c r="AC18" s="3"/>
      <c r="AD18" s="3"/>
      <c r="AE18" s="3" t="str">
        <f t="shared" si="13"/>
        <v/>
      </c>
      <c r="AF18" s="3" t="s">
        <v>226</v>
      </c>
      <c r="AG18" s="3" t="str">
        <f t="shared" si="14"/>
        <v/>
      </c>
      <c r="AH18" s="3"/>
      <c r="AI18" s="7"/>
      <c r="AJ18" s="4"/>
      <c r="AM18" s="7"/>
      <c r="AN18" s="7"/>
      <c r="AO18" s="7"/>
      <c r="AP18" s="7"/>
      <c r="AQ18" s="7"/>
      <c r="AR18" s="7"/>
      <c r="AS18" s="7"/>
      <c r="AT18" s="7"/>
      <c r="AU18" s="7"/>
      <c r="AV18" s="7"/>
      <c r="AW18" s="7"/>
      <c r="AX18" s="7"/>
    </row>
    <row r="19" ht="12.75" hidden="1" customHeight="1">
      <c r="A19" s="3">
        <v>6.0</v>
      </c>
      <c r="B19" s="3" t="s">
        <v>147</v>
      </c>
      <c r="C19" s="3" t="s">
        <v>28</v>
      </c>
      <c r="D19" s="4">
        <f>IFERROR(VLOOKUP(B19,Week5,2,FALSE),0)</f>
        <v>26.67</v>
      </c>
      <c r="E19" s="4">
        <f>IF(ISBLANK(B19),,IFERROR(VLOOKUP(B19,CurrentRank!$B$2:$C$132,2,FALSE),0))</f>
        <v>32.08</v>
      </c>
      <c r="F19" s="4">
        <f>IFERROR(VLOOKUP(B19,Week5,3,FALSE),130)</f>
        <v>122</v>
      </c>
      <c r="G19" s="4">
        <f>IF(ISBLANK(B19),,IFERROR(VLOOKUP(B19,CurrentRank!$B$2:$D$132,3,FALSE),130))</f>
        <v>93</v>
      </c>
      <c r="H19" s="4">
        <f>IFERROR(VLOOKUP(C19,Week5,2,FALSE),0)</f>
        <v>80.23</v>
      </c>
      <c r="I19" s="4">
        <f>IF(ISBLANK(B19),,IFERROR(VLOOKUP(C19,CurrentRank!$B$2:$C$132,2,FALSE),0))</f>
        <v>78.79</v>
      </c>
      <c r="J19" s="4">
        <f>IFERROR(VLOOKUP(C19,Week5,3,FALSE),130)</f>
        <v>7</v>
      </c>
      <c r="K19" s="4">
        <f>IF(ISBLANK(C19),,IFERROR(VLOOKUP(C19,CurrentRank!$B$2:$D$132,3,FALSE),130))</f>
        <v>7</v>
      </c>
      <c r="L19" s="19">
        <f t="shared" ref="L19:L20" si="16">IF(U19= "Yes", 0, IF(ISBLANK(C19),,(D19+H19)*0.015))</f>
        <v>1.6035</v>
      </c>
      <c r="M19" s="19">
        <f t="shared" ref="M19:M20" si="17">IF(U19= "Yes", 0, IF(ISBLANK(D19),,(E19+I19)*0.015))</f>
        <v>1.66305</v>
      </c>
      <c r="N19" s="24">
        <f t="shared" ref="N19:N25" si="18">IF(ISBLANK(C19),,(F19+J19)/2)</f>
        <v>64.5</v>
      </c>
      <c r="O19" s="21">
        <f t="shared" si="4"/>
        <v>-27.58175</v>
      </c>
      <c r="P19" s="21">
        <f t="shared" ref="P19:P25" si="19">IF(ISBLANK(C19),,(E19-(I19+L19))/2)</f>
        <v>-24.15675</v>
      </c>
      <c r="Q19" s="22">
        <f t="shared" si="6"/>
        <v>0.53959125</v>
      </c>
      <c r="R19" s="25" t="str">
        <f t="shared" si="7"/>
        <v>F</v>
      </c>
      <c r="S19" s="19">
        <f t="shared" si="8"/>
        <v>0.5975</v>
      </c>
      <c r="T19" s="19" t="str">
        <f t="shared" si="9"/>
        <v>D-</v>
      </c>
      <c r="U19" s="3" t="s">
        <v>203</v>
      </c>
      <c r="V19" s="4" t="str">
        <f>IF(ISBLANK(C19),,IFERROR(IF(VLOOKUP(B19,Standings!$A:$F, 6, 0)=VLOOKUP(C19,Standings!$A:$F, 6, 0), VLOOKUP(B19,Standings!$A:$F, 6, 0), "Non-con"), "FCS"))</f>
        <v>ACC</v>
      </c>
      <c r="W19" s="3" t="str">
        <f t="shared" si="10"/>
        <v>Florida State</v>
      </c>
      <c r="X19" s="3" t="str">
        <f t="shared" si="11"/>
        <v>Notre Dame</v>
      </c>
      <c r="Y19" s="30">
        <f>IF(D19=0,,IF(ISBLANK(Q19),,VLOOKUP(X19,Week5,2,FALSE)/(VLOOKUP(X19,Week5,2,FALSE)+VLOOKUP(W19,Week5,2,FALSE))+0.05)*100)</f>
        <v>80.05144995</v>
      </c>
      <c r="Z19" s="3" t="s">
        <v>28</v>
      </c>
      <c r="AA19" s="3">
        <v>42.0</v>
      </c>
      <c r="AB19" s="4" t="str">
        <f t="shared" ref="AB19:AB1004" si="20">IF(Z19&lt;&gt;"",(IF(Z19=B19, C19, B19)),"")</f>
        <v>Florida State</v>
      </c>
      <c r="AC19" s="3">
        <v>26.0</v>
      </c>
      <c r="AD19" s="3"/>
      <c r="AE19" s="3">
        <f t="shared" si="13"/>
        <v>16</v>
      </c>
      <c r="AF19" s="3"/>
      <c r="AG19" s="3">
        <f t="shared" si="14"/>
        <v>1</v>
      </c>
      <c r="AH19" s="3"/>
      <c r="AI19" s="7"/>
      <c r="AJ19" s="4"/>
      <c r="AK19" s="7"/>
      <c r="AL19" s="7"/>
      <c r="AM19" s="7"/>
      <c r="AN19" s="7"/>
      <c r="AO19" s="7"/>
      <c r="AP19" s="7"/>
      <c r="AQ19" s="7"/>
      <c r="AR19" s="7"/>
      <c r="AS19" s="7"/>
      <c r="AT19" s="7"/>
      <c r="AU19" s="7"/>
      <c r="AV19" s="7"/>
      <c r="AW19" s="7"/>
      <c r="AX19" s="7"/>
    </row>
    <row r="20" ht="12.75" hidden="1" customHeight="1">
      <c r="A20" s="3">
        <v>10.0</v>
      </c>
      <c r="B20" s="3" t="s">
        <v>123</v>
      </c>
      <c r="C20" s="3" t="s">
        <v>60</v>
      </c>
      <c r="D20" s="4">
        <f>IFERROR(VLOOKUP(B20,Week9,2,FALSE),0)</f>
        <v>12.11</v>
      </c>
      <c r="E20" s="4">
        <f>IF(ISBLANK(B20),,IFERROR(VLOOKUP(B20,CurrentRank!$B$2:$C$132,2,FALSE),0))</f>
        <v>13.91</v>
      </c>
      <c r="F20" s="4">
        <f>IFERROR(VLOOKUP(B20,Week9,3,FALSE),130)</f>
        <v>130</v>
      </c>
      <c r="G20" s="4">
        <f>IF(ISBLANK(B20),,IFERROR(VLOOKUP(B20,CurrentRank!$B$2:$D$132,3,FALSE),130))</f>
        <v>129</v>
      </c>
      <c r="H20" s="4">
        <f>IFERROR(VLOOKUP(C20,Week9,2,FALSE),0)</f>
        <v>36.35</v>
      </c>
      <c r="I20" s="4">
        <f>IF(ISBLANK(B20),,IFERROR(VLOOKUP(C20,CurrentRank!$B$2:$C$132,2,FALSE),0))</f>
        <v>35.34</v>
      </c>
      <c r="J20" s="4">
        <f>IFERROR(VLOOKUP(C20,Week9,3,FALSE),130)</f>
        <v>53</v>
      </c>
      <c r="K20" s="4">
        <f>IF(ISBLANK(C20),,IFERROR(VLOOKUP(C20,CurrentRank!$B$2:$D$132,3,FALSE),130))</f>
        <v>61</v>
      </c>
      <c r="L20" s="19">
        <f t="shared" si="16"/>
        <v>0.7269</v>
      </c>
      <c r="M20" s="19">
        <f t="shared" si="17"/>
        <v>0.73875</v>
      </c>
      <c r="N20" s="24">
        <f t="shared" si="18"/>
        <v>91.5</v>
      </c>
      <c r="O20" s="21">
        <f t="shared" si="4"/>
        <v>-12.48345</v>
      </c>
      <c r="P20" s="21">
        <f t="shared" si="19"/>
        <v>-11.07845</v>
      </c>
      <c r="Q20" s="22">
        <f t="shared" si="6"/>
        <v>0.48008275</v>
      </c>
      <c r="R20" s="25" t="str">
        <f t="shared" si="7"/>
        <v>F</v>
      </c>
      <c r="S20" s="19">
        <f t="shared" si="8"/>
        <v>0.5375</v>
      </c>
      <c r="T20" s="19" t="str">
        <f t="shared" si="9"/>
        <v>F</v>
      </c>
      <c r="U20" s="3" t="s">
        <v>203</v>
      </c>
      <c r="V20" s="4" t="str">
        <f>IF(ISBLANK(C20),,IFERROR(IF(VLOOKUP(B20,Standings!$A:$F, 6, 0)=VLOOKUP(C20,Standings!$A:$F, 6, 0), VLOOKUP(B20,Standings!$A:$F, 6, 0), "Non-con"), "FCS"))</f>
        <v>AAC</v>
      </c>
      <c r="W20" s="3" t="str">
        <f t="shared" si="10"/>
        <v>South Florida</v>
      </c>
      <c r="X20" s="3" t="str">
        <f t="shared" si="11"/>
        <v>Memphis</v>
      </c>
      <c r="Y20" s="30">
        <f>IF(D20=0,,IF(ISBLANK(Q20),,VLOOKUP(X20,Week9,2,FALSE)/(VLOOKUP(X20,Week9,2,FALSE)+VLOOKUP(W20,Week9,2,FALSE))+0.05)*100)</f>
        <v>80.01031779</v>
      </c>
      <c r="Z20" s="3" t="s">
        <v>60</v>
      </c>
      <c r="AA20" s="3">
        <v>34.0</v>
      </c>
      <c r="AB20" s="4" t="str">
        <f t="shared" si="20"/>
        <v>South Florida</v>
      </c>
      <c r="AC20" s="3">
        <v>33.0</v>
      </c>
      <c r="AD20" s="3"/>
      <c r="AE20" s="3">
        <f t="shared" si="13"/>
        <v>1</v>
      </c>
      <c r="AF20" s="3"/>
      <c r="AG20" s="3">
        <f t="shared" si="14"/>
        <v>1</v>
      </c>
      <c r="AH20" s="3"/>
      <c r="AI20" s="7"/>
      <c r="AJ20" s="4" t="s">
        <v>100</v>
      </c>
      <c r="AK20" s="7"/>
      <c r="AL20" s="7"/>
      <c r="AM20" s="7"/>
      <c r="AN20" s="7"/>
      <c r="AO20" s="7"/>
      <c r="AP20" s="7"/>
      <c r="AQ20" s="7"/>
      <c r="AR20" s="7"/>
      <c r="AS20" s="7"/>
      <c r="AT20" s="7"/>
      <c r="AU20" s="7"/>
      <c r="AV20" s="7"/>
      <c r="AW20" s="7"/>
      <c r="AX20" s="7"/>
    </row>
    <row r="21" ht="12.75" hidden="1" customHeight="1">
      <c r="A21" s="3">
        <v>16.0</v>
      </c>
      <c r="B21" s="3" t="s">
        <v>181</v>
      </c>
      <c r="C21" s="3" t="s">
        <v>33</v>
      </c>
      <c r="D21" s="4">
        <f>IFERROR(VLOOKUP(B21,Week15,2,FALSE),0)</f>
        <v>25.17</v>
      </c>
      <c r="E21" s="4">
        <f>IF(ISBLANK(B21),,IFERROR(VLOOKUP(B21,CurrentRank!$B$2:$C$132,2,FALSE),0))</f>
        <v>25.47</v>
      </c>
      <c r="F21" s="4">
        <f>IFERROR(VLOOKUP(B21,Week15,3,FALSE),130)</f>
        <v>125</v>
      </c>
      <c r="G21" s="4">
        <f>IF(ISBLANK(B21),,IFERROR(VLOOKUP(B21,CurrentRank!$B$2:$D$132,3,FALSE),130))</f>
        <v>125</v>
      </c>
      <c r="H21" s="4">
        <f>IFERROR(VLOOKUP(C21,Week15,2,FALSE),0)</f>
        <v>75.51</v>
      </c>
      <c r="I21" s="4">
        <f>IF(ISBLANK(B21),,IFERROR(VLOOKUP(C21,CurrentRank!$B$2:$C$132,2,FALSE),0))</f>
        <v>79.21</v>
      </c>
      <c r="J21" s="4">
        <f>IFERROR(VLOOKUP(C21,Week15,3,FALSE),130)</f>
        <v>10</v>
      </c>
      <c r="K21" s="4">
        <f>IF(ISBLANK(C21),,IFERROR(VLOOKUP(C21,CurrentRank!$B$2:$D$132,3,FALSE),130))</f>
        <v>6</v>
      </c>
      <c r="L21" s="19">
        <f t="shared" ref="L21:M21" si="21">IF(ISBLANK(C21),,(D21+H21)*0.015)</f>
        <v>1.5102</v>
      </c>
      <c r="M21" s="19">
        <f t="shared" si="21"/>
        <v>1.5702</v>
      </c>
      <c r="N21" s="24">
        <f t="shared" si="18"/>
        <v>67.5</v>
      </c>
      <c r="O21" s="21">
        <f t="shared" si="4"/>
        <v>-25.9251</v>
      </c>
      <c r="P21" s="21">
        <f t="shared" si="19"/>
        <v>-27.6251</v>
      </c>
      <c r="Q21" s="22">
        <f t="shared" si="6"/>
        <v>0.5328745</v>
      </c>
      <c r="R21" s="25" t="str">
        <f t="shared" si="7"/>
        <v>F</v>
      </c>
      <c r="S21" s="19" t="str">
        <f t="shared" si="8"/>
        <v/>
      </c>
      <c r="T21" s="19" t="str">
        <f t="shared" si="9"/>
        <v/>
      </c>
      <c r="U21" s="3" t="s">
        <v>203</v>
      </c>
      <c r="V21" s="4" t="str">
        <f>IF(ISBLANK(C21),,IFERROR(IF(VLOOKUP(B21,Standings!$A:$F, 6, 0)=VLOOKUP(C21,Standings!$A:$F, 6, 0), VLOOKUP(B21,Standings!$A:$F, 6, 0), "Non-con"), "FCS"))</f>
        <v>SEC</v>
      </c>
      <c r="W21" s="3" t="str">
        <f t="shared" si="10"/>
        <v>Vanderbilt</v>
      </c>
      <c r="X21" s="3" t="str">
        <f t="shared" si="11"/>
        <v>Georgia</v>
      </c>
      <c r="Y21" s="30">
        <f>IF(D21=0,,IF(ISBLANK(Q21),,VLOOKUP(X21,Week15,2,FALSE)/(VLOOKUP(X21,Week15,2,FALSE)+VLOOKUP(W21,Week15,2,FALSE))+0.05)*100)</f>
        <v>80</v>
      </c>
      <c r="Z21" s="4"/>
      <c r="AA21" s="3"/>
      <c r="AB21" s="4" t="str">
        <f t="shared" si="20"/>
        <v/>
      </c>
      <c r="AC21" s="3"/>
      <c r="AD21" s="3"/>
      <c r="AE21" s="3" t="str">
        <f t="shared" si="13"/>
        <v/>
      </c>
      <c r="AF21" s="3" t="s">
        <v>226</v>
      </c>
      <c r="AG21" s="3" t="str">
        <f t="shared" si="14"/>
        <v/>
      </c>
      <c r="AH21" s="3"/>
      <c r="AI21" s="7"/>
      <c r="AJ21" s="4"/>
      <c r="AK21" s="7"/>
      <c r="AL21" s="7"/>
      <c r="AM21" s="7"/>
      <c r="AN21" s="7"/>
      <c r="AO21" s="7"/>
      <c r="AP21" s="7"/>
      <c r="AQ21" s="7"/>
      <c r="AR21" s="7"/>
      <c r="AS21" s="7"/>
      <c r="AT21" s="7"/>
      <c r="AU21" s="7"/>
      <c r="AV21" s="7"/>
      <c r="AW21" s="7"/>
      <c r="AX21" s="7"/>
    </row>
    <row r="22" ht="12.75" customHeight="1">
      <c r="A22" s="3">
        <v>14.0</v>
      </c>
      <c r="B22" s="3" t="s">
        <v>73</v>
      </c>
      <c r="C22" s="3" t="s">
        <v>100</v>
      </c>
      <c r="D22" s="4">
        <f>IFERROR(VLOOKUP(B22,Week13,2,FALSE),0)</f>
        <v>79.2</v>
      </c>
      <c r="E22" s="4">
        <f>IF(ISBLANK(B22),,IFERROR(VLOOKUP(B22,CurrentRank!$B$2:$C$132,2,FALSE),0))</f>
        <v>69.33</v>
      </c>
      <c r="F22" s="4">
        <f>IFERROR(VLOOKUP(B22,Week13,3,FALSE),130)</f>
        <v>8</v>
      </c>
      <c r="G22" s="4">
        <f>IF(ISBLANK(B22),,IFERROR(VLOOKUP(B22,CurrentRank!$B$2:$D$132,3,FALSE),130))</f>
        <v>15</v>
      </c>
      <c r="H22" s="4">
        <f>IFERROR(VLOOKUP(C22,Week13,2,FALSE),0)</f>
        <v>77.29</v>
      </c>
      <c r="I22" s="4">
        <f>IF(ISBLANK(B22),,IFERROR(VLOOKUP(C22,CurrentRank!$B$2:$C$132,2,FALSE),0))</f>
        <v>69.98</v>
      </c>
      <c r="J22" s="4">
        <f>IFERROR(VLOOKUP(C22,Week13,3,FALSE),130)</f>
        <v>9</v>
      </c>
      <c r="K22" s="4">
        <f>IF(ISBLANK(C22),,IFERROR(VLOOKUP(C22,CurrentRank!$B$2:$D$132,3,FALSE),130))</f>
        <v>13</v>
      </c>
      <c r="L22" s="19">
        <f t="shared" ref="L22:L23" si="22">IF(U22= "Yes", 0, IF(ISBLANK(C22),,(D22+H22)*0.015))</f>
        <v>2.34735</v>
      </c>
      <c r="M22" s="19">
        <f t="shared" ref="M22:M23" si="23">IF(U22= "Yes", 0, IF(ISBLANK(D22),,(E22+I22)*0.015))</f>
        <v>2.08965</v>
      </c>
      <c r="N22" s="24">
        <f t="shared" si="18"/>
        <v>8.5</v>
      </c>
      <c r="O22" s="21">
        <f t="shared" si="4"/>
        <v>-0.218675</v>
      </c>
      <c r="P22" s="21">
        <f t="shared" si="19"/>
        <v>-1.498675</v>
      </c>
      <c r="Q22" s="22">
        <f t="shared" si="6"/>
        <v>0.956406625</v>
      </c>
      <c r="R22" s="25" t="str">
        <f t="shared" si="7"/>
        <v>A</v>
      </c>
      <c r="S22" s="19">
        <f t="shared" si="8"/>
        <v>0.9275</v>
      </c>
      <c r="T22" s="19" t="str">
        <f t="shared" si="9"/>
        <v>A</v>
      </c>
      <c r="U22" s="3" t="s">
        <v>203</v>
      </c>
      <c r="V22" s="4" t="str">
        <f>IF(ISBLANK(C22),,IFERROR(IF(VLOOKUP(B22,Standings!$A:$F, 6, 0)=VLOOKUP(C22,Standings!$A:$F, 6, 0), VLOOKUP(B22,Standings!$A:$F, 6, 0), "Non-con"), "FCS"))</f>
        <v>Non-con</v>
      </c>
      <c r="W22" s="3" t="str">
        <f t="shared" si="10"/>
        <v>BYU</v>
      </c>
      <c r="X22" s="3" t="str">
        <f t="shared" si="11"/>
        <v>Coastal Carolina</v>
      </c>
      <c r="Y22" s="30">
        <f>IF(D22=0,,IF(ISBLANK(Q22),,VLOOKUP(X22,Week13,2,FALSE)/(VLOOKUP(X22,Week13,2,FALSE)+VLOOKUP(W22,Week13,2,FALSE))+0.05)*100)</f>
        <v>54.38973736</v>
      </c>
      <c r="Z22" s="3" t="s">
        <v>100</v>
      </c>
      <c r="AA22" s="3">
        <v>22.0</v>
      </c>
      <c r="AB22" s="4" t="str">
        <f t="shared" si="20"/>
        <v>BYU</v>
      </c>
      <c r="AC22" s="3">
        <v>16.0</v>
      </c>
      <c r="AD22" s="3"/>
      <c r="AE22" s="3">
        <f t="shared" si="13"/>
        <v>6</v>
      </c>
      <c r="AF22" s="3"/>
      <c r="AG22" s="3"/>
      <c r="AH22" s="3"/>
      <c r="AI22" s="7"/>
      <c r="AJ22" s="4" t="s">
        <v>127</v>
      </c>
      <c r="AK22" s="7"/>
      <c r="AL22" s="7"/>
      <c r="AM22" s="7"/>
      <c r="AN22" s="7"/>
      <c r="AO22" s="7"/>
      <c r="AP22" s="7"/>
      <c r="AQ22" s="7"/>
      <c r="AR22" s="7"/>
      <c r="AS22" s="7"/>
      <c r="AT22" s="7"/>
      <c r="AU22" s="7"/>
      <c r="AV22" s="7"/>
      <c r="AW22" s="7"/>
      <c r="AX22" s="7"/>
    </row>
    <row r="23" ht="12.75" hidden="1" customHeight="1">
      <c r="A23" s="3">
        <v>10.0</v>
      </c>
      <c r="B23" s="3" t="s">
        <v>192</v>
      </c>
      <c r="C23" s="3" t="s">
        <v>51</v>
      </c>
      <c r="D23" s="4">
        <f>IFERROR(VLOOKUP(B23,Week9,2,FALSE),0)</f>
        <v>20.73</v>
      </c>
      <c r="E23" s="4">
        <f>IF(ISBLANK(B23),,IFERROR(VLOOKUP(B23,CurrentRank!$B$2:$C$132,2,FALSE),0))</f>
        <v>21.55</v>
      </c>
      <c r="F23" s="4">
        <f>IFERROR(VLOOKUP(B23,Week9,3,FALSE),130)</f>
        <v>128</v>
      </c>
      <c r="G23" s="4">
        <f>IF(ISBLANK(B23),,IFERROR(VLOOKUP(B23,CurrentRank!$B$2:$D$132,3,FALSE),130))</f>
        <v>127</v>
      </c>
      <c r="H23" s="4">
        <f>IFERROR(VLOOKUP(C23,Week9,2,FALSE),0)</f>
        <v>60.84</v>
      </c>
      <c r="I23" s="4">
        <f>IF(ISBLANK(B23),,IFERROR(VLOOKUP(C23,CurrentRank!$B$2:$C$132,2,FALSE),0))</f>
        <v>81.57</v>
      </c>
      <c r="J23" s="4">
        <f>IFERROR(VLOOKUP(C23,Week9,3,FALSE),130)</f>
        <v>18</v>
      </c>
      <c r="K23" s="4">
        <f>IF(ISBLANK(C23),,IFERROR(VLOOKUP(C23,CurrentRank!$B$2:$D$132,3,FALSE),130))</f>
        <v>5</v>
      </c>
      <c r="L23" s="19">
        <f t="shared" si="22"/>
        <v>1.22355</v>
      </c>
      <c r="M23" s="19">
        <f t="shared" si="23"/>
        <v>1.5468</v>
      </c>
      <c r="N23" s="24">
        <f t="shared" si="18"/>
        <v>73</v>
      </c>
      <c r="O23" s="21">
        <f t="shared" si="4"/>
        <v>-20.666775</v>
      </c>
      <c r="P23" s="21">
        <f t="shared" si="19"/>
        <v>-30.621775</v>
      </c>
      <c r="Q23" s="22">
        <f t="shared" si="6"/>
        <v>0.531666125</v>
      </c>
      <c r="R23" s="25" t="str">
        <f t="shared" si="7"/>
        <v>F</v>
      </c>
      <c r="S23" s="19">
        <f t="shared" si="8"/>
        <v>0.37</v>
      </c>
      <c r="T23" s="19" t="str">
        <f t="shared" si="9"/>
        <v>F</v>
      </c>
      <c r="U23" s="3" t="s">
        <v>203</v>
      </c>
      <c r="V23" s="4" t="str">
        <f>IF(ISBLANK(C23),,IFERROR(IF(VLOOKUP(B23,Standings!$A:$F, 6, 0)=VLOOKUP(C23,Standings!$A:$F, 6, 0), VLOOKUP(B23,Standings!$A:$F, 6, 0), "Non-con"), "FCS"))</f>
        <v>BIG12</v>
      </c>
      <c r="W23" s="3" t="str">
        <f t="shared" si="10"/>
        <v>Kansas</v>
      </c>
      <c r="X23" s="3" t="str">
        <f t="shared" si="11"/>
        <v>Oklahoma</v>
      </c>
      <c r="Y23" s="30">
        <f>IF(D23=0,,IF(ISBLANK(Q23),,VLOOKUP(X23,Week9,2,FALSE)/(VLOOKUP(X23,Week9,2,FALSE)+VLOOKUP(W23,Week9,2,FALSE))+0.05)*100)</f>
        <v>79.58624494</v>
      </c>
      <c r="Z23" s="3" t="s">
        <v>51</v>
      </c>
      <c r="AA23" s="3">
        <v>62.0</v>
      </c>
      <c r="AB23" s="4" t="str">
        <f t="shared" si="20"/>
        <v>Kansas</v>
      </c>
      <c r="AC23" s="3">
        <v>9.0</v>
      </c>
      <c r="AD23" s="3"/>
      <c r="AE23" s="3">
        <f t="shared" si="13"/>
        <v>53</v>
      </c>
      <c r="AF23" s="3"/>
      <c r="AG23" s="3">
        <f t="shared" ref="AG23:AG278" si="25">IF(ISBLANK(S23),,If(X23=Z23, 1, 0))</f>
        <v>1</v>
      </c>
      <c r="AH23" s="3"/>
      <c r="AI23" s="7"/>
      <c r="AJ23" s="4"/>
      <c r="AK23" s="7"/>
      <c r="AL23" s="7"/>
      <c r="AM23" s="7"/>
      <c r="AN23" s="7"/>
      <c r="AO23" s="7"/>
      <c r="AP23" s="7"/>
      <c r="AQ23" s="7"/>
      <c r="AR23" s="7"/>
      <c r="AS23" s="7"/>
      <c r="AT23" s="7"/>
      <c r="AU23" s="7"/>
      <c r="AV23" s="7"/>
      <c r="AW23" s="7"/>
      <c r="AX23" s="7"/>
    </row>
    <row r="24" ht="12.75" hidden="1" customHeight="1">
      <c r="A24" s="3">
        <v>11.0</v>
      </c>
      <c r="B24" s="3" t="s">
        <v>23</v>
      </c>
      <c r="C24" s="3" t="s">
        <v>53</v>
      </c>
      <c r="D24" s="4">
        <f>IFERROR(VLOOKUP(B24,CurrentRank!$B$2:$C$132,2,FALSE),0)</f>
        <v>96.59</v>
      </c>
      <c r="E24" s="4">
        <f>IF(ISBLANK(B24),,IFERROR(VLOOKUP(B24,CurrentRank!$B$2:$C$132,2,FALSE),0))</f>
        <v>96.59</v>
      </c>
      <c r="F24" s="4">
        <f>IFERROR(VLOOKUP(B24,Week10,3,FALSE),130)</f>
        <v>1</v>
      </c>
      <c r="G24" s="4">
        <f>IF(ISBLANK(B24),,IFERROR(VLOOKUP(B24,CurrentRank!$B$2:$D$132,3,FALSE),130))</f>
        <v>1</v>
      </c>
      <c r="H24" s="4">
        <f>IFERROR(VLOOKUP(C24,CurrentRank!$B$2:$C$132,2,FALSE),0)</f>
        <v>37.27</v>
      </c>
      <c r="I24" s="4">
        <f>IF(ISBLANK(B24),,IFERROR(VLOOKUP(C24,CurrentRank!$B$2:$C$132,2,FALSE),0))</f>
        <v>37.27</v>
      </c>
      <c r="J24" s="4">
        <f>IFERROR(VLOOKUP(C24,Week10,3,FALSE),130)</f>
        <v>80</v>
      </c>
      <c r="K24" s="4">
        <f>IF(ISBLANK(C24),,IFERROR(VLOOKUP(C24,CurrentRank!$B$2:$D$132,3,FALSE),130))</f>
        <v>45</v>
      </c>
      <c r="L24" s="19">
        <f t="shared" ref="L24:M24" si="24">IF(ISBLANK(C24),,(D24+H24)*0.015)</f>
        <v>2.0079</v>
      </c>
      <c r="M24" s="19">
        <f t="shared" si="24"/>
        <v>2.0079</v>
      </c>
      <c r="N24" s="24">
        <f t="shared" si="18"/>
        <v>40.5</v>
      </c>
      <c r="O24" s="21">
        <f t="shared" si="4"/>
        <v>28.65605</v>
      </c>
      <c r="P24" s="21">
        <f t="shared" si="19"/>
        <v>28.65605</v>
      </c>
      <c r="Q24" s="22">
        <f t="shared" si="6"/>
        <v>0.65421975</v>
      </c>
      <c r="R24" s="25" t="str">
        <f t="shared" si="7"/>
        <v>D</v>
      </c>
      <c r="S24" s="19" t="str">
        <f t="shared" si="8"/>
        <v/>
      </c>
      <c r="T24" s="19" t="str">
        <f t="shared" si="9"/>
        <v/>
      </c>
      <c r="U24" s="3" t="s">
        <v>203</v>
      </c>
      <c r="V24" s="4" t="str">
        <f>IFERROR(IF(VLOOKUP(B24,Standings!$A:$F, 6, 0)=VLOOKUP(C24,Standings!$A:$F, 6, 0), VLOOKUP(B24,Standings!$A:$F, 6, 0), "Non-con"), "FCS")</f>
        <v>SEC</v>
      </c>
      <c r="W24" s="3" t="str">
        <f t="shared" si="10"/>
        <v>LSU</v>
      </c>
      <c r="X24" s="3" t="str">
        <f t="shared" si="11"/>
        <v>Alabama</v>
      </c>
      <c r="Y24" s="30">
        <f>IF(D24=0,,IF(ISBLANK(Q24),,VLOOKUP(X24,Week10,2,FALSE)/(VLOOKUP(X24,Week10,2,FALSE)+VLOOKUP(W24,Week10,2,FALSE))+0.05)*100)</f>
        <v>79.31287129</v>
      </c>
      <c r="Z24" s="3"/>
      <c r="AA24" s="3"/>
      <c r="AB24" s="4" t="str">
        <f t="shared" si="20"/>
        <v/>
      </c>
      <c r="AC24" s="3"/>
      <c r="AD24" s="3"/>
      <c r="AE24" s="3" t="str">
        <f t="shared" si="13"/>
        <v/>
      </c>
      <c r="AF24" s="3" t="s">
        <v>228</v>
      </c>
      <c r="AG24" s="3" t="str">
        <f t="shared" si="25"/>
        <v/>
      </c>
      <c r="AH24" s="3"/>
      <c r="AI24" s="7"/>
      <c r="AJ24" s="4"/>
      <c r="AK24" s="7"/>
      <c r="AL24" s="7"/>
      <c r="AM24" s="7"/>
      <c r="AN24" s="7"/>
      <c r="AO24" s="7"/>
      <c r="AP24" s="7"/>
      <c r="AQ24" s="7"/>
      <c r="AR24" s="7"/>
      <c r="AS24" s="7"/>
      <c r="AT24" s="7"/>
      <c r="AU24" s="7"/>
      <c r="AV24" s="7"/>
      <c r="AW24" s="7"/>
      <c r="AX24" s="7"/>
    </row>
    <row r="25" ht="12.75" hidden="1" customHeight="1">
      <c r="A25" s="3">
        <v>14.0</v>
      </c>
      <c r="B25" s="3" t="s">
        <v>181</v>
      </c>
      <c r="C25" s="3" t="s">
        <v>33</v>
      </c>
      <c r="D25" s="4">
        <f>IFERROR(VLOOKUP(B25,Week13,2,FALSE),0)</f>
        <v>24.94</v>
      </c>
      <c r="E25" s="4">
        <f>IF(ISBLANK(B25),,IFERROR(VLOOKUP(B25,CurrentRank!$B$2:$C$132,2,FALSE),0))</f>
        <v>25.47</v>
      </c>
      <c r="F25" s="4">
        <f>IFERROR(VLOOKUP(B25,Week13,3,FALSE),130)</f>
        <v>125</v>
      </c>
      <c r="G25" s="4">
        <f>IF(ISBLANK(B25),,IFERROR(VLOOKUP(B25,CurrentRank!$B$2:$D$132,3,FALSE),130))</f>
        <v>125</v>
      </c>
      <c r="H25" s="4">
        <f>IFERROR(VLOOKUP(C25,Week13,2,FALSE),0)</f>
        <v>72.09</v>
      </c>
      <c r="I25" s="4">
        <f>IF(ISBLANK(B25),,IFERROR(VLOOKUP(C25,CurrentRank!$B$2:$C$132,2,FALSE),0))</f>
        <v>79.21</v>
      </c>
      <c r="J25" s="4">
        <f>IFERROR(VLOOKUP(C25,Week13,3,FALSE),130)</f>
        <v>13</v>
      </c>
      <c r="K25" s="4">
        <f>IF(ISBLANK(C25),,IFERROR(VLOOKUP(C25,CurrentRank!$B$2:$D$132,3,FALSE),130))</f>
        <v>6</v>
      </c>
      <c r="L25" s="19">
        <f t="shared" ref="L25:M25" si="26">IF(ISBLANK(C25),,(D25+H25)*0.015)</f>
        <v>1.45545</v>
      </c>
      <c r="M25" s="19">
        <f t="shared" si="26"/>
        <v>1.5702</v>
      </c>
      <c r="N25" s="24">
        <f t="shared" si="18"/>
        <v>69</v>
      </c>
      <c r="O25" s="21">
        <f t="shared" si="4"/>
        <v>-24.302725</v>
      </c>
      <c r="P25" s="21">
        <f t="shared" si="19"/>
        <v>-27.597725</v>
      </c>
      <c r="Q25" s="22">
        <f t="shared" si="6"/>
        <v>0.533486375</v>
      </c>
      <c r="R25" s="25" t="str">
        <f t="shared" si="7"/>
        <v>F</v>
      </c>
      <c r="S25" s="19" t="str">
        <f t="shared" si="8"/>
        <v/>
      </c>
      <c r="T25" s="19" t="str">
        <f t="shared" si="9"/>
        <v/>
      </c>
      <c r="U25" s="3" t="s">
        <v>203</v>
      </c>
      <c r="V25" s="4" t="str">
        <f>IF(ISBLANK(C25),,IFERROR(IF(VLOOKUP(B25,Standings!$A:$F, 6, 0)=VLOOKUP(C25,Standings!$A:$F, 6, 0), VLOOKUP(B25,Standings!$A:$F, 6, 0), "Non-con"), "FCS"))</f>
        <v>SEC</v>
      </c>
      <c r="W25" s="3" t="str">
        <f t="shared" si="10"/>
        <v>Vanderbilt</v>
      </c>
      <c r="X25" s="3" t="str">
        <f t="shared" si="11"/>
        <v>Georgia</v>
      </c>
      <c r="Y25" s="30">
        <f>IF(D25=0,,IF(ISBLANK(Q25),,VLOOKUP(X25,Week13,2,FALSE)/(VLOOKUP(X25,Week13,2,FALSE)+VLOOKUP(W25,Week13,2,FALSE))+0.05)*100)</f>
        <v>79.2966093</v>
      </c>
      <c r="Z25" s="3"/>
      <c r="AA25" s="3"/>
      <c r="AB25" s="4" t="str">
        <f t="shared" si="20"/>
        <v/>
      </c>
      <c r="AC25" s="3"/>
      <c r="AD25" s="3"/>
      <c r="AE25" s="3" t="str">
        <f t="shared" si="13"/>
        <v/>
      </c>
      <c r="AF25" s="3" t="s">
        <v>228</v>
      </c>
      <c r="AG25" s="3" t="str">
        <f t="shared" si="25"/>
        <v/>
      </c>
      <c r="AH25" s="3"/>
      <c r="AI25" s="7"/>
      <c r="AJ25" s="4"/>
      <c r="AK25" s="7"/>
      <c r="AL25" s="7"/>
      <c r="AM25" s="7"/>
      <c r="AN25" s="7"/>
      <c r="AO25" s="7"/>
      <c r="AP25" s="7"/>
      <c r="AQ25" s="7"/>
      <c r="AR25" s="7"/>
      <c r="AS25" s="7"/>
      <c r="AT25" s="7"/>
      <c r="AU25" s="7"/>
      <c r="AV25" s="7"/>
      <c r="AW25" s="7"/>
      <c r="AX25" s="7"/>
    </row>
    <row r="26" ht="12.75" hidden="1" customHeight="1">
      <c r="A26" s="3">
        <v>12.0</v>
      </c>
      <c r="B26" s="3" t="s">
        <v>140</v>
      </c>
      <c r="C26" s="3" t="s">
        <v>95</v>
      </c>
      <c r="D26" s="4">
        <f>IFERROR(VLOOKUP(B26,CurrentRank!$B$2:$C$132,2,FALSE),0)</f>
        <v>22.5</v>
      </c>
      <c r="E26" s="4">
        <f>IF(ISBLANK(B26),,IFERROR(VLOOKUP(B26,CurrentRank!$B$2:$C$132,2,FALSE),0))</f>
        <v>22.5</v>
      </c>
      <c r="F26" s="4">
        <f>IFERROR(VLOOKUP(B26,CurrentRank!$B$2:$D$132,3,FALSE),130)</f>
        <v>126</v>
      </c>
      <c r="G26" s="4">
        <f>IF(ISBLANK(B26),,IFERROR(VLOOKUP(B26,CurrentRank!$B$2:$D$132,3,FALSE),130))</f>
        <v>126</v>
      </c>
      <c r="H26" s="4">
        <f>IFERROR(VLOOKUP(C26,CurrentRank!$B$2:$C$132,2,FALSE),0)</f>
        <v>33.45</v>
      </c>
      <c r="I26" s="4">
        <f>IF(ISBLANK(B26),,IFERROR(VLOOKUP(C26,CurrentRank!$B$2:$C$132,2,FALSE),0))</f>
        <v>33.45</v>
      </c>
      <c r="J26" s="4">
        <f>IFERROR(VLOOKUP(C26,Week11,3,FALSE),130)</f>
        <v>14</v>
      </c>
      <c r="K26" s="4">
        <f>IFERROR(VLOOKUP(C26,CurrentRank!$B$2:$D$132,3,FALSE),130)</f>
        <v>81</v>
      </c>
      <c r="L26" s="19">
        <f t="shared" ref="L26:M26" si="27">IF(ISBLANK(C26),,(D26+H26)*0.015)</f>
        <v>0.83925</v>
      </c>
      <c r="M26" s="19">
        <f t="shared" si="27"/>
        <v>0.83925</v>
      </c>
      <c r="N26" s="24">
        <f>(F26+K26)/2</f>
        <v>103.5</v>
      </c>
      <c r="O26" s="21">
        <f t="shared" si="4"/>
        <v>-5.894625</v>
      </c>
      <c r="P26" s="24">
        <f>(D26-(H26+L26))/2</f>
        <v>-5.894625</v>
      </c>
      <c r="Q26" s="22">
        <f t="shared" si="6"/>
        <v>0.453026875</v>
      </c>
      <c r="R26" s="25" t="str">
        <f t="shared" si="7"/>
        <v>F</v>
      </c>
      <c r="S26" s="19" t="str">
        <f t="shared" si="8"/>
        <v/>
      </c>
      <c r="T26" s="19" t="str">
        <f t="shared" si="9"/>
        <v/>
      </c>
      <c r="U26" s="3" t="s">
        <v>203</v>
      </c>
      <c r="V26" s="4" t="str">
        <f>IFERROR(IF(VLOOKUP(B26,Standings!$A:$F, 6, 0)=VLOOKUP(C26,Standings!$A:$F, 6, 0), VLOOKUP(B26,Standings!$A:$F, 6, 0), "Non-con"), "FCS")</f>
        <v>CUSA</v>
      </c>
      <c r="W26" s="3" t="str">
        <f t="shared" si="10"/>
        <v>Charlotte</v>
      </c>
      <c r="X26" s="3" t="str">
        <f t="shared" si="11"/>
        <v>Marshall</v>
      </c>
      <c r="Y26" s="30">
        <f>IF(D26=0,,IF(ISBLANK(Q26),,VLOOKUP(X26,Week11,2,FALSE)/(VLOOKUP(X26,Week11,2,FALSE)+VLOOKUP(W26,Week11,2,FALSE))+0.05)*100)</f>
        <v>79.17710767</v>
      </c>
      <c r="Z26" s="3"/>
      <c r="AA26" s="3"/>
      <c r="AB26" s="4" t="str">
        <f t="shared" si="20"/>
        <v/>
      </c>
      <c r="AC26" s="3"/>
      <c r="AD26" s="3"/>
      <c r="AE26" s="3" t="str">
        <f t="shared" si="13"/>
        <v/>
      </c>
      <c r="AF26" s="3" t="s">
        <v>228</v>
      </c>
      <c r="AG26" s="3" t="str">
        <f t="shared" si="25"/>
        <v/>
      </c>
      <c r="AH26" s="3"/>
      <c r="AI26" s="7"/>
      <c r="AJ26" s="4"/>
      <c r="AK26" s="7"/>
      <c r="AL26" s="7"/>
      <c r="AM26" s="7"/>
      <c r="AN26" s="7"/>
      <c r="AO26" s="7"/>
      <c r="AP26" s="7"/>
      <c r="AQ26" s="7"/>
      <c r="AR26" s="7"/>
      <c r="AS26" s="7"/>
      <c r="AT26" s="7"/>
      <c r="AU26" s="7"/>
      <c r="AV26" s="7"/>
      <c r="AW26" s="7"/>
      <c r="AX26" s="7"/>
    </row>
    <row r="27" ht="12.75" customHeight="1">
      <c r="A27" s="3">
        <v>6.0</v>
      </c>
      <c r="B27" s="3" t="s">
        <v>48</v>
      </c>
      <c r="C27" s="3" t="s">
        <v>79</v>
      </c>
      <c r="D27" s="4">
        <f>IFERROR(VLOOKUP(B27,Week5,2,FALSE),0)</f>
        <v>85.72</v>
      </c>
      <c r="E27" s="4">
        <f>IF(ISBLANK(B27),,IFERROR(VLOOKUP(B27,CurrentRank!$B$2:$C$132,2,FALSE),0))</f>
        <v>68.03</v>
      </c>
      <c r="F27" s="4">
        <f>IFERROR(VLOOKUP(B27,Week5,3,FALSE),130)</f>
        <v>4</v>
      </c>
      <c r="G27" s="4">
        <f>IF(ISBLANK(B27),,IFERROR(VLOOKUP(B27,CurrentRank!$B$2:$D$132,3,FALSE),130))</f>
        <v>16</v>
      </c>
      <c r="H27" s="4">
        <f>IFERROR(VLOOKUP(C27,Week5,2,FALSE),0)</f>
        <v>55.71</v>
      </c>
      <c r="I27" s="4">
        <f>IF(ISBLANK(B27),,IFERROR(VLOOKUP(C27,CurrentRank!$B$2:$C$132,2,FALSE),0))</f>
        <v>85.31</v>
      </c>
      <c r="J27" s="4">
        <f>IFERROR(VLOOKUP(C27,Week5,3,FALSE),130)</f>
        <v>20</v>
      </c>
      <c r="K27" s="4">
        <f>IF(ISBLANK(C27),,IFERROR(VLOOKUP(C27,CurrentRank!$B$2:$D$132,3,FALSE),130))</f>
        <v>3</v>
      </c>
      <c r="L27" s="19">
        <f t="shared" ref="L27:L28" si="28">IF(U27= "Yes", 0, IF(ISBLANK(C27),,(D27+H27)*0.015))</f>
        <v>2.12145</v>
      </c>
      <c r="M27" s="19">
        <f t="shared" ref="M27:M28" si="29">IF(U27= "Yes", 0, IF(ISBLANK(D27),,(E27+I27)*0.015))</f>
        <v>2.3001</v>
      </c>
      <c r="N27" s="24">
        <f t="shared" ref="N27:N28" si="30">IF(ISBLANK(C27),,(F27+J27)/2)</f>
        <v>12</v>
      </c>
      <c r="O27" s="21">
        <f t="shared" si="4"/>
        <v>13.944275</v>
      </c>
      <c r="P27" s="21">
        <f t="shared" ref="P27:P28" si="31">IF(ISBLANK(C27),,(E27-(I27+L27))/2)</f>
        <v>-9.700725</v>
      </c>
      <c r="Q27" s="22">
        <f t="shared" si="6"/>
        <v>0.870278625</v>
      </c>
      <c r="R27" s="25" t="str">
        <f t="shared" si="7"/>
        <v>B+</v>
      </c>
      <c r="S27" s="19">
        <f t="shared" si="8"/>
        <v>0.925</v>
      </c>
      <c r="T27" s="19" t="str">
        <f t="shared" si="9"/>
        <v>A</v>
      </c>
      <c r="U27" s="3" t="s">
        <v>203</v>
      </c>
      <c r="V27" s="4" t="str">
        <f>IF(ISBLANK(C27),,IFERROR(IF(VLOOKUP(B27,Standings!$A:$F, 6, 0)=VLOOKUP(C27,Standings!$A:$F, 6, 0), VLOOKUP(B27,Standings!$A:$F, 6, 0), "Non-con"), "FCS"))</f>
        <v>SEC</v>
      </c>
      <c r="W27" s="3" t="str">
        <f t="shared" si="10"/>
        <v>Texas A&amp;M</v>
      </c>
      <c r="X27" s="3" t="str">
        <f t="shared" si="11"/>
        <v>Florida</v>
      </c>
      <c r="Y27" s="30">
        <f>IF(D27=0,,IF(ISBLANK(Q27),,VLOOKUP(X27,Week5,2,FALSE)/(VLOOKUP(X27,Week5,2,FALSE)+VLOOKUP(W27,Week5,2,FALSE))+0.05)*100)</f>
        <v>65.60948879</v>
      </c>
      <c r="Z27" s="3" t="s">
        <v>79</v>
      </c>
      <c r="AA27" s="3">
        <v>41.0</v>
      </c>
      <c r="AB27" s="4" t="str">
        <f t="shared" si="20"/>
        <v>Florida</v>
      </c>
      <c r="AC27" s="3">
        <v>38.0</v>
      </c>
      <c r="AD27" s="3"/>
      <c r="AE27" s="3">
        <f t="shared" si="13"/>
        <v>3</v>
      </c>
      <c r="AF27" s="3"/>
      <c r="AG27" s="3">
        <f t="shared" si="25"/>
        <v>0</v>
      </c>
      <c r="AH27" s="3"/>
      <c r="AI27" s="7"/>
      <c r="AJ27" s="4" t="s">
        <v>26</v>
      </c>
      <c r="AK27" s="7"/>
      <c r="AL27" s="7"/>
      <c r="AM27" s="7"/>
      <c r="AN27" s="7"/>
      <c r="AO27" s="7"/>
      <c r="AP27" s="7"/>
      <c r="AQ27" s="7"/>
      <c r="AR27" s="7"/>
      <c r="AS27" s="7"/>
      <c r="AT27" s="7"/>
      <c r="AU27" s="7"/>
      <c r="AV27" s="7"/>
      <c r="AW27" s="7"/>
      <c r="AX27" s="7"/>
    </row>
    <row r="28" ht="12.75" hidden="1" customHeight="1">
      <c r="A28" s="3">
        <v>2.0</v>
      </c>
      <c r="B28" s="3" t="s">
        <v>122</v>
      </c>
      <c r="C28" s="3" t="s">
        <v>88</v>
      </c>
      <c r="D28" s="4">
        <f>IFERROR(VLOOKUP(B28,Week1,2,FALSE),0)</f>
        <v>6.67</v>
      </c>
      <c r="E28" s="4">
        <f>IF(ISBLANK(B28),,IFERROR(VLOOKUP(B28,CurrentRank!$B$2:$C$132,2,FALSE),0))</f>
        <v>25.95</v>
      </c>
      <c r="F28" s="4">
        <f>IFERROR(VLOOKUP(B28,Week1,3,FALSE),130)</f>
        <v>35</v>
      </c>
      <c r="G28" s="4">
        <f>IF(ISBLANK(B28),,IFERROR(VLOOKUP(B28,CurrentRank!$B$2:$D$132,3,FALSE),130))</f>
        <v>124</v>
      </c>
      <c r="H28" s="4">
        <f>IFERROR(VLOOKUP(C28,Week1,2,FALSE),0)</f>
        <v>19.13</v>
      </c>
      <c r="I28" s="4">
        <f>IF(ISBLANK(B28),,IFERROR(VLOOKUP(C28,CurrentRank!$B$2:$C$132,2,FALSE),0))</f>
        <v>33.11</v>
      </c>
      <c r="J28" s="4">
        <f>IFERROR(VLOOKUP(C28,Week1,3,FALSE),130)</f>
        <v>27</v>
      </c>
      <c r="K28" s="4">
        <f>IF(ISBLANK(C28),,IFERROR(VLOOKUP(C28,CurrentRank!$B$2:$D$132,3,FALSE),130))</f>
        <v>85</v>
      </c>
      <c r="L28" s="19">
        <f t="shared" si="28"/>
        <v>0.387</v>
      </c>
      <c r="M28" s="19">
        <f t="shared" si="29"/>
        <v>0.8859</v>
      </c>
      <c r="N28" s="24">
        <f t="shared" si="30"/>
        <v>31</v>
      </c>
      <c r="O28" s="21">
        <f t="shared" si="4"/>
        <v>-6.4235</v>
      </c>
      <c r="P28" s="21">
        <f t="shared" si="31"/>
        <v>-3.7735</v>
      </c>
      <c r="Q28" s="22">
        <f t="shared" si="6"/>
        <v>0.8128825</v>
      </c>
      <c r="R28" s="25" t="str">
        <f t="shared" si="7"/>
        <v>B-</v>
      </c>
      <c r="S28" s="19">
        <f t="shared" si="8"/>
        <v>0.695</v>
      </c>
      <c r="T28" s="19" t="str">
        <f t="shared" si="9"/>
        <v>C-</v>
      </c>
      <c r="U28" s="3" t="s">
        <v>203</v>
      </c>
      <c r="V28" s="4" t="str">
        <f>IF(ISBLANK(C28),,IFERROR(IF(VLOOKUP(B28,Standings!$A:$F, 6, 0)=VLOOKUP(C28,Standings!$A:$F, 6, 0), VLOOKUP(B28,Standings!$A:$F, 6, 0), "Non-con"), "FCS"))</f>
        <v>Non-con</v>
      </c>
      <c r="W28" s="3" t="str">
        <f t="shared" si="10"/>
        <v>UL-Monroe</v>
      </c>
      <c r="X28" s="3" t="str">
        <f t="shared" si="11"/>
        <v>Army</v>
      </c>
      <c r="Y28" s="30">
        <f>IF(D28=0,,IF(ISBLANK(Q28),,VLOOKUP(X28,Week1,2,FALSE)/(VLOOKUP(X28,Week1,2,FALSE)+VLOOKUP(W28,Week1,2,FALSE))+0.05)*100)</f>
        <v>79.14728682</v>
      </c>
      <c r="Z28" s="3" t="s">
        <v>88</v>
      </c>
      <c r="AA28" s="3">
        <v>37.0</v>
      </c>
      <c r="AB28" s="4" t="str">
        <f t="shared" si="20"/>
        <v>UL-Monroe</v>
      </c>
      <c r="AC28" s="3">
        <v>7.0</v>
      </c>
      <c r="AD28" s="3"/>
      <c r="AE28" s="3">
        <f t="shared" si="13"/>
        <v>30</v>
      </c>
      <c r="AF28" s="3"/>
      <c r="AG28" s="3">
        <f t="shared" si="25"/>
        <v>1</v>
      </c>
      <c r="AH28" s="3"/>
      <c r="AI28" s="7"/>
      <c r="AJ28" s="4"/>
      <c r="AK28" s="7"/>
      <c r="AL28" s="7"/>
      <c r="AM28" s="7"/>
      <c r="AN28" s="7"/>
      <c r="AO28" s="7"/>
      <c r="AP28" s="7"/>
      <c r="AQ28" s="7"/>
      <c r="AR28" s="7"/>
      <c r="AS28" s="7"/>
      <c r="AT28" s="7"/>
      <c r="AU28" s="7"/>
      <c r="AV28" s="7"/>
      <c r="AW28" s="7"/>
      <c r="AX28" s="7"/>
    </row>
    <row r="29" ht="12.75" hidden="1" customHeight="1">
      <c r="A29" s="3">
        <v>12.0</v>
      </c>
      <c r="B29" s="3" t="s">
        <v>46</v>
      </c>
      <c r="C29" s="3" t="s">
        <v>192</v>
      </c>
      <c r="D29" s="4">
        <f>IFERROR(VLOOKUP(B29,CurrentRank!$B$2:$C$132,2,FALSE),0)</f>
        <v>62.29</v>
      </c>
      <c r="E29" s="4">
        <f>IF(ISBLANK(B29),,IFERROR(VLOOKUP(B29,CurrentRank!$B$2:$C$132,2,FALSE),0))</f>
        <v>62.29</v>
      </c>
      <c r="F29" s="4">
        <f>IFERROR(VLOOKUP(B29,CurrentRank!$B$2:$D$132,3,FALSE),130)</f>
        <v>20</v>
      </c>
      <c r="G29" s="4">
        <f>IF(ISBLANK(B29),,IFERROR(VLOOKUP(B29,CurrentRank!$B$2:$D$132,3,FALSE),130))</f>
        <v>20</v>
      </c>
      <c r="H29" s="4">
        <f>IFERROR(VLOOKUP(C29,CurrentRank!$B$2:$C$132,2,FALSE),0)</f>
        <v>21.55</v>
      </c>
      <c r="I29" s="4">
        <f>IF(ISBLANK(B29),,IFERROR(VLOOKUP(C29,CurrentRank!$B$2:$C$132,2,FALSE),0))</f>
        <v>21.55</v>
      </c>
      <c r="J29" s="4">
        <f>IFERROR(VLOOKUP(C29,Week11,3,FALSE),130)</f>
        <v>128</v>
      </c>
      <c r="K29" s="4">
        <f>IFERROR(VLOOKUP(C29,CurrentRank!$B$2:$D$132,3,FALSE),130)</f>
        <v>127</v>
      </c>
      <c r="L29" s="19">
        <f t="shared" ref="L29:M29" si="32">IF(ISBLANK(C29),,(D29+H29)*0.015)</f>
        <v>1.2576</v>
      </c>
      <c r="M29" s="19">
        <f t="shared" si="32"/>
        <v>1.2576</v>
      </c>
      <c r="N29" s="24">
        <f>(F29+K29)/2</f>
        <v>73.5</v>
      </c>
      <c r="O29" s="21">
        <f t="shared" si="4"/>
        <v>19.7412</v>
      </c>
      <c r="P29" s="24">
        <f>(D29-(H29+L29))/2</f>
        <v>19.7412</v>
      </c>
      <c r="Q29" s="22">
        <f t="shared" si="6"/>
        <v>0.533794</v>
      </c>
      <c r="R29" s="25" t="str">
        <f t="shared" si="7"/>
        <v>F</v>
      </c>
      <c r="S29" s="19" t="str">
        <f t="shared" si="8"/>
        <v/>
      </c>
      <c r="T29" s="19" t="str">
        <f t="shared" si="9"/>
        <v/>
      </c>
      <c r="U29" s="3" t="s">
        <v>203</v>
      </c>
      <c r="V29" s="4" t="str">
        <f>IFERROR(IF(VLOOKUP(B29,Standings!$A:$F, 6, 0)=VLOOKUP(C29,Standings!$A:$F, 6, 0), VLOOKUP(B29,Standings!$A:$F, 6, 0), "Non-con"), "FCS")</f>
        <v>BIG12</v>
      </c>
      <c r="W29" s="3" t="str">
        <f t="shared" si="10"/>
        <v>Kansas</v>
      </c>
      <c r="X29" s="3" t="str">
        <f t="shared" si="11"/>
        <v>Texas</v>
      </c>
      <c r="Y29" s="30">
        <f>IF(D29=0,,IF(ISBLANK(Q29),,VLOOKUP(X29,Week11,2,FALSE)/(VLOOKUP(X29,Week11,2,FALSE)+VLOOKUP(W29,Week11,2,FALSE))+0.05)*100)</f>
        <v>79.11718027</v>
      </c>
      <c r="Z29" s="3"/>
      <c r="AA29" s="3"/>
      <c r="AB29" s="4" t="str">
        <f t="shared" si="20"/>
        <v/>
      </c>
      <c r="AC29" s="3"/>
      <c r="AD29" s="3"/>
      <c r="AE29" s="3" t="str">
        <f t="shared" si="13"/>
        <v/>
      </c>
      <c r="AF29" s="3" t="s">
        <v>228</v>
      </c>
      <c r="AG29" s="3" t="str">
        <f t="shared" si="25"/>
        <v/>
      </c>
      <c r="AH29" s="3"/>
      <c r="AI29" s="7"/>
      <c r="AJ29" s="4"/>
      <c r="AK29" s="7"/>
      <c r="AL29" s="7"/>
      <c r="AM29" s="7"/>
      <c r="AN29" s="7"/>
      <c r="AO29" s="7"/>
      <c r="AP29" s="7"/>
      <c r="AQ29" s="7"/>
      <c r="AR29" s="7"/>
      <c r="AS29" s="7"/>
      <c r="AT29" s="7"/>
      <c r="AU29" s="7"/>
      <c r="AV29" s="7"/>
      <c r="AW29" s="7"/>
      <c r="AX29" s="7"/>
    </row>
    <row r="30" ht="12.75" hidden="1" customHeight="1">
      <c r="A30" s="3">
        <v>8.0</v>
      </c>
      <c r="B30" s="3" t="s">
        <v>192</v>
      </c>
      <c r="C30" s="3" t="s">
        <v>116</v>
      </c>
      <c r="D30" s="4">
        <f>IFERROR(VLOOKUP(B30,Week7,2,FALSE),0)</f>
        <v>22.78</v>
      </c>
      <c r="E30" s="4">
        <f>IF(ISBLANK(B30),,IFERROR(VLOOKUP(B30,CurrentRank!$B$2:$C$132,2,FALSE),0))</f>
        <v>21.55</v>
      </c>
      <c r="F30" s="4">
        <f>IFERROR(VLOOKUP(B30,Week7,3,FALSE),130)</f>
        <v>128</v>
      </c>
      <c r="G30" s="4">
        <f>IF(ISBLANK(B30),,IFERROR(VLOOKUP(B30,CurrentRank!$B$2:$D$132,3,FALSE),130))</f>
        <v>127</v>
      </c>
      <c r="H30" s="4">
        <f>IFERROR(VLOOKUP(C30,Week7,2,FALSE),0)</f>
        <v>64.83</v>
      </c>
      <c r="I30" s="4">
        <f>IF(ISBLANK(B30),,IFERROR(VLOOKUP(C30,CurrentRank!$B$2:$C$132,2,FALSE),0))</f>
        <v>31.6</v>
      </c>
      <c r="J30" s="4">
        <f>IFERROR(VLOOKUP(C30,Week7,3,FALSE),130)</f>
        <v>17</v>
      </c>
      <c r="K30" s="4">
        <f>IF(ISBLANK(C30),,IFERROR(VLOOKUP(C30,CurrentRank!$B$2:$D$132,3,FALSE),130))</f>
        <v>96</v>
      </c>
      <c r="L30" s="19">
        <f t="shared" ref="L30:L31" si="33">IF(U30= "Yes", 0, IF(ISBLANK(C30),,(D30+H30)*0.015))</f>
        <v>1.31415</v>
      </c>
      <c r="M30" s="19">
        <f t="shared" ref="M30:M31" si="34">IF(U30= "Yes", 0, IF(ISBLANK(D30),,(E30+I30)*0.015))</f>
        <v>0.79725</v>
      </c>
      <c r="N30" s="24">
        <f t="shared" ref="N30:N35" si="35">IF(ISBLANK(C30),,(F30+J30)/2)</f>
        <v>72.5</v>
      </c>
      <c r="O30" s="21">
        <f t="shared" si="4"/>
        <v>-21.682075</v>
      </c>
      <c r="P30" s="21">
        <f t="shared" ref="P30:P35" si="36">IF(ISBLANK(C30),,(E30-(I30+L30))/2)</f>
        <v>-5.682075</v>
      </c>
      <c r="Q30" s="22">
        <f t="shared" si="6"/>
        <v>0.529089625</v>
      </c>
      <c r="R30" s="25" t="str">
        <f t="shared" si="7"/>
        <v>F</v>
      </c>
      <c r="S30" s="19">
        <f t="shared" si="8"/>
        <v>0.4325</v>
      </c>
      <c r="T30" s="19" t="str">
        <f t="shared" si="9"/>
        <v>F</v>
      </c>
      <c r="U30" s="3" t="s">
        <v>203</v>
      </c>
      <c r="V30" s="4" t="str">
        <f>IF(ISBLANK(C30),,IFERROR(IF(VLOOKUP(B30,Standings!$A:$F, 6, 0)=VLOOKUP(C30,Standings!$A:$F, 6, 0), VLOOKUP(B30,Standings!$A:$F, 6, 0), "Non-con"), "FCS"))</f>
        <v>BIG12</v>
      </c>
      <c r="W30" s="3" t="str">
        <f t="shared" si="10"/>
        <v>Kansas</v>
      </c>
      <c r="X30" s="3" t="str">
        <f t="shared" si="11"/>
        <v>Kansas State</v>
      </c>
      <c r="Y30" s="30">
        <f>IF(D30=0,,IF(ISBLANK(Q30),,VLOOKUP(X30,Week7,2,FALSE)/(VLOOKUP(X30,Week7,2,FALSE)+VLOOKUP(W30,Week7,2,FALSE))+0.05)*100)</f>
        <v>78.99840201</v>
      </c>
      <c r="Z30" s="3" t="s">
        <v>116</v>
      </c>
      <c r="AA30" s="3">
        <v>55.0</v>
      </c>
      <c r="AB30" s="4" t="str">
        <f t="shared" si="20"/>
        <v>Kansas</v>
      </c>
      <c r="AC30" s="3">
        <v>14.0</v>
      </c>
      <c r="AD30" s="3"/>
      <c r="AE30" s="3">
        <f t="shared" si="13"/>
        <v>41</v>
      </c>
      <c r="AF30" s="3"/>
      <c r="AG30" s="3">
        <f t="shared" si="25"/>
        <v>1</v>
      </c>
      <c r="AH30" s="3"/>
      <c r="AI30" s="7"/>
      <c r="AJ30" s="4"/>
      <c r="AK30" s="7"/>
      <c r="AL30" s="7"/>
      <c r="AM30" s="7"/>
      <c r="AN30" s="7"/>
      <c r="AO30" s="7"/>
      <c r="AP30" s="7"/>
      <c r="AQ30" s="7"/>
      <c r="AR30" s="7"/>
      <c r="AS30" s="7"/>
      <c r="AT30" s="7"/>
      <c r="AU30" s="7"/>
      <c r="AV30" s="7"/>
      <c r="AW30" s="7"/>
      <c r="AX30" s="7"/>
    </row>
    <row r="31" ht="12.75" hidden="1" customHeight="1">
      <c r="A31" s="3">
        <v>14.0</v>
      </c>
      <c r="B31" s="3" t="s">
        <v>23</v>
      </c>
      <c r="C31" s="3" t="s">
        <v>53</v>
      </c>
      <c r="D31" s="4">
        <f>IFERROR(VLOOKUP(B31,Week13,2,FALSE),0)</f>
        <v>95.16</v>
      </c>
      <c r="E31" s="4">
        <f>IF(ISBLANK(B31),,IFERROR(VLOOKUP(B31,CurrentRank!$B$2:$C$132,2,FALSE),0))</f>
        <v>96.59</v>
      </c>
      <c r="F31" s="4">
        <f>IFERROR(VLOOKUP(B31,Week13,3,FALSE),130)</f>
        <v>1</v>
      </c>
      <c r="G31" s="4">
        <f>IF(ISBLANK(B31),,IFERROR(VLOOKUP(B31,CurrentRank!$B$2:$D$132,3,FALSE),130))</f>
        <v>1</v>
      </c>
      <c r="H31" s="4">
        <f>IFERROR(VLOOKUP(C31,Week13,2,FALSE),0)</f>
        <v>33.97</v>
      </c>
      <c r="I31" s="4">
        <f>IF(ISBLANK(B31),,IFERROR(VLOOKUP(C31,CurrentRank!$B$2:$C$132,2,FALSE),0))</f>
        <v>37.27</v>
      </c>
      <c r="J31" s="4">
        <f>IFERROR(VLOOKUP(C31,Week13,3,FALSE),130)</f>
        <v>71</v>
      </c>
      <c r="K31" s="4">
        <f>IF(ISBLANK(C31),,IFERROR(VLOOKUP(C31,CurrentRank!$B$2:$D$132,3,FALSE),130))</f>
        <v>45</v>
      </c>
      <c r="L31" s="19">
        <f t="shared" si="33"/>
        <v>1.93695</v>
      </c>
      <c r="M31" s="19">
        <f t="shared" si="34"/>
        <v>2.0079</v>
      </c>
      <c r="N31" s="24">
        <f t="shared" si="35"/>
        <v>36</v>
      </c>
      <c r="O31" s="21">
        <f t="shared" si="4"/>
        <v>29.626525</v>
      </c>
      <c r="P31" s="21">
        <f t="shared" si="36"/>
        <v>28.691525</v>
      </c>
      <c r="Q31" s="22">
        <f t="shared" si="6"/>
        <v>0.671867375</v>
      </c>
      <c r="R31" s="25" t="str">
        <f t="shared" si="7"/>
        <v>D+</v>
      </c>
      <c r="S31" s="19">
        <f t="shared" si="8"/>
        <v>0.63</v>
      </c>
      <c r="T31" s="19" t="str">
        <f t="shared" si="9"/>
        <v>D</v>
      </c>
      <c r="U31" s="3" t="s">
        <v>203</v>
      </c>
      <c r="V31" s="4" t="str">
        <f>IF(ISBLANK(C31),,IFERROR(IF(VLOOKUP(B31,Standings!$A:$F, 6, 0)=VLOOKUP(C31,Standings!$A:$F, 6, 0), VLOOKUP(B31,Standings!$A:$F, 6, 0), "Non-con"), "FCS"))</f>
        <v>SEC</v>
      </c>
      <c r="W31" s="3" t="str">
        <f t="shared" si="10"/>
        <v>LSU</v>
      </c>
      <c r="X31" s="3" t="str">
        <f t="shared" si="11"/>
        <v>Alabama</v>
      </c>
      <c r="Y31" s="30">
        <f>IF(D31=0,,IF(ISBLANK(Q31),,VLOOKUP(X31,Week13,2,FALSE)/(VLOOKUP(X31,Week13,2,FALSE)+VLOOKUP(W31,Week13,2,FALSE))+0.05)*100)</f>
        <v>78.69317742</v>
      </c>
      <c r="Z31" s="3" t="s">
        <v>23</v>
      </c>
      <c r="AA31" s="3">
        <v>55.0</v>
      </c>
      <c r="AB31" s="4" t="str">
        <f t="shared" si="20"/>
        <v>LSU</v>
      </c>
      <c r="AC31" s="3">
        <v>17.0</v>
      </c>
      <c r="AD31" s="3"/>
      <c r="AE31" s="3">
        <f t="shared" si="13"/>
        <v>38</v>
      </c>
      <c r="AF31" s="3"/>
      <c r="AG31" s="3">
        <f t="shared" si="25"/>
        <v>1</v>
      </c>
      <c r="AH31" s="3"/>
      <c r="AI31" s="7"/>
      <c r="AJ31" s="4"/>
      <c r="AK31" s="7"/>
      <c r="AL31" s="7"/>
      <c r="AM31" s="7"/>
      <c r="AN31" s="7"/>
      <c r="AO31" s="7"/>
      <c r="AP31" s="7"/>
      <c r="AQ31" s="7"/>
      <c r="AR31" s="7"/>
      <c r="AS31" s="7"/>
      <c r="AT31" s="7"/>
      <c r="AU31" s="7"/>
      <c r="AV31" s="7"/>
      <c r="AW31" s="7"/>
      <c r="AX31" s="7"/>
    </row>
    <row r="32" ht="12.75" hidden="1" customHeight="1">
      <c r="A32" s="3">
        <v>13.0</v>
      </c>
      <c r="B32" s="3" t="s">
        <v>69</v>
      </c>
      <c r="C32" s="3" t="s">
        <v>178</v>
      </c>
      <c r="D32" s="4">
        <f>IFERROR(VLOOKUP(B32,Week12,2,FALSE),0)</f>
        <v>80.16</v>
      </c>
      <c r="E32" s="4">
        <f>IF(ISBLANK(B32),,IFERROR(VLOOKUP(B32,CurrentRank!$B$2:$C$132,2,FALSE),0))</f>
        <v>72.9</v>
      </c>
      <c r="F32" s="4">
        <f>IFERROR(VLOOKUP(B32,Week12,3,FALSE),130)</f>
        <v>7</v>
      </c>
      <c r="G32" s="4">
        <f>IF(ISBLANK(B32),,IFERROR(VLOOKUP(B32,CurrentRank!$B$2:$D$132,3,FALSE),130))</f>
        <v>9</v>
      </c>
      <c r="H32" s="4">
        <f>IFERROR(VLOOKUP(C32,Week12,2,FALSE),0)</f>
        <v>28.96</v>
      </c>
      <c r="I32" s="4">
        <f>IF(ISBLANK(B32),,IFERROR(VLOOKUP(C32,CurrentRank!$B$2:$C$132,2,FALSE),0))</f>
        <v>30.84</v>
      </c>
      <c r="J32" s="4">
        <f>IFERROR(VLOOKUP(C32,Week12,3,FALSE),130)</f>
        <v>114</v>
      </c>
      <c r="K32" s="4">
        <f>IF(ISBLANK(C32),,IFERROR(VLOOKUP(C32,CurrentRank!$B$2:$D$132,3,FALSE),130))</f>
        <v>104</v>
      </c>
      <c r="L32" s="19">
        <f t="shared" ref="L32:M32" si="37">IF(ISBLANK(C32),,(D32+H32)*0.015)</f>
        <v>1.6368</v>
      </c>
      <c r="M32" s="19">
        <f t="shared" si="37"/>
        <v>1.5561</v>
      </c>
      <c r="N32" s="24">
        <f t="shared" si="35"/>
        <v>60.5</v>
      </c>
      <c r="O32" s="24">
        <f t="shared" si="4"/>
        <v>24.7816</v>
      </c>
      <c r="P32" s="24">
        <f t="shared" si="36"/>
        <v>20.2116</v>
      </c>
      <c r="Q32" s="22">
        <f t="shared" si="6"/>
        <v>0.573592</v>
      </c>
      <c r="R32" s="25" t="str">
        <f t="shared" si="7"/>
        <v>F</v>
      </c>
      <c r="S32" s="19" t="str">
        <f t="shared" si="8"/>
        <v/>
      </c>
      <c r="T32" s="19" t="str">
        <f t="shared" si="9"/>
        <v/>
      </c>
      <c r="U32" s="3" t="s">
        <v>203</v>
      </c>
      <c r="V32" s="4" t="str">
        <f>IF(ISBLANK(C32),,IFERROR(IF(VLOOKUP(B32,Standings!$A:$F, 6, 0)=VLOOKUP(C32,Standings!$A:$F, 6, 0), VLOOKUP(B32,Standings!$A:$F, 6, 0), "Non-con"), "FCS"))</f>
        <v>AAC</v>
      </c>
      <c r="W32" s="3" t="str">
        <f t="shared" si="10"/>
        <v>Temple</v>
      </c>
      <c r="X32" s="3" t="str">
        <f t="shared" si="11"/>
        <v>Cincinnati</v>
      </c>
      <c r="Y32" s="30">
        <f>IF(D32=0,,IF(ISBLANK(Q32),,VLOOKUP(X32,Week12,2,FALSE)/(VLOOKUP(X32,Week12,2,FALSE)+VLOOKUP(W32,Week12,2,FALSE))+0.05)*100)</f>
        <v>78.46041056</v>
      </c>
      <c r="Z32" s="3"/>
      <c r="AA32" s="3"/>
      <c r="AB32" s="4" t="str">
        <f t="shared" si="20"/>
        <v/>
      </c>
      <c r="AC32" s="3"/>
      <c r="AD32" s="3"/>
      <c r="AE32" s="3" t="str">
        <f t="shared" si="13"/>
        <v/>
      </c>
      <c r="AF32" s="3" t="s">
        <v>226</v>
      </c>
      <c r="AG32" s="3" t="str">
        <f t="shared" si="25"/>
        <v/>
      </c>
      <c r="AH32" s="3"/>
      <c r="AI32" s="7"/>
      <c r="AJ32" s="4"/>
      <c r="AK32" s="7"/>
      <c r="AL32" s="7"/>
      <c r="AM32" s="7"/>
      <c r="AN32" s="7"/>
      <c r="AO32" s="7"/>
      <c r="AP32" s="7"/>
      <c r="AQ32" s="7"/>
      <c r="AR32" s="7"/>
      <c r="AS32" s="7"/>
      <c r="AT32" s="7"/>
      <c r="AU32" s="7"/>
      <c r="AV32" s="7"/>
      <c r="AW32" s="7"/>
      <c r="AX32" s="7"/>
    </row>
    <row r="33" ht="12.75" hidden="1" customHeight="1">
      <c r="A33" s="3">
        <v>5.0</v>
      </c>
      <c r="B33" s="3" t="s">
        <v>161</v>
      </c>
      <c r="C33" s="3" t="s">
        <v>48</v>
      </c>
      <c r="D33" s="4">
        <f>IFERROR(VLOOKUP(B33,Week4,2,FALSE),0)</f>
        <v>29.35</v>
      </c>
      <c r="E33" s="4">
        <f>IF(ISBLANK(B33),,IFERROR(VLOOKUP(B33,CurrentRank!$B$2:$C$132,2,FALSE),0))</f>
        <v>31.11</v>
      </c>
      <c r="F33" s="4">
        <f>IFERROR(VLOOKUP(B33,Week4,3,FALSE),130)</f>
        <v>115</v>
      </c>
      <c r="G33" s="4">
        <f>IF(ISBLANK(B33),,IFERROR(VLOOKUP(B33,CurrentRank!$B$2:$D$132,3,FALSE),130))</f>
        <v>100</v>
      </c>
      <c r="H33" s="4">
        <f>IFERROR(VLOOKUP(C33,Week4,2,FALSE),0)</f>
        <v>80.89</v>
      </c>
      <c r="I33" s="4">
        <f>IF(ISBLANK(B33),,IFERROR(VLOOKUP(C33,CurrentRank!$B$2:$C$132,2,FALSE),0))</f>
        <v>68.03</v>
      </c>
      <c r="J33" s="4">
        <f>IFERROR(VLOOKUP(C33,Week4,3,FALSE),130)</f>
        <v>5</v>
      </c>
      <c r="K33" s="4">
        <f>IF(ISBLANK(C33),,IFERROR(VLOOKUP(C33,CurrentRank!$B$2:$D$132,3,FALSE),130))</f>
        <v>16</v>
      </c>
      <c r="L33" s="19">
        <f t="shared" ref="L33:L35" si="38">IF(U33= "Yes", 0, IF(ISBLANK(C33),,(D33+H33)*0.015))</f>
        <v>1.6536</v>
      </c>
      <c r="M33" s="19">
        <f t="shared" ref="M33:M35" si="39">IF(U33= "Yes", 0, IF(ISBLANK(D33),,(E33+I33)*0.015))</f>
        <v>1.4871</v>
      </c>
      <c r="N33" s="24">
        <f t="shared" si="35"/>
        <v>60</v>
      </c>
      <c r="O33" s="21">
        <f t="shared" si="4"/>
        <v>-26.5968</v>
      </c>
      <c r="P33" s="21">
        <f t="shared" si="36"/>
        <v>-19.2868</v>
      </c>
      <c r="Q33" s="22">
        <f t="shared" si="6"/>
        <v>0.567016</v>
      </c>
      <c r="R33" s="25" t="str">
        <f t="shared" si="7"/>
        <v>F</v>
      </c>
      <c r="S33" s="19">
        <f t="shared" si="8"/>
        <v>0.63</v>
      </c>
      <c r="T33" s="19" t="str">
        <f t="shared" si="9"/>
        <v>D</v>
      </c>
      <c r="U33" s="3" t="s">
        <v>203</v>
      </c>
      <c r="V33" s="4" t="str">
        <f>IF(ISBLANK(C33),,IFERROR(IF(VLOOKUP(B33,Standings!$A:$F, 6, 0)=VLOOKUP(C33,Standings!$A:$F, 6, 0), VLOOKUP(B33,Standings!$A:$F, 6, 0), "Non-con"), "FCS"))</f>
        <v>SEC</v>
      </c>
      <c r="W33" s="3" t="str">
        <f t="shared" si="10"/>
        <v>South Carolina</v>
      </c>
      <c r="X33" s="3" t="str">
        <f t="shared" si="11"/>
        <v>Florida</v>
      </c>
      <c r="Y33" s="30">
        <f>IF(D33=0,,IF(ISBLANK(Q33),,VLOOKUP(X33,Week4,2,FALSE)/(VLOOKUP(X33,Week4,2,FALSE)+VLOOKUP(W33,Week4,2,FALSE))+0.05)*100)</f>
        <v>78.37626996</v>
      </c>
      <c r="Z33" s="3" t="s">
        <v>48</v>
      </c>
      <c r="AA33" s="3">
        <v>38.0</v>
      </c>
      <c r="AB33" s="4" t="str">
        <f t="shared" si="20"/>
        <v>South Carolina</v>
      </c>
      <c r="AC33" s="3">
        <v>24.0</v>
      </c>
      <c r="AD33" s="3"/>
      <c r="AE33" s="3">
        <f t="shared" si="13"/>
        <v>14</v>
      </c>
      <c r="AF33" s="3"/>
      <c r="AG33" s="3">
        <f t="shared" si="25"/>
        <v>1</v>
      </c>
      <c r="AH33" s="3"/>
      <c r="AI33" s="7"/>
      <c r="AJ33" s="3" t="s">
        <v>230</v>
      </c>
      <c r="AK33" s="7"/>
      <c r="AL33" s="7"/>
      <c r="AM33" s="7"/>
      <c r="AN33" s="7"/>
      <c r="AO33" s="7"/>
      <c r="AP33" s="7"/>
      <c r="AQ33" s="7"/>
      <c r="AR33" s="7"/>
      <c r="AS33" s="7"/>
      <c r="AT33" s="7"/>
      <c r="AU33" s="7"/>
      <c r="AV33" s="7"/>
      <c r="AW33" s="7"/>
      <c r="AX33" s="7"/>
    </row>
    <row r="34" ht="12.75" hidden="1" customHeight="1">
      <c r="A34" s="3">
        <v>15.0</v>
      </c>
      <c r="B34" s="3" t="s">
        <v>100</v>
      </c>
      <c r="C34" s="3" t="s">
        <v>111</v>
      </c>
      <c r="D34" s="4">
        <f>IFERROR(VLOOKUP(B34,Week14,2,FALSE),0)</f>
        <v>81.29</v>
      </c>
      <c r="E34" s="4">
        <f>IF(ISBLANK(B34),,IFERROR(VLOOKUP(B34,CurrentRank!$B$2:$C$132,2,FALSE),0))</f>
        <v>69.98</v>
      </c>
      <c r="F34" s="4">
        <f>IFERROR(VLOOKUP(B34,Week14,3,FALSE),130)</f>
        <v>7</v>
      </c>
      <c r="G34" s="4">
        <f>IF(ISBLANK(B34),,IFERROR(VLOOKUP(B34,CurrentRank!$B$2:$D$132,3,FALSE),130))</f>
        <v>13</v>
      </c>
      <c r="H34" s="4">
        <f>IFERROR(VLOOKUP(C34,Week14,2,FALSE),0)</f>
        <v>29.59</v>
      </c>
      <c r="I34" s="4">
        <f>IF(ISBLANK(B34),,IFERROR(VLOOKUP(C34,CurrentRank!$B$2:$C$132,2,FALSE),0))</f>
        <v>29.75</v>
      </c>
      <c r="J34" s="4">
        <f>IFERROR(VLOOKUP(C34,Week14,3,FALSE),130)</f>
        <v>118</v>
      </c>
      <c r="K34" s="4">
        <f>IF(ISBLANK(C34),,IFERROR(VLOOKUP(C34,CurrentRank!$B$2:$D$132,3,FALSE),130))</f>
        <v>112</v>
      </c>
      <c r="L34" s="19">
        <f t="shared" si="38"/>
        <v>1.6632</v>
      </c>
      <c r="M34" s="19">
        <f t="shared" si="39"/>
        <v>1.49595</v>
      </c>
      <c r="N34" s="24">
        <f t="shared" si="35"/>
        <v>62.5</v>
      </c>
      <c r="O34" s="21">
        <f t="shared" si="4"/>
        <v>25.0184</v>
      </c>
      <c r="P34" s="21">
        <f t="shared" si="36"/>
        <v>19.2834</v>
      </c>
      <c r="Q34" s="22">
        <f t="shared" si="6"/>
        <v>0.562408</v>
      </c>
      <c r="R34" s="25" t="str">
        <f t="shared" si="7"/>
        <v>F</v>
      </c>
      <c r="S34" s="19">
        <f t="shared" si="8"/>
        <v>0.6675</v>
      </c>
      <c r="T34" s="19" t="str">
        <f t="shared" si="9"/>
        <v>D+</v>
      </c>
      <c r="U34" s="3" t="s">
        <v>203</v>
      </c>
      <c r="V34" s="4" t="str">
        <f>IF(ISBLANK(C34),,IFERROR(IF(VLOOKUP(B34,Standings!$A:$F, 6, 0)=VLOOKUP(C34,Standings!$A:$F, 6, 0), VLOOKUP(B34,Standings!$A:$F, 6, 0), "Non-con"), "FCS"))</f>
        <v>SUN</v>
      </c>
      <c r="W34" s="3" t="str">
        <f t="shared" si="10"/>
        <v>Troy</v>
      </c>
      <c r="X34" s="3" t="str">
        <f t="shared" si="11"/>
        <v>Coastal Carolina</v>
      </c>
      <c r="Y34" s="30">
        <f>IF(D34=0,,IF(ISBLANK(Q34),,VLOOKUP(X34,Week14,2,FALSE)/(VLOOKUP(X34,Week14,2,FALSE)+VLOOKUP(W34,Week14,2,FALSE))+0.05)*100)</f>
        <v>78.31349206</v>
      </c>
      <c r="Z34" s="3" t="s">
        <v>100</v>
      </c>
      <c r="AA34" s="3">
        <v>42.0</v>
      </c>
      <c r="AB34" s="4" t="str">
        <f t="shared" si="20"/>
        <v>Troy</v>
      </c>
      <c r="AC34" s="3">
        <v>38.0</v>
      </c>
      <c r="AD34" s="3"/>
      <c r="AE34" s="3">
        <f t="shared" si="13"/>
        <v>4</v>
      </c>
      <c r="AF34" s="3"/>
      <c r="AG34" s="3">
        <f t="shared" si="25"/>
        <v>1</v>
      </c>
      <c r="AH34" s="3"/>
      <c r="AI34" s="7"/>
      <c r="AJ34" s="4"/>
      <c r="AK34" s="7"/>
      <c r="AL34" s="7"/>
      <c r="AM34" s="7"/>
      <c r="AN34" s="7"/>
      <c r="AO34" s="7"/>
      <c r="AP34" s="7"/>
      <c r="AQ34" s="7"/>
      <c r="AR34" s="7"/>
      <c r="AS34" s="7"/>
      <c r="AT34" s="7"/>
      <c r="AU34" s="7"/>
      <c r="AV34" s="7"/>
      <c r="AW34" s="7"/>
      <c r="AX34" s="7"/>
    </row>
    <row r="35" ht="12.75" hidden="1" customHeight="1">
      <c r="A35" s="3">
        <v>9.0</v>
      </c>
      <c r="B35" s="3" t="s">
        <v>92</v>
      </c>
      <c r="C35" s="3" t="s">
        <v>192</v>
      </c>
      <c r="D35" s="4">
        <f>IFERROR(VLOOKUP(B35,Week8,2,FALSE),0)</f>
        <v>57.22</v>
      </c>
      <c r="E35" s="4">
        <f>IF(ISBLANK(B35),,IFERROR(VLOOKUP(B35,CurrentRank!$B$2:$C$132,2,FALSE),0))</f>
        <v>73.64</v>
      </c>
      <c r="F35" s="4">
        <f>IFERROR(VLOOKUP(B35,Week8,3,FALSE),130)</f>
        <v>19</v>
      </c>
      <c r="G35" s="4">
        <f>IF(ISBLANK(B35),,IFERROR(VLOOKUP(B35,CurrentRank!$B$2:$D$132,3,FALSE),130))</f>
        <v>8</v>
      </c>
      <c r="H35" s="4">
        <f>IFERROR(VLOOKUP(C35,Week8,2,FALSE),0)</f>
        <v>20.86</v>
      </c>
      <c r="I35" s="4">
        <f>IF(ISBLANK(B35),,IFERROR(VLOOKUP(C35,CurrentRank!$B$2:$C$132,2,FALSE),0))</f>
        <v>21.55</v>
      </c>
      <c r="J35" s="4">
        <f>IFERROR(VLOOKUP(C35,Week8,3,FALSE),130)</f>
        <v>125</v>
      </c>
      <c r="K35" s="4">
        <f>IF(ISBLANK(C35),,IFERROR(VLOOKUP(C35,CurrentRank!$B$2:$D$132,3,FALSE),130))</f>
        <v>127</v>
      </c>
      <c r="L35" s="19">
        <f t="shared" si="38"/>
        <v>1.1712</v>
      </c>
      <c r="M35" s="19">
        <f t="shared" si="39"/>
        <v>1.42785</v>
      </c>
      <c r="N35" s="24">
        <f t="shared" si="35"/>
        <v>72</v>
      </c>
      <c r="O35" s="21">
        <f t="shared" si="4"/>
        <v>17.5944</v>
      </c>
      <c r="P35" s="21">
        <f t="shared" si="36"/>
        <v>25.4594</v>
      </c>
      <c r="Q35" s="22">
        <f t="shared" si="6"/>
        <v>0.552028</v>
      </c>
      <c r="R35" s="25" t="str">
        <f t="shared" si="7"/>
        <v>F</v>
      </c>
      <c r="S35" s="19">
        <f t="shared" si="8"/>
        <v>0.49</v>
      </c>
      <c r="T35" s="19" t="str">
        <f t="shared" si="9"/>
        <v>F</v>
      </c>
      <c r="U35" s="3" t="s">
        <v>203</v>
      </c>
      <c r="V35" s="4" t="str">
        <f>IF(ISBLANK(C35),,IFERROR(IF(VLOOKUP(B35,Standings!$A:$F, 6, 0)=VLOOKUP(C35,Standings!$A:$F, 6, 0), VLOOKUP(B35,Standings!$A:$F, 6, 0), "Non-con"), "FCS"))</f>
        <v>BIG12</v>
      </c>
      <c r="W35" s="3" t="str">
        <f t="shared" si="10"/>
        <v>Kansas</v>
      </c>
      <c r="X35" s="3" t="str">
        <f t="shared" si="11"/>
        <v>Iowa State</v>
      </c>
      <c r="Y35" s="30">
        <f>IF(D35=0,,IF(ISBLANK(Q35),,VLOOKUP(X35,Week8,2,FALSE)/(VLOOKUP(X35,Week8,2,FALSE)+VLOOKUP(W35,Week8,2,FALSE))+0.05)*100)</f>
        <v>78.28381148</v>
      </c>
      <c r="Z35" s="3" t="s">
        <v>92</v>
      </c>
      <c r="AA35" s="3">
        <v>52.0</v>
      </c>
      <c r="AB35" s="4" t="str">
        <f t="shared" si="20"/>
        <v>Kansas</v>
      </c>
      <c r="AC35" s="3">
        <v>22.0</v>
      </c>
      <c r="AD35" s="3"/>
      <c r="AE35" s="3">
        <f t="shared" si="13"/>
        <v>30</v>
      </c>
      <c r="AF35" s="3"/>
      <c r="AG35" s="3">
        <f t="shared" si="25"/>
        <v>1</v>
      </c>
      <c r="AH35" s="3"/>
      <c r="AI35" s="7"/>
      <c r="AJ35" s="4" t="s">
        <v>182</v>
      </c>
      <c r="AK35" s="7"/>
      <c r="AL35" s="7"/>
      <c r="AM35" s="7"/>
      <c r="AN35" s="7"/>
      <c r="AO35" s="7"/>
      <c r="AP35" s="7"/>
      <c r="AQ35" s="7"/>
      <c r="AR35" s="7"/>
      <c r="AS35" s="7"/>
      <c r="AT35" s="7"/>
      <c r="AU35" s="7"/>
      <c r="AV35" s="7"/>
      <c r="AW35" s="7"/>
      <c r="AX35" s="7"/>
    </row>
    <row r="36" ht="12.75" hidden="1" customHeight="1">
      <c r="A36" s="3">
        <v>12.0</v>
      </c>
      <c r="B36" s="3" t="s">
        <v>108</v>
      </c>
      <c r="C36" s="3" t="s">
        <v>40</v>
      </c>
      <c r="D36" s="4">
        <f>IFERROR(VLOOKUP(B36,CurrentRank!$B$2:$C$132,2,FALSE),0)</f>
        <v>30.15</v>
      </c>
      <c r="E36" s="4">
        <f>IF(ISBLANK(B36),,IFERROR(VLOOKUP(B36,CurrentRank!$B$2:$C$132,2,FALSE),0))</f>
        <v>30.15</v>
      </c>
      <c r="F36" s="4">
        <f>IFERROR(VLOOKUP(B36,CurrentRank!$B$2:$D$132,3,FALSE),130)</f>
        <v>109</v>
      </c>
      <c r="G36" s="4">
        <f>IF(ISBLANK(B36),,IFERROR(VLOOKUP(B36,CurrentRank!$B$2:$D$132,3,FALSE),130))</f>
        <v>109</v>
      </c>
      <c r="H36" s="4">
        <f>IFERROR(VLOOKUP(C36,CurrentRank!$B$2:$C$132,2,FALSE),0)</f>
        <v>57.15</v>
      </c>
      <c r="I36" s="4">
        <f>IF(ISBLANK(B36),,IFERROR(VLOOKUP(C36,CurrentRank!$B$2:$C$132,2,FALSE),0))</f>
        <v>57.15</v>
      </c>
      <c r="J36" s="4">
        <f>IFERROR(VLOOKUP(C36,Week11,3,FALSE),130)</f>
        <v>12</v>
      </c>
      <c r="K36" s="4">
        <f>IFERROR(VLOOKUP(C36,CurrentRank!$B$2:$D$132,3,FALSE),130)</f>
        <v>23</v>
      </c>
      <c r="L36" s="19">
        <f t="shared" ref="L36:M36" si="40">IF(ISBLANK(C36),,(D36+H36)*0.015)</f>
        <v>1.3095</v>
      </c>
      <c r="M36" s="19">
        <f t="shared" si="40"/>
        <v>1.3095</v>
      </c>
      <c r="N36" s="24">
        <f>(F36+K36)/2</f>
        <v>66</v>
      </c>
      <c r="O36" s="21">
        <f t="shared" si="4"/>
        <v>-14.15475</v>
      </c>
      <c r="P36" s="24">
        <f>(D36-(H36+L36))/2</f>
        <v>-14.15475</v>
      </c>
      <c r="Q36" s="22">
        <f t="shared" si="6"/>
        <v>0.59922625</v>
      </c>
      <c r="R36" s="25" t="str">
        <f t="shared" si="7"/>
        <v>D-</v>
      </c>
      <c r="S36" s="19" t="str">
        <f t="shared" si="8"/>
        <v/>
      </c>
      <c r="T36" s="19" t="str">
        <f t="shared" si="9"/>
        <v/>
      </c>
      <c r="U36" s="3" t="s">
        <v>203</v>
      </c>
      <c r="V36" s="4" t="str">
        <f>IFERROR(IF(VLOOKUP(B36,Standings!$A:$F, 6, 0)=VLOOKUP(C36,Standings!$A:$F, 6, 0), VLOOKUP(B36,Standings!$A:$F, 6, 0), "Non-con"), "FCS")</f>
        <v>ACC</v>
      </c>
      <c r="W36" s="3" t="str">
        <f t="shared" si="10"/>
        <v>Georgia Tech</v>
      </c>
      <c r="X36" s="3" t="str">
        <f t="shared" si="11"/>
        <v>Miami</v>
      </c>
      <c r="Y36" s="30">
        <f>IF(D36=0,,IF(ISBLANK(Q36),,VLOOKUP(X36,Week11,2,FALSE)/(VLOOKUP(X36,Week11,2,FALSE)+VLOOKUP(W36,Week11,2,FALSE))+0.05)*100)</f>
        <v>78.26848249</v>
      </c>
      <c r="Z36" s="3"/>
      <c r="AA36" s="3"/>
      <c r="AB36" s="4" t="str">
        <f t="shared" si="20"/>
        <v/>
      </c>
      <c r="AC36" s="3"/>
      <c r="AD36" s="3"/>
      <c r="AE36" s="3" t="str">
        <f t="shared" si="13"/>
        <v/>
      </c>
      <c r="AF36" s="3" t="s">
        <v>228</v>
      </c>
      <c r="AG36" s="3" t="str">
        <f t="shared" si="25"/>
        <v/>
      </c>
      <c r="AH36" s="3"/>
      <c r="AI36" s="7"/>
      <c r="AJ36" s="4"/>
      <c r="AK36" s="7"/>
      <c r="AL36" s="7"/>
      <c r="AM36" s="7"/>
      <c r="AN36" s="7"/>
      <c r="AO36" s="7"/>
      <c r="AP36" s="7"/>
      <c r="AQ36" s="7"/>
      <c r="AR36" s="7"/>
      <c r="AS36" s="7"/>
      <c r="AT36" s="7"/>
      <c r="AU36" s="7"/>
      <c r="AV36" s="7"/>
      <c r="AW36" s="7"/>
      <c r="AX36" s="7"/>
    </row>
    <row r="37" ht="12.75" hidden="1" customHeight="1">
      <c r="A37" s="3">
        <v>14.0</v>
      </c>
      <c r="B37" s="3" t="s">
        <v>26</v>
      </c>
      <c r="C37" s="3" t="s">
        <v>145</v>
      </c>
      <c r="D37" s="4">
        <f>IFERROR(VLOOKUP(B37,Week13,2,FALSE),0)</f>
        <v>87.09</v>
      </c>
      <c r="E37" s="4">
        <f>IF(ISBLANK(B37),,IFERROR(VLOOKUP(B37,CurrentRank!$B$2:$C$132,2,FALSE),0))</f>
        <v>87.05</v>
      </c>
      <c r="F37" s="4">
        <f>IFERROR(VLOOKUP(B37,Week13,3,FALSE),130)</f>
        <v>3</v>
      </c>
      <c r="G37" s="4">
        <f>IF(ISBLANK(B37),,IFERROR(VLOOKUP(B37,CurrentRank!$B$2:$D$132,3,FALSE),130))</f>
        <v>2</v>
      </c>
      <c r="H37" s="4">
        <f>IFERROR(VLOOKUP(C37,Week13,2,FALSE),0)</f>
        <v>31.9</v>
      </c>
      <c r="I37" s="4">
        <f>IF(ISBLANK(B37),,IFERROR(VLOOKUP(C37,CurrentRank!$B$2:$C$132,2,FALSE),0))</f>
        <v>29.42</v>
      </c>
      <c r="J37" s="4">
        <f>IFERROR(VLOOKUP(C37,Week13,3,FALSE),130)</f>
        <v>87</v>
      </c>
      <c r="K37" s="4">
        <f>IF(ISBLANK(C37),,IFERROR(VLOOKUP(C37,CurrentRank!$B$2:$D$132,3,FALSE),130))</f>
        <v>114</v>
      </c>
      <c r="L37" s="19">
        <f t="shared" ref="L37:L40" si="41">IF(U37= "Yes", 0, IF(ISBLANK(C37),,(D37+H37)*0.015))</f>
        <v>1.78485</v>
      </c>
      <c r="M37" s="19">
        <f t="shared" ref="M37:M40" si="42">IF(U37= "Yes", 0, IF(ISBLANK(D37),,(E37+I37)*0.015))</f>
        <v>1.74705</v>
      </c>
      <c r="N37" s="24">
        <f t="shared" ref="N37:N60" si="43">IF(ISBLANK(C37),,(F37+J37)/2)</f>
        <v>45</v>
      </c>
      <c r="O37" s="21">
        <f t="shared" si="4"/>
        <v>26.702575</v>
      </c>
      <c r="P37" s="21">
        <f t="shared" ref="P37:P60" si="44">IF(ISBLANK(C37),,(E37-(I37+L37))/2)</f>
        <v>27.922575</v>
      </c>
      <c r="Q37" s="22">
        <f t="shared" si="6"/>
        <v>0.641487125</v>
      </c>
      <c r="R37" s="25" t="str">
        <f t="shared" si="7"/>
        <v>D</v>
      </c>
      <c r="S37" s="19">
        <f t="shared" si="8"/>
        <v>0.575</v>
      </c>
      <c r="T37" s="19" t="str">
        <f t="shared" si="9"/>
        <v>F</v>
      </c>
      <c r="U37" s="3" t="s">
        <v>203</v>
      </c>
      <c r="V37" s="4" t="str">
        <f>IF(ISBLANK(C37),,IFERROR(IF(VLOOKUP(B37,Standings!$A:$F, 6, 0)=VLOOKUP(C37,Standings!$A:$F, 6, 0), VLOOKUP(B37,Standings!$A:$F, 6, 0), "Non-con"), "FCS"))</f>
        <v>B1G</v>
      </c>
      <c r="W37" s="3" t="str">
        <f t="shared" si="10"/>
        <v>Michigan State</v>
      </c>
      <c r="X37" s="3" t="str">
        <f t="shared" si="11"/>
        <v>Ohio State</v>
      </c>
      <c r="Y37" s="30">
        <f>IF(D37=0,,IF(ISBLANK(Q37),,VLOOKUP(X37,Week13,2,FALSE)/(VLOOKUP(X37,Week13,2,FALSE)+VLOOKUP(W37,Week13,2,FALSE))+0.05)*100)</f>
        <v>78.19102446</v>
      </c>
      <c r="Z37" s="3" t="s">
        <v>26</v>
      </c>
      <c r="AA37" s="3">
        <v>52.0</v>
      </c>
      <c r="AB37" s="4" t="str">
        <f t="shared" si="20"/>
        <v>Michigan State</v>
      </c>
      <c r="AC37" s="3">
        <v>12.0</v>
      </c>
      <c r="AD37" s="3"/>
      <c r="AE37" s="3">
        <f t="shared" si="13"/>
        <v>40</v>
      </c>
      <c r="AF37" s="3"/>
      <c r="AG37" s="3">
        <f t="shared" si="25"/>
        <v>1</v>
      </c>
      <c r="AH37" s="3"/>
      <c r="AI37" s="7"/>
      <c r="AJ37" s="4"/>
      <c r="AK37" s="7"/>
      <c r="AL37" s="7"/>
      <c r="AM37" s="7"/>
      <c r="AN37" s="7"/>
      <c r="AO37" s="7"/>
      <c r="AP37" s="7"/>
      <c r="AQ37" s="7"/>
      <c r="AR37" s="7"/>
      <c r="AS37" s="7"/>
      <c r="AT37" s="7"/>
      <c r="AU37" s="7"/>
      <c r="AV37" s="7"/>
      <c r="AW37" s="7"/>
      <c r="AX37" s="7"/>
    </row>
    <row r="38" ht="12.75" hidden="1" customHeight="1">
      <c r="A38" s="3">
        <v>7.0</v>
      </c>
      <c r="B38" s="3" t="s">
        <v>94</v>
      </c>
      <c r="C38" s="3" t="s">
        <v>28</v>
      </c>
      <c r="D38" s="4">
        <f>IFERROR(VLOOKUP(B38,Week6,2,FALSE),0)</f>
        <v>30.48</v>
      </c>
      <c r="E38" s="4">
        <f>IF(ISBLANK(B38),,IFERROR(VLOOKUP(B38,CurrentRank!$B$2:$C$132,2,FALSE),0))</f>
        <v>36.87</v>
      </c>
      <c r="F38" s="4">
        <f>IFERROR(VLOOKUP(B38,Week6,3,FALSE),130)</f>
        <v>69</v>
      </c>
      <c r="G38" s="4">
        <f>IF(ISBLANK(B38),,IFERROR(VLOOKUP(B38,CurrentRank!$B$2:$D$132,3,FALSE),130))</f>
        <v>48</v>
      </c>
      <c r="H38" s="4">
        <f>IFERROR(VLOOKUP(C38,Week6,2,FALSE),0)</f>
        <v>83.02</v>
      </c>
      <c r="I38" s="4">
        <f>IF(ISBLANK(B38),,IFERROR(VLOOKUP(C38,CurrentRank!$B$2:$C$132,2,FALSE),0))</f>
        <v>78.79</v>
      </c>
      <c r="J38" s="4">
        <f>IFERROR(VLOOKUP(C38,Week6,3,FALSE),130)</f>
        <v>6</v>
      </c>
      <c r="K38" s="4">
        <f>IF(ISBLANK(C38),,IFERROR(VLOOKUP(C38,CurrentRank!$B$2:$D$132,3,FALSE),130))</f>
        <v>7</v>
      </c>
      <c r="L38" s="19">
        <f t="shared" si="41"/>
        <v>1.7025</v>
      </c>
      <c r="M38" s="19">
        <f t="shared" si="42"/>
        <v>1.7349</v>
      </c>
      <c r="N38" s="24">
        <f t="shared" si="43"/>
        <v>37.5</v>
      </c>
      <c r="O38" s="21">
        <f t="shared" si="4"/>
        <v>-27.12125</v>
      </c>
      <c r="P38" s="21">
        <f t="shared" si="44"/>
        <v>-21.81125</v>
      </c>
      <c r="Q38" s="22">
        <f t="shared" si="6"/>
        <v>0.67689375</v>
      </c>
      <c r="R38" s="25" t="str">
        <f t="shared" si="7"/>
        <v>D+</v>
      </c>
      <c r="S38" s="19">
        <f t="shared" si="8"/>
        <v>0.7875</v>
      </c>
      <c r="T38" s="19" t="str">
        <f t="shared" si="9"/>
        <v>C+</v>
      </c>
      <c r="U38" s="3" t="s">
        <v>203</v>
      </c>
      <c r="V38" s="4" t="str">
        <f>IF(ISBLANK(C38),,IFERROR(IF(VLOOKUP(B38,Standings!$A:$F, 6, 0)=VLOOKUP(C38,Standings!$A:$F, 6, 0), VLOOKUP(B38,Standings!$A:$F, 6, 0), "Non-con"), "FCS"))</f>
        <v>ACC</v>
      </c>
      <c r="W38" s="3" t="str">
        <f t="shared" si="10"/>
        <v>Louisville</v>
      </c>
      <c r="X38" s="3" t="str">
        <f t="shared" si="11"/>
        <v>Notre Dame</v>
      </c>
      <c r="Y38" s="30">
        <f>IF(D38=0,,IF(ISBLANK(Q38),,VLOOKUP(X38,Week6,2,FALSE)/(VLOOKUP(X38,Week6,2,FALSE)+VLOOKUP(W38,Week6,2,FALSE))+0.05)*100)</f>
        <v>78.14537445</v>
      </c>
      <c r="Z38" s="3" t="s">
        <v>28</v>
      </c>
      <c r="AA38" s="3">
        <v>12.0</v>
      </c>
      <c r="AB38" s="4" t="str">
        <f t="shared" si="20"/>
        <v>Louisville</v>
      </c>
      <c r="AC38" s="3">
        <v>7.0</v>
      </c>
      <c r="AD38" s="3"/>
      <c r="AE38" s="3">
        <f t="shared" si="13"/>
        <v>5</v>
      </c>
      <c r="AF38" s="3"/>
      <c r="AG38" s="3">
        <f t="shared" si="25"/>
        <v>1</v>
      </c>
      <c r="AH38" s="3"/>
      <c r="AI38" s="7"/>
      <c r="AJ38" s="4" t="s">
        <v>87</v>
      </c>
      <c r="AK38" s="7"/>
      <c r="AL38" s="7"/>
      <c r="AM38" s="7"/>
      <c r="AN38" s="7"/>
      <c r="AO38" s="7"/>
      <c r="AP38" s="7"/>
      <c r="AQ38" s="7"/>
      <c r="AR38" s="7"/>
      <c r="AS38" s="7"/>
      <c r="AT38" s="7"/>
      <c r="AU38" s="7"/>
      <c r="AV38" s="7"/>
      <c r="AW38" s="7"/>
      <c r="AX38" s="7"/>
    </row>
    <row r="39" ht="12.75" customHeight="1">
      <c r="A39" s="3">
        <v>16.0</v>
      </c>
      <c r="B39" s="3" t="s">
        <v>51</v>
      </c>
      <c r="C39" s="3" t="s">
        <v>92</v>
      </c>
      <c r="D39" s="4">
        <f>IFERROR(VLOOKUP(B39,Week15,2,FALSE),0)</f>
        <v>74.51</v>
      </c>
      <c r="E39" s="4">
        <f>IF(ISBLANK(B39),,IFERROR(VLOOKUP(B39,CurrentRank!$B$2:$C$132,2,FALSE),0))</f>
        <v>81.57</v>
      </c>
      <c r="F39" s="4">
        <f>IFERROR(VLOOKUP(B39,Week15,3,FALSE),130)</f>
        <v>12</v>
      </c>
      <c r="G39" s="4">
        <f>IF(ISBLANK(B39),,IFERROR(VLOOKUP(B39,CurrentRank!$B$2:$D$132,3,FALSE),130))</f>
        <v>5</v>
      </c>
      <c r="H39" s="4">
        <f>IFERROR(VLOOKUP(C39,Week15,2,FALSE),0)</f>
        <v>78.13</v>
      </c>
      <c r="I39" s="4">
        <f>IF(ISBLANK(B39),,IFERROR(VLOOKUP(C39,CurrentRank!$B$2:$C$132,2,FALSE),0))</f>
        <v>73.64</v>
      </c>
      <c r="J39" s="4">
        <f>IFERROR(VLOOKUP(C39,Week15,3,FALSE),130)</f>
        <v>9</v>
      </c>
      <c r="K39" s="4">
        <f>IF(ISBLANK(C39),,IFERROR(VLOOKUP(C39,CurrentRank!$B$2:$D$132,3,FALSE),130))</f>
        <v>8</v>
      </c>
      <c r="L39" s="19">
        <f t="shared" si="41"/>
        <v>0</v>
      </c>
      <c r="M39" s="19">
        <f t="shared" si="42"/>
        <v>0</v>
      </c>
      <c r="N39" s="24">
        <f t="shared" si="43"/>
        <v>10.5</v>
      </c>
      <c r="O39" s="21">
        <f t="shared" si="4"/>
        <v>-1.81</v>
      </c>
      <c r="P39" s="21">
        <f t="shared" si="44"/>
        <v>3.965</v>
      </c>
      <c r="Q39" s="22">
        <f t="shared" si="6"/>
        <v>0.93845</v>
      </c>
      <c r="R39" s="25" t="str">
        <f t="shared" si="7"/>
        <v>A</v>
      </c>
      <c r="S39" s="19">
        <f t="shared" si="8"/>
        <v>0.9175</v>
      </c>
      <c r="T39" s="19" t="str">
        <f t="shared" si="9"/>
        <v>A-</v>
      </c>
      <c r="U39" s="3" t="s">
        <v>223</v>
      </c>
      <c r="V39" s="4" t="str">
        <f>IF(ISBLANK(C39),,IFERROR(IF(VLOOKUP(B39,Standings!$A:$F, 6, 0)=VLOOKUP(C39,Standings!$A:$F, 6, 0), VLOOKUP(B39,Standings!$A:$F, 6, 0), "Non-con"), "FCS"))</f>
        <v>BIG12</v>
      </c>
      <c r="W39" s="3" t="str">
        <f t="shared" si="10"/>
        <v>Oklahoma</v>
      </c>
      <c r="X39" s="3" t="str">
        <f t="shared" si="11"/>
        <v>Iowa State</v>
      </c>
      <c r="Y39" s="30">
        <f>IF(D39=0,,IF(ISBLANK(Q39),,VLOOKUP(X39,Week15,2,FALSE)/(VLOOKUP(X39,Week15,2,FALSE)+VLOOKUP(W39,Week15,2,FALSE))+0.05)*100)</f>
        <v>56.18579665</v>
      </c>
      <c r="Z39" s="3" t="s">
        <v>51</v>
      </c>
      <c r="AA39" s="3">
        <v>27.0</v>
      </c>
      <c r="AB39" s="4" t="str">
        <f t="shared" si="20"/>
        <v>Iowa State</v>
      </c>
      <c r="AC39" s="3">
        <v>21.0</v>
      </c>
      <c r="AD39" s="3"/>
      <c r="AE39" s="3">
        <f t="shared" si="13"/>
        <v>6</v>
      </c>
      <c r="AF39" s="3" t="s">
        <v>233</v>
      </c>
      <c r="AG39" s="3">
        <f t="shared" si="25"/>
        <v>0</v>
      </c>
      <c r="AH39" s="3"/>
      <c r="AI39" s="7"/>
      <c r="AJ39" s="4"/>
      <c r="AK39" s="7"/>
      <c r="AL39" s="7"/>
      <c r="AM39" s="7"/>
      <c r="AN39" s="7"/>
      <c r="AO39" s="7"/>
      <c r="AP39" s="7"/>
      <c r="AQ39" s="7"/>
      <c r="AR39" s="7"/>
      <c r="AS39" s="7"/>
      <c r="AT39" s="7"/>
      <c r="AU39" s="7"/>
      <c r="AV39" s="7"/>
      <c r="AW39" s="7"/>
      <c r="AX39" s="7"/>
    </row>
    <row r="40" ht="12.75" hidden="1" customHeight="1">
      <c r="A40" s="3">
        <v>9.0</v>
      </c>
      <c r="B40" s="3" t="s">
        <v>193</v>
      </c>
      <c r="C40" s="3" t="s">
        <v>73</v>
      </c>
      <c r="D40" s="4">
        <f>IFERROR(VLOOKUP(B40,Week8,2,FALSE),0)</f>
        <v>28.5</v>
      </c>
      <c r="E40" s="4">
        <f>IF(ISBLANK(B40),,IFERROR(VLOOKUP(B40,CurrentRank!$B$2:$C$132,2,FALSE),0))</f>
        <v>29.31</v>
      </c>
      <c r="F40" s="4">
        <f>IFERROR(VLOOKUP(B40,Week8,3,FALSE),130)</f>
        <v>117</v>
      </c>
      <c r="G40" s="4">
        <f>IF(ISBLANK(B40),,IFERROR(VLOOKUP(B40,CurrentRank!$B$2:$D$132,3,FALSE),130))</f>
        <v>115</v>
      </c>
      <c r="H40" s="4">
        <f>IFERROR(VLOOKUP(C40,Week8,2,FALSE),0)</f>
        <v>76.58</v>
      </c>
      <c r="I40" s="4">
        <f>IF(ISBLANK(B40),,IFERROR(VLOOKUP(C40,CurrentRank!$B$2:$C$132,2,FALSE),0))</f>
        <v>69.33</v>
      </c>
      <c r="J40" s="4">
        <f>IFERROR(VLOOKUP(C40,Week8,3,FALSE),130)</f>
        <v>9</v>
      </c>
      <c r="K40" s="4">
        <f>IF(ISBLANK(C40),,IFERROR(VLOOKUP(C40,CurrentRank!$B$2:$D$132,3,FALSE),130))</f>
        <v>15</v>
      </c>
      <c r="L40" s="19">
        <f t="shared" si="41"/>
        <v>1.5762</v>
      </c>
      <c r="M40" s="19">
        <f t="shared" si="42"/>
        <v>1.4796</v>
      </c>
      <c r="N40" s="24">
        <f t="shared" si="43"/>
        <v>63</v>
      </c>
      <c r="O40" s="21">
        <f t="shared" si="4"/>
        <v>-24.8281</v>
      </c>
      <c r="P40" s="21">
        <f t="shared" si="44"/>
        <v>-20.7981</v>
      </c>
      <c r="Q40" s="22">
        <f t="shared" si="6"/>
        <v>0.5608595</v>
      </c>
      <c r="R40" s="25" t="str">
        <f t="shared" si="7"/>
        <v>F</v>
      </c>
      <c r="S40" s="19">
        <f t="shared" si="8"/>
        <v>0.53</v>
      </c>
      <c r="T40" s="19" t="str">
        <f t="shared" si="9"/>
        <v>F</v>
      </c>
      <c r="U40" s="3" t="s">
        <v>203</v>
      </c>
      <c r="V40" s="4" t="str">
        <f>IF(ISBLANK(C40),,IFERROR(IF(VLOOKUP(B40,Standings!$A:$F, 6, 0)=VLOOKUP(C40,Standings!$A:$F, 6, 0), VLOOKUP(B40,Standings!$A:$F, 6, 0), "Non-con"), "FCS"))</f>
        <v>Non-con</v>
      </c>
      <c r="W40" s="3" t="str">
        <f t="shared" si="10"/>
        <v>Western Kentucky</v>
      </c>
      <c r="X40" s="3" t="str">
        <f t="shared" si="11"/>
        <v>BYU</v>
      </c>
      <c r="Y40" s="30">
        <f>IF(D40=0,,IF(ISBLANK(Q40),,VLOOKUP(X40,Week8,2,FALSE)/(VLOOKUP(X40,Week8,2,FALSE)+VLOOKUP(W40,Week8,2,FALSE))+0.05)*100)</f>
        <v>77.87780738</v>
      </c>
      <c r="Z40" s="3" t="s">
        <v>73</v>
      </c>
      <c r="AA40" s="3">
        <v>41.0</v>
      </c>
      <c r="AB40" s="4" t="str">
        <f t="shared" si="20"/>
        <v>Western Kentucky</v>
      </c>
      <c r="AC40" s="3">
        <v>10.0</v>
      </c>
      <c r="AD40" s="3"/>
      <c r="AE40" s="3">
        <f t="shared" si="13"/>
        <v>31</v>
      </c>
      <c r="AF40" s="3"/>
      <c r="AG40" s="3">
        <f t="shared" si="25"/>
        <v>1</v>
      </c>
      <c r="AH40" s="3"/>
      <c r="AI40" s="7"/>
      <c r="AJ40" s="4"/>
      <c r="AK40" s="7"/>
      <c r="AL40" s="7"/>
      <c r="AM40" s="7"/>
      <c r="AN40" s="7"/>
      <c r="AO40" s="7"/>
      <c r="AP40" s="7"/>
      <c r="AQ40" s="7"/>
      <c r="AR40" s="7"/>
      <c r="AS40" s="7"/>
      <c r="AT40" s="7"/>
      <c r="AU40" s="7"/>
      <c r="AV40" s="7"/>
      <c r="AW40" s="7"/>
      <c r="AX40" s="7"/>
    </row>
    <row r="41" ht="12.75" hidden="1" customHeight="1">
      <c r="A41" s="3">
        <v>13.0</v>
      </c>
      <c r="B41" s="3" t="s">
        <v>43</v>
      </c>
      <c r="C41" s="3" t="s">
        <v>172</v>
      </c>
      <c r="D41" s="4">
        <f>IFERROR(VLOOKUP(B41,Week12,2,FALSE),0)</f>
        <v>11.59</v>
      </c>
      <c r="E41" s="4">
        <f>IF(ISBLANK(B41),,IFERROR(VLOOKUP(B41,CurrentRank!$B$2:$C$132,2,FALSE),0))</f>
        <v>11.84</v>
      </c>
      <c r="F41" s="4">
        <f>IFERROR(VLOOKUP(B41,Week12,3,FALSE),130)</f>
        <v>130</v>
      </c>
      <c r="G41" s="4">
        <f>IF(ISBLANK(B41),,IFERROR(VLOOKUP(B41,CurrentRank!$B$2:$D$132,3,FALSE),130))</f>
        <v>130</v>
      </c>
      <c r="H41" s="4">
        <f>IFERROR(VLOOKUP(C41,Week12,2,FALSE),0)</f>
        <v>30.93</v>
      </c>
      <c r="I41" s="4">
        <f>IF(ISBLANK(B41),,IFERROR(VLOOKUP(C41,CurrentRank!$B$2:$C$132,2,FALSE),0))</f>
        <v>33.49</v>
      </c>
      <c r="J41" s="4">
        <f>IFERROR(VLOOKUP(C41,Week12,3,FALSE),130)</f>
        <v>96</v>
      </c>
      <c r="K41" s="4">
        <f>IF(ISBLANK(C41),,IFERROR(VLOOKUP(C41,CurrentRank!$B$2:$D$132,3,FALSE),130))</f>
        <v>79</v>
      </c>
      <c r="L41" s="19">
        <f t="shared" ref="L41:M41" si="45">IF(ISBLANK(C41),,(D41+H41)*0.015)</f>
        <v>0.6378</v>
      </c>
      <c r="M41" s="19">
        <f t="shared" si="45"/>
        <v>0.67995</v>
      </c>
      <c r="N41" s="24">
        <f t="shared" si="43"/>
        <v>113</v>
      </c>
      <c r="O41" s="24">
        <f t="shared" si="4"/>
        <v>-9.9889</v>
      </c>
      <c r="P41" s="24">
        <f t="shared" si="44"/>
        <v>-11.1439</v>
      </c>
      <c r="Q41" s="22">
        <f t="shared" si="6"/>
        <v>0.3850555</v>
      </c>
      <c r="R41" s="25" t="str">
        <f t="shared" si="7"/>
        <v>F</v>
      </c>
      <c r="S41" s="19" t="str">
        <f t="shared" si="8"/>
        <v/>
      </c>
      <c r="T41" s="19" t="str">
        <f t="shared" si="9"/>
        <v/>
      </c>
      <c r="U41" s="3" t="s">
        <v>203</v>
      </c>
      <c r="V41" s="4" t="str">
        <f>IF(ISBLANK(C41),,IFERROR(IF(VLOOKUP(B41,Standings!$A:$F, 6, 0)=VLOOKUP(C41,Standings!$A:$F, 6, 0), VLOOKUP(B41,Standings!$A:$F, 6, 0), "Non-con"), "FCS"))</f>
        <v>CUSA</v>
      </c>
      <c r="W41" s="3" t="str">
        <f t="shared" si="10"/>
        <v>UTEP</v>
      </c>
      <c r="X41" s="3" t="str">
        <f t="shared" si="11"/>
        <v>Rice</v>
      </c>
      <c r="Y41" s="30">
        <f>IF(D41=0,,IF(ISBLANK(Q41),,VLOOKUP(X41,Week12,2,FALSE)/(VLOOKUP(X41,Week12,2,FALSE)+VLOOKUP(W41,Week12,2,FALSE))+0.05)*100)</f>
        <v>77.74223895</v>
      </c>
      <c r="Z41" s="3"/>
      <c r="AA41" s="3"/>
      <c r="AB41" s="4" t="str">
        <f t="shared" si="20"/>
        <v/>
      </c>
      <c r="AC41" s="3"/>
      <c r="AD41" s="3"/>
      <c r="AE41" s="3" t="str">
        <f t="shared" si="13"/>
        <v/>
      </c>
      <c r="AF41" s="3" t="s">
        <v>226</v>
      </c>
      <c r="AG41" s="3" t="str">
        <f t="shared" si="25"/>
        <v/>
      </c>
      <c r="AH41" s="3"/>
      <c r="AI41" s="7"/>
      <c r="AJ41" s="4"/>
      <c r="AK41" s="7"/>
      <c r="AL41" s="7"/>
      <c r="AM41" s="7"/>
      <c r="AN41" s="7"/>
      <c r="AO41" s="7"/>
      <c r="AP41" s="7"/>
      <c r="AQ41" s="7"/>
      <c r="AR41" s="7"/>
      <c r="AS41" s="7"/>
      <c r="AT41" s="7"/>
      <c r="AU41" s="7"/>
      <c r="AV41" s="7"/>
      <c r="AW41" s="7"/>
      <c r="AX41" s="7"/>
    </row>
    <row r="42" ht="12.75" hidden="1" customHeight="1">
      <c r="A42" s="3">
        <v>11.0</v>
      </c>
      <c r="B42" s="3" t="s">
        <v>123</v>
      </c>
      <c r="C42" s="3" t="s">
        <v>196</v>
      </c>
      <c r="D42" s="4">
        <f>IFERROR(VLOOKUP(B42,Week10,2,FALSE),0)</f>
        <v>12.3</v>
      </c>
      <c r="E42" s="4">
        <f>IF(ISBLANK(B42),,IFERROR(VLOOKUP(B42,CurrentRank!$B$2:$C$132,2,FALSE),0))</f>
        <v>13.91</v>
      </c>
      <c r="F42" s="4">
        <f>IFERROR(VLOOKUP(B42,Week10,3,FALSE),130)</f>
        <v>130</v>
      </c>
      <c r="G42" s="4">
        <f>IF(ISBLANK(B42),,IFERROR(VLOOKUP(B42,CurrentRank!$B$2:$D$132,3,FALSE),130))</f>
        <v>129</v>
      </c>
      <c r="H42" s="4">
        <f>IFERROR(VLOOKUP(C42,Week10,2,FALSE),0)</f>
        <v>32.72</v>
      </c>
      <c r="I42" s="4">
        <f>IF(ISBLANK(B42),,IFERROR(VLOOKUP(C42,CurrentRank!$B$2:$C$132,2,FALSE),0))</f>
        <v>33.03</v>
      </c>
      <c r="J42" s="4">
        <f>IFERROR(VLOOKUP(C42,Week10,3,FALSE),130)</f>
        <v>77</v>
      </c>
      <c r="K42" s="4">
        <f>IF(ISBLANK(C42),,IFERROR(VLOOKUP(C42,CurrentRank!$B$2:$D$132,3,FALSE),130))</f>
        <v>86</v>
      </c>
      <c r="L42" s="19">
        <f t="shared" ref="L42:L43" si="46">IF(U42= "Yes", 0, IF(ISBLANK(C42),,(D42+H42)*0.015))</f>
        <v>0.6753</v>
      </c>
      <c r="M42" s="19">
        <f t="shared" ref="M42:M43" si="47">IF(U42= "Yes", 0, IF(ISBLANK(D42),,(E42+I42)*0.015))</f>
        <v>0.7041</v>
      </c>
      <c r="N42" s="24">
        <f t="shared" si="43"/>
        <v>103.5</v>
      </c>
      <c r="O42" s="21">
        <f t="shared" si="4"/>
        <v>-10.54765</v>
      </c>
      <c r="P42" s="21">
        <f t="shared" si="44"/>
        <v>-9.89765</v>
      </c>
      <c r="Q42" s="22">
        <f t="shared" si="6"/>
        <v>0.42976175</v>
      </c>
      <c r="R42" s="25" t="str">
        <f t="shared" si="7"/>
        <v>F</v>
      </c>
      <c r="S42" s="19">
        <f t="shared" si="8"/>
        <v>0.3075</v>
      </c>
      <c r="T42" s="19" t="str">
        <f t="shared" si="9"/>
        <v>F</v>
      </c>
      <c r="U42" s="3" t="s">
        <v>203</v>
      </c>
      <c r="V42" s="4" t="str">
        <f>IF(ISBLANK(C42),,IFERROR(IF(VLOOKUP(B42,Standings!$A:$F, 6, 0)=VLOOKUP(C42,Standings!$A:$F, 6, 0), VLOOKUP(B42,Standings!$A:$F, 6, 0), "Non-con"), "FCS"))</f>
        <v>AAC</v>
      </c>
      <c r="W42" s="3" t="str">
        <f t="shared" si="10"/>
        <v>South Florida</v>
      </c>
      <c r="X42" s="3" t="str">
        <f t="shared" si="11"/>
        <v>Houston</v>
      </c>
      <c r="Y42" s="30">
        <f>IF(D42=0,,IF(ISBLANK(Q42),,VLOOKUP(X42,Week10,2,FALSE)/(VLOOKUP(X42,Week10,2,FALSE)+VLOOKUP(W42,Week10,2,FALSE))+0.05)*100)</f>
        <v>77.67880942</v>
      </c>
      <c r="Z42" s="3" t="s">
        <v>196</v>
      </c>
      <c r="AA42" s="3">
        <v>56.0</v>
      </c>
      <c r="AB42" s="4" t="str">
        <f t="shared" si="20"/>
        <v>South Florida</v>
      </c>
      <c r="AC42" s="3">
        <v>21.0</v>
      </c>
      <c r="AD42" s="3"/>
      <c r="AE42" s="3">
        <f t="shared" si="13"/>
        <v>35</v>
      </c>
      <c r="AF42" s="3"/>
      <c r="AG42" s="3">
        <f t="shared" si="25"/>
        <v>1</v>
      </c>
      <c r="AH42" s="3"/>
      <c r="AI42" s="7"/>
      <c r="AJ42" s="4" t="s">
        <v>177</v>
      </c>
      <c r="AK42" s="3" t="s">
        <v>228</v>
      </c>
      <c r="AL42" s="44" t="s">
        <v>234</v>
      </c>
      <c r="AM42" s="7"/>
      <c r="AN42" s="7"/>
      <c r="AO42" s="7"/>
      <c r="AP42" s="7"/>
      <c r="AQ42" s="7"/>
      <c r="AR42" s="7"/>
      <c r="AS42" s="7"/>
      <c r="AT42" s="7"/>
      <c r="AU42" s="7"/>
      <c r="AV42" s="7"/>
      <c r="AW42" s="7"/>
      <c r="AX42" s="7"/>
    </row>
    <row r="43" ht="12.75" hidden="1" customHeight="1">
      <c r="A43" s="3">
        <v>8.0</v>
      </c>
      <c r="B43" s="3" t="s">
        <v>23</v>
      </c>
      <c r="C43" s="3" t="s">
        <v>65</v>
      </c>
      <c r="D43" s="4">
        <f>IFERROR(VLOOKUP(B43,Week7,2,FALSE),0)</f>
        <v>93.43</v>
      </c>
      <c r="E43" s="4">
        <f>IF(ISBLANK(B43),,IFERROR(VLOOKUP(B43,CurrentRank!$B$2:$C$132,2,FALSE),0))</f>
        <v>96.59</v>
      </c>
      <c r="F43" s="4">
        <f>IFERROR(VLOOKUP(B43,Week7,3,FALSE),130)</f>
        <v>2</v>
      </c>
      <c r="G43" s="4">
        <f>IF(ISBLANK(B43),,IFERROR(VLOOKUP(B43,CurrentRank!$B$2:$D$132,3,FALSE),130))</f>
        <v>1</v>
      </c>
      <c r="H43" s="4">
        <f>IFERROR(VLOOKUP(C43,Week7,2,FALSE),0)</f>
        <v>35.47</v>
      </c>
      <c r="I43" s="4">
        <f>IF(ISBLANK(B43),,IFERROR(VLOOKUP(C43,CurrentRank!$B$2:$C$132,2,FALSE),0))</f>
        <v>34.09</v>
      </c>
      <c r="J43" s="4">
        <f>IFERROR(VLOOKUP(C43,Week7,3,FALSE),130)</f>
        <v>55</v>
      </c>
      <c r="K43" s="4">
        <f>IF(ISBLANK(C43),,IFERROR(VLOOKUP(C43,CurrentRank!$B$2:$D$132,3,FALSE),130))</f>
        <v>74</v>
      </c>
      <c r="L43" s="19">
        <f t="shared" si="46"/>
        <v>1.9335</v>
      </c>
      <c r="M43" s="19">
        <f t="shared" si="47"/>
        <v>1.9602</v>
      </c>
      <c r="N43" s="24">
        <f t="shared" si="43"/>
        <v>28.5</v>
      </c>
      <c r="O43" s="21">
        <f t="shared" si="4"/>
        <v>28.01325</v>
      </c>
      <c r="P43" s="21">
        <f t="shared" si="44"/>
        <v>30.28325</v>
      </c>
      <c r="Q43" s="22">
        <f t="shared" si="6"/>
        <v>0.71743375</v>
      </c>
      <c r="R43" s="25" t="str">
        <f t="shared" si="7"/>
        <v>C-</v>
      </c>
      <c r="S43" s="19">
        <f t="shared" si="8"/>
        <v>0.7025</v>
      </c>
      <c r="T43" s="19" t="str">
        <f t="shared" si="9"/>
        <v>C-</v>
      </c>
      <c r="U43" s="3" t="s">
        <v>203</v>
      </c>
      <c r="V43" s="4" t="str">
        <f>IF(ISBLANK(C43),,IFERROR(IF(VLOOKUP(B43,Standings!$A:$F, 6, 0)=VLOOKUP(C43,Standings!$A:$F, 6, 0), VLOOKUP(B43,Standings!$A:$F, 6, 0), "Non-con"), "FCS"))</f>
        <v>SEC</v>
      </c>
      <c r="W43" s="3" t="str">
        <f t="shared" si="10"/>
        <v>Tennessee</v>
      </c>
      <c r="X43" s="3" t="str">
        <f t="shared" si="11"/>
        <v>Alabama</v>
      </c>
      <c r="Y43" s="30">
        <f>IF(D43=0,,IF(ISBLANK(Q43),,VLOOKUP(X43,Week7,2,FALSE)/(VLOOKUP(X43,Week7,2,FALSE)+VLOOKUP(W43,Week7,2,FALSE))+0.05)*100)</f>
        <v>77.48254461</v>
      </c>
      <c r="Z43" s="3" t="s">
        <v>23</v>
      </c>
      <c r="AA43" s="3">
        <v>48.0</v>
      </c>
      <c r="AB43" s="4" t="str">
        <f t="shared" si="20"/>
        <v>Tennessee</v>
      </c>
      <c r="AC43" s="3">
        <v>17.0</v>
      </c>
      <c r="AD43" s="3"/>
      <c r="AE43" s="3">
        <f t="shared" si="13"/>
        <v>31</v>
      </c>
      <c r="AF43" s="3"/>
      <c r="AG43" s="3">
        <f t="shared" si="25"/>
        <v>1</v>
      </c>
      <c r="AH43" s="3"/>
      <c r="AI43" s="7"/>
      <c r="AJ43" s="4" t="s">
        <v>74</v>
      </c>
      <c r="AK43" s="7"/>
      <c r="AL43" s="7"/>
      <c r="AM43" s="7"/>
      <c r="AN43" s="7"/>
      <c r="AO43" s="7"/>
      <c r="AP43" s="7"/>
      <c r="AQ43" s="7"/>
      <c r="AR43" s="7"/>
      <c r="AS43" s="7"/>
      <c r="AT43" s="7"/>
      <c r="AU43" s="7"/>
      <c r="AV43" s="7"/>
      <c r="AW43" s="7"/>
      <c r="AX43" s="7"/>
    </row>
    <row r="44" ht="12.75" hidden="1" customHeight="1">
      <c r="A44" s="3">
        <v>15.0</v>
      </c>
      <c r="B44" s="3" t="s">
        <v>46</v>
      </c>
      <c r="C44" s="3" t="s">
        <v>192</v>
      </c>
      <c r="D44" s="4">
        <f>IFERROR(VLOOKUP(B44,Week14,2,FALSE),0)</f>
        <v>55.98</v>
      </c>
      <c r="E44" s="4">
        <f>IF(ISBLANK(B44),,IFERROR(VLOOKUP(B44,CurrentRank!$B$2:$C$132,2,FALSE),0))</f>
        <v>62.29</v>
      </c>
      <c r="F44" s="4">
        <f>IFERROR(VLOOKUP(B44,Week14,3,FALSE),130)</f>
        <v>24</v>
      </c>
      <c r="G44" s="4">
        <f>IF(ISBLANK(B44),,IFERROR(VLOOKUP(B44,CurrentRank!$B$2:$D$132,3,FALSE),130))</f>
        <v>20</v>
      </c>
      <c r="H44" s="4">
        <f>IFERROR(VLOOKUP(C44,Week14,2,FALSE),0)</f>
        <v>21.27</v>
      </c>
      <c r="I44" s="4">
        <f>IF(ISBLANK(B44),,IFERROR(VLOOKUP(C44,CurrentRank!$B$2:$C$132,2,FALSE),0))</f>
        <v>21.55</v>
      </c>
      <c r="J44" s="4">
        <f>IFERROR(VLOOKUP(C44,Week14,3,FALSE),130)</f>
        <v>128</v>
      </c>
      <c r="K44" s="4">
        <f>IF(ISBLANK(C44),,IFERROR(VLOOKUP(C44,CurrentRank!$B$2:$D$132,3,FALSE),130))</f>
        <v>127</v>
      </c>
      <c r="L44" s="19">
        <f t="shared" ref="L44:M44" si="48">IF(ISBLANK(C44),,(D44+H44)*0.015)</f>
        <v>1.15875</v>
      </c>
      <c r="M44" s="19">
        <f t="shared" si="48"/>
        <v>1.2576</v>
      </c>
      <c r="N44" s="24">
        <f t="shared" si="43"/>
        <v>76</v>
      </c>
      <c r="O44" s="21">
        <f t="shared" si="4"/>
        <v>16.775625</v>
      </c>
      <c r="P44" s="21">
        <f t="shared" si="44"/>
        <v>19.790625</v>
      </c>
      <c r="Q44" s="22">
        <f t="shared" si="6"/>
        <v>0.536121875</v>
      </c>
      <c r="R44" s="25" t="str">
        <f t="shared" si="7"/>
        <v>F</v>
      </c>
      <c r="S44" s="19" t="str">
        <f t="shared" si="8"/>
        <v/>
      </c>
      <c r="T44" s="19" t="str">
        <f t="shared" si="9"/>
        <v/>
      </c>
      <c r="U44" s="3" t="s">
        <v>203</v>
      </c>
      <c r="V44" s="4" t="str">
        <f>IF(ISBLANK(C44),,IFERROR(IF(VLOOKUP(B44,Standings!$A:$F, 6, 0)=VLOOKUP(C44,Standings!$A:$F, 6, 0), VLOOKUP(B44,Standings!$A:$F, 6, 0), "Non-con"), "FCS"))</f>
        <v>BIG12</v>
      </c>
      <c r="W44" s="3" t="str">
        <f t="shared" si="10"/>
        <v>Kansas</v>
      </c>
      <c r="X44" s="3" t="str">
        <f t="shared" si="11"/>
        <v>Texas</v>
      </c>
      <c r="Y44" s="30">
        <f>IF(D44=0,,IF(ISBLANK(Q44),,VLOOKUP(X44,Week14,2,FALSE)/(VLOOKUP(X44,Week14,2,FALSE)+VLOOKUP(W44,Week14,2,FALSE))+0.05)*100)</f>
        <v>77.46601942</v>
      </c>
      <c r="Z44" s="3"/>
      <c r="AA44" s="3"/>
      <c r="AB44" s="4" t="str">
        <f t="shared" si="20"/>
        <v/>
      </c>
      <c r="AC44" s="3"/>
      <c r="AD44" s="3"/>
      <c r="AE44" s="3" t="str">
        <f t="shared" si="13"/>
        <v/>
      </c>
      <c r="AF44" s="3" t="s">
        <v>226</v>
      </c>
      <c r="AG44" s="3" t="str">
        <f t="shared" si="25"/>
        <v/>
      </c>
      <c r="AH44" s="3"/>
      <c r="AI44" s="7"/>
      <c r="AJ44" s="4"/>
      <c r="AK44" s="7"/>
      <c r="AL44" s="7"/>
      <c r="AM44" s="7"/>
      <c r="AN44" s="7"/>
      <c r="AO44" s="7"/>
      <c r="AP44" s="7"/>
      <c r="AQ44" s="7"/>
      <c r="AR44" s="7"/>
      <c r="AS44" s="7"/>
      <c r="AT44" s="7"/>
      <c r="AU44" s="7"/>
      <c r="AV44" s="7"/>
      <c r="AW44" s="7"/>
      <c r="AX44" s="7"/>
    </row>
    <row r="45" ht="12.75" hidden="1" customHeight="1">
      <c r="A45" s="3">
        <v>2.0</v>
      </c>
      <c r="B45" s="3" t="s">
        <v>43</v>
      </c>
      <c r="C45" s="3" t="s">
        <v>46</v>
      </c>
      <c r="D45" s="4">
        <f>IFERROR(VLOOKUP(B45,Week1,2,FALSE),0)</f>
        <v>12.23</v>
      </c>
      <c r="E45" s="4">
        <f>IF(ISBLANK(B45),,IFERROR(VLOOKUP(B45,CurrentRank!$B$2:$C$132,2,FALSE),0))</f>
        <v>11.84</v>
      </c>
      <c r="F45" s="4">
        <f>IFERROR(VLOOKUP(B45,Week1,3,FALSE),130)</f>
        <v>33</v>
      </c>
      <c r="G45" s="4">
        <f>IF(ISBLANK(B45),,IFERROR(VLOOKUP(B45,CurrentRank!$B$2:$D$132,3,FALSE),130))</f>
        <v>130</v>
      </c>
      <c r="H45" s="4">
        <f>IFERROR(VLOOKUP(C45,Week1,2,FALSE),0)</f>
        <v>32.14</v>
      </c>
      <c r="I45" s="4">
        <f>IF(ISBLANK(B45),,IFERROR(VLOOKUP(C45,CurrentRank!$B$2:$C$132,2,FALSE),0))</f>
        <v>62.29</v>
      </c>
      <c r="J45" s="4">
        <f>IFERROR(VLOOKUP(C45,Week1,3,FALSE),130)</f>
        <v>14</v>
      </c>
      <c r="K45" s="4">
        <f>IF(ISBLANK(C45),,IFERROR(VLOOKUP(C45,CurrentRank!$B$2:$D$132,3,FALSE),130))</f>
        <v>20</v>
      </c>
      <c r="L45" s="19">
        <f t="shared" ref="L45:L47" si="49">IF(U45= "Yes", 0, IF(ISBLANK(C45),,(D45+H45)*0.015))</f>
        <v>0.66555</v>
      </c>
      <c r="M45" s="19">
        <f t="shared" ref="M45:M47" si="50">IF(U45= "Yes", 0, IF(ISBLANK(D45),,(E45+I45)*0.015))</f>
        <v>1.11195</v>
      </c>
      <c r="N45" s="24">
        <f t="shared" si="43"/>
        <v>23.5</v>
      </c>
      <c r="O45" s="21">
        <f t="shared" si="4"/>
        <v>-10.287775</v>
      </c>
      <c r="P45" s="21">
        <f t="shared" si="44"/>
        <v>-25.557775</v>
      </c>
      <c r="Q45" s="22">
        <f t="shared" si="6"/>
        <v>0.831061125</v>
      </c>
      <c r="R45" s="25" t="str">
        <f t="shared" si="7"/>
        <v>B</v>
      </c>
      <c r="S45" s="19">
        <f t="shared" si="8"/>
        <v>0.6025</v>
      </c>
      <c r="T45" s="19" t="str">
        <f t="shared" si="9"/>
        <v>D-</v>
      </c>
      <c r="U45" s="3" t="s">
        <v>203</v>
      </c>
      <c r="V45" s="4" t="str">
        <f>IF(ISBLANK(C45),,IFERROR(IF(VLOOKUP(B45,Standings!$A:$F, 6, 0)=VLOOKUP(C45,Standings!$A:$F, 6, 0), VLOOKUP(B45,Standings!$A:$F, 6, 0), "Non-con"), "FCS"))</f>
        <v>Non-con</v>
      </c>
      <c r="W45" s="3" t="str">
        <f t="shared" si="10"/>
        <v>UTEP</v>
      </c>
      <c r="X45" s="3" t="str">
        <f t="shared" si="11"/>
        <v>Texas</v>
      </c>
      <c r="Y45" s="30">
        <f>IF(D45=0,,IF(ISBLANK(Q45),,VLOOKUP(X45,Week1,2,FALSE)/(VLOOKUP(X45,Week1,2,FALSE)+VLOOKUP(W45,Week1,2,FALSE))+0.05)*100)</f>
        <v>77.43633085</v>
      </c>
      <c r="Z45" s="3" t="s">
        <v>46</v>
      </c>
      <c r="AA45" s="3">
        <v>59.0</v>
      </c>
      <c r="AB45" s="4" t="str">
        <f t="shared" si="20"/>
        <v>UTEP</v>
      </c>
      <c r="AC45" s="3">
        <v>3.0</v>
      </c>
      <c r="AD45" s="3"/>
      <c r="AE45" s="3">
        <f t="shared" si="13"/>
        <v>56</v>
      </c>
      <c r="AF45" s="3"/>
      <c r="AG45" s="3">
        <f t="shared" si="25"/>
        <v>1</v>
      </c>
      <c r="AH45" s="3"/>
      <c r="AI45" s="7"/>
      <c r="AJ45" s="4"/>
      <c r="AK45" s="7"/>
      <c r="AL45" s="7"/>
      <c r="AM45" s="7"/>
      <c r="AN45" s="7"/>
      <c r="AO45" s="7"/>
      <c r="AP45" s="7"/>
      <c r="AQ45" s="7"/>
      <c r="AR45" s="7"/>
      <c r="AS45" s="7"/>
      <c r="AT45" s="7"/>
      <c r="AU45" s="7"/>
      <c r="AV45" s="7"/>
      <c r="AW45" s="7"/>
      <c r="AX45" s="7"/>
    </row>
    <row r="46" ht="12.75" hidden="1" customHeight="1">
      <c r="A46" s="3">
        <v>13.0</v>
      </c>
      <c r="B46" s="3" t="s">
        <v>100</v>
      </c>
      <c r="C46" s="3" t="s">
        <v>139</v>
      </c>
      <c r="D46" s="4">
        <f>IFERROR(VLOOKUP(B46,Week12,2,FALSE),0)</f>
        <v>75.18</v>
      </c>
      <c r="E46" s="4">
        <f>IF(ISBLANK(B46),,IFERROR(VLOOKUP(B46,CurrentRank!$B$2:$C$132,2,FALSE),0))</f>
        <v>69.98</v>
      </c>
      <c r="F46" s="4">
        <f>IFERROR(VLOOKUP(B46,Week12,3,FALSE),130)</f>
        <v>12</v>
      </c>
      <c r="G46" s="4">
        <f>IF(ISBLANK(B46),,IFERROR(VLOOKUP(B46,CurrentRank!$B$2:$D$132,3,FALSE),130))</f>
        <v>13</v>
      </c>
      <c r="H46" s="4">
        <f>IFERROR(VLOOKUP(C46,Week12,2,FALSE),0)</f>
        <v>28.64</v>
      </c>
      <c r="I46" s="4">
        <f>IF(ISBLANK(B46),,IFERROR(VLOOKUP(C46,CurrentRank!$B$2:$C$132,2,FALSE),0))</f>
        <v>28.86</v>
      </c>
      <c r="J46" s="4">
        <f>IFERROR(VLOOKUP(C46,Week12,3,FALSE),130)</f>
        <v>115</v>
      </c>
      <c r="K46" s="4">
        <f>IF(ISBLANK(C46),,IFERROR(VLOOKUP(C46,CurrentRank!$B$2:$D$132,3,FALSE),130))</f>
        <v>119</v>
      </c>
      <c r="L46" s="19">
        <f t="shared" si="49"/>
        <v>1.5573</v>
      </c>
      <c r="M46" s="19">
        <f t="shared" si="50"/>
        <v>1.4826</v>
      </c>
      <c r="N46" s="24">
        <f t="shared" si="43"/>
        <v>63.5</v>
      </c>
      <c r="O46" s="21">
        <f t="shared" si="4"/>
        <v>22.49135</v>
      </c>
      <c r="P46" s="21">
        <f t="shared" si="44"/>
        <v>19.78135</v>
      </c>
      <c r="Q46" s="22">
        <f t="shared" si="6"/>
        <v>0.57004325</v>
      </c>
      <c r="R46" s="25" t="str">
        <f t="shared" si="7"/>
        <v>F</v>
      </c>
      <c r="S46" s="19">
        <f t="shared" si="8"/>
        <v>0.5075</v>
      </c>
      <c r="T46" s="19" t="str">
        <f t="shared" si="9"/>
        <v>F</v>
      </c>
      <c r="U46" s="3" t="s">
        <v>203</v>
      </c>
      <c r="V46" s="4" t="str">
        <f>IF(ISBLANK(C46),,IFERROR(IF(VLOOKUP(B46,Standings!$A:$F, 6, 0)=VLOOKUP(C46,Standings!$A:$F, 6, 0), VLOOKUP(B46,Standings!$A:$F, 6, 0), "Non-con"), "FCS"))</f>
        <v>SUN</v>
      </c>
      <c r="W46" s="3" t="str">
        <f t="shared" si="10"/>
        <v>Texas State</v>
      </c>
      <c r="X46" s="3" t="str">
        <f t="shared" si="11"/>
        <v>Coastal Carolina</v>
      </c>
      <c r="Y46" s="30">
        <f>IF(D46=0,,IF(ISBLANK(Q46),,VLOOKUP(X46,Week12,2,FALSE)/(VLOOKUP(X46,Week12,2,FALSE)+VLOOKUP(W46,Week12,2,FALSE))+0.05)*100)</f>
        <v>77.4137931</v>
      </c>
      <c r="Z46" s="3" t="s">
        <v>100</v>
      </c>
      <c r="AA46" s="3">
        <v>49.0</v>
      </c>
      <c r="AB46" s="4" t="str">
        <f t="shared" si="20"/>
        <v>Texas State</v>
      </c>
      <c r="AC46" s="3">
        <v>14.0</v>
      </c>
      <c r="AD46" s="3"/>
      <c r="AE46" s="3">
        <f t="shared" si="13"/>
        <v>35</v>
      </c>
      <c r="AF46" s="3"/>
      <c r="AG46" s="3">
        <f t="shared" si="25"/>
        <v>1</v>
      </c>
      <c r="AH46" s="3"/>
      <c r="AI46" s="7"/>
      <c r="AJ46" s="4" t="s">
        <v>200</v>
      </c>
      <c r="AK46" s="7"/>
      <c r="AL46" s="7"/>
      <c r="AM46" s="7"/>
      <c r="AN46" s="7"/>
      <c r="AO46" s="7"/>
      <c r="AP46" s="7"/>
      <c r="AQ46" s="7"/>
      <c r="AR46" s="7"/>
      <c r="AS46" s="7"/>
      <c r="AT46" s="7"/>
      <c r="AU46" s="7"/>
      <c r="AV46" s="7"/>
      <c r="AW46" s="7"/>
      <c r="AX46" s="7"/>
    </row>
    <row r="47" ht="12.75" hidden="1" customHeight="1">
      <c r="A47" s="3">
        <v>15.0</v>
      </c>
      <c r="B47" s="3" t="s">
        <v>23</v>
      </c>
      <c r="C47" s="3" t="s">
        <v>118</v>
      </c>
      <c r="D47" s="4">
        <f>IFERROR(VLOOKUP(B47,Week14,2,FALSE),0)</f>
        <v>95.75</v>
      </c>
      <c r="E47" s="4">
        <f>IF(ISBLANK(B47),,IFERROR(VLOOKUP(B47,CurrentRank!$B$2:$C$132,2,FALSE),0))</f>
        <v>96.59</v>
      </c>
      <c r="F47" s="4">
        <f>IFERROR(VLOOKUP(B47,Week14,3,FALSE),130)</f>
        <v>1</v>
      </c>
      <c r="G47" s="4">
        <f>IF(ISBLANK(B47),,IFERROR(VLOOKUP(B47,CurrentRank!$B$2:$D$132,3,FALSE),130))</f>
        <v>1</v>
      </c>
      <c r="H47" s="4">
        <f>IFERROR(VLOOKUP(C47,Week14,2,FALSE),0)</f>
        <v>36.54</v>
      </c>
      <c r="I47" s="4">
        <f>IF(ISBLANK(B47),,IFERROR(VLOOKUP(C47,CurrentRank!$B$2:$C$132,2,FALSE),0))</f>
        <v>35.17</v>
      </c>
      <c r="J47" s="4">
        <f>IFERROR(VLOOKUP(C47,Week14,3,FALSE),130)</f>
        <v>50</v>
      </c>
      <c r="K47" s="4">
        <f>IF(ISBLANK(C47),,IFERROR(VLOOKUP(C47,CurrentRank!$B$2:$D$132,3,FALSE),130))</f>
        <v>65</v>
      </c>
      <c r="L47" s="19">
        <f t="shared" si="49"/>
        <v>1.98435</v>
      </c>
      <c r="M47" s="19">
        <f t="shared" si="50"/>
        <v>1.9764</v>
      </c>
      <c r="N47" s="24">
        <f t="shared" si="43"/>
        <v>25.5</v>
      </c>
      <c r="O47" s="21">
        <f t="shared" si="4"/>
        <v>28.612825</v>
      </c>
      <c r="P47" s="21">
        <f t="shared" si="44"/>
        <v>29.717825</v>
      </c>
      <c r="Q47" s="22">
        <f t="shared" si="6"/>
        <v>0.729435875</v>
      </c>
      <c r="R47" s="25" t="str">
        <f t="shared" si="7"/>
        <v>C</v>
      </c>
      <c r="S47" s="19">
        <f t="shared" si="8"/>
        <v>0.6275</v>
      </c>
      <c r="T47" s="19" t="str">
        <f t="shared" si="9"/>
        <v>D</v>
      </c>
      <c r="U47" s="3" t="s">
        <v>203</v>
      </c>
      <c r="V47" s="4" t="str">
        <f>IF(ISBLANK(C47),,IFERROR(IF(VLOOKUP(B47,Standings!$A:$F, 6, 0)=VLOOKUP(C47,Standings!$A:$F, 6, 0), VLOOKUP(B47,Standings!$A:$F, 6, 0), "Non-con"), "FCS"))</f>
        <v>SEC</v>
      </c>
      <c r="W47" s="3" t="str">
        <f t="shared" si="10"/>
        <v>Arkansas</v>
      </c>
      <c r="X47" s="3" t="str">
        <f t="shared" si="11"/>
        <v>Alabama</v>
      </c>
      <c r="Y47" s="30">
        <f>IF(D47=0,,IF(ISBLANK(Q47),,VLOOKUP(X47,Week14,2,FALSE)/(VLOOKUP(X47,Week14,2,FALSE)+VLOOKUP(W47,Week14,2,FALSE))+0.05)*100)</f>
        <v>77.37886462</v>
      </c>
      <c r="Z47" s="3" t="s">
        <v>23</v>
      </c>
      <c r="AA47" s="3">
        <v>52.0</v>
      </c>
      <c r="AB47" s="4" t="str">
        <f t="shared" si="20"/>
        <v>Arkansas</v>
      </c>
      <c r="AC47" s="3">
        <v>3.0</v>
      </c>
      <c r="AD47" s="3"/>
      <c r="AE47" s="3">
        <f t="shared" si="13"/>
        <v>49</v>
      </c>
      <c r="AF47" s="3"/>
      <c r="AG47" s="3">
        <f t="shared" si="25"/>
        <v>1</v>
      </c>
      <c r="AH47" s="3"/>
      <c r="AI47" s="7"/>
      <c r="AJ47" s="4"/>
      <c r="AK47" s="7"/>
      <c r="AL47" s="7"/>
      <c r="AM47" s="7"/>
      <c r="AN47" s="7"/>
      <c r="AO47" s="7"/>
      <c r="AP47" s="7"/>
      <c r="AQ47" s="7"/>
      <c r="AR47" s="7"/>
      <c r="AS47" s="7"/>
      <c r="AT47" s="7"/>
      <c r="AU47" s="7"/>
      <c r="AV47" s="7"/>
      <c r="AW47" s="7"/>
      <c r="AX47" s="7"/>
    </row>
    <row r="48" ht="12.75" hidden="1" customHeight="1">
      <c r="A48" s="3">
        <v>13.0</v>
      </c>
      <c r="B48" s="3" t="s">
        <v>26</v>
      </c>
      <c r="C48" s="3" t="s">
        <v>137</v>
      </c>
      <c r="D48" s="4">
        <f>IFERROR(VLOOKUP(B48,Week12,2,FALSE),0)</f>
        <v>87.18</v>
      </c>
      <c r="E48" s="4">
        <f>IF(ISBLANK(B48),,IFERROR(VLOOKUP(B48,CurrentRank!$B$2:$C$132,2,FALSE),0))</f>
        <v>87.05</v>
      </c>
      <c r="F48" s="4">
        <f>IFERROR(VLOOKUP(B48,Week12,3,FALSE),130)</f>
        <v>3</v>
      </c>
      <c r="G48" s="4">
        <f>IF(ISBLANK(B48),,IFERROR(VLOOKUP(B48,CurrentRank!$B$2:$D$132,3,FALSE),130))</f>
        <v>2</v>
      </c>
      <c r="H48" s="4">
        <f>IFERROR(VLOOKUP(C48,Week12,2,FALSE),0)</f>
        <v>33.33</v>
      </c>
      <c r="I48" s="4">
        <f>IF(ISBLANK(B48),,IFERROR(VLOOKUP(C48,CurrentRank!$B$2:$C$132,2,FALSE),0))</f>
        <v>31.52</v>
      </c>
      <c r="J48" s="4">
        <f>IFERROR(VLOOKUP(C48,Week12,3,FALSE),130)</f>
        <v>75</v>
      </c>
      <c r="K48" s="4">
        <f>IF(ISBLANK(C48),,IFERROR(VLOOKUP(C48,CurrentRank!$B$2:$D$132,3,FALSE),130))</f>
        <v>98</v>
      </c>
      <c r="L48" s="19">
        <f t="shared" ref="L48:M48" si="51">IF(ISBLANK(C48),,(D48+H48)*0.015)</f>
        <v>1.80765</v>
      </c>
      <c r="M48" s="19">
        <f t="shared" si="51"/>
        <v>1.77855</v>
      </c>
      <c r="N48" s="24">
        <f t="shared" si="43"/>
        <v>39</v>
      </c>
      <c r="O48" s="21">
        <f t="shared" si="4"/>
        <v>26.021175</v>
      </c>
      <c r="P48" s="21">
        <f t="shared" si="44"/>
        <v>26.861175</v>
      </c>
      <c r="Q48" s="22">
        <f t="shared" si="6"/>
        <v>0.674894125</v>
      </c>
      <c r="R48" s="25" t="str">
        <f t="shared" si="7"/>
        <v>D+</v>
      </c>
      <c r="S48" s="19" t="str">
        <f t="shared" si="8"/>
        <v/>
      </c>
      <c r="T48" s="19" t="str">
        <f t="shared" si="9"/>
        <v/>
      </c>
      <c r="U48" s="3" t="s">
        <v>203</v>
      </c>
      <c r="V48" s="4" t="str">
        <f>IF(ISBLANK(C48),,IFERROR(IF(VLOOKUP(B48,Standings!$A:$F, 6, 0)=VLOOKUP(C48,Standings!$A:$F, 6, 0), VLOOKUP(B48,Standings!$A:$F, 6, 0), "Non-con"), "FCS"))</f>
        <v>B1G</v>
      </c>
      <c r="W48" s="3" t="str">
        <f t="shared" si="10"/>
        <v>Illinois</v>
      </c>
      <c r="X48" s="3" t="str">
        <f t="shared" si="11"/>
        <v>Ohio State</v>
      </c>
      <c r="Y48" s="30">
        <f>IF(D48=0,,IF(ISBLANK(Q48),,VLOOKUP(X48,Week12,2,FALSE)/(VLOOKUP(X48,Week12,2,FALSE)+VLOOKUP(W48,Week12,2,FALSE))+0.05)*100)</f>
        <v>77.34254419</v>
      </c>
      <c r="Z48" s="3"/>
      <c r="AA48" s="3"/>
      <c r="AB48" s="4" t="str">
        <f t="shared" si="20"/>
        <v/>
      </c>
      <c r="AC48" s="3"/>
      <c r="AD48" s="3"/>
      <c r="AE48" s="3" t="str">
        <f t="shared" si="13"/>
        <v/>
      </c>
      <c r="AF48" s="3" t="s">
        <v>226</v>
      </c>
      <c r="AG48" s="3" t="str">
        <f t="shared" si="25"/>
        <v/>
      </c>
      <c r="AH48" s="3"/>
      <c r="AI48" s="7"/>
      <c r="AJ48" s="4" t="s">
        <v>237</v>
      </c>
      <c r="AK48" s="7"/>
      <c r="AL48" s="7"/>
      <c r="AM48" s="7"/>
      <c r="AN48" s="7"/>
      <c r="AO48" s="7"/>
      <c r="AP48" s="7"/>
      <c r="AQ48" s="7"/>
      <c r="AR48" s="7"/>
      <c r="AS48" s="7"/>
      <c r="AT48" s="7"/>
      <c r="AU48" s="7"/>
      <c r="AV48" s="7"/>
      <c r="AW48" s="7"/>
      <c r="AX48" s="7"/>
    </row>
    <row r="49" ht="12.75" hidden="1" customHeight="1">
      <c r="A49" s="3">
        <v>7.0</v>
      </c>
      <c r="B49" s="3" t="s">
        <v>18</v>
      </c>
      <c r="C49" s="3" t="s">
        <v>108</v>
      </c>
      <c r="D49" s="4">
        <f>IFERROR(VLOOKUP(B49,Week6,2,FALSE),0)</f>
        <v>93.16</v>
      </c>
      <c r="E49" s="4">
        <f>IF(ISBLANK(B49),,IFERROR(VLOOKUP(B49,CurrentRank!$B$2:$C$132,2,FALSE),0))</f>
        <v>84.24</v>
      </c>
      <c r="F49" s="4">
        <f>IFERROR(VLOOKUP(B49,Week6,3,FALSE),130)</f>
        <v>1</v>
      </c>
      <c r="G49" s="4">
        <f>IF(ISBLANK(B49),,IFERROR(VLOOKUP(B49,CurrentRank!$B$2:$D$132,3,FALSE),130))</f>
        <v>4</v>
      </c>
      <c r="H49" s="4">
        <f>IFERROR(VLOOKUP(C49,Week6,2,FALSE),0)</f>
        <v>35.77</v>
      </c>
      <c r="I49" s="4">
        <f>IF(ISBLANK(B49),,IFERROR(VLOOKUP(C49,CurrentRank!$B$2:$C$132,2,FALSE),0))</f>
        <v>30.15</v>
      </c>
      <c r="J49" s="4">
        <f>IFERROR(VLOOKUP(C49,Week6,3,FALSE),130)</f>
        <v>52</v>
      </c>
      <c r="K49" s="4">
        <f>IF(ISBLANK(C49),,IFERROR(VLOOKUP(C49,CurrentRank!$B$2:$D$132,3,FALSE),130))</f>
        <v>109</v>
      </c>
      <c r="L49" s="19">
        <f t="shared" ref="L49:L58" si="52">IF(U49= "Yes", 0, IF(ISBLANK(C49),,(D49+H49)*0.015))</f>
        <v>1.93395</v>
      </c>
      <c r="M49" s="19">
        <f t="shared" ref="M49:M58" si="53">IF(U49= "Yes", 0, IF(ISBLANK(D49),,(E49+I49)*0.015))</f>
        <v>1.71585</v>
      </c>
      <c r="N49" s="24">
        <f t="shared" si="43"/>
        <v>26.5</v>
      </c>
      <c r="O49" s="21">
        <f t="shared" si="4"/>
        <v>27.728025</v>
      </c>
      <c r="P49" s="21">
        <f t="shared" si="44"/>
        <v>26.078025</v>
      </c>
      <c r="Q49" s="22">
        <f t="shared" si="6"/>
        <v>0.728859875</v>
      </c>
      <c r="R49" s="25" t="str">
        <f t="shared" si="7"/>
        <v>C</v>
      </c>
      <c r="S49" s="19">
        <f t="shared" si="8"/>
        <v>0.5375</v>
      </c>
      <c r="T49" s="19" t="str">
        <f t="shared" si="9"/>
        <v>F</v>
      </c>
      <c r="U49" s="3" t="s">
        <v>203</v>
      </c>
      <c r="V49" s="4" t="str">
        <f>IF(ISBLANK(C49),,IFERROR(IF(VLOOKUP(B49,Standings!$A:$F, 6, 0)=VLOOKUP(C49,Standings!$A:$F, 6, 0), VLOOKUP(B49,Standings!$A:$F, 6, 0), "Non-con"), "FCS"))</f>
        <v>ACC</v>
      </c>
      <c r="W49" s="3" t="str">
        <f t="shared" si="10"/>
        <v>Georgia Tech</v>
      </c>
      <c r="X49" s="3" t="str">
        <f t="shared" si="11"/>
        <v>Clemson</v>
      </c>
      <c r="Y49" s="30">
        <f>IF(D49=0,,IF(ISBLANK(Q49),,VLOOKUP(X49,Week6,2,FALSE)/(VLOOKUP(X49,Week6,2,FALSE)+VLOOKUP(W49,Week6,2,FALSE))+0.05)*100)</f>
        <v>77.25626309</v>
      </c>
      <c r="Z49" s="3" t="s">
        <v>18</v>
      </c>
      <c r="AA49" s="3">
        <v>73.0</v>
      </c>
      <c r="AB49" s="4" t="str">
        <f t="shared" si="20"/>
        <v>Georgia Tech</v>
      </c>
      <c r="AC49" s="3">
        <v>7.0</v>
      </c>
      <c r="AD49" s="3"/>
      <c r="AE49" s="3">
        <f t="shared" si="13"/>
        <v>66</v>
      </c>
      <c r="AF49" s="3"/>
      <c r="AG49" s="3">
        <f t="shared" si="25"/>
        <v>1</v>
      </c>
      <c r="AH49" s="3"/>
      <c r="AI49" s="7"/>
      <c r="AJ49" s="4" t="s">
        <v>147</v>
      </c>
      <c r="AK49" s="7"/>
      <c r="AL49" s="7"/>
      <c r="AM49" s="7"/>
      <c r="AN49" s="7"/>
      <c r="AO49" s="7"/>
      <c r="AP49" s="7"/>
      <c r="AQ49" s="7"/>
      <c r="AR49" s="7"/>
      <c r="AS49" s="7"/>
      <c r="AT49" s="7"/>
      <c r="AU49" s="7"/>
      <c r="AV49" s="7"/>
      <c r="AW49" s="7"/>
      <c r="AX49" s="7"/>
    </row>
    <row r="50" ht="12.75" hidden="1" customHeight="1">
      <c r="A50" s="3">
        <v>14.0</v>
      </c>
      <c r="B50" s="3" t="s">
        <v>48</v>
      </c>
      <c r="C50" s="3" t="s">
        <v>65</v>
      </c>
      <c r="D50" s="4">
        <f>IFERROR(VLOOKUP(B50,Week13,2,FALSE),0)</f>
        <v>81.53</v>
      </c>
      <c r="E50" s="4">
        <f>IF(ISBLANK(B50),,IFERROR(VLOOKUP(B50,CurrentRank!$B$2:$C$132,2,FALSE),0))</f>
        <v>68.03</v>
      </c>
      <c r="F50" s="4">
        <f>IFERROR(VLOOKUP(B50,Week13,3,FALSE),130)</f>
        <v>5</v>
      </c>
      <c r="G50" s="4">
        <f>IF(ISBLANK(B50),,IFERROR(VLOOKUP(B50,CurrentRank!$B$2:$D$132,3,FALSE),130))</f>
        <v>16</v>
      </c>
      <c r="H50" s="4">
        <f>IFERROR(VLOOKUP(C50,Week13,2,FALSE),0)</f>
        <v>31.37</v>
      </c>
      <c r="I50" s="4">
        <f>IF(ISBLANK(B50),,IFERROR(VLOOKUP(C50,CurrentRank!$B$2:$C$132,2,FALSE),0))</f>
        <v>34.09</v>
      </c>
      <c r="J50" s="4">
        <f>IFERROR(VLOOKUP(C50,Week13,3,FALSE),130)</f>
        <v>92</v>
      </c>
      <c r="K50" s="4">
        <f>IF(ISBLANK(C50),,IFERROR(VLOOKUP(C50,CurrentRank!$B$2:$D$132,3,FALSE),130))</f>
        <v>74</v>
      </c>
      <c r="L50" s="19">
        <f t="shared" si="52"/>
        <v>1.6935</v>
      </c>
      <c r="M50" s="19">
        <f t="shared" si="53"/>
        <v>1.5318</v>
      </c>
      <c r="N50" s="24">
        <f t="shared" si="43"/>
        <v>48.5</v>
      </c>
      <c r="O50" s="21">
        <f t="shared" si="4"/>
        <v>24.23325</v>
      </c>
      <c r="P50" s="21">
        <f t="shared" si="44"/>
        <v>16.12325</v>
      </c>
      <c r="Q50" s="22">
        <f t="shared" si="6"/>
        <v>0.63633375</v>
      </c>
      <c r="R50" s="25" t="str">
        <f t="shared" si="7"/>
        <v>D</v>
      </c>
      <c r="S50" s="19">
        <f t="shared" si="8"/>
        <v>0.6975</v>
      </c>
      <c r="T50" s="19" t="str">
        <f t="shared" si="9"/>
        <v>C-</v>
      </c>
      <c r="U50" s="3" t="s">
        <v>203</v>
      </c>
      <c r="V50" s="4" t="str">
        <f>IF(ISBLANK(C50),,IFERROR(IF(VLOOKUP(B50,Standings!$A:$F, 6, 0)=VLOOKUP(C50,Standings!$A:$F, 6, 0), VLOOKUP(B50,Standings!$A:$F, 6, 0), "Non-con"), "FCS"))</f>
        <v>SEC</v>
      </c>
      <c r="W50" s="3" t="str">
        <f t="shared" si="10"/>
        <v>Tennessee</v>
      </c>
      <c r="X50" s="3" t="str">
        <f t="shared" si="11"/>
        <v>Florida</v>
      </c>
      <c r="Y50" s="30">
        <f>IF(D50=0,,IF(ISBLANK(Q50),,VLOOKUP(X50,Week13,2,FALSE)/(VLOOKUP(X50,Week13,2,FALSE)+VLOOKUP(W50,Week13,2,FALSE))+0.05)*100)</f>
        <v>77.21434898</v>
      </c>
      <c r="Z50" s="3" t="s">
        <v>48</v>
      </c>
      <c r="AA50" s="3">
        <v>31.0</v>
      </c>
      <c r="AB50" s="4" t="str">
        <f t="shared" si="20"/>
        <v>Tennessee</v>
      </c>
      <c r="AC50" s="3">
        <v>19.0</v>
      </c>
      <c r="AD50" s="3"/>
      <c r="AE50" s="3">
        <f t="shared" si="13"/>
        <v>12</v>
      </c>
      <c r="AF50" s="3"/>
      <c r="AG50" s="3">
        <f t="shared" si="25"/>
        <v>1</v>
      </c>
      <c r="AH50" s="3"/>
      <c r="AI50" s="7"/>
      <c r="AJ50" s="4" t="s">
        <v>151</v>
      </c>
      <c r="AK50" s="7"/>
      <c r="AL50" s="7"/>
      <c r="AM50" s="7"/>
      <c r="AN50" s="7"/>
      <c r="AO50" s="7"/>
      <c r="AP50" s="7"/>
      <c r="AQ50" s="7"/>
      <c r="AR50" s="7"/>
      <c r="AS50" s="7"/>
      <c r="AT50" s="7"/>
      <c r="AU50" s="7"/>
      <c r="AV50" s="7"/>
      <c r="AW50" s="7"/>
      <c r="AX50" s="7"/>
    </row>
    <row r="51" ht="12.75" hidden="1" customHeight="1">
      <c r="A51" s="3">
        <v>8.0</v>
      </c>
      <c r="B51" s="3" t="s">
        <v>28</v>
      </c>
      <c r="C51" s="3" t="s">
        <v>89</v>
      </c>
      <c r="D51" s="4">
        <f>IFERROR(VLOOKUP(B51,Week7,2,FALSE),0)</f>
        <v>83.7</v>
      </c>
      <c r="E51" s="4">
        <f>IF(ISBLANK(B51),,IFERROR(VLOOKUP(B51,CurrentRank!$B$2:$C$132,2,FALSE),0))</f>
        <v>78.79</v>
      </c>
      <c r="F51" s="4">
        <f>IFERROR(VLOOKUP(B51,Week7,3,FALSE),130)</f>
        <v>4</v>
      </c>
      <c r="G51" s="4">
        <f>IF(ISBLANK(B51),,IFERROR(VLOOKUP(B51,CurrentRank!$B$2:$D$132,3,FALSE),130))</f>
        <v>7</v>
      </c>
      <c r="H51" s="4">
        <f>IFERROR(VLOOKUP(C51,Week7,2,FALSE),0)</f>
        <v>32.46</v>
      </c>
      <c r="I51" s="4">
        <f>IF(ISBLANK(B51),,IFERROR(VLOOKUP(C51,CurrentRank!$B$2:$C$132,2,FALSE),0))</f>
        <v>35.74</v>
      </c>
      <c r="J51" s="4">
        <f>IFERROR(VLOOKUP(C51,Week7,3,FALSE),130)</f>
        <v>64</v>
      </c>
      <c r="K51" s="4">
        <f>IF(ISBLANK(C51),,IFERROR(VLOOKUP(C51,CurrentRank!$B$2:$D$132,3,FALSE),130))</f>
        <v>56</v>
      </c>
      <c r="L51" s="19">
        <f t="shared" si="52"/>
        <v>1.7424</v>
      </c>
      <c r="M51" s="19">
        <f t="shared" si="53"/>
        <v>1.71795</v>
      </c>
      <c r="N51" s="24">
        <f t="shared" si="43"/>
        <v>34</v>
      </c>
      <c r="O51" s="21">
        <f t="shared" si="4"/>
        <v>24.7488</v>
      </c>
      <c r="P51" s="21">
        <f t="shared" si="44"/>
        <v>20.6538</v>
      </c>
      <c r="Q51" s="22">
        <f t="shared" si="6"/>
        <v>0.706256</v>
      </c>
      <c r="R51" s="25" t="str">
        <f t="shared" si="7"/>
        <v>C-</v>
      </c>
      <c r="S51" s="19">
        <f t="shared" si="8"/>
        <v>0.62</v>
      </c>
      <c r="T51" s="19" t="str">
        <f t="shared" si="9"/>
        <v>D-</v>
      </c>
      <c r="U51" s="3" t="s">
        <v>203</v>
      </c>
      <c r="V51" s="4" t="str">
        <f>IF(ISBLANK(C51),,IFERROR(IF(VLOOKUP(B51,Standings!$A:$F, 6, 0)=VLOOKUP(C51,Standings!$A:$F, 6, 0), VLOOKUP(B51,Standings!$A:$F, 6, 0), "Non-con"), "FCS"))</f>
        <v>ACC</v>
      </c>
      <c r="W51" s="3" t="str">
        <f t="shared" si="10"/>
        <v>Pittsburgh</v>
      </c>
      <c r="X51" s="3" t="str">
        <f t="shared" si="11"/>
        <v>Notre Dame</v>
      </c>
      <c r="Y51" s="30">
        <f>IF(D51=0,,IF(ISBLANK(Q51),,VLOOKUP(X51,Week7,2,FALSE)/(VLOOKUP(X51,Week7,2,FALSE)+VLOOKUP(W51,Week7,2,FALSE))+0.05)*100)</f>
        <v>77.05578512</v>
      </c>
      <c r="Z51" s="3" t="s">
        <v>28</v>
      </c>
      <c r="AA51" s="3">
        <v>45.0</v>
      </c>
      <c r="AB51" s="4" t="str">
        <f t="shared" si="20"/>
        <v>Pittsburgh</v>
      </c>
      <c r="AC51" s="3">
        <v>3.0</v>
      </c>
      <c r="AD51" s="3"/>
      <c r="AE51" s="3">
        <f t="shared" si="13"/>
        <v>42</v>
      </c>
      <c r="AF51" s="3"/>
      <c r="AG51" s="3">
        <f t="shared" si="25"/>
        <v>1</v>
      </c>
      <c r="AH51" s="3"/>
      <c r="AI51" s="7"/>
      <c r="AJ51" s="4"/>
      <c r="AN51" s="7"/>
      <c r="AO51" s="7"/>
      <c r="AP51" s="7"/>
      <c r="AQ51" s="7"/>
      <c r="AR51" s="7"/>
      <c r="AS51" s="7"/>
      <c r="AT51" s="7"/>
      <c r="AU51" s="7"/>
      <c r="AV51" s="7"/>
      <c r="AW51" s="7"/>
      <c r="AX51" s="7"/>
    </row>
    <row r="52" ht="12.75" hidden="1" customHeight="1">
      <c r="A52" s="3">
        <v>4.0</v>
      </c>
      <c r="B52" s="3" t="s">
        <v>147</v>
      </c>
      <c r="C52" s="3" t="s">
        <v>40</v>
      </c>
      <c r="D52" s="4">
        <f>IFERROR(VLOOKUP(B52,Week3,2,FALSE),0)</f>
        <v>31.14</v>
      </c>
      <c r="E52" s="4">
        <f>IF(ISBLANK(B52),,IFERROR(VLOOKUP(B52,CurrentRank!$B$2:$C$132,2,FALSE),0))</f>
        <v>32.08</v>
      </c>
      <c r="F52" s="4">
        <f>IFERROR(VLOOKUP(B52,Week3,3,FALSE),130)</f>
        <v>50</v>
      </c>
      <c r="G52" s="4">
        <f>IF(ISBLANK(B52),,IFERROR(VLOOKUP(B52,CurrentRank!$B$2:$D$132,3,FALSE),130))</f>
        <v>93</v>
      </c>
      <c r="H52" s="4">
        <f>IFERROR(VLOOKUP(C52,Week3,2,FALSE),0)</f>
        <v>80.21</v>
      </c>
      <c r="I52" s="4">
        <f>IF(ISBLANK(B52),,IFERROR(VLOOKUP(C52,CurrentRank!$B$2:$C$132,2,FALSE),0))</f>
        <v>57.15</v>
      </c>
      <c r="J52" s="4">
        <f>IFERROR(VLOOKUP(C52,Week3,3,FALSE),130)</f>
        <v>3</v>
      </c>
      <c r="K52" s="4">
        <f>IF(ISBLANK(C52),,IFERROR(VLOOKUP(C52,CurrentRank!$B$2:$D$132,3,FALSE),130))</f>
        <v>23</v>
      </c>
      <c r="L52" s="19">
        <f t="shared" si="52"/>
        <v>1.67025</v>
      </c>
      <c r="M52" s="19">
        <f t="shared" si="53"/>
        <v>1.33845</v>
      </c>
      <c r="N52" s="24">
        <f t="shared" si="43"/>
        <v>26.5</v>
      </c>
      <c r="O52" s="21">
        <f t="shared" si="4"/>
        <v>-25.370125</v>
      </c>
      <c r="P52" s="21">
        <f t="shared" si="44"/>
        <v>-13.370125</v>
      </c>
      <c r="Q52" s="22">
        <f t="shared" si="6"/>
        <v>0.740649375</v>
      </c>
      <c r="R52" s="25" t="str">
        <f t="shared" si="7"/>
        <v>C</v>
      </c>
      <c r="S52" s="19">
        <f t="shared" si="8"/>
        <v>0.6575</v>
      </c>
      <c r="T52" s="19" t="str">
        <f t="shared" si="9"/>
        <v>D</v>
      </c>
      <c r="U52" s="3" t="s">
        <v>203</v>
      </c>
      <c r="V52" s="4" t="str">
        <f>IF(ISBLANK(C52),,IFERROR(IF(VLOOKUP(B52,Standings!$A:$F, 6, 0)=VLOOKUP(C52,Standings!$A:$F, 6, 0), VLOOKUP(B52,Standings!$A:$F, 6, 0), "Non-con"), "FCS"))</f>
        <v>ACC</v>
      </c>
      <c r="W52" s="3" t="str">
        <f t="shared" si="10"/>
        <v>Florida State</v>
      </c>
      <c r="X52" s="3" t="str">
        <f t="shared" si="11"/>
        <v>Miami</v>
      </c>
      <c r="Y52" s="30">
        <f>IF(D52=0,,IF(ISBLANK(Q52),,VLOOKUP(X52,Week3,2,FALSE)/(VLOOKUP(X52,Week3,2,FALSE)+VLOOKUP(W52,Week3,2,FALSE))+0.05)*100)</f>
        <v>77.03412663</v>
      </c>
      <c r="Z52" s="3" t="s">
        <v>40</v>
      </c>
      <c r="AA52" s="3">
        <v>52.0</v>
      </c>
      <c r="AB52" s="4" t="str">
        <f t="shared" si="20"/>
        <v>Florida State</v>
      </c>
      <c r="AC52" s="3">
        <v>10.0</v>
      </c>
      <c r="AD52" s="3"/>
      <c r="AE52" s="3">
        <f t="shared" si="13"/>
        <v>42</v>
      </c>
      <c r="AF52" s="3"/>
      <c r="AG52" s="3">
        <f t="shared" si="25"/>
        <v>1</v>
      </c>
      <c r="AH52" s="3"/>
      <c r="AI52" s="7"/>
      <c r="AJ52" s="4"/>
      <c r="AK52" s="7"/>
      <c r="AL52" s="7"/>
      <c r="AM52" s="7"/>
      <c r="AN52" s="7"/>
      <c r="AO52" s="7"/>
      <c r="AP52" s="7"/>
      <c r="AQ52" s="7"/>
      <c r="AR52" s="7"/>
      <c r="AS52" s="7"/>
      <c r="AT52" s="7"/>
      <c r="AU52" s="7"/>
      <c r="AV52" s="7"/>
      <c r="AW52" s="7"/>
      <c r="AX52" s="7"/>
    </row>
    <row r="53" ht="12.75" hidden="1" customHeight="1">
      <c r="A53" s="3">
        <v>8.0</v>
      </c>
      <c r="B53" s="3" t="s">
        <v>139</v>
      </c>
      <c r="C53" s="3" t="s">
        <v>73</v>
      </c>
      <c r="D53" s="4">
        <f>IFERROR(VLOOKUP(B53,Week7,2,FALSE),0)</f>
        <v>29.99</v>
      </c>
      <c r="E53" s="4">
        <f>IF(ISBLANK(B53),,IFERROR(VLOOKUP(B53,CurrentRank!$B$2:$C$132,2,FALSE),0))</f>
        <v>28.86</v>
      </c>
      <c r="F53" s="4">
        <f>IFERROR(VLOOKUP(B53,Week7,3,FALSE),130)</f>
        <v>120</v>
      </c>
      <c r="G53" s="4">
        <f>IF(ISBLANK(B53),,IFERROR(VLOOKUP(B53,CurrentRank!$B$2:$D$132,3,FALSE),130))</f>
        <v>119</v>
      </c>
      <c r="H53" s="4">
        <f>IFERROR(VLOOKUP(C53,Week7,2,FALSE),0)</f>
        <v>77.19</v>
      </c>
      <c r="I53" s="4">
        <f>IF(ISBLANK(B53),,IFERROR(VLOOKUP(C53,CurrentRank!$B$2:$C$132,2,FALSE),0))</f>
        <v>69.33</v>
      </c>
      <c r="J53" s="4">
        <f>IFERROR(VLOOKUP(C53,Week7,3,FALSE),130)</f>
        <v>6</v>
      </c>
      <c r="K53" s="4">
        <f>IF(ISBLANK(C53),,IFERROR(VLOOKUP(C53,CurrentRank!$B$2:$D$132,3,FALSE),130))</f>
        <v>15</v>
      </c>
      <c r="L53" s="19">
        <f t="shared" si="52"/>
        <v>1.6077</v>
      </c>
      <c r="M53" s="19">
        <f t="shared" si="53"/>
        <v>1.47285</v>
      </c>
      <c r="N53" s="24">
        <f t="shared" si="43"/>
        <v>63</v>
      </c>
      <c r="O53" s="21">
        <f t="shared" si="4"/>
        <v>-24.40385</v>
      </c>
      <c r="P53" s="21">
        <f t="shared" si="44"/>
        <v>-21.03885</v>
      </c>
      <c r="Q53" s="22">
        <f t="shared" si="6"/>
        <v>0.56298075</v>
      </c>
      <c r="R53" s="25" t="str">
        <f t="shared" si="7"/>
        <v>F</v>
      </c>
      <c r="S53" s="19">
        <f t="shared" si="8"/>
        <v>0.495</v>
      </c>
      <c r="T53" s="19" t="str">
        <f t="shared" si="9"/>
        <v>F</v>
      </c>
      <c r="U53" s="3" t="s">
        <v>203</v>
      </c>
      <c r="V53" s="4" t="str">
        <f>IF(ISBLANK(C53),,IFERROR(IF(VLOOKUP(B53,Standings!$A:$F, 6, 0)=VLOOKUP(C53,Standings!$A:$F, 6, 0), VLOOKUP(B53,Standings!$A:$F, 6, 0), "Non-con"), "FCS"))</f>
        <v>Non-con</v>
      </c>
      <c r="W53" s="3" t="str">
        <f t="shared" si="10"/>
        <v>Texas State</v>
      </c>
      <c r="X53" s="3" t="str">
        <f t="shared" si="11"/>
        <v>BYU</v>
      </c>
      <c r="Y53" s="30">
        <f>IF(D53=0,,IF(ISBLANK(Q53),,VLOOKUP(X53,Week7,2,FALSE)/(VLOOKUP(X53,Week7,2,FALSE)+VLOOKUP(W53,Week7,2,FALSE))+0.05)*100)</f>
        <v>77.0190334</v>
      </c>
      <c r="Z53" s="3" t="s">
        <v>73</v>
      </c>
      <c r="AA53" s="3">
        <v>52.0</v>
      </c>
      <c r="AB53" s="4" t="str">
        <f t="shared" si="20"/>
        <v>Texas State</v>
      </c>
      <c r="AC53" s="3">
        <v>14.0</v>
      </c>
      <c r="AD53" s="3"/>
      <c r="AE53" s="3">
        <f t="shared" si="13"/>
        <v>38</v>
      </c>
      <c r="AF53" s="3"/>
      <c r="AG53" s="3">
        <f t="shared" si="25"/>
        <v>1</v>
      </c>
      <c r="AH53" s="3"/>
      <c r="AI53" s="7"/>
      <c r="AJ53" s="4"/>
      <c r="AK53" s="7"/>
      <c r="AL53" s="7"/>
      <c r="AM53" s="7"/>
      <c r="AN53" s="7"/>
      <c r="AO53" s="7"/>
      <c r="AP53" s="7"/>
      <c r="AQ53" s="7"/>
      <c r="AR53" s="7"/>
      <c r="AS53" s="7"/>
      <c r="AT53" s="7"/>
      <c r="AU53" s="7"/>
      <c r="AV53" s="7"/>
      <c r="AW53" s="7"/>
      <c r="AX53" s="7"/>
    </row>
    <row r="54" ht="12.75" hidden="1" customHeight="1">
      <c r="A54" s="3">
        <v>11.0</v>
      </c>
      <c r="B54" s="3" t="s">
        <v>174</v>
      </c>
      <c r="C54" s="3" t="s">
        <v>145</v>
      </c>
      <c r="D54" s="4">
        <f>IFERROR(VLOOKUP(B54,Week10,2,FALSE),0)</f>
        <v>76.68</v>
      </c>
      <c r="E54" s="4">
        <f>IF(ISBLANK(B54),,IFERROR(VLOOKUP(B54,CurrentRank!$B$2:$C$132,2,FALSE),0))</f>
        <v>69.98</v>
      </c>
      <c r="F54" s="4">
        <f>IFERROR(VLOOKUP(B54,Week10,3,FALSE),130)</f>
        <v>9</v>
      </c>
      <c r="G54" s="4">
        <f>IF(ISBLANK(B54),,IFERROR(VLOOKUP(B54,CurrentRank!$B$2:$D$132,3,FALSE),130))</f>
        <v>13</v>
      </c>
      <c r="H54" s="4">
        <f>IFERROR(VLOOKUP(C54,Week10,2,FALSE),0)</f>
        <v>29.89</v>
      </c>
      <c r="I54" s="4">
        <f>IF(ISBLANK(B54),,IFERROR(VLOOKUP(C54,CurrentRank!$B$2:$C$132,2,FALSE),0))</f>
        <v>29.42</v>
      </c>
      <c r="J54" s="4">
        <f>IFERROR(VLOOKUP(C54,Week10,3,FALSE),130)</f>
        <v>105</v>
      </c>
      <c r="K54" s="4">
        <f>IF(ISBLANK(C54),,IFERROR(VLOOKUP(C54,CurrentRank!$B$2:$D$132,3,FALSE),130))</f>
        <v>114</v>
      </c>
      <c r="L54" s="19">
        <f t="shared" si="52"/>
        <v>1.59855</v>
      </c>
      <c r="M54" s="19">
        <f t="shared" si="53"/>
        <v>1.491</v>
      </c>
      <c r="N54" s="24">
        <f t="shared" si="43"/>
        <v>57</v>
      </c>
      <c r="O54" s="21">
        <f t="shared" si="4"/>
        <v>22.595725</v>
      </c>
      <c r="P54" s="21">
        <f t="shared" si="44"/>
        <v>19.480725</v>
      </c>
      <c r="Q54" s="22">
        <f t="shared" si="6"/>
        <v>0.602021375</v>
      </c>
      <c r="R54" s="25" t="str">
        <f t="shared" si="7"/>
        <v>D-</v>
      </c>
      <c r="S54" s="19">
        <f t="shared" si="8"/>
        <v>0.595</v>
      </c>
      <c r="T54" s="19" t="str">
        <f t="shared" si="9"/>
        <v>D-</v>
      </c>
      <c r="U54" s="3" t="s">
        <v>203</v>
      </c>
      <c r="V54" s="4" t="str">
        <f>IF(ISBLANK(C54),,IFERROR(IF(VLOOKUP(B54,Standings!$A:$F, 6, 0)=VLOOKUP(C54,Standings!$A:$F, 6, 0), VLOOKUP(B54,Standings!$A:$F, 6, 0), "Non-con"), "FCS"))</f>
        <v>B1G</v>
      </c>
      <c r="W54" s="3" t="str">
        <f t="shared" si="10"/>
        <v>Michigan State</v>
      </c>
      <c r="X54" s="3" t="str">
        <f t="shared" si="11"/>
        <v>Indiana</v>
      </c>
      <c r="Y54" s="30">
        <f>IF(D54=0,,IF(ISBLANK(Q54),,VLOOKUP(X54,Week10,2,FALSE)/(VLOOKUP(X54,Week10,2,FALSE)+VLOOKUP(W54,Week10,2,FALSE))+0.05)*100)</f>
        <v>76.95270714</v>
      </c>
      <c r="Z54" s="3" t="s">
        <v>174</v>
      </c>
      <c r="AA54" s="3">
        <v>24.0</v>
      </c>
      <c r="AB54" s="4" t="str">
        <f t="shared" si="20"/>
        <v>Michigan State</v>
      </c>
      <c r="AC54" s="3">
        <v>0.0</v>
      </c>
      <c r="AD54" s="3"/>
      <c r="AE54" s="3">
        <f t="shared" si="13"/>
        <v>24</v>
      </c>
      <c r="AF54" s="3"/>
      <c r="AG54" s="3">
        <f t="shared" si="25"/>
        <v>1</v>
      </c>
      <c r="AH54" s="3"/>
      <c r="AI54" s="7"/>
      <c r="AJ54" s="4"/>
      <c r="AK54" s="7"/>
      <c r="AL54" s="7"/>
      <c r="AM54" s="7"/>
      <c r="AN54" s="7"/>
      <c r="AO54" s="7"/>
      <c r="AP54" s="7"/>
      <c r="AQ54" s="7"/>
      <c r="AR54" s="7"/>
      <c r="AS54" s="7"/>
      <c r="AT54" s="7"/>
      <c r="AU54" s="7"/>
      <c r="AV54" s="7"/>
      <c r="AW54" s="7"/>
      <c r="AX54" s="7"/>
    </row>
    <row r="55" ht="12.75" hidden="1" customHeight="1">
      <c r="A55" s="3">
        <v>11.0</v>
      </c>
      <c r="B55" s="3" t="s">
        <v>148</v>
      </c>
      <c r="C55" s="3" t="s">
        <v>69</v>
      </c>
      <c r="D55" s="4">
        <f>IFERROR(VLOOKUP(B55,Week10,2,FALSE),0)</f>
        <v>31.62</v>
      </c>
      <c r="E55" s="4">
        <f>IF(ISBLANK(B55),,IFERROR(VLOOKUP(B55,CurrentRank!$B$2:$C$132,2,FALSE),0))</f>
        <v>32.94</v>
      </c>
      <c r="F55" s="4">
        <f>IFERROR(VLOOKUP(B55,Week10,3,FALSE),130)</f>
        <v>85</v>
      </c>
      <c r="G55" s="4">
        <f>IF(ISBLANK(B55),,IFERROR(VLOOKUP(B55,CurrentRank!$B$2:$D$132,3,FALSE),130))</f>
        <v>87</v>
      </c>
      <c r="H55" s="4">
        <f>IFERROR(VLOOKUP(C55,Week10,2,FALSE),0)</f>
        <v>80.98</v>
      </c>
      <c r="I55" s="4">
        <f>IF(ISBLANK(B55),,IFERROR(VLOOKUP(C55,CurrentRank!$B$2:$C$132,2,FALSE),0))</f>
        <v>72.9</v>
      </c>
      <c r="J55" s="4">
        <f>IFERROR(VLOOKUP(C55,Week10,3,FALSE),130)</f>
        <v>5</v>
      </c>
      <c r="K55" s="4">
        <f>IF(ISBLANK(C55),,IFERROR(VLOOKUP(C55,CurrentRank!$B$2:$D$132,3,FALSE),130))</f>
        <v>9</v>
      </c>
      <c r="L55" s="19">
        <f t="shared" si="52"/>
        <v>1.689</v>
      </c>
      <c r="M55" s="19">
        <f t="shared" si="53"/>
        <v>1.5876</v>
      </c>
      <c r="N55" s="24">
        <f t="shared" si="43"/>
        <v>45</v>
      </c>
      <c r="O55" s="21">
        <f t="shared" si="4"/>
        <v>-25.5245</v>
      </c>
      <c r="P55" s="21">
        <f t="shared" si="44"/>
        <v>-20.8245</v>
      </c>
      <c r="Q55" s="22">
        <f t="shared" si="6"/>
        <v>0.6473775</v>
      </c>
      <c r="R55" s="25" t="str">
        <f t="shared" si="7"/>
        <v>D</v>
      </c>
      <c r="S55" s="19">
        <f t="shared" si="8"/>
        <v>0.585</v>
      </c>
      <c r="T55" s="19" t="str">
        <f t="shared" si="9"/>
        <v>F</v>
      </c>
      <c r="U55" s="3" t="s">
        <v>203</v>
      </c>
      <c r="V55" s="4" t="str">
        <f>IF(ISBLANK(C55),,IFERROR(IF(VLOOKUP(B55,Standings!$A:$F, 6, 0)=VLOOKUP(C55,Standings!$A:$F, 6, 0), VLOOKUP(B55,Standings!$A:$F, 6, 0), "Non-con"), "FCS"))</f>
        <v>AAC</v>
      </c>
      <c r="W55" s="3" t="str">
        <f t="shared" si="10"/>
        <v>East Carolina</v>
      </c>
      <c r="X55" s="3" t="str">
        <f t="shared" si="11"/>
        <v>Cincinnati</v>
      </c>
      <c r="Y55" s="30">
        <f>IF(D55=0,,IF(ISBLANK(Q55),,VLOOKUP(X55,Week10,2,FALSE)/(VLOOKUP(X55,Week10,2,FALSE)+VLOOKUP(W55,Week10,2,FALSE))+0.05)*100)</f>
        <v>76.91829485</v>
      </c>
      <c r="Z55" s="3" t="s">
        <v>69</v>
      </c>
      <c r="AA55" s="3">
        <v>55.0</v>
      </c>
      <c r="AB55" s="4" t="str">
        <f t="shared" si="20"/>
        <v>East Carolina</v>
      </c>
      <c r="AC55" s="3">
        <v>17.0</v>
      </c>
      <c r="AD55" s="3"/>
      <c r="AE55" s="3">
        <f t="shared" si="13"/>
        <v>38</v>
      </c>
      <c r="AF55" s="3"/>
      <c r="AG55" s="3">
        <f t="shared" si="25"/>
        <v>1</v>
      </c>
      <c r="AH55" s="3"/>
      <c r="AI55" s="7"/>
      <c r="AJ55" s="4"/>
      <c r="AK55" s="7"/>
      <c r="AL55" s="7"/>
      <c r="AM55" s="7"/>
      <c r="AN55" s="7"/>
      <c r="AO55" s="7"/>
      <c r="AP55" s="7"/>
      <c r="AQ55" s="7"/>
      <c r="AR55" s="7"/>
      <c r="AS55" s="7"/>
      <c r="AT55" s="7"/>
      <c r="AU55" s="7"/>
      <c r="AV55" s="7"/>
      <c r="AW55" s="7"/>
      <c r="AX55" s="7"/>
    </row>
    <row r="56" ht="12.75" hidden="1" customHeight="1">
      <c r="A56" s="3">
        <v>4.0</v>
      </c>
      <c r="B56" s="3" t="s">
        <v>47</v>
      </c>
      <c r="C56" s="3" t="s">
        <v>148</v>
      </c>
      <c r="D56" s="4">
        <f>IFERROR(VLOOKUP(B56,Week3,2,FALSE),0)</f>
        <v>78.85</v>
      </c>
      <c r="E56" s="4">
        <f>IF(ISBLANK(B56),,IFERROR(VLOOKUP(B56,CurrentRank!$B$2:$C$132,2,FALSE),0))</f>
        <v>41.86</v>
      </c>
      <c r="F56" s="4">
        <f>IFERROR(VLOOKUP(B56,Week3,3,FALSE),130)</f>
        <v>4</v>
      </c>
      <c r="G56" s="4">
        <f>IF(ISBLANK(B56),,IFERROR(VLOOKUP(B56,CurrentRank!$B$2:$D$132,3,FALSE),130))</f>
        <v>30</v>
      </c>
      <c r="H56" s="4">
        <f>IFERROR(VLOOKUP(C56,Week3,2,FALSE),0)</f>
        <v>31.02</v>
      </c>
      <c r="I56" s="4">
        <f>IF(ISBLANK(B56),,IFERROR(VLOOKUP(C56,CurrentRank!$B$2:$C$132,2,FALSE),0))</f>
        <v>32.94</v>
      </c>
      <c r="J56" s="4">
        <f>IFERROR(VLOOKUP(C56,Week3,3,FALSE),130)</f>
        <v>51</v>
      </c>
      <c r="K56" s="4">
        <f>IF(ISBLANK(C56),,IFERROR(VLOOKUP(C56,CurrentRank!$B$2:$D$132,3,FALSE),130))</f>
        <v>87</v>
      </c>
      <c r="L56" s="19">
        <f t="shared" si="52"/>
        <v>1.64805</v>
      </c>
      <c r="M56" s="19">
        <f t="shared" si="53"/>
        <v>1.122</v>
      </c>
      <c r="N56" s="24">
        <f t="shared" si="43"/>
        <v>27.5</v>
      </c>
      <c r="O56" s="21">
        <f t="shared" si="4"/>
        <v>23.090975</v>
      </c>
      <c r="P56" s="21">
        <f t="shared" si="44"/>
        <v>3.635975</v>
      </c>
      <c r="Q56" s="22">
        <f t="shared" si="6"/>
        <v>0.747045125</v>
      </c>
      <c r="R56" s="25" t="str">
        <f t="shared" si="7"/>
        <v>C</v>
      </c>
      <c r="S56" s="19">
        <f t="shared" si="8"/>
        <v>0.7475</v>
      </c>
      <c r="T56" s="19" t="str">
        <f t="shared" si="9"/>
        <v>C</v>
      </c>
      <c r="U56" s="3" t="s">
        <v>203</v>
      </c>
      <c r="V56" s="4" t="str">
        <f>IF(ISBLANK(C56),,IFERROR(IF(VLOOKUP(B56,Standings!$A:$F, 6, 0)=VLOOKUP(C56,Standings!$A:$F, 6, 0), VLOOKUP(B56,Standings!$A:$F, 6, 0), "Non-con"), "FCS"))</f>
        <v>AAC</v>
      </c>
      <c r="W56" s="3" t="str">
        <f t="shared" si="10"/>
        <v>East Carolina</v>
      </c>
      <c r="X56" s="3" t="str">
        <f t="shared" si="11"/>
        <v>Central Florida</v>
      </c>
      <c r="Y56" s="30">
        <f>IF(D56=0,,IF(ISBLANK(Q56),,VLOOKUP(X56,Week3,2,FALSE)/(VLOOKUP(X56,Week3,2,FALSE)+VLOOKUP(W56,Week3,2,FALSE))+0.05)*100)</f>
        <v>76.76663329</v>
      </c>
      <c r="Z56" s="3" t="s">
        <v>47</v>
      </c>
      <c r="AA56" s="3">
        <v>51.0</v>
      </c>
      <c r="AB56" s="4" t="str">
        <f t="shared" si="20"/>
        <v>East Carolina</v>
      </c>
      <c r="AC56" s="3">
        <v>28.0</v>
      </c>
      <c r="AD56" s="3"/>
      <c r="AE56" s="3">
        <f t="shared" si="13"/>
        <v>23</v>
      </c>
      <c r="AF56" s="3"/>
      <c r="AG56" s="3">
        <f t="shared" si="25"/>
        <v>1</v>
      </c>
      <c r="AH56" s="3"/>
      <c r="AI56" s="7"/>
      <c r="AJ56" s="4"/>
      <c r="AK56" s="7"/>
      <c r="AL56" s="7"/>
      <c r="AM56" s="7"/>
      <c r="AN56" s="7"/>
      <c r="AO56" s="7"/>
      <c r="AP56" s="7"/>
      <c r="AQ56" s="7"/>
      <c r="AR56" s="7"/>
      <c r="AS56" s="7"/>
      <c r="AT56" s="7"/>
      <c r="AU56" s="7"/>
      <c r="AV56" s="7"/>
      <c r="AW56" s="7"/>
      <c r="AX56" s="7"/>
    </row>
    <row r="57" ht="12.75" customHeight="1">
      <c r="A57" s="3">
        <v>7.0</v>
      </c>
      <c r="B57" s="3" t="s">
        <v>100</v>
      </c>
      <c r="C57" s="3" t="s">
        <v>58</v>
      </c>
      <c r="D57" s="4">
        <f>IFERROR(VLOOKUP(B57,Week6,2,FALSE),0)</f>
        <v>48.97</v>
      </c>
      <c r="E57" s="4">
        <f>IF(ISBLANK(B57),,IFERROR(VLOOKUP(B57,CurrentRank!$B$2:$C$132,2,FALSE),0))</f>
        <v>69.98</v>
      </c>
      <c r="F57" s="4">
        <f>IFERROR(VLOOKUP(B57,Week6,3,FALSE),130)</f>
        <v>24</v>
      </c>
      <c r="G57" s="4">
        <f>IF(ISBLANK(B57),,IFERROR(VLOOKUP(B57,CurrentRank!$B$2:$D$132,3,FALSE),130))</f>
        <v>13</v>
      </c>
      <c r="H57" s="4">
        <f>IFERROR(VLOOKUP(C57,Week6,2,FALSE),0)</f>
        <v>72.23</v>
      </c>
      <c r="I57" s="4">
        <f>IF(ISBLANK(B57),,IFERROR(VLOOKUP(C57,CurrentRank!$B$2:$C$132,2,FALSE),0))</f>
        <v>72.87</v>
      </c>
      <c r="J57" s="4">
        <f>IFERROR(VLOOKUP(C57,Week6,3,FALSE),130)</f>
        <v>9</v>
      </c>
      <c r="K57" s="4">
        <f>IF(ISBLANK(C57),,IFERROR(VLOOKUP(C57,CurrentRank!$B$2:$D$132,3,FALSE),130))</f>
        <v>10</v>
      </c>
      <c r="L57" s="19">
        <f t="shared" si="52"/>
        <v>1.818</v>
      </c>
      <c r="M57" s="19">
        <f t="shared" si="53"/>
        <v>2.14275</v>
      </c>
      <c r="N57" s="24">
        <f t="shared" si="43"/>
        <v>16.5</v>
      </c>
      <c r="O57" s="21">
        <f t="shared" si="4"/>
        <v>-12.539</v>
      </c>
      <c r="P57" s="21">
        <f t="shared" si="44"/>
        <v>-2.354</v>
      </c>
      <c r="Q57" s="22">
        <f t="shared" si="6"/>
        <v>0.854805</v>
      </c>
      <c r="R57" s="25" t="str">
        <f t="shared" si="7"/>
        <v>B</v>
      </c>
      <c r="S57" s="19">
        <f t="shared" si="8"/>
        <v>0.9025</v>
      </c>
      <c r="T57" s="19" t="str">
        <f t="shared" si="9"/>
        <v>A-</v>
      </c>
      <c r="U57" s="3" t="s">
        <v>203</v>
      </c>
      <c r="V57" s="4" t="str">
        <f>IF(ISBLANK(C57),,IFERROR(IF(VLOOKUP(B57,Standings!$A:$F, 6, 0)=VLOOKUP(C57,Standings!$A:$F, 6, 0), VLOOKUP(B57,Standings!$A:$F, 6, 0), "Non-con"), "FCS"))</f>
        <v>SUN</v>
      </c>
      <c r="W57" s="3" t="str">
        <f t="shared" si="10"/>
        <v>Coastal Carolina</v>
      </c>
      <c r="X57" s="3" t="str">
        <f t="shared" si="11"/>
        <v>UL-Lafayette</v>
      </c>
      <c r="Y57" s="30">
        <f>IF(D57=0,,IF(ISBLANK(Q57),,VLOOKUP(X57,Week6,2,FALSE)/(VLOOKUP(X57,Week6,2,FALSE)+VLOOKUP(W57,Week6,2,FALSE))+0.05)*100)</f>
        <v>64.59570957</v>
      </c>
      <c r="Z57" s="3" t="s">
        <v>100</v>
      </c>
      <c r="AA57" s="3">
        <v>30.0</v>
      </c>
      <c r="AB57" s="4" t="str">
        <f t="shared" si="20"/>
        <v>UL-Lafayette</v>
      </c>
      <c r="AC57" s="3">
        <v>27.0</v>
      </c>
      <c r="AD57" s="3"/>
      <c r="AE57" s="3">
        <f t="shared" si="13"/>
        <v>3</v>
      </c>
      <c r="AF57" s="3"/>
      <c r="AG57" s="3">
        <f t="shared" si="25"/>
        <v>0</v>
      </c>
      <c r="AH57" s="3"/>
      <c r="AI57" s="7"/>
      <c r="AJ57" s="4"/>
      <c r="AK57" s="7"/>
      <c r="AL57" s="7"/>
      <c r="AM57" s="7"/>
      <c r="AN57" s="7"/>
      <c r="AO57" s="7"/>
      <c r="AP57" s="7"/>
      <c r="AQ57" s="7"/>
      <c r="AR57" s="7"/>
      <c r="AS57" s="7"/>
      <c r="AT57" s="7"/>
      <c r="AU57" s="7"/>
      <c r="AV57" s="7"/>
      <c r="AW57" s="7"/>
      <c r="AX57" s="7"/>
    </row>
    <row r="58" ht="12.75" hidden="1" customHeight="1">
      <c r="A58" s="3">
        <v>12.0</v>
      </c>
      <c r="B58" s="3" t="s">
        <v>99</v>
      </c>
      <c r="C58" s="3" t="s">
        <v>23</v>
      </c>
      <c r="D58" s="4">
        <f>IFERROR(VLOOKUP(B58,Week11,2,FALSE),0)</f>
        <v>36.98</v>
      </c>
      <c r="E58" s="4">
        <f>IF(ISBLANK(B58),,IFERROR(VLOOKUP(B58,CurrentRank!$B$2:$C$132,2,FALSE),0))</f>
        <v>36.94</v>
      </c>
      <c r="F58" s="4">
        <f>IFERROR(VLOOKUP(B58,Week11,3,FALSE),130)</f>
        <v>52</v>
      </c>
      <c r="G58" s="4">
        <f>IF(ISBLANK(B58),,IFERROR(VLOOKUP(B58,CurrentRank!$B$2:$D$132,3,FALSE),130))</f>
        <v>47</v>
      </c>
      <c r="H58" s="4">
        <f>IFERROR(VLOOKUP(C58,Week11,2,FALSE),0)</f>
        <v>93.72</v>
      </c>
      <c r="I58" s="4">
        <f>IF(ISBLANK(B58),,IFERROR(VLOOKUP(C58,CurrentRank!$B$2:$C$132,2,FALSE),0))</f>
        <v>96.59</v>
      </c>
      <c r="J58" s="4">
        <f>IFERROR(VLOOKUP(C58,Week11,3,FALSE),130)</f>
        <v>1</v>
      </c>
      <c r="K58" s="4">
        <f>IF(ISBLANK(C58),,IFERROR(VLOOKUP(C58,CurrentRank!$B$2:$D$132,3,FALSE),130))</f>
        <v>1</v>
      </c>
      <c r="L58" s="19">
        <f t="shared" si="52"/>
        <v>1.9605</v>
      </c>
      <c r="M58" s="19">
        <f t="shared" si="53"/>
        <v>2.00295</v>
      </c>
      <c r="N58" s="24">
        <f t="shared" si="43"/>
        <v>26.5</v>
      </c>
      <c r="O58" s="21">
        <f t="shared" si="4"/>
        <v>-29.35025</v>
      </c>
      <c r="P58" s="21">
        <f t="shared" si="44"/>
        <v>-30.80525</v>
      </c>
      <c r="Q58" s="22">
        <f t="shared" si="6"/>
        <v>0.72074875</v>
      </c>
      <c r="R58" s="25" t="str">
        <f t="shared" si="7"/>
        <v>C-</v>
      </c>
      <c r="S58" s="19">
        <f t="shared" si="8"/>
        <v>0.5675</v>
      </c>
      <c r="T58" s="19" t="str">
        <f t="shared" si="9"/>
        <v>F</v>
      </c>
      <c r="U58" s="3" t="s">
        <v>203</v>
      </c>
      <c r="V58" s="4" t="str">
        <f>IF(ISBLANK(C58),,IFERROR(IF(VLOOKUP(B58,Standings!$A:$F, 6, 0)=VLOOKUP(C58,Standings!$A:$F, 6, 0), VLOOKUP(B58,Standings!$A:$F, 6, 0), "Non-con"), "FCS"))</f>
        <v>SEC</v>
      </c>
      <c r="W58" s="3" t="str">
        <f t="shared" si="10"/>
        <v>Kentucky</v>
      </c>
      <c r="X58" s="3" t="str">
        <f t="shared" si="11"/>
        <v>Alabama</v>
      </c>
      <c r="Y58" s="30">
        <f>IF(D58=0,,IF(ISBLANK(Q58),,VLOOKUP(X58,Week11,2,FALSE)/(VLOOKUP(X58,Week11,2,FALSE)+VLOOKUP(W58,Week11,2,FALSE))+0.05)*100)</f>
        <v>76.7061974</v>
      </c>
      <c r="Z58" s="3" t="s">
        <v>23</v>
      </c>
      <c r="AA58" s="3">
        <v>63.0</v>
      </c>
      <c r="AB58" s="4" t="str">
        <f t="shared" si="20"/>
        <v>Kentucky</v>
      </c>
      <c r="AC58" s="3">
        <v>3.0</v>
      </c>
      <c r="AD58" s="3"/>
      <c r="AE58" s="3">
        <f t="shared" si="13"/>
        <v>60</v>
      </c>
      <c r="AF58" s="3"/>
      <c r="AG58" s="3">
        <f t="shared" si="25"/>
        <v>1</v>
      </c>
      <c r="AH58" s="3"/>
      <c r="AI58" s="7"/>
      <c r="AJ58" s="4"/>
      <c r="AK58" s="7"/>
      <c r="AL58" s="7"/>
      <c r="AM58" s="7"/>
      <c r="AN58" s="7"/>
      <c r="AO58" s="7"/>
      <c r="AP58" s="7"/>
      <c r="AQ58" s="7"/>
      <c r="AR58" s="7"/>
      <c r="AS58" s="7"/>
      <c r="AT58" s="7"/>
      <c r="AU58" s="7"/>
      <c r="AV58" s="7"/>
      <c r="AW58" s="7"/>
      <c r="AX58" s="7"/>
    </row>
    <row r="59" ht="12.75" hidden="1" customHeight="1">
      <c r="A59" s="3">
        <v>11.0</v>
      </c>
      <c r="B59" s="3" t="s">
        <v>79</v>
      </c>
      <c r="C59" s="3" t="s">
        <v>65</v>
      </c>
      <c r="D59" s="4">
        <f>IFERROR(VLOOKUP(B59,CurrentRank!$B$2:$C$132,2,FALSE),0)</f>
        <v>85.31</v>
      </c>
      <c r="E59" s="4">
        <f>IF(ISBLANK(B59),,IFERROR(VLOOKUP(B59,CurrentRank!$B$2:$C$132,2,FALSE),0))</f>
        <v>85.31</v>
      </c>
      <c r="F59" s="4">
        <f>IFERROR(VLOOKUP(B59,Week10,3,FALSE),130)</f>
        <v>6</v>
      </c>
      <c r="G59" s="4">
        <f>IF(ISBLANK(B59),,IFERROR(VLOOKUP(B59,CurrentRank!$B$2:$D$132,3,FALSE),130))</f>
        <v>3</v>
      </c>
      <c r="H59" s="4">
        <f>IFERROR(VLOOKUP(C59,CurrentRank!$B$2:$C$132,2,FALSE),0)</f>
        <v>34.09</v>
      </c>
      <c r="I59" s="4">
        <f>IF(ISBLANK(B59),,IFERROR(VLOOKUP(C59,CurrentRank!$B$2:$C$132,2,FALSE),0))</f>
        <v>34.09</v>
      </c>
      <c r="J59" s="4">
        <f>IFERROR(VLOOKUP(C59,Week10,3,FALSE),130)</f>
        <v>82</v>
      </c>
      <c r="K59" s="4">
        <f>IF(ISBLANK(C59),,IFERROR(VLOOKUP(C59,CurrentRank!$B$2:$D$132,3,FALSE),130))</f>
        <v>74</v>
      </c>
      <c r="L59" s="19">
        <f t="shared" ref="L59:M59" si="54">IF(ISBLANK(C59),,(D59+H59)*0.015)</f>
        <v>1.791</v>
      </c>
      <c r="M59" s="19">
        <f t="shared" si="54"/>
        <v>1.791</v>
      </c>
      <c r="N59" s="24">
        <f t="shared" si="43"/>
        <v>44</v>
      </c>
      <c r="O59" s="21">
        <f t="shared" si="4"/>
        <v>24.7145</v>
      </c>
      <c r="P59" s="21">
        <f t="shared" si="44"/>
        <v>24.7145</v>
      </c>
      <c r="Q59" s="22">
        <f t="shared" si="6"/>
        <v>0.6564275</v>
      </c>
      <c r="R59" s="25" t="str">
        <f t="shared" si="7"/>
        <v>D</v>
      </c>
      <c r="S59" s="19" t="str">
        <f t="shared" si="8"/>
        <v/>
      </c>
      <c r="T59" s="19" t="str">
        <f t="shared" si="9"/>
        <v/>
      </c>
      <c r="U59" s="3" t="s">
        <v>203</v>
      </c>
      <c r="V59" s="4" t="str">
        <f>IFERROR(IF(VLOOKUP(B59,Standings!$A:$F, 6, 0)=VLOOKUP(C59,Standings!$A:$F, 6, 0), VLOOKUP(B59,Standings!$A:$F, 6, 0), "Non-con"), "FCS")</f>
        <v>SEC</v>
      </c>
      <c r="W59" s="3" t="str">
        <f t="shared" si="10"/>
        <v>Tennessee</v>
      </c>
      <c r="X59" s="3" t="str">
        <f t="shared" si="11"/>
        <v>Texas A&amp;M</v>
      </c>
      <c r="Y59" s="30">
        <f>IF(D59=0,,IF(ISBLANK(Q59),,VLOOKUP(X59,Week10,2,FALSE)/(VLOOKUP(X59,Week10,2,FALSE)+VLOOKUP(W59,Week10,2,FALSE))+0.05)*100)</f>
        <v>76.64059723</v>
      </c>
      <c r="Z59" s="3"/>
      <c r="AA59" s="3"/>
      <c r="AB59" s="4" t="str">
        <f t="shared" si="20"/>
        <v/>
      </c>
      <c r="AC59" s="3"/>
      <c r="AD59" s="3"/>
      <c r="AE59" s="3" t="str">
        <f t="shared" si="13"/>
        <v/>
      </c>
      <c r="AF59" s="3" t="s">
        <v>228</v>
      </c>
      <c r="AG59" s="3" t="str">
        <f t="shared" si="25"/>
        <v/>
      </c>
      <c r="AH59" s="3"/>
      <c r="AI59" s="7"/>
      <c r="AJ59" s="4"/>
      <c r="AK59" s="7"/>
      <c r="AL59" s="7"/>
      <c r="AM59" s="7"/>
      <c r="AN59" s="7"/>
      <c r="AO59" s="7"/>
      <c r="AP59" s="7"/>
      <c r="AQ59" s="7"/>
      <c r="AR59" s="7"/>
      <c r="AS59" s="7"/>
      <c r="AT59" s="7"/>
      <c r="AU59" s="7"/>
      <c r="AV59" s="7"/>
      <c r="AW59" s="7"/>
      <c r="AX59" s="7"/>
    </row>
    <row r="60" ht="12.75" hidden="1" customHeight="1">
      <c r="A60" s="3">
        <v>5.0</v>
      </c>
      <c r="B60" s="3" t="s">
        <v>149</v>
      </c>
      <c r="C60" s="3" t="s">
        <v>65</v>
      </c>
      <c r="D60" s="4">
        <f>IFERROR(VLOOKUP(B60,Week4,2,FALSE),0)</f>
        <v>24.83</v>
      </c>
      <c r="E60" s="4">
        <f>IF(ISBLANK(B60),,IFERROR(VLOOKUP(B60,CurrentRank!$B$2:$C$132,2,FALSE),0))</f>
        <v>36.59</v>
      </c>
      <c r="F60" s="4">
        <f>IFERROR(VLOOKUP(B60,Week4,3,FALSE),130)</f>
        <v>126</v>
      </c>
      <c r="G60" s="4">
        <f>IF(ISBLANK(B60),,IFERROR(VLOOKUP(B60,CurrentRank!$B$2:$D$132,3,FALSE),130))</f>
        <v>51</v>
      </c>
      <c r="H60" s="4">
        <f>IFERROR(VLOOKUP(C60,Week4,2,FALSE),0)</f>
        <v>61.83</v>
      </c>
      <c r="I60" s="4">
        <f>IF(ISBLANK(B60),,IFERROR(VLOOKUP(C60,CurrentRank!$B$2:$C$132,2,FALSE),0))</f>
        <v>34.09</v>
      </c>
      <c r="J60" s="4">
        <f>IFERROR(VLOOKUP(C60,Week4,3,FALSE),130)</f>
        <v>19</v>
      </c>
      <c r="K60" s="4">
        <f>IF(ISBLANK(C60),,IFERROR(VLOOKUP(C60,CurrentRank!$B$2:$D$132,3,FALSE),130))</f>
        <v>74</v>
      </c>
      <c r="L60" s="19">
        <f>IF(U60= "Yes", 0, IF(ISBLANK(C60),,(D60+H60)*0.015))</f>
        <v>1.2999</v>
      </c>
      <c r="M60" s="19">
        <f>IF(U60= "Yes", 0, IF(ISBLANK(D60),,(E60+I60)*0.015))</f>
        <v>1.0602</v>
      </c>
      <c r="N60" s="24">
        <f t="shared" si="43"/>
        <v>72.5</v>
      </c>
      <c r="O60" s="21">
        <f t="shared" si="4"/>
        <v>-19.14995</v>
      </c>
      <c r="P60" s="21">
        <f t="shared" si="44"/>
        <v>0.60005</v>
      </c>
      <c r="Q60" s="22">
        <f t="shared" si="6"/>
        <v>0.54175025</v>
      </c>
      <c r="R60" s="25" t="str">
        <f t="shared" si="7"/>
        <v>F</v>
      </c>
      <c r="S60" s="19">
        <f t="shared" si="8"/>
        <v>0.5225</v>
      </c>
      <c r="T60" s="19" t="str">
        <f t="shared" si="9"/>
        <v>F</v>
      </c>
      <c r="U60" s="3" t="s">
        <v>203</v>
      </c>
      <c r="V60" s="4" t="str">
        <f>IF(ISBLANK(C60),,IFERROR(IF(VLOOKUP(B60,Standings!$A:$F, 6, 0)=VLOOKUP(C60,Standings!$A:$F, 6, 0), VLOOKUP(B60,Standings!$A:$F, 6, 0), "Non-con"), "FCS"))</f>
        <v>SEC</v>
      </c>
      <c r="W60" s="3" t="str">
        <f t="shared" si="10"/>
        <v>Missouri</v>
      </c>
      <c r="X60" s="3" t="str">
        <f t="shared" si="11"/>
        <v>Tennessee</v>
      </c>
      <c r="Y60" s="30">
        <f>IF(D60=0,,IF(ISBLANK(Q60),,VLOOKUP(X60,Week4,2,FALSE)/(VLOOKUP(X60,Week4,2,FALSE)+VLOOKUP(W60,Week4,2,FALSE))+0.05)*100)</f>
        <v>76.34779598</v>
      </c>
      <c r="Z60" s="3" t="s">
        <v>65</v>
      </c>
      <c r="AA60" s="3">
        <v>35.0</v>
      </c>
      <c r="AB60" s="4" t="str">
        <f t="shared" si="20"/>
        <v>Missouri</v>
      </c>
      <c r="AC60" s="3">
        <v>12.0</v>
      </c>
      <c r="AD60" s="3"/>
      <c r="AE60" s="3">
        <f t="shared" si="13"/>
        <v>23</v>
      </c>
      <c r="AF60" s="3"/>
      <c r="AG60" s="3">
        <f t="shared" si="25"/>
        <v>1</v>
      </c>
      <c r="AH60" s="3"/>
      <c r="AI60" s="7"/>
      <c r="AJ60" s="4"/>
      <c r="AK60" s="7"/>
      <c r="AL60" s="7"/>
      <c r="AM60" s="7"/>
      <c r="AN60" s="7"/>
      <c r="AO60" s="7"/>
      <c r="AP60" s="7"/>
      <c r="AQ60" s="7"/>
      <c r="AR60" s="7"/>
      <c r="AS60" s="7"/>
      <c r="AT60" s="7"/>
      <c r="AU60" s="7"/>
      <c r="AV60" s="7"/>
      <c r="AW60" s="7"/>
      <c r="AX60" s="7"/>
    </row>
    <row r="61" ht="12.75" hidden="1" customHeight="1">
      <c r="A61" s="3">
        <v>12.0</v>
      </c>
      <c r="B61" s="3" t="s">
        <v>130</v>
      </c>
      <c r="C61" s="3" t="s">
        <v>123</v>
      </c>
      <c r="D61" s="4">
        <f>IFERROR(VLOOKUP(B61,CurrentRank!$B$2:$C$132,2,FALSE),0)</f>
        <v>29.22</v>
      </c>
      <c r="E61" s="4">
        <f>IF(ISBLANK(B61),,IFERROR(VLOOKUP(B61,CurrentRank!$B$2:$C$132,2,FALSE),0))</f>
        <v>29.22</v>
      </c>
      <c r="F61" s="4">
        <f>IFERROR(VLOOKUP(B61,CurrentRank!$B$2:$D$132,3,FALSE),130)</f>
        <v>116</v>
      </c>
      <c r="G61" s="4">
        <f>IF(ISBLANK(B61),,IFERROR(VLOOKUP(B61,CurrentRank!$B$2:$D$132,3,FALSE),130))</f>
        <v>116</v>
      </c>
      <c r="H61" s="4">
        <f>IFERROR(VLOOKUP(C61,CurrentRank!$B$2:$C$132,2,FALSE),0)</f>
        <v>13.91</v>
      </c>
      <c r="I61" s="4">
        <f>IF(ISBLANK(B61),,IFERROR(VLOOKUP(C61,CurrentRank!$B$2:$C$132,2,FALSE),0))</f>
        <v>13.91</v>
      </c>
      <c r="J61" s="4">
        <f>IFERROR(VLOOKUP(C61,Week11,3,FALSE),130)</f>
        <v>129</v>
      </c>
      <c r="K61" s="4">
        <f>IFERROR(VLOOKUP(C61,CurrentRank!$B$2:$D$132,3,FALSE),130)</f>
        <v>129</v>
      </c>
      <c r="L61" s="19">
        <f t="shared" ref="L61:M61" si="55">IF(ISBLANK(C61),,(D61+H61)*0.015)</f>
        <v>0.64695</v>
      </c>
      <c r="M61" s="19">
        <f t="shared" si="55"/>
        <v>0.64695</v>
      </c>
      <c r="N61" s="24">
        <f>(F61+K61)/2</f>
        <v>122.5</v>
      </c>
      <c r="O61" s="21">
        <f t="shared" si="4"/>
        <v>7.331525</v>
      </c>
      <c r="P61" s="24">
        <f>(D61-(H61+L61))/2</f>
        <v>7.331525</v>
      </c>
      <c r="Q61" s="22">
        <f t="shared" si="6"/>
        <v>0.350842375</v>
      </c>
      <c r="R61" s="25" t="str">
        <f t="shared" si="7"/>
        <v>F</v>
      </c>
      <c r="S61" s="19" t="str">
        <f t="shared" si="8"/>
        <v/>
      </c>
      <c r="T61" s="19" t="str">
        <f t="shared" si="9"/>
        <v/>
      </c>
      <c r="U61" s="3" t="s">
        <v>203</v>
      </c>
      <c r="V61" s="4" t="str">
        <f>IFERROR(IF(VLOOKUP(B61,Standings!$A:$F, 6, 0)=VLOOKUP(C61,Standings!$A:$F, 6, 0), VLOOKUP(B61,Standings!$A:$F, 6, 0), "Non-con"), "FCS")</f>
        <v>AAC</v>
      </c>
      <c r="W61" s="3" t="str">
        <f t="shared" si="10"/>
        <v>South Florida</v>
      </c>
      <c r="X61" s="3" t="str">
        <f t="shared" si="11"/>
        <v>Navy</v>
      </c>
      <c r="Y61" s="30">
        <f>IF(D61=0,,IF(ISBLANK(Q61),,VLOOKUP(X61,Week11,2,FALSE)/(VLOOKUP(X61,Week11,2,FALSE)+VLOOKUP(W61,Week11,2,FALSE))+0.05)*100)</f>
        <v>76.32967295</v>
      </c>
      <c r="Z61" s="3"/>
      <c r="AA61" s="3"/>
      <c r="AB61" s="4" t="str">
        <f t="shared" si="20"/>
        <v/>
      </c>
      <c r="AC61" s="3"/>
      <c r="AD61" s="3"/>
      <c r="AE61" s="3" t="str">
        <f t="shared" si="13"/>
        <v/>
      </c>
      <c r="AF61" s="3" t="s">
        <v>228</v>
      </c>
      <c r="AG61" s="3" t="str">
        <f t="shared" si="25"/>
        <v/>
      </c>
      <c r="AH61" s="3"/>
      <c r="AI61" s="7"/>
      <c r="AJ61" s="4" t="s">
        <v>158</v>
      </c>
      <c r="AM61" s="7"/>
      <c r="AN61" s="7"/>
      <c r="AO61" s="7"/>
      <c r="AP61" s="7"/>
      <c r="AQ61" s="7"/>
      <c r="AR61" s="7"/>
      <c r="AS61" s="7"/>
      <c r="AT61" s="7"/>
      <c r="AU61" s="7"/>
      <c r="AV61" s="7"/>
      <c r="AW61" s="7"/>
      <c r="AX61" s="7"/>
    </row>
    <row r="62" ht="12.75" hidden="1" customHeight="1">
      <c r="A62" s="3">
        <v>14.0</v>
      </c>
      <c r="B62" s="50" t="s">
        <v>40</v>
      </c>
      <c r="C62" s="3" t="s">
        <v>187</v>
      </c>
      <c r="D62" s="4">
        <f>IFERROR(VLOOKUP(B62,Week13,2,FALSE),0)</f>
        <v>75.99</v>
      </c>
      <c r="E62" s="4">
        <f>IF(ISBLANK(B62),,IFERROR(VLOOKUP(B62,CurrentRank!$B$2:$C$132,2,FALSE),0))</f>
        <v>57.15</v>
      </c>
      <c r="F62" s="4">
        <f>IFERROR(VLOOKUP(B62,Week13,3,FALSE),130)</f>
        <v>10</v>
      </c>
      <c r="G62" s="4">
        <f>IF(ISBLANK(B62),,IFERROR(VLOOKUP(B62,CurrentRank!$B$2:$D$132,3,FALSE),130))</f>
        <v>23</v>
      </c>
      <c r="H62" s="4">
        <f>IFERROR(VLOOKUP(C62,Week13,2,FALSE),0)</f>
        <v>30.69</v>
      </c>
      <c r="I62" s="4">
        <f>IF(ISBLANK(B62),,IFERROR(VLOOKUP(C62,CurrentRank!$B$2:$C$132,2,FALSE),0))</f>
        <v>28.66</v>
      </c>
      <c r="J62" s="4">
        <f>IFERROR(VLOOKUP(C62,Week13,3,FALSE),130)</f>
        <v>100</v>
      </c>
      <c r="K62" s="4">
        <f>IF(ISBLANK(C62),,IFERROR(VLOOKUP(C62,CurrentRank!$B$2:$D$132,3,FALSE),130))</f>
        <v>120</v>
      </c>
      <c r="L62" s="19">
        <f>IF(U62= "Yes", 0, IF(ISBLANK(C62),,(D62+H62)*0.015))</f>
        <v>1.6002</v>
      </c>
      <c r="M62" s="19">
        <f>IF(U62= "Yes", 0, IF(ISBLANK(D62),,(E62+I62)*0.015))</f>
        <v>1.28715</v>
      </c>
      <c r="N62" s="24">
        <f t="shared" ref="N62:N79" si="57">IF(ISBLANK(C62),,(F62+J62)/2)</f>
        <v>55</v>
      </c>
      <c r="O62" s="21">
        <f t="shared" si="4"/>
        <v>21.8499</v>
      </c>
      <c r="P62" s="21">
        <f>IF(ISBLANK(C62),,(E62-(I62+L62))/2)</f>
        <v>13.4449</v>
      </c>
      <c r="Q62" s="22">
        <f t="shared" si="6"/>
        <v>0.6157505</v>
      </c>
      <c r="R62" s="25" t="str">
        <f t="shared" si="7"/>
        <v>D-</v>
      </c>
      <c r="S62" s="19">
        <f t="shared" si="8"/>
        <v>0.485</v>
      </c>
      <c r="T62" s="19" t="str">
        <f t="shared" si="9"/>
        <v>F</v>
      </c>
      <c r="U62" s="3" t="s">
        <v>203</v>
      </c>
      <c r="V62" s="4" t="str">
        <f>IF(ISBLANK(C62),,IFERROR(IF(VLOOKUP(B62,Standings!$A:$F, 6, 0)=VLOOKUP(C62,Standings!$A:$F, 6, 0), VLOOKUP(B62,Standings!$A:$F, 6, 0), "Non-con"), "FCS"))</f>
        <v>ACC</v>
      </c>
      <c r="W62" s="3" t="str">
        <f t="shared" si="10"/>
        <v>Duke</v>
      </c>
      <c r="X62" s="3" t="str">
        <f t="shared" si="11"/>
        <v>Miami</v>
      </c>
      <c r="Y62" s="30">
        <f>IF(D62=0,,IF(ISBLANK(Q62),,VLOOKUP(X62,Week13,2,FALSE)/(VLOOKUP(X62,Week13,2,FALSE)+VLOOKUP(W62,Week13,2,FALSE))+0.05)*100)</f>
        <v>76.23172103</v>
      </c>
      <c r="Z62" s="3" t="s">
        <v>40</v>
      </c>
      <c r="AA62" s="3">
        <v>48.0</v>
      </c>
      <c r="AB62" s="4" t="str">
        <f t="shared" si="20"/>
        <v>Duke</v>
      </c>
      <c r="AC62" s="3">
        <v>0.0</v>
      </c>
      <c r="AD62" s="3"/>
      <c r="AE62" s="3">
        <f t="shared" si="13"/>
        <v>48</v>
      </c>
      <c r="AF62" s="3"/>
      <c r="AG62" s="3">
        <f t="shared" si="25"/>
        <v>1</v>
      </c>
      <c r="AH62" s="3"/>
      <c r="AI62" s="7"/>
      <c r="AJ62" s="4" t="s">
        <v>244</v>
      </c>
      <c r="AK62" s="7"/>
      <c r="AL62" s="7"/>
      <c r="AM62" s="7"/>
      <c r="AN62" s="7"/>
      <c r="AO62" s="7"/>
      <c r="AP62" s="7"/>
      <c r="AQ62" s="7"/>
      <c r="AR62" s="7"/>
      <c r="AS62" s="7"/>
      <c r="AT62" s="7"/>
      <c r="AU62" s="7"/>
      <c r="AV62" s="7"/>
      <c r="AW62" s="7"/>
      <c r="AX62" s="7"/>
    </row>
    <row r="63" ht="12.75" hidden="1" customHeight="1">
      <c r="A63" s="3">
        <v>10.0</v>
      </c>
      <c r="B63" s="3" t="s">
        <v>141</v>
      </c>
      <c r="C63" s="3" t="s">
        <v>43</v>
      </c>
      <c r="D63" s="4">
        <f>IFERROR(VLOOKUP(B63,CurrentRank!$B$2:$C$132,2,FALSE),0)</f>
        <v>30.89</v>
      </c>
      <c r="E63" s="4">
        <f>IF(ISBLANK(B63),,IFERROR(VLOOKUP(B63,CurrentRank!$B$2:$C$132,2,FALSE),0))</f>
        <v>30.89</v>
      </c>
      <c r="F63" s="4">
        <f>IFERROR(VLOOKUP(B63,Week9,3,FALSE),130)</f>
        <v>108</v>
      </c>
      <c r="G63" s="4">
        <f>IF(ISBLANK(B63),,IFERROR(VLOOKUP(B63,CurrentRank!$B$2:$D$132,3,FALSE),130))</f>
        <v>103</v>
      </c>
      <c r="H63" s="4">
        <f>IFERROR(VLOOKUP(C63,CurrentRank!$B$2:$C$132,2,FALSE),0)</f>
        <v>11.84</v>
      </c>
      <c r="I63" s="4">
        <f>IF(ISBLANK(B63),,IFERROR(VLOOKUP(C63,CurrentRank!$B$2:$C$132,2,FALSE),0))</f>
        <v>11.84</v>
      </c>
      <c r="J63" s="4">
        <f>IFERROR(VLOOKUP(C63,Week9,3,FALSE),130)</f>
        <v>129</v>
      </c>
      <c r="K63" s="4">
        <f>IF(ISBLANK(C63),,IFERROR(VLOOKUP(C63,CurrentRank!$B$2:$D$132,3,FALSE),130))</f>
        <v>130</v>
      </c>
      <c r="L63" s="19">
        <f t="shared" ref="L63:M63" si="56">IF(ISBLANK(C63),,(D63+H63)*0.015)</f>
        <v>0.64095</v>
      </c>
      <c r="M63" s="19">
        <f t="shared" si="56"/>
        <v>0.64095</v>
      </c>
      <c r="N63" s="24">
        <f t="shared" si="57"/>
        <v>118.5</v>
      </c>
      <c r="O63" s="21">
        <f t="shared" si="4"/>
        <v>9.204525</v>
      </c>
      <c r="P63" s="24">
        <f>(D63-(H63+L63))/2</f>
        <v>9.204525</v>
      </c>
      <c r="Q63" s="22">
        <f t="shared" si="6"/>
        <v>0.361477375</v>
      </c>
      <c r="R63" s="25" t="str">
        <f t="shared" si="7"/>
        <v>F</v>
      </c>
      <c r="S63" s="19" t="str">
        <f t="shared" si="8"/>
        <v/>
      </c>
      <c r="T63" s="19" t="str">
        <f t="shared" si="9"/>
        <v/>
      </c>
      <c r="U63" s="3" t="s">
        <v>203</v>
      </c>
      <c r="V63" s="4" t="str">
        <f>IFERROR(IF(VLOOKUP(B63,Standings!$A:$F, 6, 0)=VLOOKUP(C63,Standings!$A:$F, 6, 0), VLOOKUP(B63,Standings!$A:$F, 6, 0), "Non-con"), "FCS")</f>
        <v>CUSA</v>
      </c>
      <c r="W63" s="3" t="str">
        <f t="shared" si="10"/>
        <v>UTEP</v>
      </c>
      <c r="X63" s="3" t="str">
        <f t="shared" si="11"/>
        <v>Florida International</v>
      </c>
      <c r="Y63" s="30">
        <f>IF(D63=0,,IF(ISBLANK(Q63),,VLOOKUP(X63,Week9,2,FALSE)/(VLOOKUP(X63,Week9,2,FALSE)+VLOOKUP(W63,Week9,2,FALSE))+0.05)*100)</f>
        <v>76.2174525</v>
      </c>
      <c r="Z63" s="3"/>
      <c r="AA63" s="3"/>
      <c r="AB63" s="4" t="str">
        <f t="shared" si="20"/>
        <v/>
      </c>
      <c r="AC63" s="3"/>
      <c r="AD63" s="3"/>
      <c r="AE63" s="3" t="str">
        <f t="shared" si="13"/>
        <v/>
      </c>
      <c r="AF63" s="3" t="s">
        <v>226</v>
      </c>
      <c r="AG63" s="3" t="str">
        <f t="shared" si="25"/>
        <v/>
      </c>
      <c r="AH63" s="3"/>
      <c r="AI63" s="7"/>
      <c r="AJ63" s="4"/>
      <c r="AK63" s="7"/>
      <c r="AL63" s="7"/>
      <c r="AM63" s="7"/>
      <c r="AN63" s="7"/>
      <c r="AO63" s="7"/>
      <c r="AP63" s="7"/>
      <c r="AQ63" s="7"/>
      <c r="AR63" s="7"/>
      <c r="AS63" s="7"/>
      <c r="AT63" s="7"/>
      <c r="AU63" s="7"/>
      <c r="AV63" s="7"/>
      <c r="AW63" s="7"/>
      <c r="AX63" s="7"/>
    </row>
    <row r="64" ht="12.75" hidden="1" customHeight="1">
      <c r="A64" s="3">
        <v>13.0</v>
      </c>
      <c r="B64" s="3" t="s">
        <v>89</v>
      </c>
      <c r="C64" s="3" t="s">
        <v>18</v>
      </c>
      <c r="D64" s="4">
        <f>IFERROR(VLOOKUP(B64,Week12,2,FALSE),0)</f>
        <v>34.01</v>
      </c>
      <c r="E64" s="4">
        <f>IF(ISBLANK(B64),,IFERROR(VLOOKUP(B64,CurrentRank!$B$2:$C$132,2,FALSE),0))</f>
        <v>35.74</v>
      </c>
      <c r="F64" s="4">
        <f>IFERROR(VLOOKUP(B64,Week12,3,FALSE),130)</f>
        <v>68</v>
      </c>
      <c r="G64" s="4">
        <f>IF(ISBLANK(B64),,IFERROR(VLOOKUP(B64,CurrentRank!$B$2:$D$132,3,FALSE),130))</f>
        <v>56</v>
      </c>
      <c r="H64" s="4">
        <f>IFERROR(VLOOKUP(C64,Week12,2,FALSE),0)</f>
        <v>83.65</v>
      </c>
      <c r="I64" s="4">
        <f>IF(ISBLANK(B64),,IFERROR(VLOOKUP(C64,CurrentRank!$B$2:$C$132,2,FALSE),0))</f>
        <v>84.24</v>
      </c>
      <c r="J64" s="4">
        <f>IFERROR(VLOOKUP(C64,Week12,3,FALSE),130)</f>
        <v>4</v>
      </c>
      <c r="K64" s="4">
        <f>IF(ISBLANK(C64),,IFERROR(VLOOKUP(C64,CurrentRank!$B$2:$D$132,3,FALSE),130))</f>
        <v>4</v>
      </c>
      <c r="L64" s="19">
        <f>IF(U64= "Yes", 0, IF(ISBLANK(C64),,(D64+H64)*0.015))</f>
        <v>1.7649</v>
      </c>
      <c r="M64" s="19">
        <f>IF(U64= "Yes", 0, IF(ISBLANK(D64),,(E64+I64)*0.015))</f>
        <v>1.7997</v>
      </c>
      <c r="N64" s="24">
        <f t="shared" si="57"/>
        <v>36</v>
      </c>
      <c r="O64" s="21">
        <f t="shared" si="4"/>
        <v>-25.70245</v>
      </c>
      <c r="P64" s="21">
        <f t="shared" ref="P64:P79" si="59">IF(ISBLANK(C64),,(E64-(I64+L64))/2)</f>
        <v>-25.13245</v>
      </c>
      <c r="Q64" s="22">
        <f t="shared" si="6"/>
        <v>0.69148775</v>
      </c>
      <c r="R64" s="25" t="str">
        <f t="shared" si="7"/>
        <v>D+</v>
      </c>
      <c r="S64" s="19">
        <f t="shared" si="8"/>
        <v>0.645</v>
      </c>
      <c r="T64" s="19" t="str">
        <f t="shared" si="9"/>
        <v>D</v>
      </c>
      <c r="U64" s="3" t="s">
        <v>203</v>
      </c>
      <c r="V64" s="4" t="str">
        <f>IF(ISBLANK(C64),,IFERROR(IF(VLOOKUP(B64,Standings!$A:$F, 6, 0)=VLOOKUP(C64,Standings!$A:$F, 6, 0), VLOOKUP(B64,Standings!$A:$F, 6, 0), "Non-con"), "FCS"))</f>
        <v>ACC</v>
      </c>
      <c r="W64" s="3" t="str">
        <f t="shared" si="10"/>
        <v>Pittsburgh</v>
      </c>
      <c r="X64" s="3" t="str">
        <f t="shared" si="11"/>
        <v>Clemson</v>
      </c>
      <c r="Y64" s="30">
        <f>IF(D64=0,,IF(ISBLANK(Q64),,VLOOKUP(X64,Week12,2,FALSE)/(VLOOKUP(X64,Week12,2,FALSE)+VLOOKUP(W64,Week12,2,FALSE))+0.05)*100)</f>
        <v>76.09467959</v>
      </c>
      <c r="Z64" s="3" t="s">
        <v>18</v>
      </c>
      <c r="AA64" s="3">
        <v>52.0</v>
      </c>
      <c r="AB64" s="4" t="str">
        <f t="shared" si="20"/>
        <v>Pittsburgh</v>
      </c>
      <c r="AC64" s="3">
        <v>17.0</v>
      </c>
      <c r="AD64" s="3"/>
      <c r="AE64" s="3">
        <f t="shared" si="13"/>
        <v>35</v>
      </c>
      <c r="AF64" s="3"/>
      <c r="AG64" s="3">
        <f t="shared" si="25"/>
        <v>1</v>
      </c>
      <c r="AH64" s="3"/>
      <c r="AI64" s="7"/>
      <c r="AJ64" s="4" t="s">
        <v>161</v>
      </c>
      <c r="AK64" s="7"/>
      <c r="AL64" s="7"/>
      <c r="AM64" s="7"/>
      <c r="AN64" s="7"/>
      <c r="AO64" s="7"/>
      <c r="AP64" s="7"/>
      <c r="AQ64" s="7"/>
      <c r="AR64" s="7"/>
      <c r="AS64" s="7"/>
      <c r="AT64" s="7"/>
      <c r="AU64" s="7"/>
      <c r="AV64" s="7"/>
      <c r="AW64" s="7"/>
      <c r="AX64" s="7"/>
    </row>
    <row r="65" ht="12.75" hidden="1" customHeight="1">
      <c r="A65" s="3">
        <v>16.0</v>
      </c>
      <c r="B65" s="3" t="s">
        <v>152</v>
      </c>
      <c r="C65" s="3" t="s">
        <v>174</v>
      </c>
      <c r="D65" s="4">
        <f>IFERROR(VLOOKUP(B65,Week15,2,FALSE),0)</f>
        <v>32.15</v>
      </c>
      <c r="E65" s="4">
        <f>IF(ISBLANK(B65),,IFERROR(VLOOKUP(B65,CurrentRank!$B$2:$C$132,2,FALSE),0))</f>
        <v>32.23</v>
      </c>
      <c r="F65" s="4">
        <f>IFERROR(VLOOKUP(B65,Week15,3,FALSE),130)</f>
        <v>93</v>
      </c>
      <c r="G65" s="4">
        <f>IF(ISBLANK(B65),,IFERROR(VLOOKUP(B65,CurrentRank!$B$2:$D$132,3,FALSE),130))</f>
        <v>92</v>
      </c>
      <c r="H65" s="4">
        <f>IFERROR(VLOOKUP(C65,Week15,2,FALSE),0)</f>
        <v>79.06</v>
      </c>
      <c r="I65" s="4">
        <f>IF(ISBLANK(B65),,IFERROR(VLOOKUP(C65,CurrentRank!$B$2:$C$132,2,FALSE),0))</f>
        <v>69.98</v>
      </c>
      <c r="J65" s="4">
        <f>IFERROR(VLOOKUP(C65,Week15,3,FALSE),130)</f>
        <v>8</v>
      </c>
      <c r="K65" s="4">
        <f>IF(ISBLANK(C65),,IFERROR(VLOOKUP(C65,CurrentRank!$B$2:$D$132,3,FALSE),130))</f>
        <v>13</v>
      </c>
      <c r="L65" s="19">
        <f t="shared" ref="L65:M65" si="58">IF(ISBLANK(C65),,(D65+H65)*0.015)</f>
        <v>1.66815</v>
      </c>
      <c r="M65" s="19">
        <f t="shared" si="58"/>
        <v>1.53315</v>
      </c>
      <c r="N65" s="24">
        <f t="shared" si="57"/>
        <v>50.5</v>
      </c>
      <c r="O65" s="21">
        <f t="shared" si="4"/>
        <v>-24.289075</v>
      </c>
      <c r="P65" s="21">
        <f t="shared" si="59"/>
        <v>-19.709075</v>
      </c>
      <c r="Q65" s="22">
        <f t="shared" si="6"/>
        <v>0.626054625</v>
      </c>
      <c r="R65" s="25" t="str">
        <f t="shared" si="7"/>
        <v>D</v>
      </c>
      <c r="S65" s="19" t="str">
        <f t="shared" si="8"/>
        <v/>
      </c>
      <c r="T65" s="19" t="str">
        <f t="shared" si="9"/>
        <v/>
      </c>
      <c r="U65" s="3" t="s">
        <v>203</v>
      </c>
      <c r="V65" s="4" t="str">
        <f>IF(ISBLANK(C65),,IFERROR(IF(VLOOKUP(B65,Standings!$A:$F, 6, 0)=VLOOKUP(C65,Standings!$A:$F, 6, 0), VLOOKUP(B65,Standings!$A:$F, 6, 0), "Non-con"), "FCS"))</f>
        <v>B1G</v>
      </c>
      <c r="W65" s="3" t="str">
        <f t="shared" si="10"/>
        <v>Purdue</v>
      </c>
      <c r="X65" s="3" t="str">
        <f t="shared" si="11"/>
        <v>Indiana</v>
      </c>
      <c r="Y65" s="30">
        <f>IF(D65=0,,IF(ISBLANK(Q65),,VLOOKUP(X65,Week15,2,FALSE)/(VLOOKUP(X65,Week15,2,FALSE)+VLOOKUP(W65,Week15,2,FALSE))+0.05)*100)</f>
        <v>76.09072925</v>
      </c>
      <c r="Z65" s="4"/>
      <c r="AA65" s="3"/>
      <c r="AB65" s="4" t="str">
        <f t="shared" si="20"/>
        <v/>
      </c>
      <c r="AC65" s="3"/>
      <c r="AD65" s="3"/>
      <c r="AE65" s="3" t="str">
        <f t="shared" si="13"/>
        <v/>
      </c>
      <c r="AF65" s="3" t="s">
        <v>226</v>
      </c>
      <c r="AG65" s="3" t="str">
        <f t="shared" si="25"/>
        <v/>
      </c>
      <c r="AH65" s="3"/>
      <c r="AI65" s="7"/>
      <c r="AJ65" s="4"/>
      <c r="AK65" s="7"/>
      <c r="AL65" s="7"/>
      <c r="AM65" s="7"/>
      <c r="AN65" s="7"/>
      <c r="AO65" s="7"/>
      <c r="AP65" s="7"/>
      <c r="AQ65" s="7"/>
      <c r="AR65" s="7"/>
      <c r="AS65" s="7"/>
      <c r="AT65" s="7"/>
      <c r="AU65" s="7"/>
      <c r="AV65" s="7"/>
      <c r="AW65" s="7"/>
      <c r="AX65" s="7"/>
    </row>
    <row r="66" ht="12.75" customHeight="1">
      <c r="A66" s="3">
        <v>12.0</v>
      </c>
      <c r="B66" s="3" t="s">
        <v>74</v>
      </c>
      <c r="C66" s="3" t="s">
        <v>189</v>
      </c>
      <c r="D66" s="4">
        <f>IFERROR(VLOOKUP(B66,Week11,2,FALSE),0)</f>
        <v>80.06</v>
      </c>
      <c r="E66" s="4">
        <f>IF(ISBLANK(B66),,IFERROR(VLOOKUP(B66,CurrentRank!$B$2:$C$132,2,FALSE),0))</f>
        <v>41.11</v>
      </c>
      <c r="F66" s="4">
        <f>IFERROR(VLOOKUP(B66,Week11,3,FALSE),130)</f>
        <v>6</v>
      </c>
      <c r="G66" s="4">
        <f>IF(ISBLANK(B66),,IFERROR(VLOOKUP(B66,CurrentRank!$B$2:$D$132,3,FALSE),130))</f>
        <v>32</v>
      </c>
      <c r="H66" s="4">
        <f>IFERROR(VLOOKUP(C66,Week11,2,FALSE),0)</f>
        <v>69.3</v>
      </c>
      <c r="I66" s="4">
        <f>IF(ISBLANK(B66),,IFERROR(VLOOKUP(C66,CurrentRank!$B$2:$C$132,2,FALSE),0))</f>
        <v>72.23</v>
      </c>
      <c r="J66" s="4">
        <f>IFERROR(VLOOKUP(C66,Week11,3,FALSE),130)</f>
        <v>16</v>
      </c>
      <c r="K66" s="4">
        <f>IF(ISBLANK(C66),,IFERROR(VLOOKUP(C66,CurrentRank!$B$2:$D$132,3,FALSE),130))</f>
        <v>11</v>
      </c>
      <c r="L66" s="19">
        <f t="shared" ref="L66:L68" si="60">IF(U66= "Yes", 0, IF(ISBLANK(C66),,(D66+H66)*0.015))</f>
        <v>2.2404</v>
      </c>
      <c r="M66" s="19">
        <f t="shared" ref="M66:M68" si="61">IF(U66= "Yes", 0, IF(ISBLANK(D66),,(E66+I66)*0.015))</f>
        <v>1.7001</v>
      </c>
      <c r="N66" s="24">
        <f t="shared" si="57"/>
        <v>11</v>
      </c>
      <c r="O66" s="21">
        <f t="shared" si="4"/>
        <v>4.2598</v>
      </c>
      <c r="P66" s="21">
        <f t="shared" si="59"/>
        <v>-16.6802</v>
      </c>
      <c r="Q66" s="22">
        <f t="shared" si="6"/>
        <v>0.923701</v>
      </c>
      <c r="R66" s="25" t="str">
        <f t="shared" si="7"/>
        <v>A-</v>
      </c>
      <c r="S66" s="19">
        <f t="shared" si="8"/>
        <v>0.895</v>
      </c>
      <c r="T66" s="19" t="str">
        <f t="shared" si="9"/>
        <v>A-</v>
      </c>
      <c r="U66" s="3" t="s">
        <v>203</v>
      </c>
      <c r="V66" s="4" t="str">
        <f>IF(ISBLANK(C66),,IFERROR(IF(VLOOKUP(B66,Standings!$A:$F, 6, 0)=VLOOKUP(C66,Standings!$A:$F, 6, 0), VLOOKUP(B66,Standings!$A:$F, 6, 0), "Non-con"), "FCS"))</f>
        <v>B1G</v>
      </c>
      <c r="W66" s="3" t="str">
        <f t="shared" si="10"/>
        <v>Northwestern</v>
      </c>
      <c r="X66" s="3" t="str">
        <f t="shared" si="11"/>
        <v>Wisconsin</v>
      </c>
      <c r="Y66" s="30">
        <f>IF(D66=0,,IF(ISBLANK(Q66),,VLOOKUP(X66,Week11,2,FALSE)/(VLOOKUP(X66,Week11,2,FALSE)+VLOOKUP(W66,Week11,2,FALSE))+0.05)*100)</f>
        <v>58.60203535</v>
      </c>
      <c r="Z66" s="3" t="s">
        <v>189</v>
      </c>
      <c r="AA66" s="3">
        <v>17.0</v>
      </c>
      <c r="AB66" s="4" t="str">
        <f t="shared" si="20"/>
        <v>Wisconsin</v>
      </c>
      <c r="AC66" s="3">
        <v>7.0</v>
      </c>
      <c r="AD66" s="3"/>
      <c r="AE66" s="3">
        <f t="shared" si="13"/>
        <v>10</v>
      </c>
      <c r="AF66" s="3"/>
      <c r="AG66" s="3">
        <f t="shared" si="25"/>
        <v>0</v>
      </c>
      <c r="AH66" s="3"/>
      <c r="AI66" s="7"/>
      <c r="AJ66" s="4" t="s">
        <v>245</v>
      </c>
      <c r="AK66" s="7"/>
      <c r="AL66" s="7"/>
      <c r="AM66" s="7"/>
      <c r="AN66" s="7"/>
      <c r="AO66" s="7"/>
      <c r="AP66" s="7"/>
      <c r="AQ66" s="7"/>
      <c r="AR66" s="7"/>
      <c r="AS66" s="7"/>
      <c r="AT66" s="7"/>
      <c r="AU66" s="7"/>
      <c r="AV66" s="7"/>
      <c r="AW66" s="7"/>
      <c r="AX66" s="7"/>
    </row>
    <row r="67" ht="12.75" hidden="1" customHeight="1">
      <c r="A67" s="3">
        <v>14.0</v>
      </c>
      <c r="B67" s="3" t="s">
        <v>18</v>
      </c>
      <c r="C67" s="3" t="s">
        <v>82</v>
      </c>
      <c r="D67" s="4">
        <f>IFERROR(VLOOKUP(B67,Week13,2,FALSE),0)</f>
        <v>85.28</v>
      </c>
      <c r="E67" s="4">
        <f>IF(ISBLANK(B67),,IFERROR(VLOOKUP(B67,CurrentRank!$B$2:$C$132,2,FALSE),0))</f>
        <v>84.24</v>
      </c>
      <c r="F67" s="4">
        <f>IFERROR(VLOOKUP(B67,Week13,3,FALSE),130)</f>
        <v>4</v>
      </c>
      <c r="G67" s="4">
        <f>IF(ISBLANK(B67),,IFERROR(VLOOKUP(B67,CurrentRank!$B$2:$D$132,3,FALSE),130))</f>
        <v>4</v>
      </c>
      <c r="H67" s="4">
        <f>IFERROR(VLOOKUP(C67,Week13,2,FALSE),0)</f>
        <v>34.89</v>
      </c>
      <c r="I67" s="4">
        <f>IF(ISBLANK(B67),,IFERROR(VLOOKUP(C67,CurrentRank!$B$2:$C$132,2,FALSE),0))</f>
        <v>36.12</v>
      </c>
      <c r="J67" s="4">
        <f>IFERROR(VLOOKUP(C67,Week13,3,FALSE),130)</f>
        <v>62</v>
      </c>
      <c r="K67" s="4">
        <f>IF(ISBLANK(C67),,IFERROR(VLOOKUP(C67,CurrentRank!$B$2:$D$132,3,FALSE),130))</f>
        <v>54</v>
      </c>
      <c r="L67" s="19">
        <f t="shared" si="60"/>
        <v>1.80255</v>
      </c>
      <c r="M67" s="19">
        <f t="shared" si="61"/>
        <v>1.8054</v>
      </c>
      <c r="N67" s="24">
        <f t="shared" si="57"/>
        <v>33</v>
      </c>
      <c r="O67" s="21">
        <f t="shared" si="4"/>
        <v>24.293725</v>
      </c>
      <c r="P67" s="21">
        <f t="shared" si="59"/>
        <v>23.158725</v>
      </c>
      <c r="Q67" s="22">
        <f t="shared" si="6"/>
        <v>0.713531375</v>
      </c>
      <c r="R67" s="25" t="str">
        <f t="shared" si="7"/>
        <v>C-</v>
      </c>
      <c r="S67" s="19">
        <f t="shared" si="8"/>
        <v>0.66</v>
      </c>
      <c r="T67" s="19" t="str">
        <f t="shared" si="9"/>
        <v>D</v>
      </c>
      <c r="U67" s="3" t="s">
        <v>203</v>
      </c>
      <c r="V67" s="4" t="str">
        <f>IF(ISBLANK(C67),,IFERROR(IF(VLOOKUP(B67,Standings!$A:$F, 6, 0)=VLOOKUP(C67,Standings!$A:$F, 6, 0), VLOOKUP(B67,Standings!$A:$F, 6, 0), "Non-con"), "FCS"))</f>
        <v>ACC</v>
      </c>
      <c r="W67" s="3" t="str">
        <f t="shared" si="10"/>
        <v>Virginia Tech</v>
      </c>
      <c r="X67" s="3" t="str">
        <f t="shared" si="11"/>
        <v>Clemson</v>
      </c>
      <c r="Y67" s="30">
        <f>IF(D67=0,,IF(ISBLANK(Q67),,VLOOKUP(X67,Week13,2,FALSE)/(VLOOKUP(X67,Week13,2,FALSE)+VLOOKUP(W67,Week13,2,FALSE))+0.05)*100)</f>
        <v>75.96613131</v>
      </c>
      <c r="Z67" s="3" t="s">
        <v>18</v>
      </c>
      <c r="AA67" s="3">
        <v>45.0</v>
      </c>
      <c r="AB67" s="4" t="str">
        <f t="shared" si="20"/>
        <v>Virginia Tech</v>
      </c>
      <c r="AC67" s="3">
        <v>10.0</v>
      </c>
      <c r="AD67" s="3"/>
      <c r="AE67" s="3">
        <f t="shared" si="13"/>
        <v>35</v>
      </c>
      <c r="AF67" s="3"/>
      <c r="AG67" s="3">
        <f t="shared" si="25"/>
        <v>1</v>
      </c>
      <c r="AH67" s="3"/>
      <c r="AI67" s="7"/>
      <c r="AJ67" s="4"/>
      <c r="AK67" s="7"/>
      <c r="AL67" s="7"/>
      <c r="AM67" s="7"/>
      <c r="AN67" s="7"/>
      <c r="AO67" s="7"/>
      <c r="AP67" s="7"/>
      <c r="AQ67" s="7"/>
      <c r="AR67" s="7"/>
      <c r="AS67" s="7"/>
      <c r="AT67" s="7"/>
      <c r="AU67" s="7"/>
      <c r="AV67" s="7"/>
      <c r="AW67" s="7"/>
      <c r="AX67" s="7"/>
    </row>
    <row r="68" ht="12.75" customHeight="1">
      <c r="A68" s="3">
        <v>10.0</v>
      </c>
      <c r="B68" s="3" t="s">
        <v>48</v>
      </c>
      <c r="C68" s="3" t="s">
        <v>33</v>
      </c>
      <c r="D68" s="4">
        <f>IFERROR(VLOOKUP(B68,Week9,2,FALSE),0)</f>
        <v>75.4</v>
      </c>
      <c r="E68" s="4">
        <f>IF(ISBLANK(B68),,IFERROR(VLOOKUP(B68,CurrentRank!$B$2:$C$132,2,FALSE),0))</f>
        <v>68.03</v>
      </c>
      <c r="F68" s="4">
        <f>IFERROR(VLOOKUP(B68,Week9,3,FALSE),130)</f>
        <v>10</v>
      </c>
      <c r="G68" s="4">
        <f>IF(ISBLANK(B68),,IFERROR(VLOOKUP(B68,CurrentRank!$B$2:$D$132,3,FALSE),130))</f>
        <v>16</v>
      </c>
      <c r="H68" s="4">
        <f>IFERROR(VLOOKUP(C68,Week9,2,FALSE),0)</f>
        <v>83.04</v>
      </c>
      <c r="I68" s="4">
        <f>IF(ISBLANK(B68),,IFERROR(VLOOKUP(C68,CurrentRank!$B$2:$C$132,2,FALSE),0))</f>
        <v>79.21</v>
      </c>
      <c r="J68" s="4">
        <f>IFERROR(VLOOKUP(C68,Week9,3,FALSE),130)</f>
        <v>5</v>
      </c>
      <c r="K68" s="4">
        <f>IF(ISBLANK(C68),,IFERROR(VLOOKUP(C68,CurrentRank!$B$2:$D$132,3,FALSE),130))</f>
        <v>6</v>
      </c>
      <c r="L68" s="19">
        <f t="shared" si="60"/>
        <v>0</v>
      </c>
      <c r="M68" s="19">
        <f t="shared" si="61"/>
        <v>0</v>
      </c>
      <c r="N68" s="24">
        <f t="shared" si="57"/>
        <v>7.5</v>
      </c>
      <c r="O68" s="21">
        <f t="shared" si="4"/>
        <v>-3.82</v>
      </c>
      <c r="P68" s="21">
        <f t="shared" si="59"/>
        <v>-5.59</v>
      </c>
      <c r="Q68" s="22">
        <f t="shared" si="6"/>
        <v>0.9434</v>
      </c>
      <c r="R68" s="25" t="str">
        <f t="shared" si="7"/>
        <v>A</v>
      </c>
      <c r="S68" s="19">
        <f t="shared" si="8"/>
        <v>0.8825</v>
      </c>
      <c r="T68" s="19" t="str">
        <f t="shared" si="9"/>
        <v>B+</v>
      </c>
      <c r="U68" s="3" t="s">
        <v>223</v>
      </c>
      <c r="V68" s="4" t="str">
        <f>IF(ISBLANK(C68),,IFERROR(IF(VLOOKUP(B68,Standings!$A:$F, 6, 0)=VLOOKUP(C68,Standings!$A:$F, 6, 0), VLOOKUP(B68,Standings!$A:$F, 6, 0), "Non-con"), "FCS"))</f>
        <v>SEC</v>
      </c>
      <c r="W68" s="3" t="str">
        <f t="shared" si="10"/>
        <v>Florida</v>
      </c>
      <c r="X68" s="3" t="str">
        <f t="shared" si="11"/>
        <v>Georgia</v>
      </c>
      <c r="Y68" s="30">
        <f>IF(D68=0,,IF(ISBLANK(Q68),,VLOOKUP(X68,Week9,2,FALSE)/(VLOOKUP(X68,Week9,2,FALSE)+VLOOKUP(W68,Week9,2,FALSE))+0.05)*100)</f>
        <v>57.41100732</v>
      </c>
      <c r="Z68" s="3" t="s">
        <v>48</v>
      </c>
      <c r="AA68" s="3">
        <v>44.0</v>
      </c>
      <c r="AB68" s="4" t="str">
        <f t="shared" si="20"/>
        <v>Georgia</v>
      </c>
      <c r="AC68" s="3">
        <v>28.0</v>
      </c>
      <c r="AD68" s="3"/>
      <c r="AE68" s="3">
        <f t="shared" si="13"/>
        <v>16</v>
      </c>
      <c r="AF68" s="3"/>
      <c r="AG68" s="3">
        <f t="shared" si="25"/>
        <v>0</v>
      </c>
      <c r="AH68" s="3"/>
      <c r="AI68" s="7"/>
      <c r="AJ68" s="4"/>
      <c r="AK68" s="7"/>
      <c r="AL68" s="7"/>
      <c r="AM68" s="7"/>
      <c r="AN68" s="7"/>
      <c r="AO68" s="7"/>
      <c r="AP68" s="7"/>
      <c r="AQ68" s="7"/>
      <c r="AR68" s="7"/>
      <c r="AS68" s="7"/>
      <c r="AT68" s="7"/>
      <c r="AU68" s="7"/>
      <c r="AV68" s="7"/>
      <c r="AW68" s="7"/>
      <c r="AX68" s="7"/>
    </row>
    <row r="69" ht="12.75" hidden="1" customHeight="1">
      <c r="A69" s="3">
        <v>15.0</v>
      </c>
      <c r="B69" s="3" t="s">
        <v>152</v>
      </c>
      <c r="C69" s="3" t="s">
        <v>174</v>
      </c>
      <c r="D69" s="4">
        <f>IFERROR(VLOOKUP(B69,Week14,2,FALSE),0)</f>
        <v>32.01</v>
      </c>
      <c r="E69" s="4">
        <f>IF(ISBLANK(B69),,IFERROR(VLOOKUP(B69,CurrentRank!$B$2:$C$132,2,FALSE),0))</f>
        <v>32.23</v>
      </c>
      <c r="F69" s="4">
        <f>IFERROR(VLOOKUP(B69,Week14,3,FALSE),130)</f>
        <v>97</v>
      </c>
      <c r="G69" s="4">
        <f>IF(ISBLANK(B69),,IFERROR(VLOOKUP(B69,CurrentRank!$B$2:$D$132,3,FALSE),130))</f>
        <v>92</v>
      </c>
      <c r="H69" s="4">
        <f>IFERROR(VLOOKUP(C69,Week14,2,FALSE),0)</f>
        <v>78.18</v>
      </c>
      <c r="I69" s="4">
        <f>IF(ISBLANK(B69),,IFERROR(VLOOKUP(C69,CurrentRank!$B$2:$C$132,2,FALSE),0))</f>
        <v>69.98</v>
      </c>
      <c r="J69" s="4">
        <f>IFERROR(VLOOKUP(C69,Week14,3,FALSE),130)</f>
        <v>10</v>
      </c>
      <c r="K69" s="4">
        <f>IF(ISBLANK(C69),,IFERROR(VLOOKUP(C69,CurrentRank!$B$2:$D$132,3,FALSE),130))</f>
        <v>13</v>
      </c>
      <c r="L69" s="19">
        <f t="shared" ref="L69:M69" si="62">IF(ISBLANK(C69),,(D69+H69)*0.015)</f>
        <v>1.65285</v>
      </c>
      <c r="M69" s="19">
        <f t="shared" si="62"/>
        <v>1.53315</v>
      </c>
      <c r="N69" s="24">
        <f t="shared" si="57"/>
        <v>53.5</v>
      </c>
      <c r="O69" s="21">
        <f t="shared" si="4"/>
        <v>-23.911425</v>
      </c>
      <c r="P69" s="21">
        <f t="shared" si="59"/>
        <v>-19.701425</v>
      </c>
      <c r="Q69" s="22">
        <f t="shared" si="6"/>
        <v>0.612942875</v>
      </c>
      <c r="R69" s="25" t="str">
        <f t="shared" si="7"/>
        <v>D-</v>
      </c>
      <c r="S69" s="19" t="str">
        <f t="shared" si="8"/>
        <v/>
      </c>
      <c r="T69" s="19" t="str">
        <f t="shared" si="9"/>
        <v/>
      </c>
      <c r="U69" s="3" t="s">
        <v>203</v>
      </c>
      <c r="V69" s="4" t="str">
        <f>IF(ISBLANK(C69),,IFERROR(IF(VLOOKUP(B69,Standings!$A:$F, 6, 0)=VLOOKUP(C69,Standings!$A:$F, 6, 0), VLOOKUP(B69,Standings!$A:$F, 6, 0), "Non-con"), "FCS"))</f>
        <v>B1G</v>
      </c>
      <c r="W69" s="3" t="str">
        <f t="shared" si="10"/>
        <v>Purdue</v>
      </c>
      <c r="X69" s="3" t="str">
        <f t="shared" si="11"/>
        <v>Indiana</v>
      </c>
      <c r="Y69" s="30">
        <f>IF(D69=0,,IF(ISBLANK(Q69),,VLOOKUP(X69,Week14,2,FALSE)/(VLOOKUP(X69,Week14,2,FALSE)+VLOOKUP(W69,Week14,2,FALSE))+0.05)*100)</f>
        <v>75.95017697</v>
      </c>
      <c r="Z69" s="3"/>
      <c r="AA69" s="3"/>
      <c r="AB69" s="4" t="str">
        <f t="shared" si="20"/>
        <v/>
      </c>
      <c r="AC69" s="3"/>
      <c r="AD69" s="3"/>
      <c r="AE69" s="3" t="str">
        <f t="shared" si="13"/>
        <v/>
      </c>
      <c r="AF69" s="3" t="s">
        <v>226</v>
      </c>
      <c r="AG69" s="3" t="str">
        <f t="shared" si="25"/>
        <v/>
      </c>
      <c r="AH69" s="3"/>
      <c r="AI69" s="7"/>
      <c r="AJ69" s="4"/>
      <c r="AK69" s="7"/>
      <c r="AL69" s="7"/>
      <c r="AM69" s="7"/>
      <c r="AN69" s="7"/>
      <c r="AO69" s="7"/>
      <c r="AP69" s="7"/>
      <c r="AQ69" s="7"/>
      <c r="AR69" s="7"/>
      <c r="AS69" s="7"/>
      <c r="AT69" s="7"/>
      <c r="AU69" s="7"/>
      <c r="AV69" s="7"/>
      <c r="AW69" s="7"/>
      <c r="AX69" s="7"/>
    </row>
    <row r="70" ht="12.75" hidden="1" customHeight="1">
      <c r="A70" s="3">
        <v>9.0</v>
      </c>
      <c r="B70" s="3" t="s">
        <v>101</v>
      </c>
      <c r="C70" s="3" t="s">
        <v>18</v>
      </c>
      <c r="D70" s="4">
        <f>IFERROR(VLOOKUP(B70,Week8,2,FALSE),0)</f>
        <v>38.89</v>
      </c>
      <c r="E70" s="4">
        <f>IF(ISBLANK(B70),,IFERROR(VLOOKUP(B70,CurrentRank!$B$2:$C$132,2,FALSE),0))</f>
        <v>36.62</v>
      </c>
      <c r="F70" s="4">
        <f>IFERROR(VLOOKUP(B70,Week8,3,FALSE),130)</f>
        <v>42</v>
      </c>
      <c r="G70" s="4">
        <f>IF(ISBLANK(B70),,IFERROR(VLOOKUP(B70,CurrentRank!$B$2:$D$132,3,FALSE),130))</f>
        <v>50</v>
      </c>
      <c r="H70" s="4">
        <f>IFERROR(VLOOKUP(C70,Week8,2,FALSE),0)</f>
        <v>94.65</v>
      </c>
      <c r="I70" s="4">
        <f>IF(ISBLANK(B70),,IFERROR(VLOOKUP(C70,CurrentRank!$B$2:$C$132,2,FALSE),0))</f>
        <v>84.24</v>
      </c>
      <c r="J70" s="4">
        <f>IFERROR(VLOOKUP(C70,Week8,3,FALSE),130)</f>
        <v>1</v>
      </c>
      <c r="K70" s="4">
        <f>IF(ISBLANK(C70),,IFERROR(VLOOKUP(C70,CurrentRank!$B$2:$D$132,3,FALSE),130))</f>
        <v>4</v>
      </c>
      <c r="L70" s="19">
        <f t="shared" ref="L70:L71" si="63">IF(U70= "Yes", 0, IF(ISBLANK(C70),,(D70+H70)*0.015))</f>
        <v>2.0031</v>
      </c>
      <c r="M70" s="19">
        <f t="shared" ref="M70:M71" si="64">IF(U70= "Yes", 0, IF(ISBLANK(D70),,(E70+I70)*0.015))</f>
        <v>1.8129</v>
      </c>
      <c r="N70" s="24">
        <f t="shared" si="57"/>
        <v>21.5</v>
      </c>
      <c r="O70" s="21">
        <f t="shared" si="4"/>
        <v>-28.88155</v>
      </c>
      <c r="P70" s="21">
        <f t="shared" si="59"/>
        <v>-24.81155</v>
      </c>
      <c r="Q70" s="22">
        <f t="shared" si="6"/>
        <v>0.74809225</v>
      </c>
      <c r="R70" s="25" t="str">
        <f t="shared" si="7"/>
        <v>C</v>
      </c>
      <c r="S70" s="19">
        <f t="shared" si="8"/>
        <v>0.8625</v>
      </c>
      <c r="T70" s="19" t="str">
        <f t="shared" si="9"/>
        <v>B</v>
      </c>
      <c r="U70" s="3" t="s">
        <v>203</v>
      </c>
      <c r="V70" s="4" t="str">
        <f>IF(ISBLANK(C70),,IFERROR(IF(VLOOKUP(B70,Standings!$A:$F, 6, 0)=VLOOKUP(C70,Standings!$A:$F, 6, 0), VLOOKUP(B70,Standings!$A:$F, 6, 0), "Non-con"), "FCS"))</f>
        <v>ACC</v>
      </c>
      <c r="W70" s="3" t="str">
        <f t="shared" si="10"/>
        <v>Boston College</v>
      </c>
      <c r="X70" s="3" t="str">
        <f t="shared" si="11"/>
        <v>Clemson</v>
      </c>
      <c r="Y70" s="30">
        <f>IF(D70=0,,IF(ISBLANK(Q70),,VLOOKUP(X70,Week8,2,FALSE)/(VLOOKUP(X70,Week8,2,FALSE)+VLOOKUP(W70,Week8,2,FALSE))+0.05)*100)</f>
        <v>75.87763966</v>
      </c>
      <c r="Z70" s="3" t="s">
        <v>18</v>
      </c>
      <c r="AA70" s="3">
        <v>34.0</v>
      </c>
      <c r="AB70" s="4" t="str">
        <f t="shared" si="20"/>
        <v>Boston College</v>
      </c>
      <c r="AC70" s="3">
        <v>28.0</v>
      </c>
      <c r="AD70" s="3"/>
      <c r="AE70" s="3">
        <f t="shared" si="13"/>
        <v>6</v>
      </c>
      <c r="AF70" s="3"/>
      <c r="AG70" s="3">
        <f t="shared" si="25"/>
        <v>1</v>
      </c>
      <c r="AH70" s="3"/>
      <c r="AI70" s="7"/>
      <c r="AJ70" s="4"/>
      <c r="AK70" s="7"/>
      <c r="AL70" s="7"/>
      <c r="AM70" s="7"/>
      <c r="AN70" s="7"/>
      <c r="AO70" s="7"/>
      <c r="AP70" s="7"/>
      <c r="AQ70" s="7"/>
      <c r="AR70" s="7"/>
      <c r="AS70" s="7"/>
      <c r="AT70" s="7"/>
      <c r="AU70" s="7"/>
      <c r="AV70" s="7"/>
      <c r="AW70" s="7"/>
      <c r="AX70" s="7"/>
    </row>
    <row r="71" ht="12.75" customHeight="1">
      <c r="A71" s="3">
        <v>16.0</v>
      </c>
      <c r="B71" s="3" t="s">
        <v>190</v>
      </c>
      <c r="C71" s="3" t="s">
        <v>125</v>
      </c>
      <c r="D71" s="4">
        <f>IFERROR(VLOOKUP(B71,Week15,2,FALSE),0)</f>
        <v>41.34</v>
      </c>
      <c r="E71" s="4">
        <f>IF(ISBLANK(B71),,IFERROR(VLOOKUP(B71,CurrentRank!$B$2:$C$132,2,FALSE),0))</f>
        <v>42.24</v>
      </c>
      <c r="F71" s="4">
        <f>IFERROR(VLOOKUP(B71,Week15,3,FALSE),130)</f>
        <v>33</v>
      </c>
      <c r="G71" s="4">
        <f>IF(ISBLANK(B71),,IFERROR(VLOOKUP(B71,CurrentRank!$B$2:$D$132,3,FALSE),130))</f>
        <v>28</v>
      </c>
      <c r="H71" s="4">
        <f>IFERROR(VLOOKUP(C71,Week15,2,FALSE),0)</f>
        <v>41.89</v>
      </c>
      <c r="I71" s="4">
        <f>IF(ISBLANK(B71),,IFERROR(VLOOKUP(C71,CurrentRank!$B$2:$C$132,2,FALSE),0))</f>
        <v>41.14</v>
      </c>
      <c r="J71" s="4">
        <f>IFERROR(VLOOKUP(C71,Week15,3,FALSE),130)</f>
        <v>30</v>
      </c>
      <c r="K71" s="4">
        <f>IF(ISBLANK(C71),,IFERROR(VLOOKUP(C71,CurrentRank!$B$2:$D$132,3,FALSE),130))</f>
        <v>31</v>
      </c>
      <c r="L71" s="19">
        <f t="shared" si="63"/>
        <v>1.24845</v>
      </c>
      <c r="M71" s="19">
        <f t="shared" si="64"/>
        <v>1.2507</v>
      </c>
      <c r="N71" s="24">
        <f t="shared" si="57"/>
        <v>31.5</v>
      </c>
      <c r="O71" s="21">
        <f t="shared" si="4"/>
        <v>-0.899225</v>
      </c>
      <c r="P71" s="21">
        <f t="shared" si="59"/>
        <v>-0.074225</v>
      </c>
      <c r="Q71" s="22">
        <f t="shared" si="6"/>
        <v>0.838003875</v>
      </c>
      <c r="R71" s="25" t="str">
        <f t="shared" si="7"/>
        <v>B</v>
      </c>
      <c r="S71" s="19">
        <f t="shared" si="8"/>
        <v>0.8775</v>
      </c>
      <c r="T71" s="19" t="str">
        <f t="shared" si="9"/>
        <v>B+</v>
      </c>
      <c r="U71" s="3" t="s">
        <v>203</v>
      </c>
      <c r="V71" s="4" t="str">
        <f>IF(ISBLANK(C71),,IFERROR(IF(VLOOKUP(B71,Standings!$A:$F, 6, 0)=VLOOKUP(C71,Standings!$A:$F, 6, 0), VLOOKUP(B71,Standings!$A:$F, 6, 0), "Non-con"), "FCS"))</f>
        <v>PAC12</v>
      </c>
      <c r="W71" s="3" t="str">
        <f t="shared" si="10"/>
        <v>Stanford</v>
      </c>
      <c r="X71" s="3" t="str">
        <f t="shared" si="11"/>
        <v>UCLA</v>
      </c>
      <c r="Y71" s="30">
        <f>IF(D71=0,,IF(ISBLANK(Q71),,VLOOKUP(X71,Week15,2,FALSE)/(VLOOKUP(X71,Week15,2,FALSE)+VLOOKUP(W71,Week15,2,FALSE))+0.05)*100)</f>
        <v>55.33040971</v>
      </c>
      <c r="Z71" s="3" t="s">
        <v>190</v>
      </c>
      <c r="AA71" s="3">
        <v>48.0</v>
      </c>
      <c r="AB71" s="4" t="str">
        <f t="shared" si="20"/>
        <v>UCLA</v>
      </c>
      <c r="AC71" s="3">
        <v>47.0</v>
      </c>
      <c r="AD71" s="3">
        <v>2.0</v>
      </c>
      <c r="AE71" s="3">
        <f t="shared" si="13"/>
        <v>1</v>
      </c>
      <c r="AF71" s="3"/>
      <c r="AG71" s="3">
        <f t="shared" si="25"/>
        <v>0</v>
      </c>
      <c r="AH71" s="3"/>
      <c r="AI71" s="7"/>
      <c r="AJ71" s="4"/>
      <c r="AK71" s="7"/>
      <c r="AL71" s="7"/>
      <c r="AM71" s="7"/>
      <c r="AN71" s="7"/>
      <c r="AO71" s="7"/>
      <c r="AP71" s="7"/>
      <c r="AQ71" s="7"/>
      <c r="AR71" s="7"/>
      <c r="AS71" s="7"/>
      <c r="AT71" s="7"/>
      <c r="AU71" s="7"/>
      <c r="AV71" s="7"/>
      <c r="AW71" s="7"/>
      <c r="AX71" s="7"/>
    </row>
    <row r="72" ht="12.75" hidden="1" customHeight="1">
      <c r="A72" s="3">
        <v>11.0</v>
      </c>
      <c r="B72" s="3" t="s">
        <v>100</v>
      </c>
      <c r="C72" s="3" t="s">
        <v>111</v>
      </c>
      <c r="D72" s="4">
        <f>IFERROR(VLOOKUP(B72,CurrentRank!$B$2:$C$132,2,FALSE),0)</f>
        <v>69.98</v>
      </c>
      <c r="E72" s="4">
        <f>IF(ISBLANK(B72),,IFERROR(VLOOKUP(B72,CurrentRank!$B$2:$C$132,2,FALSE),0))</f>
        <v>69.98</v>
      </c>
      <c r="F72" s="4">
        <f>IFERROR(VLOOKUP(B72,Week10,3,FALSE),130)</f>
        <v>12</v>
      </c>
      <c r="G72" s="4">
        <f>IF(ISBLANK(B72),,IFERROR(VLOOKUP(B72,CurrentRank!$B$2:$D$132,3,FALSE),130))</f>
        <v>13</v>
      </c>
      <c r="H72" s="4">
        <f>IFERROR(VLOOKUP(C72,CurrentRank!$B$2:$C$132,2,FALSE),0)</f>
        <v>29.75</v>
      </c>
      <c r="I72" s="4">
        <f>IF(ISBLANK(B72),,IFERROR(VLOOKUP(C72,CurrentRank!$B$2:$C$132,2,FALSE),0))</f>
        <v>29.75</v>
      </c>
      <c r="J72" s="4">
        <f>IFERROR(VLOOKUP(C72,Week10,3,FALSE),130)</f>
        <v>91</v>
      </c>
      <c r="K72" s="4">
        <f>IF(ISBLANK(C72),,IFERROR(VLOOKUP(C72,CurrentRank!$B$2:$D$132,3,FALSE),130))</f>
        <v>112</v>
      </c>
      <c r="L72" s="19">
        <f t="shared" ref="L72:M72" si="65">IF(ISBLANK(C72),,(D72+H72)*0.015)</f>
        <v>1.49595</v>
      </c>
      <c r="M72" s="19">
        <f t="shared" si="65"/>
        <v>1.49595</v>
      </c>
      <c r="N72" s="24">
        <f t="shared" si="57"/>
        <v>51.5</v>
      </c>
      <c r="O72" s="21">
        <f t="shared" si="4"/>
        <v>19.367025</v>
      </c>
      <c r="P72" s="21">
        <f t="shared" si="59"/>
        <v>19.367025</v>
      </c>
      <c r="Q72" s="22">
        <f t="shared" si="6"/>
        <v>0.645664875</v>
      </c>
      <c r="R72" s="25" t="str">
        <f t="shared" si="7"/>
        <v>D</v>
      </c>
      <c r="S72" s="19" t="str">
        <f t="shared" si="8"/>
        <v/>
      </c>
      <c r="T72" s="19" t="str">
        <f t="shared" si="9"/>
        <v/>
      </c>
      <c r="U72" s="3" t="s">
        <v>203</v>
      </c>
      <c r="V72" s="4" t="str">
        <f>IFERROR(IF(VLOOKUP(B72,Standings!$A:$F, 6, 0)=VLOOKUP(C72,Standings!$A:$F, 6, 0), VLOOKUP(B72,Standings!$A:$F, 6, 0), "Non-con"), "FCS")</f>
        <v>SUN</v>
      </c>
      <c r="W72" s="3" t="str">
        <f t="shared" si="10"/>
        <v>Troy</v>
      </c>
      <c r="X72" s="3" t="str">
        <f t="shared" si="11"/>
        <v>Coastal Carolina</v>
      </c>
      <c r="Y72" s="30">
        <f>IF(D72=0,,IF(ISBLANK(Q72),,VLOOKUP(X72,Week10,2,FALSE)/(VLOOKUP(X72,Week10,2,FALSE)+VLOOKUP(W72,Week10,2,FALSE))+0.05)*100)</f>
        <v>75.79494729</v>
      </c>
      <c r="Z72" s="3"/>
      <c r="AA72" s="3"/>
      <c r="AB72" s="4" t="str">
        <f t="shared" si="20"/>
        <v/>
      </c>
      <c r="AC72" s="3"/>
      <c r="AD72" s="3"/>
      <c r="AE72" s="3" t="str">
        <f t="shared" si="13"/>
        <v/>
      </c>
      <c r="AF72" s="3" t="s">
        <v>228</v>
      </c>
      <c r="AG72" s="3" t="str">
        <f t="shared" si="25"/>
        <v/>
      </c>
      <c r="AH72" s="3"/>
      <c r="AI72" s="7"/>
      <c r="AJ72" s="4"/>
      <c r="AK72" s="7"/>
      <c r="AL72" s="7"/>
      <c r="AM72" s="7"/>
      <c r="AN72" s="7"/>
      <c r="AO72" s="7"/>
      <c r="AP72" s="7"/>
      <c r="AQ72" s="7"/>
      <c r="AR72" s="7"/>
      <c r="AS72" s="7"/>
      <c r="AT72" s="7"/>
      <c r="AU72" s="7"/>
      <c r="AV72" s="7"/>
      <c r="AW72" s="7"/>
      <c r="AX72" s="7"/>
    </row>
    <row r="73" ht="12.75" hidden="1" customHeight="1">
      <c r="A73" s="3">
        <v>3.0</v>
      </c>
      <c r="B73" s="3" t="s">
        <v>123</v>
      </c>
      <c r="C73" s="3" t="s">
        <v>28</v>
      </c>
      <c r="D73" s="4">
        <f>IFERROR(VLOOKUP(B73,Week2,2,FALSE),0)</f>
        <v>31.38</v>
      </c>
      <c r="E73" s="4">
        <f>IF(ISBLANK(B73),,IFERROR(VLOOKUP(B73,CurrentRank!$B$2:$C$132,2,FALSE),0))</f>
        <v>13.91</v>
      </c>
      <c r="F73" s="4">
        <f>IFERROR(VLOOKUP(B73,Week2,3,FALSE),130)</f>
        <v>33</v>
      </c>
      <c r="G73" s="4">
        <f>IF(ISBLANK(B73),,IFERROR(VLOOKUP(B73,CurrentRank!$B$2:$D$132,3,FALSE),130))</f>
        <v>129</v>
      </c>
      <c r="H73" s="4">
        <f>IFERROR(VLOOKUP(C73,Week2,2,FALSE),0)</f>
        <v>75.57</v>
      </c>
      <c r="I73" s="4">
        <f>IF(ISBLANK(B73),,IFERROR(VLOOKUP(C73,CurrentRank!$B$2:$C$132,2,FALSE),0))</f>
        <v>78.79</v>
      </c>
      <c r="J73" s="4">
        <f>IFERROR(VLOOKUP(C73,Week2,3,FALSE),130)</f>
        <v>2</v>
      </c>
      <c r="K73" s="4">
        <f>IF(ISBLANK(C73),,IFERROR(VLOOKUP(C73,CurrentRank!$B$2:$D$132,3,FALSE),130))</f>
        <v>7</v>
      </c>
      <c r="L73" s="19">
        <f t="shared" ref="L73:L79" si="66">IF(U73= "Yes", 0, IF(ISBLANK(C73),,(D73+H73)*0.015))</f>
        <v>1.60425</v>
      </c>
      <c r="M73" s="19">
        <f t="shared" ref="M73:M79" si="67">IF(U73= "Yes", 0, IF(ISBLANK(D73),,(E73+I73)*0.015))</f>
        <v>1.3905</v>
      </c>
      <c r="N73" s="24">
        <f t="shared" si="57"/>
        <v>17.5</v>
      </c>
      <c r="O73" s="21">
        <f t="shared" si="4"/>
        <v>-22.897125</v>
      </c>
      <c r="P73" s="21">
        <f t="shared" si="59"/>
        <v>-33.242125</v>
      </c>
      <c r="Q73" s="22">
        <f t="shared" si="6"/>
        <v>0.798014375</v>
      </c>
      <c r="R73" s="25" t="str">
        <f t="shared" si="7"/>
        <v>B-</v>
      </c>
      <c r="S73" s="19">
        <f t="shared" si="8"/>
        <v>0.6525</v>
      </c>
      <c r="T73" s="19" t="str">
        <f t="shared" si="9"/>
        <v>D</v>
      </c>
      <c r="U73" s="3" t="s">
        <v>203</v>
      </c>
      <c r="V73" s="4" t="str">
        <f>IF(ISBLANK(C73),,IFERROR(IF(VLOOKUP(B73,Standings!$A:$F, 6, 0)=VLOOKUP(C73,Standings!$A:$F, 6, 0), VLOOKUP(B73,Standings!$A:$F, 6, 0), "Non-con"), "FCS"))</f>
        <v>Non-con</v>
      </c>
      <c r="W73" s="3" t="str">
        <f t="shared" si="10"/>
        <v>South Florida</v>
      </c>
      <c r="X73" s="3" t="str">
        <f t="shared" si="11"/>
        <v>Notre Dame</v>
      </c>
      <c r="Y73" s="30">
        <f>IF(D73=0,,IF(ISBLANK(Q73),,VLOOKUP(X73,Week2,2,FALSE)/(VLOOKUP(X73,Week2,2,FALSE)+VLOOKUP(W73,Week2,2,FALSE))+0.05)*100)</f>
        <v>75.65918654</v>
      </c>
      <c r="Z73" s="3" t="s">
        <v>28</v>
      </c>
      <c r="AA73" s="3">
        <v>52.0</v>
      </c>
      <c r="AB73" s="4" t="str">
        <f t="shared" si="20"/>
        <v>South Florida</v>
      </c>
      <c r="AC73" s="3">
        <v>0.0</v>
      </c>
      <c r="AD73" s="3"/>
      <c r="AE73" s="3">
        <f t="shared" si="13"/>
        <v>52</v>
      </c>
      <c r="AF73" s="3"/>
      <c r="AG73" s="3">
        <f t="shared" si="25"/>
        <v>1</v>
      </c>
      <c r="AH73" s="3"/>
      <c r="AI73" s="7"/>
      <c r="AJ73" s="4" t="s">
        <v>106</v>
      </c>
      <c r="AK73" s="7"/>
      <c r="AL73" s="7"/>
      <c r="AM73" s="7"/>
      <c r="AN73" s="7"/>
      <c r="AO73" s="7"/>
      <c r="AP73" s="7"/>
      <c r="AQ73" s="7"/>
      <c r="AR73" s="7"/>
      <c r="AS73" s="7"/>
      <c r="AT73" s="7"/>
      <c r="AU73" s="7"/>
      <c r="AV73" s="7"/>
      <c r="AW73" s="7"/>
      <c r="AX73" s="7"/>
    </row>
    <row r="74" ht="12.75" hidden="1" customHeight="1">
      <c r="A74" s="3">
        <v>10.0</v>
      </c>
      <c r="B74" s="3" t="s">
        <v>196</v>
      </c>
      <c r="C74" s="3" t="s">
        <v>69</v>
      </c>
      <c r="D74" s="4">
        <f>IFERROR(VLOOKUP(B74,Week9,2,FALSE),0)</f>
        <v>33.73</v>
      </c>
      <c r="E74" s="4">
        <f>IF(ISBLANK(B74),,IFERROR(VLOOKUP(B74,CurrentRank!$B$2:$C$132,2,FALSE),0))</f>
        <v>33.03</v>
      </c>
      <c r="F74" s="4">
        <f>IFERROR(VLOOKUP(B74,Week9,3,FALSE),130)</f>
        <v>61</v>
      </c>
      <c r="G74" s="4">
        <f>IF(ISBLANK(B74),,IFERROR(VLOOKUP(B74,CurrentRank!$B$2:$D$132,3,FALSE),130))</f>
        <v>86</v>
      </c>
      <c r="H74" s="4">
        <f>IFERROR(VLOOKUP(C74,Week9,2,FALSE),0)</f>
        <v>80.87</v>
      </c>
      <c r="I74" s="4">
        <f>IF(ISBLANK(B74),,IFERROR(VLOOKUP(C74,CurrentRank!$B$2:$C$132,2,FALSE),0))</f>
        <v>72.9</v>
      </c>
      <c r="J74" s="4">
        <f>IFERROR(VLOOKUP(C74,Week9,3,FALSE),130)</f>
        <v>6</v>
      </c>
      <c r="K74" s="4">
        <f>IF(ISBLANK(C74),,IFERROR(VLOOKUP(C74,CurrentRank!$B$2:$D$132,3,FALSE),130))</f>
        <v>9</v>
      </c>
      <c r="L74" s="19">
        <f t="shared" si="66"/>
        <v>1.719</v>
      </c>
      <c r="M74" s="19">
        <f t="shared" si="67"/>
        <v>1.58895</v>
      </c>
      <c r="N74" s="24">
        <f t="shared" si="57"/>
        <v>33.5</v>
      </c>
      <c r="O74" s="21">
        <f t="shared" si="4"/>
        <v>-24.4295</v>
      </c>
      <c r="P74" s="21">
        <f t="shared" si="59"/>
        <v>-20.7945</v>
      </c>
      <c r="Q74" s="22">
        <f t="shared" si="6"/>
        <v>0.7103525</v>
      </c>
      <c r="R74" s="25" t="str">
        <f t="shared" si="7"/>
        <v>C-</v>
      </c>
      <c r="S74" s="19">
        <f t="shared" si="8"/>
        <v>0.6925</v>
      </c>
      <c r="T74" s="19" t="str">
        <f t="shared" si="9"/>
        <v>D+</v>
      </c>
      <c r="U74" s="3" t="s">
        <v>203</v>
      </c>
      <c r="V74" s="4" t="str">
        <f>IF(ISBLANK(C74),,IFERROR(IF(VLOOKUP(B74,Standings!$A:$F, 6, 0)=VLOOKUP(C74,Standings!$A:$F, 6, 0), VLOOKUP(B74,Standings!$A:$F, 6, 0), "Non-con"), "FCS"))</f>
        <v>AAC</v>
      </c>
      <c r="W74" s="3" t="str">
        <f t="shared" si="10"/>
        <v>Houston</v>
      </c>
      <c r="X74" s="3" t="str">
        <f t="shared" si="11"/>
        <v>Cincinnati</v>
      </c>
      <c r="Y74" s="30">
        <f>IF(D74=0,,IF(ISBLANK(Q74),,VLOOKUP(X74,Week9,2,FALSE)/(VLOOKUP(X74,Week9,2,FALSE)+VLOOKUP(W74,Week9,2,FALSE))+0.05)*100)</f>
        <v>75.56719023</v>
      </c>
      <c r="Z74" s="3" t="s">
        <v>69</v>
      </c>
      <c r="AA74" s="3">
        <v>38.0</v>
      </c>
      <c r="AB74" s="4" t="str">
        <f t="shared" si="20"/>
        <v>Houston</v>
      </c>
      <c r="AC74" s="3">
        <v>10.0</v>
      </c>
      <c r="AD74" s="3"/>
      <c r="AE74" s="3">
        <f t="shared" si="13"/>
        <v>28</v>
      </c>
      <c r="AF74" s="3"/>
      <c r="AG74" s="3">
        <f t="shared" si="25"/>
        <v>1</v>
      </c>
      <c r="AH74" s="3"/>
      <c r="AI74" s="7"/>
      <c r="AJ74" s="4" t="s">
        <v>23</v>
      </c>
      <c r="AK74" s="7"/>
      <c r="AL74" s="7"/>
      <c r="AM74" s="7"/>
      <c r="AN74" s="7"/>
      <c r="AO74" s="7"/>
      <c r="AP74" s="7"/>
      <c r="AQ74" s="7"/>
      <c r="AR74" s="7"/>
      <c r="AS74" s="7"/>
      <c r="AT74" s="7"/>
      <c r="AU74" s="7"/>
      <c r="AV74" s="7"/>
      <c r="AW74" s="7"/>
      <c r="AX74" s="7"/>
    </row>
    <row r="75" ht="12.75" hidden="1" customHeight="1">
      <c r="A75" s="3">
        <v>3.0</v>
      </c>
      <c r="B75" s="3" t="s">
        <v>58</v>
      </c>
      <c r="C75" s="3" t="s">
        <v>136</v>
      </c>
      <c r="D75" s="4">
        <f>IFERROR(VLOOKUP(B75,Week2,2,FALSE),0)</f>
        <v>64.7</v>
      </c>
      <c r="E75" s="4">
        <f>IF(ISBLANK(B75),,IFERROR(VLOOKUP(B75,CurrentRank!$B$2:$C$132,2,FALSE),0))</f>
        <v>72.87</v>
      </c>
      <c r="F75" s="4">
        <f>IFERROR(VLOOKUP(B75,Week2,3,FALSE),130)</f>
        <v>7</v>
      </c>
      <c r="G75" s="4">
        <f>IF(ISBLANK(B75),,IFERROR(VLOOKUP(B75,CurrentRank!$B$2:$D$132,3,FALSE),130))</f>
        <v>10</v>
      </c>
      <c r="H75" s="4">
        <f>IFERROR(VLOOKUP(C75,Week2,2,FALSE),0)</f>
        <v>27.07</v>
      </c>
      <c r="I75" s="4">
        <f>IF(ISBLANK(B75),,IFERROR(VLOOKUP(C75,CurrentRank!$B$2:$C$132,2,FALSE),0))</f>
        <v>35.33</v>
      </c>
      <c r="J75" s="4">
        <f>IFERROR(VLOOKUP(C75,Week2,3,FALSE),130)</f>
        <v>41</v>
      </c>
      <c r="K75" s="4">
        <f>IF(ISBLANK(C75),,IFERROR(VLOOKUP(C75,CurrentRank!$B$2:$D$132,3,FALSE),130))</f>
        <v>62</v>
      </c>
      <c r="L75" s="19">
        <f t="shared" si="66"/>
        <v>1.37655</v>
      </c>
      <c r="M75" s="19">
        <f t="shared" si="67"/>
        <v>1.623</v>
      </c>
      <c r="N75" s="24">
        <f t="shared" si="57"/>
        <v>24</v>
      </c>
      <c r="O75" s="21">
        <f t="shared" si="4"/>
        <v>18.126725</v>
      </c>
      <c r="P75" s="21">
        <f t="shared" si="59"/>
        <v>18.081725</v>
      </c>
      <c r="Q75" s="22">
        <f t="shared" si="6"/>
        <v>0.789366375</v>
      </c>
      <c r="R75" s="25" t="str">
        <f t="shared" si="7"/>
        <v>C+</v>
      </c>
      <c r="S75" s="19">
        <f t="shared" si="8"/>
        <v>0.865</v>
      </c>
      <c r="T75" s="19" t="str">
        <f t="shared" si="9"/>
        <v>B+</v>
      </c>
      <c r="U75" s="3" t="s">
        <v>203</v>
      </c>
      <c r="V75" s="4" t="str">
        <f>IF(ISBLANK(C75),,IFERROR(IF(VLOOKUP(B75,Standings!$A:$F, 6, 0)=VLOOKUP(C75,Standings!$A:$F, 6, 0), VLOOKUP(B75,Standings!$A:$F, 6, 0), "Non-con"), "FCS"))</f>
        <v>SUN</v>
      </c>
      <c r="W75" s="3" t="str">
        <f t="shared" si="10"/>
        <v>Georgia State</v>
      </c>
      <c r="X75" s="3" t="str">
        <f t="shared" si="11"/>
        <v>UL-Lafayette</v>
      </c>
      <c r="Y75" s="30">
        <f>IF(D75=0,,IF(ISBLANK(Q75),,VLOOKUP(X75,Week2,2,FALSE)/(VLOOKUP(X75,Week2,2,FALSE)+VLOOKUP(W75,Week2,2,FALSE))+0.05)*100)</f>
        <v>75.50234281</v>
      </c>
      <c r="Z75" s="3" t="s">
        <v>58</v>
      </c>
      <c r="AA75" s="3">
        <v>34.0</v>
      </c>
      <c r="AB75" s="4" t="str">
        <f t="shared" si="20"/>
        <v>Georgia State</v>
      </c>
      <c r="AC75" s="3">
        <v>31.0</v>
      </c>
      <c r="AD75" s="3"/>
      <c r="AE75" s="3">
        <f t="shared" si="13"/>
        <v>3</v>
      </c>
      <c r="AF75" s="3"/>
      <c r="AG75" s="3">
        <f t="shared" si="25"/>
        <v>1</v>
      </c>
      <c r="AH75" s="3"/>
      <c r="AI75" s="7"/>
      <c r="AJ75" s="4"/>
      <c r="AK75" s="7"/>
      <c r="AL75" s="7"/>
      <c r="AM75" s="7"/>
      <c r="AN75" s="7"/>
      <c r="AO75" s="7"/>
      <c r="AP75" s="7"/>
      <c r="AQ75" s="7"/>
      <c r="AR75" s="7"/>
      <c r="AS75" s="7"/>
      <c r="AT75" s="7"/>
      <c r="AU75" s="7"/>
      <c r="AV75" s="7"/>
      <c r="AW75" s="7"/>
      <c r="AX75" s="7"/>
    </row>
    <row r="76" ht="12.75" hidden="1" customHeight="1">
      <c r="A76" s="3">
        <v>6.0</v>
      </c>
      <c r="B76" s="3" t="s">
        <v>23</v>
      </c>
      <c r="C76" s="3" t="s">
        <v>129</v>
      </c>
      <c r="D76" s="4">
        <f>IFERROR(VLOOKUP(B76,Week5,2,FALSE),0)</f>
        <v>91.15</v>
      </c>
      <c r="E76" s="4">
        <f>IF(ISBLANK(B76),,IFERROR(VLOOKUP(B76,CurrentRank!$B$2:$C$132,2,FALSE),0))</f>
        <v>96.59</v>
      </c>
      <c r="F76" s="4">
        <f>IFERROR(VLOOKUP(B76,Week5,3,FALSE),130)</f>
        <v>1</v>
      </c>
      <c r="G76" s="4">
        <f>IF(ISBLANK(B76),,IFERROR(VLOOKUP(B76,CurrentRank!$B$2:$D$132,3,FALSE),130))</f>
        <v>1</v>
      </c>
      <c r="H76" s="4">
        <f>IFERROR(VLOOKUP(C76,Week5,2,FALSE),0)</f>
        <v>38.28</v>
      </c>
      <c r="I76" s="4">
        <f>IF(ISBLANK(B76),,IFERROR(VLOOKUP(C76,CurrentRank!$B$2:$C$132,2,FALSE),0))</f>
        <v>39.96</v>
      </c>
      <c r="J76" s="4">
        <f>IFERROR(VLOOKUP(C76,Week5,3,FALSE),130)</f>
        <v>38</v>
      </c>
      <c r="K76" s="4">
        <f>IF(ISBLANK(C76),,IFERROR(VLOOKUP(C76,CurrentRank!$B$2:$D$132,3,FALSE),130))</f>
        <v>35</v>
      </c>
      <c r="L76" s="19">
        <f t="shared" si="66"/>
        <v>1.94145</v>
      </c>
      <c r="M76" s="19">
        <f t="shared" si="67"/>
        <v>2.04825</v>
      </c>
      <c r="N76" s="24">
        <f t="shared" si="57"/>
        <v>19.5</v>
      </c>
      <c r="O76" s="21">
        <f t="shared" si="4"/>
        <v>25.464275</v>
      </c>
      <c r="P76" s="21">
        <f t="shared" si="59"/>
        <v>27.344275</v>
      </c>
      <c r="Q76" s="22">
        <f t="shared" si="6"/>
        <v>0.775178625</v>
      </c>
      <c r="R76" s="25" t="str">
        <f t="shared" si="7"/>
        <v>C+</v>
      </c>
      <c r="S76" s="19">
        <f t="shared" si="8"/>
        <v>0.8275</v>
      </c>
      <c r="T76" s="19" t="str">
        <f t="shared" si="9"/>
        <v>B</v>
      </c>
      <c r="U76" s="3" t="s">
        <v>203</v>
      </c>
      <c r="V76" s="4" t="str">
        <f>IF(ISBLANK(C76),,IFERROR(IF(VLOOKUP(B76,Standings!$A:$F, 6, 0)=VLOOKUP(C76,Standings!$A:$F, 6, 0), VLOOKUP(B76,Standings!$A:$F, 6, 0), "Non-con"), "FCS"))</f>
        <v>SEC</v>
      </c>
      <c r="W76" s="3" t="str">
        <f t="shared" si="10"/>
        <v>Mississippi</v>
      </c>
      <c r="X76" s="3" t="str">
        <f t="shared" si="11"/>
        <v>Alabama</v>
      </c>
      <c r="Y76" s="30">
        <f>IF(D76=0,,IF(ISBLANK(Q76),,VLOOKUP(X76,Week5,2,FALSE)/(VLOOKUP(X76,Week5,2,FALSE)+VLOOKUP(W76,Week5,2,FALSE))+0.05)*100)</f>
        <v>75.4241675</v>
      </c>
      <c r="Z76" s="3" t="s">
        <v>23</v>
      </c>
      <c r="AA76" s="3">
        <v>63.0</v>
      </c>
      <c r="AB76" s="4" t="str">
        <f t="shared" si="20"/>
        <v>Mississippi</v>
      </c>
      <c r="AC76" s="3">
        <v>48.0</v>
      </c>
      <c r="AD76" s="3"/>
      <c r="AE76" s="3">
        <f t="shared" si="13"/>
        <v>15</v>
      </c>
      <c r="AF76" s="3"/>
      <c r="AG76" s="3">
        <f t="shared" si="25"/>
        <v>1</v>
      </c>
      <c r="AH76" s="3"/>
      <c r="AI76" s="7"/>
      <c r="AJ76" s="4" t="s">
        <v>176</v>
      </c>
      <c r="AK76" s="7"/>
      <c r="AL76" s="7"/>
      <c r="AM76" s="7"/>
      <c r="AN76" s="7"/>
      <c r="AO76" s="7"/>
      <c r="AP76" s="7"/>
      <c r="AQ76" s="7"/>
      <c r="AR76" s="7"/>
      <c r="AS76" s="7"/>
      <c r="AT76" s="7"/>
      <c r="AU76" s="7"/>
      <c r="AV76" s="7"/>
      <c r="AW76" s="7"/>
      <c r="AX76" s="7"/>
    </row>
    <row r="77" ht="12.75" hidden="1" customHeight="1">
      <c r="A77" s="3">
        <v>13.0</v>
      </c>
      <c r="B77" s="3" t="s">
        <v>99</v>
      </c>
      <c r="C77" s="3" t="s">
        <v>48</v>
      </c>
      <c r="D77" s="4">
        <f>IFERROR(VLOOKUP(B77,Week12,2,FALSE),0)</f>
        <v>33.92</v>
      </c>
      <c r="E77" s="4">
        <f>IF(ISBLANK(B77),,IFERROR(VLOOKUP(B77,CurrentRank!$B$2:$C$132,2,FALSE),0))</f>
        <v>36.94</v>
      </c>
      <c r="F77" s="4">
        <f>IFERROR(VLOOKUP(B77,Week12,3,FALSE),130)</f>
        <v>69</v>
      </c>
      <c r="G77" s="4">
        <f>IF(ISBLANK(B77),,IFERROR(VLOOKUP(B77,CurrentRank!$B$2:$D$132,3,FALSE),130))</f>
        <v>47</v>
      </c>
      <c r="H77" s="4">
        <f>IFERROR(VLOOKUP(C77,Week12,2,FALSE),0)</f>
        <v>80.67</v>
      </c>
      <c r="I77" s="4">
        <f>IF(ISBLANK(B77),,IFERROR(VLOOKUP(C77,CurrentRank!$B$2:$C$132,2,FALSE),0))</f>
        <v>68.03</v>
      </c>
      <c r="J77" s="4">
        <f>IFERROR(VLOOKUP(C77,Week12,3,FALSE),130)</f>
        <v>5</v>
      </c>
      <c r="K77" s="4">
        <f>IF(ISBLANK(C77),,IFERROR(VLOOKUP(C77,CurrentRank!$B$2:$D$132,3,FALSE),130))</f>
        <v>16</v>
      </c>
      <c r="L77" s="19">
        <f t="shared" si="66"/>
        <v>1.71885</v>
      </c>
      <c r="M77" s="19">
        <f t="shared" si="67"/>
        <v>1.57455</v>
      </c>
      <c r="N77" s="24">
        <f t="shared" si="57"/>
        <v>37</v>
      </c>
      <c r="O77" s="21">
        <f t="shared" si="4"/>
        <v>-24.234425</v>
      </c>
      <c r="P77" s="21">
        <f t="shared" si="59"/>
        <v>-16.404425</v>
      </c>
      <c r="Q77" s="22">
        <f t="shared" si="6"/>
        <v>0.693827875</v>
      </c>
      <c r="R77" s="25" t="str">
        <f t="shared" si="7"/>
        <v>D+</v>
      </c>
      <c r="S77" s="19">
        <f t="shared" si="8"/>
        <v>0.695</v>
      </c>
      <c r="T77" s="19" t="str">
        <f t="shared" si="9"/>
        <v>C-</v>
      </c>
      <c r="U77" s="3" t="s">
        <v>203</v>
      </c>
      <c r="V77" s="4" t="str">
        <f>IF(ISBLANK(C77),,IFERROR(IF(VLOOKUP(B77,Standings!$A:$F, 6, 0)=VLOOKUP(C77,Standings!$A:$F, 6, 0), VLOOKUP(B77,Standings!$A:$F, 6, 0), "Non-con"), "FCS"))</f>
        <v>SEC</v>
      </c>
      <c r="W77" s="3" t="str">
        <f t="shared" si="10"/>
        <v>Kentucky</v>
      </c>
      <c r="X77" s="3" t="str">
        <f t="shared" si="11"/>
        <v>Florida</v>
      </c>
      <c r="Y77" s="30">
        <f>IF(D77=0,,IF(ISBLANK(Q77),,VLOOKUP(X77,Week12,2,FALSE)/(VLOOKUP(X77,Week12,2,FALSE)+VLOOKUP(W77,Week12,2,FALSE))+0.05)*100)</f>
        <v>75.39881316</v>
      </c>
      <c r="Z77" s="3" t="s">
        <v>48</v>
      </c>
      <c r="AA77" s="3">
        <v>34.0</v>
      </c>
      <c r="AB77" s="4" t="str">
        <f t="shared" si="20"/>
        <v>Kentucky</v>
      </c>
      <c r="AC77" s="3">
        <v>10.0</v>
      </c>
      <c r="AD77" s="3"/>
      <c r="AE77" s="3">
        <f t="shared" si="13"/>
        <v>24</v>
      </c>
      <c r="AF77" s="3"/>
      <c r="AG77" s="3">
        <f t="shared" si="25"/>
        <v>1</v>
      </c>
      <c r="AH77" s="3"/>
      <c r="AI77" s="7"/>
      <c r="AJ77" s="4"/>
      <c r="AM77" s="7"/>
      <c r="AN77" s="7"/>
      <c r="AO77" s="7"/>
      <c r="AP77" s="7"/>
      <c r="AQ77" s="7"/>
      <c r="AR77" s="7"/>
      <c r="AS77" s="7"/>
      <c r="AT77" s="7"/>
      <c r="AU77" s="7"/>
      <c r="AV77" s="7"/>
      <c r="AW77" s="7"/>
      <c r="AX77" s="7"/>
    </row>
    <row r="78" ht="12.75" hidden="1" customHeight="1">
      <c r="A78" s="3">
        <v>16.0</v>
      </c>
      <c r="B78" s="3" t="s">
        <v>79</v>
      </c>
      <c r="C78" s="3" t="s">
        <v>65</v>
      </c>
      <c r="D78" s="4">
        <f>IFERROR(VLOOKUP(B78,Week15,2,FALSE),0)</f>
        <v>82.37</v>
      </c>
      <c r="E78" s="4">
        <f>IF(ISBLANK(B78),,IFERROR(VLOOKUP(B78,CurrentRank!$B$2:$C$132,2,FALSE),0))</f>
        <v>85.31</v>
      </c>
      <c r="F78" s="4">
        <f>IFERROR(VLOOKUP(B78,Week15,3,FALSE),130)</f>
        <v>6</v>
      </c>
      <c r="G78" s="4">
        <f>IF(ISBLANK(B78),,IFERROR(VLOOKUP(B78,CurrentRank!$B$2:$D$132,3,FALSE),130))</f>
        <v>3</v>
      </c>
      <c r="H78" s="4">
        <f>IFERROR(VLOOKUP(C78,Week15,2,FALSE),0)</f>
        <v>34.75</v>
      </c>
      <c r="I78" s="4">
        <f>IF(ISBLANK(B78),,IFERROR(VLOOKUP(C78,CurrentRank!$B$2:$C$132,2,FALSE),0))</f>
        <v>34.09</v>
      </c>
      <c r="J78" s="4">
        <f>IFERROR(VLOOKUP(C78,Week15,3,FALSE),130)</f>
        <v>67</v>
      </c>
      <c r="K78" s="4">
        <f>IF(ISBLANK(C78),,IFERROR(VLOOKUP(C78,CurrentRank!$B$2:$D$132,3,FALSE),130))</f>
        <v>74</v>
      </c>
      <c r="L78" s="19">
        <f t="shared" si="66"/>
        <v>1.7568</v>
      </c>
      <c r="M78" s="19">
        <f t="shared" si="67"/>
        <v>1.791</v>
      </c>
      <c r="N78" s="24">
        <f t="shared" si="57"/>
        <v>36.5</v>
      </c>
      <c r="O78" s="21">
        <f t="shared" si="4"/>
        <v>22.9316</v>
      </c>
      <c r="P78" s="21">
        <f t="shared" si="59"/>
        <v>24.7316</v>
      </c>
      <c r="Q78" s="22">
        <f t="shared" si="6"/>
        <v>0.702842</v>
      </c>
      <c r="R78" s="25" t="str">
        <f t="shared" si="7"/>
        <v>C-</v>
      </c>
      <c r="S78" s="19">
        <f t="shared" si="8"/>
        <v>0.7125</v>
      </c>
      <c r="T78" s="19" t="str">
        <f t="shared" si="9"/>
        <v>C-</v>
      </c>
      <c r="U78" s="3" t="s">
        <v>203</v>
      </c>
      <c r="V78" s="4" t="str">
        <f>IF(ISBLANK(C78),,IFERROR(IF(VLOOKUP(B78,Standings!$A:$F, 6, 0)=VLOOKUP(C78,Standings!$A:$F, 6, 0), VLOOKUP(B78,Standings!$A:$F, 6, 0), "Non-con"), "FCS"))</f>
        <v>SEC</v>
      </c>
      <c r="W78" s="3" t="str">
        <f t="shared" si="10"/>
        <v>Tennessee</v>
      </c>
      <c r="X78" s="3" t="str">
        <f t="shared" si="11"/>
        <v>Texas A&amp;M</v>
      </c>
      <c r="Y78" s="30">
        <f>IF(D78=0,,IF(ISBLANK(Q78),,VLOOKUP(X78,Week15,2,FALSE)/(VLOOKUP(X78,Week15,2,FALSE)+VLOOKUP(W78,Week15,2,FALSE))+0.05)*100)</f>
        <v>75.3295765</v>
      </c>
      <c r="Z78" s="3" t="s">
        <v>79</v>
      </c>
      <c r="AA78" s="3">
        <v>34.0</v>
      </c>
      <c r="AB78" s="4" t="str">
        <f t="shared" si="20"/>
        <v>Tennessee</v>
      </c>
      <c r="AC78" s="3">
        <v>13.0</v>
      </c>
      <c r="AD78" s="3"/>
      <c r="AE78" s="3">
        <f t="shared" si="13"/>
        <v>21</v>
      </c>
      <c r="AF78" s="3"/>
      <c r="AG78" s="3">
        <f t="shared" si="25"/>
        <v>1</v>
      </c>
      <c r="AH78" s="3"/>
      <c r="AI78" s="7"/>
      <c r="AJ78" s="4"/>
      <c r="AK78" s="7"/>
      <c r="AL78" s="7"/>
      <c r="AM78" s="7"/>
      <c r="AN78" s="7"/>
      <c r="AO78" s="7"/>
      <c r="AP78" s="7"/>
      <c r="AQ78" s="7"/>
      <c r="AR78" s="7"/>
      <c r="AS78" s="7"/>
      <c r="AT78" s="7"/>
      <c r="AU78" s="7"/>
      <c r="AV78" s="7"/>
      <c r="AW78" s="7"/>
      <c r="AX78" s="7"/>
    </row>
    <row r="79" ht="12.75" hidden="1" customHeight="1">
      <c r="A79" s="3">
        <v>13.0</v>
      </c>
      <c r="B79" s="3" t="s">
        <v>53</v>
      </c>
      <c r="C79" s="3" t="s">
        <v>79</v>
      </c>
      <c r="D79" s="4">
        <f>IFERROR(VLOOKUP(B79,Week12,2,FALSE),0)</f>
        <v>33.85</v>
      </c>
      <c r="E79" s="4">
        <f>IF(ISBLANK(B79),,IFERROR(VLOOKUP(B79,CurrentRank!$B$2:$C$132,2,FALSE),0))</f>
        <v>37.27</v>
      </c>
      <c r="F79" s="4">
        <f>IFERROR(VLOOKUP(B79,Week12,3,FALSE),130)</f>
        <v>72</v>
      </c>
      <c r="G79" s="4">
        <f>IF(ISBLANK(B79),,IFERROR(VLOOKUP(B79,CurrentRank!$B$2:$D$132,3,FALSE),130))</f>
        <v>45</v>
      </c>
      <c r="H79" s="4">
        <f>IFERROR(VLOOKUP(C79,Week12,2,FALSE),0)</f>
        <v>80.19</v>
      </c>
      <c r="I79" s="4">
        <f>IF(ISBLANK(B79),,IFERROR(VLOOKUP(C79,CurrentRank!$B$2:$C$132,2,FALSE),0))</f>
        <v>85.31</v>
      </c>
      <c r="J79" s="4">
        <f>IFERROR(VLOOKUP(C79,Week12,3,FALSE),130)</f>
        <v>6</v>
      </c>
      <c r="K79" s="4">
        <f>IF(ISBLANK(C79),,IFERROR(VLOOKUP(C79,CurrentRank!$B$2:$D$132,3,FALSE),130))</f>
        <v>3</v>
      </c>
      <c r="L79" s="19">
        <f t="shared" si="66"/>
        <v>1.7106</v>
      </c>
      <c r="M79" s="19">
        <f t="shared" si="67"/>
        <v>1.8387</v>
      </c>
      <c r="N79" s="24">
        <f t="shared" si="57"/>
        <v>39</v>
      </c>
      <c r="O79" s="21">
        <f t="shared" si="4"/>
        <v>-24.0253</v>
      </c>
      <c r="P79" s="21">
        <f t="shared" si="59"/>
        <v>-24.8753</v>
      </c>
      <c r="Q79" s="22">
        <f t="shared" si="6"/>
        <v>0.6848735</v>
      </c>
      <c r="R79" s="25" t="str">
        <f t="shared" si="7"/>
        <v>D+</v>
      </c>
      <c r="S79" s="19">
        <f t="shared" si="8"/>
        <v>0.74</v>
      </c>
      <c r="T79" s="19" t="str">
        <f t="shared" si="9"/>
        <v>C</v>
      </c>
      <c r="U79" s="3" t="s">
        <v>203</v>
      </c>
      <c r="V79" s="4" t="str">
        <f>IF(ISBLANK(C79),,IFERROR(IF(VLOOKUP(B79,Standings!$A:$F, 6, 0)=VLOOKUP(C79,Standings!$A:$F, 6, 0), VLOOKUP(B79,Standings!$A:$F, 6, 0), "Non-con"), "FCS"))</f>
        <v>SEC</v>
      </c>
      <c r="W79" s="3" t="str">
        <f t="shared" si="10"/>
        <v>LSU</v>
      </c>
      <c r="X79" s="3" t="str">
        <f t="shared" si="11"/>
        <v>Texas A&amp;M</v>
      </c>
      <c r="Y79" s="30">
        <f>IF(D79=0,,IF(ISBLANK(Q79),,VLOOKUP(X79,Week12,2,FALSE)/(VLOOKUP(X79,Week12,2,FALSE)+VLOOKUP(W79,Week12,2,FALSE))+0.05)*100)</f>
        <v>75.31743248</v>
      </c>
      <c r="Z79" s="3" t="s">
        <v>79</v>
      </c>
      <c r="AA79" s="3">
        <v>20.0</v>
      </c>
      <c r="AB79" s="4" t="str">
        <f t="shared" si="20"/>
        <v>LSU</v>
      </c>
      <c r="AC79" s="3">
        <v>7.0</v>
      </c>
      <c r="AD79" s="3"/>
      <c r="AE79" s="3">
        <f t="shared" si="13"/>
        <v>13</v>
      </c>
      <c r="AF79" s="3"/>
      <c r="AG79" s="3">
        <f t="shared" si="25"/>
        <v>1</v>
      </c>
      <c r="AH79" s="3"/>
      <c r="AI79" s="7"/>
      <c r="AJ79" s="4"/>
      <c r="AK79" s="7"/>
      <c r="AL79" s="7"/>
      <c r="AM79" s="7"/>
      <c r="AN79" s="7"/>
      <c r="AO79" s="7"/>
      <c r="AP79" s="7"/>
      <c r="AQ79" s="7"/>
      <c r="AR79" s="7"/>
      <c r="AS79" s="7"/>
      <c r="AT79" s="7"/>
      <c r="AU79" s="7"/>
      <c r="AV79" s="7"/>
      <c r="AW79" s="7"/>
      <c r="AX79" s="7"/>
    </row>
    <row r="80" ht="12.75" hidden="1" customHeight="1">
      <c r="A80" s="3">
        <v>12.0</v>
      </c>
      <c r="B80" s="3" t="s">
        <v>119</v>
      </c>
      <c r="C80" s="3" t="s">
        <v>43</v>
      </c>
      <c r="D80" s="4">
        <f>IFERROR(VLOOKUP(B80,CurrentRank!$B$2:$C$132,2,FALSE),0)</f>
        <v>31.96</v>
      </c>
      <c r="E80" s="4">
        <f>IF(ISBLANK(B80),,IFERROR(VLOOKUP(B80,CurrentRank!$B$2:$C$132,2,FALSE),0))</f>
        <v>31.96</v>
      </c>
      <c r="F80" s="4">
        <f>IFERROR(VLOOKUP(B80,CurrentRank!$B$2:$D$132,3,FALSE),130)</f>
        <v>94</v>
      </c>
      <c r="G80" s="4">
        <f>IF(ISBLANK(B80),,IFERROR(VLOOKUP(B80,CurrentRank!$B$2:$D$132,3,FALSE),130))</f>
        <v>94</v>
      </c>
      <c r="H80" s="4">
        <f>IFERROR(VLOOKUP(C80,CurrentRank!$B$2:$C$132,2,FALSE),0)</f>
        <v>11.84</v>
      </c>
      <c r="I80" s="4">
        <f>IF(ISBLANK(B80),,IFERROR(VLOOKUP(C80,CurrentRank!$B$2:$C$132,2,FALSE),0))</f>
        <v>11.84</v>
      </c>
      <c r="J80" s="4">
        <f>IFERROR(VLOOKUP(C80,Week11,3,FALSE),130)</f>
        <v>130</v>
      </c>
      <c r="K80" s="4">
        <f>IFERROR(VLOOKUP(C80,CurrentRank!$B$2:$D$132,3,FALSE),130)</f>
        <v>130</v>
      </c>
      <c r="L80" s="19">
        <f t="shared" ref="L80:M80" si="68">IF(ISBLANK(C80),,(D80+H80)*0.015)</f>
        <v>0.657</v>
      </c>
      <c r="M80" s="19">
        <f t="shared" si="68"/>
        <v>0.657</v>
      </c>
      <c r="N80" s="24">
        <f>(F80+K80)/2</f>
        <v>112</v>
      </c>
      <c r="O80" s="21">
        <f t="shared" si="4"/>
        <v>9.7315</v>
      </c>
      <c r="P80" s="24">
        <f>(D80-(H80+L80))/2</f>
        <v>9.7315</v>
      </c>
      <c r="Q80" s="22">
        <f t="shared" si="6"/>
        <v>0.3913425</v>
      </c>
      <c r="R80" s="25" t="str">
        <f t="shared" si="7"/>
        <v>F</v>
      </c>
      <c r="S80" s="19" t="str">
        <f t="shared" si="8"/>
        <v/>
      </c>
      <c r="T80" s="19" t="str">
        <f t="shared" si="9"/>
        <v/>
      </c>
      <c r="U80" s="3" t="s">
        <v>203</v>
      </c>
      <c r="V80" s="4" t="str">
        <f>IFERROR(IF(VLOOKUP(B80,Standings!$A:$F, 6, 0)=VLOOKUP(C80,Standings!$A:$F, 6, 0), VLOOKUP(B80,Standings!$A:$F, 6, 0), "Non-con"), "FCS")</f>
        <v>CUSA</v>
      </c>
      <c r="W80" s="3" t="str">
        <f t="shared" si="10"/>
        <v>UTEP</v>
      </c>
      <c r="X80" s="3" t="str">
        <f t="shared" si="11"/>
        <v>UAB</v>
      </c>
      <c r="Y80" s="30">
        <f>IF(D80=0,,IF(ISBLANK(Q80),,VLOOKUP(X80,Week11,2,FALSE)/(VLOOKUP(X80,Week11,2,FALSE)+VLOOKUP(W80,Week11,2,FALSE))+0.05)*100)</f>
        <v>75.2198364</v>
      </c>
      <c r="Z80" s="3"/>
      <c r="AA80" s="3"/>
      <c r="AB80" s="4" t="str">
        <f t="shared" si="20"/>
        <v/>
      </c>
      <c r="AC80" s="3"/>
      <c r="AD80" s="3"/>
      <c r="AE80" s="3" t="str">
        <f t="shared" si="13"/>
        <v/>
      </c>
      <c r="AF80" s="3" t="s">
        <v>226</v>
      </c>
      <c r="AG80" s="3" t="str">
        <f t="shared" si="25"/>
        <v/>
      </c>
      <c r="AH80" s="3"/>
      <c r="AI80" s="7"/>
      <c r="AJ80" s="4"/>
      <c r="AK80" s="7"/>
      <c r="AL80" s="7"/>
      <c r="AM80" s="7"/>
      <c r="AN80" s="7"/>
      <c r="AO80" s="7"/>
      <c r="AP80" s="7"/>
      <c r="AQ80" s="7"/>
      <c r="AR80" s="7"/>
      <c r="AS80" s="7"/>
      <c r="AT80" s="7"/>
      <c r="AU80" s="7"/>
      <c r="AV80" s="7"/>
      <c r="AW80" s="7"/>
      <c r="AX80" s="7"/>
    </row>
    <row r="81" ht="12.75" hidden="1" customHeight="1">
      <c r="A81" s="3">
        <v>11.0</v>
      </c>
      <c r="B81" s="3" t="s">
        <v>43</v>
      </c>
      <c r="C81" s="3" t="s">
        <v>105</v>
      </c>
      <c r="D81" s="4">
        <f>IFERROR(VLOOKUP(B81,Week10,2,FALSE),0)</f>
        <v>12.45</v>
      </c>
      <c r="E81" s="4">
        <f>IF(ISBLANK(B81),,IFERROR(VLOOKUP(B81,CurrentRank!$B$2:$C$132,2,FALSE),0))</f>
        <v>11.84</v>
      </c>
      <c r="F81" s="4">
        <f>IFERROR(VLOOKUP(B81,Week10,3,FALSE),130)</f>
        <v>129</v>
      </c>
      <c r="G81" s="4">
        <f>IF(ISBLANK(B81),,IFERROR(VLOOKUP(B81,CurrentRank!$B$2:$D$132,3,FALSE),130))</f>
        <v>130</v>
      </c>
      <c r="H81" s="4">
        <f>IFERROR(VLOOKUP(C81,Week10,2,FALSE),0)</f>
        <v>29.35</v>
      </c>
      <c r="I81" s="4">
        <f>IF(ISBLANK(B81),,IFERROR(VLOOKUP(C81,CurrentRank!$B$2:$C$132,2,FALSE),0))</f>
        <v>32.43</v>
      </c>
      <c r="J81" s="4">
        <f>IFERROR(VLOOKUP(C81,Week10,3,FALSE),130)</f>
        <v>109</v>
      </c>
      <c r="K81" s="4">
        <f>IF(ISBLANK(C81),,IFERROR(VLOOKUP(C81,CurrentRank!$B$2:$D$132,3,FALSE),130))</f>
        <v>90</v>
      </c>
      <c r="L81" s="19">
        <f t="shared" ref="L81:L86" si="69">IF(U81= "Yes", 0, IF(ISBLANK(C81),,(D81+H81)*0.015))</f>
        <v>0.627</v>
      </c>
      <c r="M81" s="19">
        <f t="shared" ref="M81:M86" si="70">IF(U81= "Yes", 0, IF(ISBLANK(D81),,(E81+I81)*0.015))</f>
        <v>0.66405</v>
      </c>
      <c r="N81" s="24">
        <f t="shared" ref="N81:N127" si="71">IF(ISBLANK(C81),,(F81+J81)/2)</f>
        <v>119</v>
      </c>
      <c r="O81" s="21">
        <f t="shared" si="4"/>
        <v>-8.7635</v>
      </c>
      <c r="P81" s="21">
        <f t="shared" ref="P81:P127" si="72">IF(ISBLANK(C81),,(E81-(I81+L81))/2)</f>
        <v>-10.6085</v>
      </c>
      <c r="Q81" s="22">
        <f t="shared" si="6"/>
        <v>0.3611825</v>
      </c>
      <c r="R81" s="25" t="str">
        <f t="shared" si="7"/>
        <v>F</v>
      </c>
      <c r="S81" s="19">
        <f t="shared" si="8"/>
        <v>0.25</v>
      </c>
      <c r="T81" s="19" t="str">
        <f t="shared" si="9"/>
        <v>F</v>
      </c>
      <c r="U81" s="3" t="s">
        <v>203</v>
      </c>
      <c r="V81" s="4" t="str">
        <f>IF(ISBLANK(C81),,IFERROR(IF(VLOOKUP(B81,Standings!$A:$F, 6, 0)=VLOOKUP(C81,Standings!$A:$F, 6, 0), VLOOKUP(B81,Standings!$A:$F, 6, 0), "Non-con"), "FCS"))</f>
        <v>CUSA</v>
      </c>
      <c r="W81" s="3" t="str">
        <f t="shared" si="10"/>
        <v>UTEP</v>
      </c>
      <c r="X81" s="3" t="str">
        <f t="shared" si="11"/>
        <v>Texas-San Antonio</v>
      </c>
      <c r="Y81" s="30">
        <f>IF(D81=0,,IF(ISBLANK(Q81),,VLOOKUP(X81,Week10,2,FALSE)/(VLOOKUP(X81,Week10,2,FALSE)+VLOOKUP(W81,Week10,2,FALSE))+0.05)*100)</f>
        <v>75.215311</v>
      </c>
      <c r="Z81" s="3" t="s">
        <v>105</v>
      </c>
      <c r="AA81" s="3">
        <v>52.0</v>
      </c>
      <c r="AB81" s="4" t="str">
        <f t="shared" si="20"/>
        <v>UTEP</v>
      </c>
      <c r="AC81" s="3">
        <v>21.0</v>
      </c>
      <c r="AD81" s="3"/>
      <c r="AE81" s="3">
        <f t="shared" si="13"/>
        <v>31</v>
      </c>
      <c r="AF81" s="3"/>
      <c r="AG81" s="3">
        <f t="shared" si="25"/>
        <v>1</v>
      </c>
      <c r="AH81" s="3"/>
      <c r="AI81" s="7"/>
      <c r="AJ81" s="4"/>
      <c r="AK81" s="7"/>
      <c r="AL81" s="7"/>
      <c r="AM81" s="7"/>
      <c r="AN81" s="7"/>
      <c r="AO81" s="7"/>
      <c r="AP81" s="7"/>
      <c r="AQ81" s="7"/>
      <c r="AR81" s="7"/>
      <c r="AS81" s="7"/>
      <c r="AT81" s="7"/>
      <c r="AU81" s="7"/>
      <c r="AV81" s="7"/>
      <c r="AW81" s="7"/>
      <c r="AX81" s="7"/>
    </row>
    <row r="82" ht="12.75" hidden="1" customHeight="1">
      <c r="A82" s="3">
        <v>12.0</v>
      </c>
      <c r="B82" s="3" t="s">
        <v>81</v>
      </c>
      <c r="C82" s="3" t="s">
        <v>33</v>
      </c>
      <c r="D82" s="4">
        <f>IFERROR(VLOOKUP(B82,Week11,2,FALSE),0)</f>
        <v>29.6</v>
      </c>
      <c r="E82" s="4">
        <f>IF(ISBLANK(B82),,IFERROR(VLOOKUP(B82,CurrentRank!$B$2:$C$132,2,FALSE),0))</f>
        <v>33.91</v>
      </c>
      <c r="F82" s="4">
        <f>IFERROR(VLOOKUP(B82,Week11,3,FALSE),130)</f>
        <v>110</v>
      </c>
      <c r="G82" s="4">
        <f>IF(ISBLANK(B82),,IFERROR(VLOOKUP(B82,CurrentRank!$B$2:$D$132,3,FALSE),130))</f>
        <v>75</v>
      </c>
      <c r="H82" s="4">
        <f>IFERROR(VLOOKUP(C82,Week11,2,FALSE),0)</f>
        <v>69.77</v>
      </c>
      <c r="I82" s="4">
        <f>IF(ISBLANK(B82),,IFERROR(VLOOKUP(C82,CurrentRank!$B$2:$C$132,2,FALSE),0))</f>
        <v>79.21</v>
      </c>
      <c r="J82" s="4">
        <f>IFERROR(VLOOKUP(C82,Week11,3,FALSE),130)</f>
        <v>15</v>
      </c>
      <c r="K82" s="4">
        <f>IF(ISBLANK(C82),,IFERROR(VLOOKUP(C82,CurrentRank!$B$2:$D$132,3,FALSE),130))</f>
        <v>6</v>
      </c>
      <c r="L82" s="19">
        <f t="shared" si="69"/>
        <v>1.49055</v>
      </c>
      <c r="M82" s="19">
        <f t="shared" si="70"/>
        <v>1.6968</v>
      </c>
      <c r="N82" s="24">
        <f t="shared" si="71"/>
        <v>62.5</v>
      </c>
      <c r="O82" s="21">
        <f t="shared" si="4"/>
        <v>-20.830275</v>
      </c>
      <c r="P82" s="21">
        <f t="shared" si="72"/>
        <v>-23.395275</v>
      </c>
      <c r="Q82" s="22">
        <f t="shared" si="6"/>
        <v>0.583348625</v>
      </c>
      <c r="R82" s="25" t="str">
        <f t="shared" si="7"/>
        <v>F</v>
      </c>
      <c r="S82" s="19">
        <f t="shared" si="8"/>
        <v>0.6525</v>
      </c>
      <c r="T82" s="19" t="str">
        <f t="shared" si="9"/>
        <v>D</v>
      </c>
      <c r="U82" s="3" t="s">
        <v>203</v>
      </c>
      <c r="V82" s="4" t="str">
        <f>IF(ISBLANK(C82),,IFERROR(IF(VLOOKUP(B82,Standings!$A:$F, 6, 0)=VLOOKUP(C82,Standings!$A:$F, 6, 0), VLOOKUP(B82,Standings!$A:$F, 6, 0), "Non-con"), "FCS"))</f>
        <v>SEC</v>
      </c>
      <c r="W82" s="3" t="str">
        <f t="shared" si="10"/>
        <v>Mississippi State</v>
      </c>
      <c r="X82" s="3" t="str">
        <f t="shared" si="11"/>
        <v>Georgia</v>
      </c>
      <c r="Y82" s="30">
        <f>IF(D82=0,,IF(ISBLANK(Q82),,VLOOKUP(X82,Week11,2,FALSE)/(VLOOKUP(X82,Week11,2,FALSE)+VLOOKUP(W82,Week11,2,FALSE))+0.05)*100)</f>
        <v>75.21233773</v>
      </c>
      <c r="Z82" s="3" t="s">
        <v>33</v>
      </c>
      <c r="AA82" s="3">
        <v>31.0</v>
      </c>
      <c r="AB82" s="4" t="str">
        <f t="shared" si="20"/>
        <v>Mississippi State</v>
      </c>
      <c r="AC82" s="3">
        <v>24.0</v>
      </c>
      <c r="AD82" s="3"/>
      <c r="AE82" s="3">
        <f t="shared" si="13"/>
        <v>7</v>
      </c>
      <c r="AF82" s="3"/>
      <c r="AG82" s="3">
        <f t="shared" si="25"/>
        <v>1</v>
      </c>
      <c r="AH82" s="3"/>
      <c r="AI82" s="7"/>
      <c r="AJ82" s="4"/>
      <c r="AK82" s="7"/>
      <c r="AL82" s="7"/>
      <c r="AM82" s="7"/>
      <c r="AN82" s="7"/>
      <c r="AO82" s="7"/>
      <c r="AP82" s="7"/>
      <c r="AQ82" s="7"/>
      <c r="AR82" s="7"/>
      <c r="AS82" s="7"/>
      <c r="AT82" s="7"/>
      <c r="AU82" s="7"/>
      <c r="AV82" s="7"/>
      <c r="AW82" s="7"/>
      <c r="AX82" s="7"/>
    </row>
    <row r="83" ht="12.75" customHeight="1">
      <c r="A83" s="3">
        <v>17.0</v>
      </c>
      <c r="B83" s="3" t="s">
        <v>55</v>
      </c>
      <c r="C83" s="3" t="s">
        <v>40</v>
      </c>
      <c r="D83" s="4">
        <f>IFERROR(VLOOKUP(B83,Week16,2,FALSE),0)</f>
        <v>46.68</v>
      </c>
      <c r="E83" s="4">
        <f>IF(ISBLANK(B83),,IFERROR(VLOOKUP(B83,CurrentRank!$B$2:$C$132,2,FALSE),0))</f>
        <v>59.34</v>
      </c>
      <c r="F83" s="4">
        <f>IFERROR(VLOOKUP(B83,Week16,3,FALSE),130)</f>
        <v>26</v>
      </c>
      <c r="G83" s="4">
        <f>IF(ISBLANK(B83),,IFERROR(VLOOKUP(B83,CurrentRank!$B$2:$D$132,3,FALSE),130))</f>
        <v>22</v>
      </c>
      <c r="H83" s="4">
        <f>IFERROR(VLOOKUP(C83,Week16,2,FALSE),0)</f>
        <v>63.57</v>
      </c>
      <c r="I83" s="4">
        <f>IF(ISBLANK(B83),,IFERROR(VLOOKUP(C83,CurrentRank!$B$2:$C$132,2,FALSE),0))</f>
        <v>57.15</v>
      </c>
      <c r="J83" s="4">
        <f>IFERROR(VLOOKUP(C83,Week16,3,FALSE),130)</f>
        <v>18</v>
      </c>
      <c r="K83" s="4">
        <f>IF(ISBLANK(C83),,IFERROR(VLOOKUP(C83,CurrentRank!$B$2:$D$132,3,FALSE),130))</f>
        <v>23</v>
      </c>
      <c r="L83" s="19">
        <f t="shared" si="69"/>
        <v>0</v>
      </c>
      <c r="M83" s="19">
        <f t="shared" si="70"/>
        <v>0</v>
      </c>
      <c r="N83" s="24">
        <f t="shared" si="71"/>
        <v>22</v>
      </c>
      <c r="O83" s="21">
        <f t="shared" si="4"/>
        <v>-8.445</v>
      </c>
      <c r="P83" s="21">
        <f t="shared" si="72"/>
        <v>1.095</v>
      </c>
      <c r="Q83" s="22">
        <f t="shared" si="6"/>
        <v>0.847775</v>
      </c>
      <c r="R83" s="25" t="str">
        <f t="shared" si="7"/>
        <v>B</v>
      </c>
      <c r="S83" s="19">
        <f t="shared" si="8"/>
        <v>0.875</v>
      </c>
      <c r="T83" s="19" t="str">
        <f t="shared" si="9"/>
        <v>B+</v>
      </c>
      <c r="U83" s="3" t="s">
        <v>223</v>
      </c>
      <c r="V83" s="4" t="str">
        <f>IF(ISBLANK(C83),,IFERROR(IF(VLOOKUP(B83,Standings!$A:$F, 6, 0)=VLOOKUP(C83,Standings!$A:$F, 6, 0), VLOOKUP(B83,Standings!$A:$F, 6, 0), "Non-con"), "FCS"))</f>
        <v>Non-con</v>
      </c>
      <c r="W83" s="3" t="str">
        <f t="shared" si="10"/>
        <v>Oklahoma State</v>
      </c>
      <c r="X83" s="3" t="str">
        <f t="shared" si="11"/>
        <v>Miami</v>
      </c>
      <c r="Y83" s="30">
        <f>IF(D83=0,,IF(ISBLANK(Q83),,VLOOKUP(X83,Week16,2,FALSE)/(VLOOKUP(X83,Week16,2,FALSE)+VLOOKUP(W83,Week16,2,FALSE)))*100)</f>
        <v>57.65986395</v>
      </c>
      <c r="Z83" s="3" t="s">
        <v>55</v>
      </c>
      <c r="AA83" s="3">
        <v>37.0</v>
      </c>
      <c r="AB83" s="4" t="str">
        <f t="shared" si="20"/>
        <v>Miami</v>
      </c>
      <c r="AC83" s="3">
        <v>34.0</v>
      </c>
      <c r="AD83" s="3"/>
      <c r="AE83" s="3">
        <f t="shared" si="13"/>
        <v>3</v>
      </c>
      <c r="AF83" s="3" t="s">
        <v>224</v>
      </c>
      <c r="AG83" s="3">
        <f t="shared" si="25"/>
        <v>0</v>
      </c>
      <c r="AH83" s="3"/>
      <c r="AI83" s="7"/>
      <c r="AJ83" s="4"/>
      <c r="AK83" s="7"/>
      <c r="AL83" s="7"/>
      <c r="AM83" s="7"/>
      <c r="AN83" s="7"/>
      <c r="AO83" s="7"/>
      <c r="AP83" s="7"/>
      <c r="AQ83" s="7"/>
      <c r="AR83" s="7"/>
      <c r="AS83" s="7"/>
      <c r="AT83" s="7"/>
      <c r="AU83" s="7"/>
      <c r="AV83" s="7"/>
      <c r="AW83" s="7"/>
      <c r="AX83" s="7"/>
    </row>
    <row r="84" ht="12.75" hidden="1" customHeight="1">
      <c r="A84" s="3">
        <v>11.0</v>
      </c>
      <c r="B84" s="3" t="s">
        <v>200</v>
      </c>
      <c r="C84" s="3" t="s">
        <v>95</v>
      </c>
      <c r="D84" s="4">
        <f>IFERROR(VLOOKUP(B84,Week10,2,FALSE),0)</f>
        <v>29.48</v>
      </c>
      <c r="E84" s="4">
        <f>IF(ISBLANK(B84),,IFERROR(VLOOKUP(B84,CurrentRank!$B$2:$C$132,2,FALSE),0))</f>
        <v>32.76</v>
      </c>
      <c r="F84" s="4">
        <f>IFERROR(VLOOKUP(B84,Week10,3,FALSE),130)</f>
        <v>108</v>
      </c>
      <c r="G84" s="4">
        <f>IF(ISBLANK(B84),,IFERROR(VLOOKUP(B84,CurrentRank!$B$2:$D$132,3,FALSE),130))</f>
        <v>89</v>
      </c>
      <c r="H84" s="4">
        <f>IFERROR(VLOOKUP(C84,Week10,2,FALSE),0)</f>
        <v>68.98</v>
      </c>
      <c r="I84" s="4">
        <f>IF(ISBLANK(B84),,IFERROR(VLOOKUP(C84,CurrentRank!$B$2:$C$132,2,FALSE),0))</f>
        <v>33.45</v>
      </c>
      <c r="J84" s="4">
        <f>IFERROR(VLOOKUP(C84,Week10,3,FALSE),130)</f>
        <v>16</v>
      </c>
      <c r="K84" s="4">
        <f>IF(ISBLANK(C84),,IFERROR(VLOOKUP(C84,CurrentRank!$B$2:$D$132,3,FALSE),130))</f>
        <v>81</v>
      </c>
      <c r="L84" s="19">
        <f t="shared" si="69"/>
        <v>1.4769</v>
      </c>
      <c r="M84" s="19">
        <f t="shared" si="70"/>
        <v>0.99315</v>
      </c>
      <c r="N84" s="24">
        <f t="shared" si="71"/>
        <v>62</v>
      </c>
      <c r="O84" s="21">
        <f t="shared" si="4"/>
        <v>-20.48845</v>
      </c>
      <c r="P84" s="21">
        <f t="shared" si="72"/>
        <v>-1.08345</v>
      </c>
      <c r="Q84" s="22">
        <f t="shared" si="6"/>
        <v>0.58755775</v>
      </c>
      <c r="R84" s="25" t="str">
        <f t="shared" si="7"/>
        <v>F</v>
      </c>
      <c r="S84" s="19">
        <f t="shared" si="8"/>
        <v>0.55</v>
      </c>
      <c r="T84" s="19" t="str">
        <f t="shared" si="9"/>
        <v>F</v>
      </c>
      <c r="U84" s="3" t="s">
        <v>203</v>
      </c>
      <c r="V84" s="4" t="str">
        <f>IF(ISBLANK(C84),,IFERROR(IF(VLOOKUP(B84,Standings!$A:$F, 6, 0)=VLOOKUP(C84,Standings!$A:$F, 6, 0), VLOOKUP(B84,Standings!$A:$F, 6, 0), "Non-con"), "FCS"))</f>
        <v>CUSA</v>
      </c>
      <c r="W84" s="3" t="str">
        <f t="shared" si="10"/>
        <v>Middle Tennessee</v>
      </c>
      <c r="X84" s="3" t="str">
        <f t="shared" si="11"/>
        <v>Marshall</v>
      </c>
      <c r="Y84" s="30">
        <f>IF(D84=0,,IF(ISBLANK(Q84),,VLOOKUP(X84,Week10,2,FALSE)/(VLOOKUP(X84,Week10,2,FALSE)+VLOOKUP(W84,Week10,2,FALSE))+0.05)*100)</f>
        <v>75.05890717</v>
      </c>
      <c r="Z84" s="3" t="s">
        <v>95</v>
      </c>
      <c r="AA84" s="3">
        <v>42.0</v>
      </c>
      <c r="AB84" s="4" t="str">
        <f t="shared" si="20"/>
        <v>Middle Tennessee</v>
      </c>
      <c r="AC84" s="3">
        <v>14.0</v>
      </c>
      <c r="AD84" s="3"/>
      <c r="AE84" s="3">
        <f t="shared" si="13"/>
        <v>28</v>
      </c>
      <c r="AF84" s="3"/>
      <c r="AG84" s="3">
        <f t="shared" si="25"/>
        <v>1</v>
      </c>
      <c r="AH84" s="3"/>
      <c r="AI84" s="7"/>
      <c r="AJ84" s="4"/>
      <c r="AK84" s="7"/>
      <c r="AL84" s="7"/>
      <c r="AM84" s="7"/>
      <c r="AN84" s="7"/>
      <c r="AO84" s="7"/>
      <c r="AP84" s="7"/>
      <c r="AQ84" s="7"/>
      <c r="AR84" s="7"/>
      <c r="AS84" s="7"/>
      <c r="AT84" s="7"/>
      <c r="AU84" s="7"/>
      <c r="AV84" s="7"/>
      <c r="AW84" s="7"/>
      <c r="AX84" s="7"/>
    </row>
    <row r="85" ht="12.75" hidden="1" customHeight="1">
      <c r="A85" s="3">
        <v>13.0</v>
      </c>
      <c r="B85" s="3" t="s">
        <v>58</v>
      </c>
      <c r="C85" s="3" t="s">
        <v>122</v>
      </c>
      <c r="D85" s="4">
        <f>IFERROR(VLOOKUP(B85,Week12,2,FALSE),0)</f>
        <v>63.01</v>
      </c>
      <c r="E85" s="4">
        <f>IF(ISBLANK(B85),,IFERROR(VLOOKUP(B85,CurrentRank!$B$2:$C$132,2,FALSE),0))</f>
        <v>72.87</v>
      </c>
      <c r="F85" s="4">
        <f>IFERROR(VLOOKUP(B85,Week12,3,FALSE),130)</f>
        <v>20</v>
      </c>
      <c r="G85" s="4">
        <f>IF(ISBLANK(B85),,IFERROR(VLOOKUP(B85,CurrentRank!$B$2:$D$132,3,FALSE),130))</f>
        <v>10</v>
      </c>
      <c r="H85" s="4">
        <f>IFERROR(VLOOKUP(C85,Week12,2,FALSE),0)</f>
        <v>27.25</v>
      </c>
      <c r="I85" s="4">
        <f>IF(ISBLANK(B85),,IFERROR(VLOOKUP(C85,CurrentRank!$B$2:$C$132,2,FALSE),0))</f>
        <v>25.95</v>
      </c>
      <c r="J85" s="4">
        <f>IFERROR(VLOOKUP(C85,Week12,3,FALSE),130)</f>
        <v>122</v>
      </c>
      <c r="K85" s="4">
        <f>IF(ISBLANK(C85),,IFERROR(VLOOKUP(C85,CurrentRank!$B$2:$D$132,3,FALSE),130))</f>
        <v>124</v>
      </c>
      <c r="L85" s="19">
        <f t="shared" si="69"/>
        <v>1.3539</v>
      </c>
      <c r="M85" s="19">
        <f t="shared" si="70"/>
        <v>1.4823</v>
      </c>
      <c r="N85" s="24">
        <f t="shared" si="71"/>
        <v>71</v>
      </c>
      <c r="O85" s="21">
        <f t="shared" si="4"/>
        <v>17.20305</v>
      </c>
      <c r="P85" s="21">
        <f t="shared" si="72"/>
        <v>22.78305</v>
      </c>
      <c r="Q85" s="22">
        <f t="shared" si="6"/>
        <v>0.55898475</v>
      </c>
      <c r="R85" s="25" t="str">
        <f t="shared" si="7"/>
        <v>F</v>
      </c>
      <c r="S85" s="19">
        <f t="shared" si="8"/>
        <v>0.395</v>
      </c>
      <c r="T85" s="19" t="str">
        <f t="shared" si="9"/>
        <v>F</v>
      </c>
      <c r="U85" s="3" t="s">
        <v>203</v>
      </c>
      <c r="V85" s="4" t="str">
        <f>IF(ISBLANK(C85),,IFERROR(IF(VLOOKUP(B85,Standings!$A:$F, 6, 0)=VLOOKUP(C85,Standings!$A:$F, 6, 0), VLOOKUP(B85,Standings!$A:$F, 6, 0), "Non-con"), "FCS"))</f>
        <v>SUN</v>
      </c>
      <c r="W85" s="3" t="str">
        <f t="shared" si="10"/>
        <v>UL-Monroe</v>
      </c>
      <c r="X85" s="3" t="str">
        <f t="shared" si="11"/>
        <v>UL-Lafayette</v>
      </c>
      <c r="Y85" s="30">
        <f>IF(D85=0,,IF(ISBLANK(Q85),,VLOOKUP(X85,Week12,2,FALSE)/(VLOOKUP(X85,Week12,2,FALSE)+VLOOKUP(W85,Week12,2,FALSE))+0.05)*100)</f>
        <v>74.8094394</v>
      </c>
      <c r="Z85" s="3" t="s">
        <v>58</v>
      </c>
      <c r="AA85" s="3">
        <v>70.0</v>
      </c>
      <c r="AB85" s="4" t="str">
        <f t="shared" si="20"/>
        <v>UL-Monroe</v>
      </c>
      <c r="AC85" s="3">
        <v>20.0</v>
      </c>
      <c r="AD85" s="3"/>
      <c r="AE85" s="3">
        <f t="shared" si="13"/>
        <v>50</v>
      </c>
      <c r="AF85" s="3"/>
      <c r="AG85" s="3">
        <f t="shared" si="25"/>
        <v>1</v>
      </c>
      <c r="AH85" s="3"/>
      <c r="AI85" s="7"/>
      <c r="AJ85" s="4" t="s">
        <v>18</v>
      </c>
      <c r="AK85" s="7"/>
      <c r="AL85" s="7"/>
      <c r="AM85" s="7"/>
      <c r="AN85" s="7"/>
      <c r="AO85" s="7"/>
      <c r="AP85" s="7"/>
      <c r="AQ85" s="7"/>
      <c r="AR85" s="7"/>
      <c r="AS85" s="7"/>
      <c r="AT85" s="7"/>
      <c r="AU85" s="7"/>
      <c r="AV85" s="7"/>
      <c r="AW85" s="7"/>
      <c r="AX85" s="7"/>
    </row>
    <row r="86" ht="12.75" hidden="1" customHeight="1">
      <c r="A86" s="3">
        <v>7.0</v>
      </c>
      <c r="B86" s="3" t="s">
        <v>79</v>
      </c>
      <c r="C86" s="3" t="s">
        <v>81</v>
      </c>
      <c r="D86" s="4">
        <f>IFERROR(VLOOKUP(B86,Week6,2,FALSE),0)</f>
        <v>68.39</v>
      </c>
      <c r="E86" s="4">
        <f>IF(ISBLANK(B86),,IFERROR(VLOOKUP(B86,CurrentRank!$B$2:$C$132,2,FALSE),0))</f>
        <v>85.31</v>
      </c>
      <c r="F86" s="4">
        <f>IFERROR(VLOOKUP(B86,Week6,3,FALSE),130)</f>
        <v>12</v>
      </c>
      <c r="G86" s="4">
        <f>IF(ISBLANK(B86),,IFERROR(VLOOKUP(B86,CurrentRank!$B$2:$D$132,3,FALSE),130))</f>
        <v>3</v>
      </c>
      <c r="H86" s="4">
        <f>IFERROR(VLOOKUP(C86,Week6,2,FALSE),0)</f>
        <v>29.74</v>
      </c>
      <c r="I86" s="4">
        <f>IF(ISBLANK(B86),,IFERROR(VLOOKUP(C86,CurrentRank!$B$2:$C$132,2,FALSE),0))</f>
        <v>33.91</v>
      </c>
      <c r="J86" s="4">
        <f>IFERROR(VLOOKUP(C86,Week6,3,FALSE),130)</f>
        <v>121</v>
      </c>
      <c r="K86" s="4">
        <f>IF(ISBLANK(C86),,IFERROR(VLOOKUP(C86,CurrentRank!$B$2:$D$132,3,FALSE),130))</f>
        <v>75</v>
      </c>
      <c r="L86" s="19">
        <f t="shared" si="69"/>
        <v>1.47195</v>
      </c>
      <c r="M86" s="19">
        <f t="shared" si="70"/>
        <v>1.7883</v>
      </c>
      <c r="N86" s="24">
        <f t="shared" si="71"/>
        <v>66.5</v>
      </c>
      <c r="O86" s="21">
        <f t="shared" si="4"/>
        <v>18.589025</v>
      </c>
      <c r="P86" s="21">
        <f t="shared" si="72"/>
        <v>24.964025</v>
      </c>
      <c r="Q86" s="22">
        <f t="shared" si="6"/>
        <v>0.574554875</v>
      </c>
      <c r="R86" s="25" t="str">
        <f t="shared" si="7"/>
        <v>F</v>
      </c>
      <c r="S86" s="19">
        <f t="shared" si="8"/>
        <v>0.5975</v>
      </c>
      <c r="T86" s="19" t="str">
        <f t="shared" si="9"/>
        <v>D-</v>
      </c>
      <c r="U86" s="3" t="s">
        <v>203</v>
      </c>
      <c r="V86" s="4" t="str">
        <f>IF(ISBLANK(C86),,IFERROR(IF(VLOOKUP(B86,Standings!$A:$F, 6, 0)=VLOOKUP(C86,Standings!$A:$F, 6, 0), VLOOKUP(B86,Standings!$A:$F, 6, 0), "Non-con"), "FCS"))</f>
        <v>SEC</v>
      </c>
      <c r="W86" s="3" t="str">
        <f t="shared" si="10"/>
        <v>Mississippi State</v>
      </c>
      <c r="X86" s="3" t="str">
        <f t="shared" si="11"/>
        <v>Texas A&amp;M</v>
      </c>
      <c r="Y86" s="30">
        <f>IF(D86=0,,IF(ISBLANK(Q86),,VLOOKUP(X86,Week6,2,FALSE)/(VLOOKUP(X86,Week6,2,FALSE)+VLOOKUP(W86,Week6,2,FALSE))+0.05)*100)</f>
        <v>74.69326404</v>
      </c>
      <c r="Z86" s="3" t="s">
        <v>79</v>
      </c>
      <c r="AA86" s="3">
        <v>28.0</v>
      </c>
      <c r="AB86" s="4" t="str">
        <f t="shared" si="20"/>
        <v>Mississippi State</v>
      </c>
      <c r="AC86" s="3">
        <v>14.0</v>
      </c>
      <c r="AD86" s="3"/>
      <c r="AE86" s="3">
        <f t="shared" si="13"/>
        <v>14</v>
      </c>
      <c r="AF86" s="3"/>
      <c r="AG86" s="3">
        <f t="shared" si="25"/>
        <v>1</v>
      </c>
      <c r="AH86" s="3"/>
      <c r="AI86" s="7"/>
      <c r="AJ86" s="4"/>
      <c r="AK86" s="7"/>
      <c r="AL86" s="7"/>
      <c r="AM86" s="7"/>
      <c r="AN86" s="7"/>
      <c r="AO86" s="7"/>
      <c r="AP86" s="7"/>
      <c r="AQ86" s="7"/>
      <c r="AR86" s="7"/>
      <c r="AS86" s="7"/>
      <c r="AT86" s="7"/>
      <c r="AU86" s="7"/>
      <c r="AV86" s="7"/>
      <c r="AW86" s="7"/>
      <c r="AX86" s="7"/>
    </row>
    <row r="87" ht="12.75" hidden="1" customHeight="1">
      <c r="A87" s="3">
        <v>11.0</v>
      </c>
      <c r="B87" s="3" t="s">
        <v>26</v>
      </c>
      <c r="C87" s="3" t="s">
        <v>150</v>
      </c>
      <c r="D87" s="4">
        <f>IFERROR(VLOOKUP(B87,CurrentRank!$B$2:$C$132,2,FALSE),0)</f>
        <v>87.05</v>
      </c>
      <c r="E87" s="4">
        <f>IF(ISBLANK(B87),,IFERROR(VLOOKUP(B87,CurrentRank!$B$2:$C$132,2,FALSE),0))</f>
        <v>87.05</v>
      </c>
      <c r="F87" s="4">
        <f>IFERROR(VLOOKUP(B87,Week10,3,FALSE),130)</f>
        <v>3</v>
      </c>
      <c r="G87" s="4">
        <f>IF(ISBLANK(B87),,IFERROR(VLOOKUP(B87,CurrentRank!$B$2:$D$132,3,FALSE),130))</f>
        <v>2</v>
      </c>
      <c r="H87" s="4">
        <f>IFERROR(VLOOKUP(C87,CurrentRank!$B$2:$C$132,2,FALSE),0)</f>
        <v>33.72</v>
      </c>
      <c r="I87" s="4">
        <f>IF(ISBLANK(B87),,IFERROR(VLOOKUP(C87,CurrentRank!$B$2:$C$132,2,FALSE),0))</f>
        <v>33.72</v>
      </c>
      <c r="J87" s="4">
        <f>IFERROR(VLOOKUP(C87,Week10,3,FALSE),130)</f>
        <v>50</v>
      </c>
      <c r="K87" s="4">
        <f>IF(ISBLANK(C87),,IFERROR(VLOOKUP(C87,CurrentRank!$B$2:$D$132,3,FALSE),130))</f>
        <v>76</v>
      </c>
      <c r="L87" s="19">
        <f t="shared" ref="L87:M87" si="73">IF(ISBLANK(C87),,(D87+H87)*0.015)</f>
        <v>1.81155</v>
      </c>
      <c r="M87" s="19">
        <f t="shared" si="73"/>
        <v>1.81155</v>
      </c>
      <c r="N87" s="24">
        <f t="shared" si="71"/>
        <v>26.5</v>
      </c>
      <c r="O87" s="21">
        <f t="shared" si="4"/>
        <v>25.759225</v>
      </c>
      <c r="P87" s="21">
        <f t="shared" si="72"/>
        <v>25.759225</v>
      </c>
      <c r="Q87" s="22">
        <f t="shared" si="6"/>
        <v>0.738703875</v>
      </c>
      <c r="R87" s="25" t="str">
        <f t="shared" si="7"/>
        <v>C</v>
      </c>
      <c r="S87" s="19" t="str">
        <f t="shared" si="8"/>
        <v/>
      </c>
      <c r="T87" s="19" t="str">
        <f t="shared" si="9"/>
        <v/>
      </c>
      <c r="U87" s="3" t="s">
        <v>203</v>
      </c>
      <c r="V87" s="4" t="str">
        <f>IFERROR(IF(VLOOKUP(B87,Standings!$A:$F, 6, 0)=VLOOKUP(C87,Standings!$A:$F, 6, 0), VLOOKUP(B87,Standings!$A:$F, 6, 0), "Non-con"), "FCS")</f>
        <v>B1G</v>
      </c>
      <c r="W87" s="3" t="str">
        <f t="shared" si="10"/>
        <v>Maryland</v>
      </c>
      <c r="X87" s="3" t="str">
        <f t="shared" si="11"/>
        <v>Ohio State</v>
      </c>
      <c r="Y87" s="30">
        <f>IF(D87=0,,IF(ISBLANK(Q87),,VLOOKUP(X87,Week10,2,FALSE)/(VLOOKUP(X87,Week10,2,FALSE)+VLOOKUP(W87,Week10,2,FALSE))+0.05)*100)</f>
        <v>74.63275711</v>
      </c>
      <c r="Z87" s="3"/>
      <c r="AA87" s="3"/>
      <c r="AB87" s="4" t="str">
        <f t="shared" si="20"/>
        <v/>
      </c>
      <c r="AC87" s="3"/>
      <c r="AD87" s="3"/>
      <c r="AE87" s="3" t="str">
        <f t="shared" si="13"/>
        <v/>
      </c>
      <c r="AF87" s="3" t="s">
        <v>226</v>
      </c>
      <c r="AG87" s="3" t="str">
        <f t="shared" si="25"/>
        <v/>
      </c>
      <c r="AH87" s="3"/>
      <c r="AI87" s="7"/>
      <c r="AJ87" s="4"/>
      <c r="AK87" s="7"/>
      <c r="AL87" s="7"/>
      <c r="AM87" s="7"/>
      <c r="AN87" s="7"/>
      <c r="AO87" s="7"/>
      <c r="AP87" s="7"/>
      <c r="AQ87" s="7"/>
      <c r="AR87" s="7"/>
      <c r="AS87" s="7"/>
      <c r="AT87" s="7"/>
      <c r="AU87" s="7"/>
      <c r="AV87" s="7"/>
      <c r="AW87" s="7"/>
      <c r="AX87" s="7"/>
    </row>
    <row r="88" ht="12.75" customHeight="1">
      <c r="A88" s="3">
        <v>5.0</v>
      </c>
      <c r="B88" s="3" t="s">
        <v>60</v>
      </c>
      <c r="C88" s="3" t="s">
        <v>86</v>
      </c>
      <c r="D88" s="4">
        <f>IFERROR(VLOOKUP(B88,Week4,2,FALSE),0)</f>
        <v>63.01</v>
      </c>
      <c r="E88" s="4">
        <f>IF(ISBLANK(B88),,IFERROR(VLOOKUP(B88,CurrentRank!$B$2:$C$132,2,FALSE),0))</f>
        <v>35.34</v>
      </c>
      <c r="F88" s="4">
        <f>IFERROR(VLOOKUP(B88,Week4,3,FALSE),130)</f>
        <v>18</v>
      </c>
      <c r="G88" s="4">
        <f>IF(ISBLANK(B88),,IFERROR(VLOOKUP(B88,CurrentRank!$B$2:$D$132,3,FALSE),130))</f>
        <v>61</v>
      </c>
      <c r="H88" s="4">
        <f>IFERROR(VLOOKUP(C88,Week4,2,FALSE),0)</f>
        <v>46.96</v>
      </c>
      <c r="I88" s="4">
        <f>IF(ISBLANK(B88),,IFERROR(VLOOKUP(C88,CurrentRank!$B$2:$C$132,2,FALSE),0))</f>
        <v>33.56</v>
      </c>
      <c r="J88" s="4">
        <f>IFERROR(VLOOKUP(C88,Week4,3,FALSE),130)</f>
        <v>30</v>
      </c>
      <c r="K88" s="4">
        <f>IF(ISBLANK(C88),,IFERROR(VLOOKUP(C88,CurrentRank!$B$2:$D$132,3,FALSE),130))</f>
        <v>78</v>
      </c>
      <c r="L88" s="19">
        <f t="shared" ref="L88:L92" si="74">IF(U88= "Yes", 0, IF(ISBLANK(C88),,(D88+H88)*0.015))</f>
        <v>1.64955</v>
      </c>
      <c r="M88" s="19">
        <f t="shared" ref="M88:M92" si="75">IF(U88= "Yes", 0, IF(ISBLANK(D88),,(E88+I88)*0.015))</f>
        <v>1.0335</v>
      </c>
      <c r="N88" s="24">
        <f t="shared" si="71"/>
        <v>24</v>
      </c>
      <c r="O88" s="21">
        <f t="shared" si="4"/>
        <v>7.200225</v>
      </c>
      <c r="P88" s="21">
        <f t="shared" si="72"/>
        <v>0.065225</v>
      </c>
      <c r="Q88" s="22">
        <f t="shared" si="6"/>
        <v>0.843998875</v>
      </c>
      <c r="R88" s="25" t="str">
        <f t="shared" si="7"/>
        <v>B</v>
      </c>
      <c r="S88" s="19">
        <f t="shared" si="8"/>
        <v>0.865</v>
      </c>
      <c r="T88" s="19" t="str">
        <f t="shared" si="9"/>
        <v>B+</v>
      </c>
      <c r="U88" s="3" t="s">
        <v>203</v>
      </c>
      <c r="V88" s="4" t="str">
        <f>IF(ISBLANK(C88),,IFERROR(IF(VLOOKUP(B88,Standings!$A:$F, 6, 0)=VLOOKUP(C88,Standings!$A:$F, 6, 0), VLOOKUP(B88,Standings!$A:$F, 6, 0), "Non-con"), "FCS"))</f>
        <v>AAC</v>
      </c>
      <c r="W88" s="3" t="str">
        <f t="shared" si="10"/>
        <v>Southern Methodist</v>
      </c>
      <c r="X88" s="3" t="str">
        <f t="shared" si="11"/>
        <v>Memphis</v>
      </c>
      <c r="Y88" s="30">
        <f>IF(D88=0,,IF(ISBLANK(Q88),,VLOOKUP(X88,Week4,2,FALSE)/(VLOOKUP(X88,Week4,2,FALSE)+VLOOKUP(W88,Week4,2,FALSE))+0.05)*100)</f>
        <v>62.29744476</v>
      </c>
      <c r="Z88" s="3" t="s">
        <v>86</v>
      </c>
      <c r="AA88" s="3">
        <v>30.0</v>
      </c>
      <c r="AB88" s="4" t="str">
        <f t="shared" si="20"/>
        <v>Memphis</v>
      </c>
      <c r="AC88" s="3">
        <v>27.0</v>
      </c>
      <c r="AD88" s="3"/>
      <c r="AE88" s="3">
        <f t="shared" si="13"/>
        <v>3</v>
      </c>
      <c r="AF88" s="3"/>
      <c r="AG88" s="3">
        <f t="shared" si="25"/>
        <v>0</v>
      </c>
      <c r="AH88" s="3"/>
      <c r="AI88" s="7"/>
      <c r="AJ88" s="4"/>
      <c r="AK88" s="7"/>
      <c r="AL88" s="7"/>
      <c r="AM88" s="7"/>
      <c r="AN88" s="7"/>
      <c r="AO88" s="7"/>
      <c r="AP88" s="7"/>
      <c r="AQ88" s="7"/>
      <c r="AR88" s="7"/>
      <c r="AS88" s="7"/>
      <c r="AT88" s="7"/>
      <c r="AU88" s="7"/>
      <c r="AV88" s="7"/>
      <c r="AW88" s="7"/>
      <c r="AX88" s="7"/>
    </row>
    <row r="89" ht="12.75" hidden="1" customHeight="1">
      <c r="A89" s="3">
        <v>6.0</v>
      </c>
      <c r="B89" s="3" t="s">
        <v>105</v>
      </c>
      <c r="C89" s="3" t="s">
        <v>73</v>
      </c>
      <c r="D89" s="4">
        <f>IFERROR(VLOOKUP(B89,Week5,2,FALSE),0)</f>
        <v>31.24</v>
      </c>
      <c r="E89" s="4">
        <f>IF(ISBLANK(B89),,IFERROR(VLOOKUP(B89,CurrentRank!$B$2:$C$132,2,FALSE),0))</f>
        <v>32.43</v>
      </c>
      <c r="F89" s="4">
        <f>IFERROR(VLOOKUP(B89,Week5,3,FALSE),130)</f>
        <v>60</v>
      </c>
      <c r="G89" s="4">
        <f>IF(ISBLANK(B89),,IFERROR(VLOOKUP(B89,CurrentRank!$B$2:$D$132,3,FALSE),130))</f>
        <v>90</v>
      </c>
      <c r="H89" s="4">
        <f>IFERROR(VLOOKUP(C89,Week5,2,FALSE),0)</f>
        <v>71.53</v>
      </c>
      <c r="I89" s="4">
        <f>IF(ISBLANK(B89),,IFERROR(VLOOKUP(C89,CurrentRank!$B$2:$C$132,2,FALSE),0))</f>
        <v>69.33</v>
      </c>
      <c r="J89" s="4">
        <f>IFERROR(VLOOKUP(C89,Week5,3,FALSE),130)</f>
        <v>11</v>
      </c>
      <c r="K89" s="4">
        <f>IF(ISBLANK(C89),,IFERROR(VLOOKUP(C89,CurrentRank!$B$2:$D$132,3,FALSE),130))</f>
        <v>15</v>
      </c>
      <c r="L89" s="19">
        <f t="shared" si="74"/>
        <v>1.54155</v>
      </c>
      <c r="M89" s="19">
        <f t="shared" si="75"/>
        <v>1.5264</v>
      </c>
      <c r="N89" s="24">
        <f t="shared" si="71"/>
        <v>35.5</v>
      </c>
      <c r="O89" s="21">
        <f t="shared" si="4"/>
        <v>-20.915775</v>
      </c>
      <c r="P89" s="21">
        <f t="shared" si="72"/>
        <v>-19.220775</v>
      </c>
      <c r="Q89" s="22">
        <f t="shared" si="6"/>
        <v>0.717921125</v>
      </c>
      <c r="R89" s="25" t="str">
        <f t="shared" si="7"/>
        <v>C-</v>
      </c>
      <c r="S89" s="19">
        <f t="shared" si="8"/>
        <v>0.7875</v>
      </c>
      <c r="T89" s="19" t="str">
        <f t="shared" si="9"/>
        <v>C+</v>
      </c>
      <c r="U89" s="3" t="s">
        <v>203</v>
      </c>
      <c r="V89" s="4" t="str">
        <f>IF(ISBLANK(C89),,IFERROR(IF(VLOOKUP(B89,Standings!$A:$F, 6, 0)=VLOOKUP(C89,Standings!$A:$F, 6, 0), VLOOKUP(B89,Standings!$A:$F, 6, 0), "Non-con"), "FCS"))</f>
        <v>Non-con</v>
      </c>
      <c r="W89" s="3" t="str">
        <f t="shared" si="10"/>
        <v>Texas-San Antonio</v>
      </c>
      <c r="X89" s="3" t="str">
        <f t="shared" si="11"/>
        <v>BYU</v>
      </c>
      <c r="Y89" s="30">
        <f>IF(D89=0,,IF(ISBLANK(Q89),,VLOOKUP(X89,Week5,2,FALSE)/(VLOOKUP(X89,Week5,2,FALSE)+VLOOKUP(W89,Week5,2,FALSE))+0.05)*100)</f>
        <v>74.60202394</v>
      </c>
      <c r="Z89" s="3" t="s">
        <v>73</v>
      </c>
      <c r="AA89" s="3">
        <v>27.0</v>
      </c>
      <c r="AB89" s="4" t="str">
        <f t="shared" si="20"/>
        <v>Texas-San Antonio</v>
      </c>
      <c r="AC89" s="3">
        <v>20.0</v>
      </c>
      <c r="AD89" s="3"/>
      <c r="AE89" s="3">
        <f t="shared" si="13"/>
        <v>7</v>
      </c>
      <c r="AF89" s="3"/>
      <c r="AG89" s="3">
        <f t="shared" si="25"/>
        <v>1</v>
      </c>
      <c r="AH89" s="3"/>
      <c r="AI89" s="7"/>
      <c r="AJ89" s="4"/>
      <c r="AK89" s="7"/>
      <c r="AL89" s="7"/>
      <c r="AM89" s="7"/>
      <c r="AN89" s="7"/>
      <c r="AO89" s="7"/>
      <c r="AP89" s="7"/>
      <c r="AQ89" s="7"/>
      <c r="AR89" s="7"/>
      <c r="AS89" s="7"/>
      <c r="AT89" s="7"/>
      <c r="AU89" s="7"/>
      <c r="AV89" s="7"/>
      <c r="AW89" s="7"/>
      <c r="AX89" s="7"/>
    </row>
    <row r="90" ht="12.75" hidden="1" customHeight="1">
      <c r="A90" s="3">
        <v>11.0</v>
      </c>
      <c r="B90" s="3" t="s">
        <v>28</v>
      </c>
      <c r="C90" s="3" t="s">
        <v>101</v>
      </c>
      <c r="D90" s="4">
        <f>IFERROR(VLOOKUP(B90,Week10,2,FALSE),0)</f>
        <v>89.06</v>
      </c>
      <c r="E90" s="4">
        <f>IF(ISBLANK(B90),,IFERROR(VLOOKUP(B90,CurrentRank!$B$2:$C$132,2,FALSE),0))</f>
        <v>78.79</v>
      </c>
      <c r="F90" s="4">
        <f>IFERROR(VLOOKUP(B90,Week10,3,FALSE),130)</f>
        <v>2</v>
      </c>
      <c r="G90" s="4">
        <f>IF(ISBLANK(B90),,IFERROR(VLOOKUP(B90,CurrentRank!$B$2:$D$132,3,FALSE),130))</f>
        <v>7</v>
      </c>
      <c r="H90" s="4">
        <f>IFERROR(VLOOKUP(C90,Week10,2,FALSE),0)</f>
        <v>39.04</v>
      </c>
      <c r="I90" s="4">
        <f>IF(ISBLANK(B90),,IFERROR(VLOOKUP(C90,CurrentRank!$B$2:$C$132,2,FALSE),0))</f>
        <v>36.62</v>
      </c>
      <c r="J90" s="4">
        <f>IFERROR(VLOOKUP(C90,Week10,3,FALSE),130)</f>
        <v>42</v>
      </c>
      <c r="K90" s="4">
        <f>IF(ISBLANK(C90),,IFERROR(VLOOKUP(C90,CurrentRank!$B$2:$D$132,3,FALSE),130))</f>
        <v>50</v>
      </c>
      <c r="L90" s="19">
        <f t="shared" si="74"/>
        <v>1.9215</v>
      </c>
      <c r="M90" s="19">
        <f t="shared" si="75"/>
        <v>1.73115</v>
      </c>
      <c r="N90" s="24">
        <f t="shared" si="71"/>
        <v>22</v>
      </c>
      <c r="O90" s="21">
        <f t="shared" si="4"/>
        <v>24.04925</v>
      </c>
      <c r="P90" s="21">
        <f t="shared" si="72"/>
        <v>20.12425</v>
      </c>
      <c r="Q90" s="22">
        <f t="shared" si="6"/>
        <v>0.76975375</v>
      </c>
      <c r="R90" s="25" t="str">
        <f t="shared" si="7"/>
        <v>C+</v>
      </c>
      <c r="S90" s="19">
        <f t="shared" si="8"/>
        <v>0.82</v>
      </c>
      <c r="T90" s="19" t="str">
        <f t="shared" si="9"/>
        <v>B-</v>
      </c>
      <c r="U90" s="3" t="s">
        <v>203</v>
      </c>
      <c r="V90" s="4" t="str">
        <f>IF(ISBLANK(C90),,IFERROR(IF(VLOOKUP(B90,Standings!$A:$F, 6, 0)=VLOOKUP(C90,Standings!$A:$F, 6, 0), VLOOKUP(B90,Standings!$A:$F, 6, 0), "Non-con"), "FCS"))</f>
        <v>ACC</v>
      </c>
      <c r="W90" s="3" t="str">
        <f t="shared" si="10"/>
        <v>Boston College</v>
      </c>
      <c r="X90" s="3" t="str">
        <f t="shared" si="11"/>
        <v>Notre Dame</v>
      </c>
      <c r="Y90" s="30">
        <f>IF(D90=0,,IF(ISBLANK(Q90),,VLOOKUP(X90,Week10,2,FALSE)/(VLOOKUP(X90,Week10,2,FALSE)+VLOOKUP(W90,Week10,2,FALSE))+0.05)*100)</f>
        <v>74.52380952</v>
      </c>
      <c r="Z90" s="3" t="s">
        <v>28</v>
      </c>
      <c r="AA90" s="3">
        <v>45.0</v>
      </c>
      <c r="AB90" s="4" t="str">
        <f t="shared" si="20"/>
        <v>Boston College</v>
      </c>
      <c r="AC90" s="3">
        <v>31.0</v>
      </c>
      <c r="AD90" s="3"/>
      <c r="AE90" s="3">
        <f t="shared" si="13"/>
        <v>14</v>
      </c>
      <c r="AF90" s="3"/>
      <c r="AG90" s="3">
        <f t="shared" si="25"/>
        <v>1</v>
      </c>
      <c r="AH90" s="3"/>
      <c r="AI90" s="7"/>
      <c r="AJ90" s="4"/>
      <c r="AK90" s="7"/>
      <c r="AL90" s="7"/>
      <c r="AM90" s="7"/>
      <c r="AN90" s="7"/>
      <c r="AO90" s="7"/>
      <c r="AP90" s="7"/>
      <c r="AQ90" s="7"/>
      <c r="AR90" s="7"/>
      <c r="AS90" s="7"/>
      <c r="AT90" s="7"/>
      <c r="AU90" s="7"/>
      <c r="AV90" s="7"/>
      <c r="AW90" s="7"/>
      <c r="AX90" s="7"/>
    </row>
    <row r="91" ht="12.75" hidden="1" customHeight="1">
      <c r="A91" s="3">
        <v>11.0</v>
      </c>
      <c r="B91" s="3" t="s">
        <v>74</v>
      </c>
      <c r="C91" s="3" t="s">
        <v>87</v>
      </c>
      <c r="D91" s="4">
        <f>IFERROR(VLOOKUP(B91,Week10,2,FALSE),0)</f>
        <v>75.78</v>
      </c>
      <c r="E91" s="4">
        <f>IF(ISBLANK(B91),,IFERROR(VLOOKUP(B91,CurrentRank!$B$2:$C$132,2,FALSE),0))</f>
        <v>41.11</v>
      </c>
      <c r="F91" s="4">
        <f>IFERROR(VLOOKUP(B91,Week10,3,FALSE),130)</f>
        <v>10</v>
      </c>
      <c r="G91" s="4">
        <f>IF(ISBLANK(B91),,IFERROR(VLOOKUP(B91,CurrentRank!$B$2:$D$132,3,FALSE),130))</f>
        <v>32</v>
      </c>
      <c r="H91" s="4">
        <f>IFERROR(VLOOKUP(C91,Week10,2,FALSE),0)</f>
        <v>33.4</v>
      </c>
      <c r="I91" s="4">
        <f>IF(ISBLANK(B91),,IFERROR(VLOOKUP(C91,CurrentRank!$B$2:$C$132,2,FALSE),0))</f>
        <v>31.54</v>
      </c>
      <c r="J91" s="4">
        <f>IFERROR(VLOOKUP(C91,Week10,3,FALSE),130)</f>
        <v>73</v>
      </c>
      <c r="K91" s="4">
        <f>IF(ISBLANK(C91),,IFERROR(VLOOKUP(C91,CurrentRank!$B$2:$D$132,3,FALSE),130))</f>
        <v>97</v>
      </c>
      <c r="L91" s="19">
        <f t="shared" si="74"/>
        <v>1.6377</v>
      </c>
      <c r="M91" s="19">
        <f t="shared" si="75"/>
        <v>1.08975</v>
      </c>
      <c r="N91" s="24">
        <f t="shared" si="71"/>
        <v>41.5</v>
      </c>
      <c r="O91" s="21">
        <f t="shared" si="4"/>
        <v>20.37115</v>
      </c>
      <c r="P91" s="21">
        <f t="shared" si="72"/>
        <v>3.96615</v>
      </c>
      <c r="Q91" s="22">
        <f t="shared" si="6"/>
        <v>0.69064425</v>
      </c>
      <c r="R91" s="25" t="str">
        <f t="shared" si="7"/>
        <v>D+</v>
      </c>
      <c r="S91" s="19">
        <f t="shared" si="8"/>
        <v>0.6025</v>
      </c>
      <c r="T91" s="19" t="str">
        <f t="shared" si="9"/>
        <v>D-</v>
      </c>
      <c r="U91" s="3" t="s">
        <v>203</v>
      </c>
      <c r="V91" s="4" t="str">
        <f>IF(ISBLANK(C91),,IFERROR(IF(VLOOKUP(B91,Standings!$A:$F, 6, 0)=VLOOKUP(C91,Standings!$A:$F, 6, 0), VLOOKUP(B91,Standings!$A:$F, 6, 0), "Non-con"), "FCS"))</f>
        <v>B1G</v>
      </c>
      <c r="W91" s="3" t="str">
        <f t="shared" si="10"/>
        <v>Michigan</v>
      </c>
      <c r="X91" s="3" t="str">
        <f t="shared" si="11"/>
        <v>Wisconsin</v>
      </c>
      <c r="Y91" s="30">
        <f>IF(D91=0,,IF(ISBLANK(Q91),,VLOOKUP(X91,Week10,2,FALSE)/(VLOOKUP(X91,Week10,2,FALSE)+VLOOKUP(W91,Week10,2,FALSE))+0.05)*100)</f>
        <v>74.40831654</v>
      </c>
      <c r="Z91" s="3" t="s">
        <v>74</v>
      </c>
      <c r="AA91" s="3">
        <v>49.0</v>
      </c>
      <c r="AB91" s="4" t="str">
        <f t="shared" si="20"/>
        <v>Michigan</v>
      </c>
      <c r="AC91" s="3">
        <v>11.0</v>
      </c>
      <c r="AD91" s="3"/>
      <c r="AE91" s="3">
        <f t="shared" si="13"/>
        <v>38</v>
      </c>
      <c r="AF91" s="3"/>
      <c r="AG91" s="3">
        <f t="shared" si="25"/>
        <v>1</v>
      </c>
      <c r="AH91" s="3"/>
      <c r="AI91" s="7"/>
      <c r="AJ91" s="4"/>
      <c r="AK91" s="7"/>
      <c r="AL91" s="7"/>
      <c r="AM91" s="7"/>
      <c r="AN91" s="7"/>
      <c r="AO91" s="7"/>
      <c r="AP91" s="7"/>
      <c r="AQ91" s="7"/>
      <c r="AR91" s="7"/>
      <c r="AS91" s="7"/>
      <c r="AT91" s="7"/>
      <c r="AU91" s="7"/>
      <c r="AV91" s="7"/>
      <c r="AW91" s="7"/>
      <c r="AX91" s="7"/>
    </row>
    <row r="92" ht="12.75" customHeight="1">
      <c r="A92" s="3">
        <v>16.0</v>
      </c>
      <c r="B92" s="3" t="s">
        <v>18</v>
      </c>
      <c r="C92" s="3" t="s">
        <v>28</v>
      </c>
      <c r="D92" s="4">
        <f>IFERROR(VLOOKUP(B92,Week15,2,FALSE),0)</f>
        <v>86.71</v>
      </c>
      <c r="E92" s="4">
        <f>IF(ISBLANK(B92),,IFERROR(VLOOKUP(B92,CurrentRank!$B$2:$C$132,2,FALSE),0))</f>
        <v>84.24</v>
      </c>
      <c r="F92" s="4">
        <f>IFERROR(VLOOKUP(B92,Week15,3,FALSE),130)</f>
        <v>4</v>
      </c>
      <c r="G92" s="4">
        <f>IF(ISBLANK(B92),,IFERROR(VLOOKUP(B92,CurrentRank!$B$2:$D$132,3,FALSE),130))</f>
        <v>4</v>
      </c>
      <c r="H92" s="4">
        <f>IFERROR(VLOOKUP(C92,Week15,2,FALSE),0)</f>
        <v>90.63</v>
      </c>
      <c r="I92" s="4">
        <f>IF(ISBLANK(B92),,IFERROR(VLOOKUP(C92,CurrentRank!$B$2:$C$132,2,FALSE),0))</f>
        <v>78.79</v>
      </c>
      <c r="J92" s="4">
        <f>IFERROR(VLOOKUP(C92,Week15,3,FALSE),130)</f>
        <v>2</v>
      </c>
      <c r="K92" s="4">
        <f>IF(ISBLANK(C92),,IFERROR(VLOOKUP(C92,CurrentRank!$B$2:$D$132,3,FALSE),130))</f>
        <v>7</v>
      </c>
      <c r="L92" s="19">
        <f t="shared" si="74"/>
        <v>0</v>
      </c>
      <c r="M92" s="19">
        <f t="shared" si="75"/>
        <v>0</v>
      </c>
      <c r="N92" s="24">
        <f t="shared" si="71"/>
        <v>3</v>
      </c>
      <c r="O92" s="21">
        <f t="shared" si="4"/>
        <v>-1.96</v>
      </c>
      <c r="P92" s="21">
        <f t="shared" si="72"/>
        <v>2.725</v>
      </c>
      <c r="Q92" s="22">
        <f t="shared" si="6"/>
        <v>0.9752</v>
      </c>
      <c r="R92" s="25" t="str">
        <f t="shared" si="7"/>
        <v>A+</v>
      </c>
      <c r="S92" s="19">
        <f t="shared" si="8"/>
        <v>0.865</v>
      </c>
      <c r="T92" s="19" t="str">
        <f t="shared" si="9"/>
        <v>B+</v>
      </c>
      <c r="U92" s="3" t="s">
        <v>223</v>
      </c>
      <c r="V92" s="4" t="str">
        <f>IF(ISBLANK(C92),,IFERROR(IF(VLOOKUP(B92,Standings!$A:$F, 6, 0)=VLOOKUP(C92,Standings!$A:$F, 6, 0), VLOOKUP(B92,Standings!$A:$F, 6, 0), "Non-con"), "FCS"))</f>
        <v>ACC</v>
      </c>
      <c r="W92" s="3" t="str">
        <f t="shared" si="10"/>
        <v>Clemson</v>
      </c>
      <c r="X92" s="3" t="str">
        <f t="shared" si="11"/>
        <v>Notre Dame</v>
      </c>
      <c r="Y92" s="30">
        <f>IF(D92=0,,IF(ISBLANK(Q92),,VLOOKUP(X92,Week15,2,FALSE)/(VLOOKUP(X92,Week15,2,FALSE)+VLOOKUP(W92,Week15,2,FALSE))+0.05)*100)</f>
        <v>56.10522161</v>
      </c>
      <c r="Z92" s="3" t="s">
        <v>18</v>
      </c>
      <c r="AA92" s="3">
        <v>34.0</v>
      </c>
      <c r="AB92" s="4" t="str">
        <f t="shared" si="20"/>
        <v>Notre Dame</v>
      </c>
      <c r="AC92" s="3">
        <v>10.0</v>
      </c>
      <c r="AD92" s="3"/>
      <c r="AE92" s="3">
        <f t="shared" si="13"/>
        <v>24</v>
      </c>
      <c r="AF92" s="3" t="s">
        <v>233</v>
      </c>
      <c r="AG92" s="3">
        <f t="shared" si="25"/>
        <v>0</v>
      </c>
      <c r="AH92" s="3"/>
      <c r="AI92" s="7"/>
      <c r="AJ92" s="4"/>
      <c r="AK92" s="7"/>
      <c r="AL92" s="7"/>
      <c r="AM92" s="7"/>
      <c r="AN92" s="7"/>
      <c r="AO92" s="7"/>
      <c r="AP92" s="7"/>
      <c r="AQ92" s="7"/>
      <c r="AR92" s="7"/>
      <c r="AS92" s="7"/>
      <c r="AT92" s="7"/>
      <c r="AU92" s="7"/>
      <c r="AV92" s="7"/>
      <c r="AW92" s="7"/>
      <c r="AX92" s="7"/>
    </row>
    <row r="93" ht="12.75" hidden="1" customHeight="1">
      <c r="A93" s="3">
        <v>16.0</v>
      </c>
      <c r="B93" s="3" t="s">
        <v>87</v>
      </c>
      <c r="C93" s="3" t="s">
        <v>97</v>
      </c>
      <c r="D93" s="4">
        <f>IFERROR(VLOOKUP(B93,Week15,2,FALSE),0)</f>
        <v>31.4</v>
      </c>
      <c r="E93" s="4">
        <f>IF(ISBLANK(B93),,IFERROR(VLOOKUP(B93,CurrentRank!$B$2:$C$132,2,FALSE),0))</f>
        <v>31.54</v>
      </c>
      <c r="F93" s="4">
        <f>IFERROR(VLOOKUP(B93,Week15,3,FALSE),130)</f>
        <v>96</v>
      </c>
      <c r="G93" s="4">
        <f>IF(ISBLANK(B93),,IFERROR(VLOOKUP(B93,CurrentRank!$B$2:$D$132,3,FALSE),130))</f>
        <v>97</v>
      </c>
      <c r="H93" s="4">
        <f>IFERROR(VLOOKUP(C93,Week15,2,FALSE),0)</f>
        <v>70.27</v>
      </c>
      <c r="I93" s="4">
        <f>IF(ISBLANK(B93),,IFERROR(VLOOKUP(C93,CurrentRank!$B$2:$C$132,2,FALSE),0))</f>
        <v>71.81</v>
      </c>
      <c r="J93" s="4">
        <f>IFERROR(VLOOKUP(C93,Week15,3,FALSE),130)</f>
        <v>15</v>
      </c>
      <c r="K93" s="4">
        <f>IF(ISBLANK(C93),,IFERROR(VLOOKUP(C93,CurrentRank!$B$2:$D$132,3,FALSE),130))</f>
        <v>12</v>
      </c>
      <c r="L93" s="19">
        <f t="shared" ref="L93:M93" si="76">IF(ISBLANK(C93),,(D93+H93)*0.015)</f>
        <v>1.52505</v>
      </c>
      <c r="M93" s="19">
        <f t="shared" si="76"/>
        <v>1.55025</v>
      </c>
      <c r="N93" s="24">
        <f t="shared" si="71"/>
        <v>55.5</v>
      </c>
      <c r="O93" s="21">
        <f t="shared" si="4"/>
        <v>-20.197525</v>
      </c>
      <c r="P93" s="21">
        <f t="shared" si="72"/>
        <v>-20.897525</v>
      </c>
      <c r="Q93" s="22">
        <f t="shared" si="6"/>
        <v>0.621512375</v>
      </c>
      <c r="R93" s="25" t="str">
        <f t="shared" si="7"/>
        <v>D-</v>
      </c>
      <c r="S93" s="19" t="str">
        <f t="shared" si="8"/>
        <v/>
      </c>
      <c r="T93" s="19" t="str">
        <f t="shared" si="9"/>
        <v/>
      </c>
      <c r="U93" s="3" t="s">
        <v>203</v>
      </c>
      <c r="V93" s="4" t="str">
        <f>IF(ISBLANK(C93),,IFERROR(IF(VLOOKUP(B93,Standings!$A:$F, 6, 0)=VLOOKUP(C93,Standings!$A:$F, 6, 0), VLOOKUP(B93,Standings!$A:$F, 6, 0), "Non-con"), "FCS"))</f>
        <v>B1G</v>
      </c>
      <c r="W93" s="3" t="str">
        <f t="shared" si="10"/>
        <v>Michigan</v>
      </c>
      <c r="X93" s="3" t="str">
        <f t="shared" si="11"/>
        <v>Iowa</v>
      </c>
      <c r="Y93" s="30">
        <f>IF(D93=0,,IF(ISBLANK(Q93),,VLOOKUP(X93,Week15,2,FALSE)/(VLOOKUP(X93,Week15,2,FALSE)+VLOOKUP(W93,Week15,2,FALSE))+0.05)*100)</f>
        <v>74.1157667</v>
      </c>
      <c r="Z93" s="4"/>
      <c r="AA93" s="3"/>
      <c r="AB93" s="4" t="str">
        <f t="shared" si="20"/>
        <v/>
      </c>
      <c r="AC93" s="3"/>
      <c r="AD93" s="3"/>
      <c r="AE93" s="3" t="str">
        <f t="shared" si="13"/>
        <v/>
      </c>
      <c r="AF93" s="3" t="s">
        <v>226</v>
      </c>
      <c r="AG93" s="3" t="str">
        <f t="shared" si="25"/>
        <v/>
      </c>
      <c r="AH93" s="3"/>
      <c r="AI93" s="7"/>
      <c r="AJ93" s="4"/>
      <c r="AK93" s="7"/>
      <c r="AL93" s="7"/>
      <c r="AM93" s="7"/>
      <c r="AN93" s="7"/>
      <c r="AO93" s="7"/>
      <c r="AP93" s="7"/>
      <c r="AQ93" s="7"/>
      <c r="AR93" s="7"/>
      <c r="AS93" s="7"/>
      <c r="AT93" s="7"/>
      <c r="AU93" s="7"/>
      <c r="AV93" s="7"/>
      <c r="AW93" s="7"/>
      <c r="AX93" s="7"/>
    </row>
    <row r="94" ht="12.75" hidden="1" customHeight="1">
      <c r="A94" s="3">
        <v>14.0</v>
      </c>
      <c r="B94" s="3" t="s">
        <v>104</v>
      </c>
      <c r="C94" s="3" t="s">
        <v>51</v>
      </c>
      <c r="D94" s="4">
        <f>IFERROR(VLOOKUP(B94,Week13,2,FALSE),0)</f>
        <v>31.71</v>
      </c>
      <c r="E94" s="4">
        <f>IF(ISBLANK(B94),,IFERROR(VLOOKUP(B94,CurrentRank!$B$2:$C$132,2,FALSE),0))</f>
        <v>31.08</v>
      </c>
      <c r="F94" s="4">
        <f>IFERROR(VLOOKUP(B94,Week13,3,FALSE),130)</f>
        <v>89</v>
      </c>
      <c r="G94" s="4">
        <f>IF(ISBLANK(B94),,IFERROR(VLOOKUP(B94,CurrentRank!$B$2:$D$132,3,FALSE),130))</f>
        <v>101</v>
      </c>
      <c r="H94" s="4">
        <f>IFERROR(VLOOKUP(C94,Week13,2,FALSE),0)</f>
        <v>70.93</v>
      </c>
      <c r="I94" s="4">
        <f>IF(ISBLANK(B94),,IFERROR(VLOOKUP(C94,CurrentRank!$B$2:$C$132,2,FALSE),0))</f>
        <v>81.57</v>
      </c>
      <c r="J94" s="4">
        <f>IFERROR(VLOOKUP(C94,Week13,3,FALSE),130)</f>
        <v>14</v>
      </c>
      <c r="K94" s="4">
        <f>IF(ISBLANK(C94),,IFERROR(VLOOKUP(C94,CurrentRank!$B$2:$D$132,3,FALSE),130))</f>
        <v>5</v>
      </c>
      <c r="L94" s="19">
        <f t="shared" ref="L94:L127" si="77">IF(U94= "Yes", 0, IF(ISBLANK(C94),,(D94+H94)*0.015))</f>
        <v>1.5396</v>
      </c>
      <c r="M94" s="19">
        <f t="shared" ref="M94:M127" si="78">IF(U94= "Yes", 0, IF(ISBLANK(D94),,(E94+I94)*0.015))</f>
        <v>1.68975</v>
      </c>
      <c r="N94" s="24">
        <f t="shared" si="71"/>
        <v>51.5</v>
      </c>
      <c r="O94" s="21">
        <f t="shared" si="4"/>
        <v>-20.3798</v>
      </c>
      <c r="P94" s="21">
        <f t="shared" si="72"/>
        <v>-26.0148</v>
      </c>
      <c r="Q94" s="22">
        <f t="shared" si="6"/>
        <v>0.640601</v>
      </c>
      <c r="R94" s="25" t="str">
        <f t="shared" si="7"/>
        <v>D</v>
      </c>
      <c r="S94" s="19">
        <f t="shared" si="8"/>
        <v>0.6775</v>
      </c>
      <c r="T94" s="19" t="str">
        <f t="shared" si="9"/>
        <v>D+</v>
      </c>
      <c r="U94" s="3" t="s">
        <v>203</v>
      </c>
      <c r="V94" s="4" t="str">
        <f>IF(ISBLANK(C94),,IFERROR(IF(VLOOKUP(B94,Standings!$A:$F, 6, 0)=VLOOKUP(C94,Standings!$A:$F, 6, 0), VLOOKUP(B94,Standings!$A:$F, 6, 0), "Non-con"), "FCS"))</f>
        <v>BIG12</v>
      </c>
      <c r="W94" s="3" t="str">
        <f t="shared" si="10"/>
        <v>Baylor</v>
      </c>
      <c r="X94" s="3" t="str">
        <f t="shared" si="11"/>
        <v>Oklahoma</v>
      </c>
      <c r="Y94" s="30">
        <f>IF(D94=0,,IF(ISBLANK(Q94),,VLOOKUP(X94,Week13,2,FALSE)/(VLOOKUP(X94,Week13,2,FALSE)+VLOOKUP(W94,Week13,2,FALSE))+0.05)*100)</f>
        <v>74.10561185</v>
      </c>
      <c r="Z94" s="3" t="s">
        <v>51</v>
      </c>
      <c r="AA94" s="3">
        <v>27.0</v>
      </c>
      <c r="AB94" s="4" t="str">
        <f t="shared" si="20"/>
        <v>Baylor</v>
      </c>
      <c r="AC94" s="3">
        <v>14.0</v>
      </c>
      <c r="AD94" s="3"/>
      <c r="AE94" s="3">
        <f t="shared" si="13"/>
        <v>13</v>
      </c>
      <c r="AF94" s="3"/>
      <c r="AG94" s="3">
        <f t="shared" si="25"/>
        <v>1</v>
      </c>
      <c r="AH94" s="3"/>
      <c r="AI94" s="7"/>
      <c r="AJ94" s="4"/>
      <c r="AK94" s="7"/>
      <c r="AL94" s="7"/>
      <c r="AM94" s="7"/>
      <c r="AN94" s="7"/>
      <c r="AO94" s="7"/>
      <c r="AP94" s="7"/>
      <c r="AQ94" s="7"/>
      <c r="AR94" s="7"/>
      <c r="AS94" s="7"/>
      <c r="AT94" s="7"/>
      <c r="AU94" s="7"/>
      <c r="AV94" s="7"/>
      <c r="AW94" s="7"/>
      <c r="AX94" s="7"/>
    </row>
    <row r="95" ht="12.75" hidden="1" customHeight="1">
      <c r="A95" s="3">
        <v>10.0</v>
      </c>
      <c r="B95" s="3" t="s">
        <v>102</v>
      </c>
      <c r="C95" s="3" t="s">
        <v>100</v>
      </c>
      <c r="D95" s="4">
        <f>IFERROR(VLOOKUP(B95,Week9,2,FALSE),0)</f>
        <v>33.2</v>
      </c>
      <c r="E95" s="4">
        <f>IF(ISBLANK(B95),,IFERROR(VLOOKUP(B95,CurrentRank!$B$2:$C$132,2,FALSE),0))</f>
        <v>31.07</v>
      </c>
      <c r="F95" s="4">
        <f>IFERROR(VLOOKUP(B95,Week9,3,FALSE),130)</f>
        <v>68</v>
      </c>
      <c r="G95" s="4">
        <f>IF(ISBLANK(B95),,IFERROR(VLOOKUP(B95,CurrentRank!$B$2:$D$132,3,FALSE),130))</f>
        <v>102</v>
      </c>
      <c r="H95" s="4">
        <f>IFERROR(VLOOKUP(C95,Week9,2,FALSE),0)</f>
        <v>73.88</v>
      </c>
      <c r="I95" s="4">
        <f>IF(ISBLANK(B95),,IFERROR(VLOOKUP(C95,CurrentRank!$B$2:$C$132,2,FALSE),0))</f>
        <v>69.98</v>
      </c>
      <c r="J95" s="4">
        <f>IFERROR(VLOOKUP(C95,Week9,3,FALSE),130)</f>
        <v>12</v>
      </c>
      <c r="K95" s="4">
        <f>IF(ISBLANK(C95),,IFERROR(VLOOKUP(C95,CurrentRank!$B$2:$D$132,3,FALSE),130))</f>
        <v>13</v>
      </c>
      <c r="L95" s="19">
        <f t="shared" si="77"/>
        <v>1.6062</v>
      </c>
      <c r="M95" s="19">
        <f t="shared" si="78"/>
        <v>1.51575</v>
      </c>
      <c r="N95" s="24">
        <f t="shared" si="71"/>
        <v>40</v>
      </c>
      <c r="O95" s="21">
        <f t="shared" si="4"/>
        <v>-21.1431</v>
      </c>
      <c r="P95" s="21">
        <f t="shared" si="72"/>
        <v>-20.2581</v>
      </c>
      <c r="Q95" s="22">
        <f t="shared" si="6"/>
        <v>0.6942845</v>
      </c>
      <c r="R95" s="25" t="str">
        <f t="shared" si="7"/>
        <v>D+</v>
      </c>
      <c r="S95" s="19">
        <f t="shared" si="8"/>
        <v>0.715</v>
      </c>
      <c r="T95" s="19" t="str">
        <f t="shared" si="9"/>
        <v>C-</v>
      </c>
      <c r="U95" s="3" t="s">
        <v>203</v>
      </c>
      <c r="V95" s="4" t="str">
        <f>IF(ISBLANK(C95),,IFERROR(IF(VLOOKUP(B95,Standings!$A:$F, 6, 0)=VLOOKUP(C95,Standings!$A:$F, 6, 0), VLOOKUP(B95,Standings!$A:$F, 6, 0), "Non-con"), "FCS"))</f>
        <v>SUN</v>
      </c>
      <c r="W95" s="3" t="str">
        <f t="shared" si="10"/>
        <v>South Alabama</v>
      </c>
      <c r="X95" s="3" t="str">
        <f t="shared" si="11"/>
        <v>Coastal Carolina</v>
      </c>
      <c r="Y95" s="30">
        <f>IF(D95=0,,IF(ISBLANK(Q95),,VLOOKUP(X95,Week9,2,FALSE)/(VLOOKUP(X95,Week9,2,FALSE)+VLOOKUP(W95,Week9,2,FALSE))+0.05)*100)</f>
        <v>73.99514382</v>
      </c>
      <c r="Z95" s="3" t="s">
        <v>100</v>
      </c>
      <c r="AA95" s="3">
        <v>23.0</v>
      </c>
      <c r="AB95" s="4" t="str">
        <f t="shared" si="20"/>
        <v>South Alabama</v>
      </c>
      <c r="AC95" s="3">
        <v>6.0</v>
      </c>
      <c r="AD95" s="3"/>
      <c r="AE95" s="3">
        <f t="shared" si="13"/>
        <v>17</v>
      </c>
      <c r="AF95" s="3"/>
      <c r="AG95" s="3">
        <f t="shared" si="25"/>
        <v>1</v>
      </c>
      <c r="AH95" s="3"/>
      <c r="AI95" s="7"/>
      <c r="AJ95" s="4" t="s">
        <v>86</v>
      </c>
      <c r="AK95" s="7"/>
      <c r="AL95" s="7"/>
      <c r="AM95" s="7"/>
      <c r="AN95" s="7"/>
      <c r="AO95" s="7"/>
      <c r="AP95" s="7"/>
      <c r="AQ95" s="7"/>
      <c r="AR95" s="7"/>
      <c r="AS95" s="7"/>
      <c r="AT95" s="7"/>
      <c r="AU95" s="7"/>
      <c r="AV95" s="7"/>
      <c r="AW95" s="7"/>
      <c r="AX95" s="7"/>
    </row>
    <row r="96" ht="12.75" customHeight="1">
      <c r="A96" s="3">
        <v>17.0</v>
      </c>
      <c r="B96" s="3" t="s">
        <v>129</v>
      </c>
      <c r="C96" s="3" t="s">
        <v>174</v>
      </c>
      <c r="D96" s="4">
        <f>IFERROR(VLOOKUP(B96,Week16,2,FALSE),0)</f>
        <v>38.77</v>
      </c>
      <c r="E96" s="4">
        <f>IF(ISBLANK(B96),,IFERROR(VLOOKUP(B96,CurrentRank!$B$2:$C$132,2,FALSE),0))</f>
        <v>39.96</v>
      </c>
      <c r="F96" s="4">
        <f>IFERROR(VLOOKUP(B96,Week16,3,FALSE),130)</f>
        <v>39</v>
      </c>
      <c r="G96" s="4">
        <f>IF(ISBLANK(B96),,IFERROR(VLOOKUP(B96,CurrentRank!$B$2:$D$132,3,FALSE),130))</f>
        <v>35</v>
      </c>
      <c r="H96" s="4">
        <f>IFERROR(VLOOKUP(C96,Week16,2,FALSE),0)</f>
        <v>79.2</v>
      </c>
      <c r="I96" s="4">
        <f>IF(ISBLANK(B96),,IFERROR(VLOOKUP(C96,CurrentRank!$B$2:$C$132,2,FALSE),0))</f>
        <v>69.98</v>
      </c>
      <c r="J96" s="4">
        <f>IFERROR(VLOOKUP(C96,Week16,3,FALSE),130)</f>
        <v>8</v>
      </c>
      <c r="K96" s="4">
        <f>IF(ISBLANK(C96),,IFERROR(VLOOKUP(C96,CurrentRank!$B$2:$D$132,3,FALSE),130))</f>
        <v>13</v>
      </c>
      <c r="L96" s="19">
        <f t="shared" si="77"/>
        <v>0</v>
      </c>
      <c r="M96" s="19">
        <f t="shared" si="78"/>
        <v>0</v>
      </c>
      <c r="N96" s="24">
        <f t="shared" si="71"/>
        <v>23.5</v>
      </c>
      <c r="O96" s="21">
        <f t="shared" si="4"/>
        <v>-20.215</v>
      </c>
      <c r="P96" s="21">
        <f t="shared" si="72"/>
        <v>-15.01</v>
      </c>
      <c r="Q96" s="22">
        <f t="shared" si="6"/>
        <v>0.781425</v>
      </c>
      <c r="R96" s="25" t="str">
        <f t="shared" si="7"/>
        <v>C+</v>
      </c>
      <c r="S96" s="19">
        <f t="shared" si="8"/>
        <v>0.8525</v>
      </c>
      <c r="T96" s="19" t="str">
        <f t="shared" si="9"/>
        <v>B</v>
      </c>
      <c r="U96" s="3" t="s">
        <v>223</v>
      </c>
      <c r="V96" s="4" t="str">
        <f>IF(ISBLANK(C96),,IFERROR(IF(VLOOKUP(B96,Standings!$A:$F, 6, 0)=VLOOKUP(C96,Standings!$A:$F, 6, 0), VLOOKUP(B96,Standings!$A:$F, 6, 0), "Non-con"), "FCS"))</f>
        <v>Non-con</v>
      </c>
      <c r="W96" s="3" t="str">
        <f t="shared" si="10"/>
        <v>Mississippi</v>
      </c>
      <c r="X96" s="3" t="str">
        <f t="shared" si="11"/>
        <v>Indiana</v>
      </c>
      <c r="Y96" s="30">
        <f>IF(D96=0,,IF(ISBLANK(Q96),,VLOOKUP(X96,Week16,2,FALSE)/(VLOOKUP(X96,Week16,2,FALSE)+VLOOKUP(W96,Week16,2,FALSE)))*100)</f>
        <v>67.13571247</v>
      </c>
      <c r="Z96" s="3" t="s">
        <v>129</v>
      </c>
      <c r="AA96" s="3">
        <v>26.0</v>
      </c>
      <c r="AB96" s="4" t="str">
        <f t="shared" si="20"/>
        <v>Indiana</v>
      </c>
      <c r="AC96" s="3">
        <v>20.0</v>
      </c>
      <c r="AD96" s="3"/>
      <c r="AE96" s="3">
        <f t="shared" si="13"/>
        <v>6</v>
      </c>
      <c r="AF96" s="3" t="s">
        <v>224</v>
      </c>
      <c r="AG96" s="3">
        <f t="shared" si="25"/>
        <v>0</v>
      </c>
      <c r="AH96" s="3"/>
      <c r="AI96" s="7"/>
      <c r="AJ96" s="4"/>
      <c r="AK96" s="7"/>
      <c r="AL96" s="7"/>
      <c r="AM96" s="7"/>
      <c r="AN96" s="7"/>
      <c r="AO96" s="7"/>
      <c r="AP96" s="7"/>
      <c r="AQ96" s="7"/>
      <c r="AR96" s="7"/>
      <c r="AS96" s="7"/>
      <c r="AT96" s="7"/>
      <c r="AU96" s="7"/>
      <c r="AV96" s="7"/>
      <c r="AW96" s="7"/>
      <c r="AX96" s="7"/>
    </row>
    <row r="97" ht="12.75" hidden="1" customHeight="1">
      <c r="A97" s="3">
        <v>13.0</v>
      </c>
      <c r="B97" s="3" t="s">
        <v>33</v>
      </c>
      <c r="C97" s="3" t="s">
        <v>161</v>
      </c>
      <c r="D97" s="4">
        <f>IFERROR(VLOOKUP(B97,Week12,2,FALSE),0)</f>
        <v>70.19</v>
      </c>
      <c r="E97" s="4">
        <f>IF(ISBLANK(B97),,IFERROR(VLOOKUP(B97,CurrentRank!$B$2:$C$132,2,FALSE),0))</f>
        <v>79.21</v>
      </c>
      <c r="F97" s="4">
        <f>IFERROR(VLOOKUP(B97,Week12,3,FALSE),130)</f>
        <v>14</v>
      </c>
      <c r="G97" s="4">
        <f>IF(ISBLANK(B97),,IFERROR(VLOOKUP(B97,CurrentRank!$B$2:$D$132,3,FALSE),130))</f>
        <v>6</v>
      </c>
      <c r="H97" s="4">
        <f>IFERROR(VLOOKUP(C97,Week12,2,FALSE),0)</f>
        <v>31.58</v>
      </c>
      <c r="I97" s="4">
        <f>IF(ISBLANK(B97),,IFERROR(VLOOKUP(C97,CurrentRank!$B$2:$C$132,2,FALSE),0))</f>
        <v>31.11</v>
      </c>
      <c r="J97" s="4">
        <f>IFERROR(VLOOKUP(C97,Week12,3,FALSE),130)</f>
        <v>89</v>
      </c>
      <c r="K97" s="4">
        <f>IF(ISBLANK(C97),,IFERROR(VLOOKUP(C97,CurrentRank!$B$2:$D$132,3,FALSE),130))</f>
        <v>100</v>
      </c>
      <c r="L97" s="19">
        <f t="shared" si="77"/>
        <v>1.52655</v>
      </c>
      <c r="M97" s="19">
        <f t="shared" si="78"/>
        <v>1.6548</v>
      </c>
      <c r="N97" s="24">
        <f t="shared" si="71"/>
        <v>51.5</v>
      </c>
      <c r="O97" s="21">
        <f t="shared" si="4"/>
        <v>18.541725</v>
      </c>
      <c r="P97" s="21">
        <f t="shared" si="72"/>
        <v>23.286725</v>
      </c>
      <c r="Q97" s="22">
        <f t="shared" si="6"/>
        <v>0.649791375</v>
      </c>
      <c r="R97" s="25" t="str">
        <f t="shared" si="7"/>
        <v>D</v>
      </c>
      <c r="S97" s="19">
        <f t="shared" si="8"/>
        <v>0.5975</v>
      </c>
      <c r="T97" s="19" t="str">
        <f t="shared" si="9"/>
        <v>D-</v>
      </c>
      <c r="U97" s="3" t="s">
        <v>203</v>
      </c>
      <c r="V97" s="4" t="str">
        <f>IF(ISBLANK(C97),,IFERROR(IF(VLOOKUP(B97,Standings!$A:$F, 6, 0)=VLOOKUP(C97,Standings!$A:$F, 6, 0), VLOOKUP(B97,Standings!$A:$F, 6, 0), "Non-con"), "FCS"))</f>
        <v>SEC</v>
      </c>
      <c r="W97" s="3" t="str">
        <f t="shared" si="10"/>
        <v>South Carolina</v>
      </c>
      <c r="X97" s="3" t="str">
        <f t="shared" si="11"/>
        <v>Georgia</v>
      </c>
      <c r="Y97" s="30">
        <f>IF(D97=0,,IF(ISBLANK(Q97),,VLOOKUP(X97,Week12,2,FALSE)/(VLOOKUP(X97,Week12,2,FALSE)+VLOOKUP(W97,Week12,2,FALSE))+0.05)*100)</f>
        <v>73.96924437</v>
      </c>
      <c r="Z97" s="3" t="s">
        <v>33</v>
      </c>
      <c r="AA97" s="3">
        <v>45.0</v>
      </c>
      <c r="AB97" s="4" t="str">
        <f t="shared" si="20"/>
        <v>South Carolina</v>
      </c>
      <c r="AC97" s="3">
        <v>16.0</v>
      </c>
      <c r="AD97" s="3"/>
      <c r="AE97" s="3">
        <f t="shared" si="13"/>
        <v>29</v>
      </c>
      <c r="AF97" s="3"/>
      <c r="AG97" s="3">
        <f t="shared" si="25"/>
        <v>1</v>
      </c>
      <c r="AH97" s="3"/>
      <c r="AI97" s="7"/>
      <c r="AJ97" s="4"/>
      <c r="AK97" s="7"/>
      <c r="AL97" s="7"/>
      <c r="AM97" s="7"/>
      <c r="AN97" s="7"/>
      <c r="AO97" s="7"/>
      <c r="AP97" s="7"/>
      <c r="AQ97" s="7"/>
      <c r="AR97" s="7"/>
      <c r="AS97" s="7"/>
      <c r="AT97" s="7"/>
      <c r="AU97" s="7"/>
      <c r="AV97" s="7"/>
      <c r="AW97" s="7"/>
      <c r="AX97" s="7"/>
    </row>
    <row r="98" ht="12.75" hidden="1" customHeight="1">
      <c r="A98" s="3">
        <v>4.0</v>
      </c>
      <c r="B98" s="3" t="s">
        <v>23</v>
      </c>
      <c r="C98" s="3" t="s">
        <v>149</v>
      </c>
      <c r="D98" s="4">
        <f>IFERROR(VLOOKUP(B98,Week3,2,FALSE),0)</f>
        <v>68.86</v>
      </c>
      <c r="E98" s="4">
        <f>IF(ISBLANK(B98),,IFERROR(VLOOKUP(B98,CurrentRank!$B$2:$C$132,2,FALSE),0))</f>
        <v>96.59</v>
      </c>
      <c r="F98" s="4">
        <f>IFERROR(VLOOKUP(B98,Week3,3,FALSE),130)</f>
        <v>8</v>
      </c>
      <c r="G98" s="4">
        <f>IF(ISBLANK(B98),,IFERROR(VLOOKUP(B98,CurrentRank!$B$2:$D$132,3,FALSE),130))</f>
        <v>1</v>
      </c>
      <c r="H98" s="4">
        <f>IFERROR(VLOOKUP(C98,Week3,2,FALSE),0)</f>
        <v>31.02</v>
      </c>
      <c r="I98" s="4">
        <f>IF(ISBLANK(B98),,IFERROR(VLOOKUP(C98,CurrentRank!$B$2:$C$132,2,FALSE),0))</f>
        <v>36.59</v>
      </c>
      <c r="J98" s="4">
        <f>IFERROR(VLOOKUP(C98,Week3,3,FALSE),130)</f>
        <v>51</v>
      </c>
      <c r="K98" s="4">
        <f>IF(ISBLANK(C98),,IFERROR(VLOOKUP(C98,CurrentRank!$B$2:$D$132,3,FALSE),130))</f>
        <v>51</v>
      </c>
      <c r="L98" s="19">
        <f t="shared" si="77"/>
        <v>1.4982</v>
      </c>
      <c r="M98" s="19">
        <f t="shared" si="78"/>
        <v>1.9977</v>
      </c>
      <c r="N98" s="24">
        <f t="shared" si="71"/>
        <v>29.5</v>
      </c>
      <c r="O98" s="21">
        <f t="shared" si="4"/>
        <v>18.1709</v>
      </c>
      <c r="P98" s="21">
        <f t="shared" si="72"/>
        <v>29.2509</v>
      </c>
      <c r="Q98" s="22">
        <f t="shared" si="6"/>
        <v>0.7616455</v>
      </c>
      <c r="R98" s="25" t="str">
        <f t="shared" si="7"/>
        <v>C</v>
      </c>
      <c r="S98" s="19">
        <f t="shared" si="8"/>
        <v>0.7575</v>
      </c>
      <c r="T98" s="19" t="str">
        <f t="shared" si="9"/>
        <v>C</v>
      </c>
      <c r="U98" s="3" t="s">
        <v>203</v>
      </c>
      <c r="V98" s="4" t="str">
        <f>IF(ISBLANK(C98),,IFERROR(IF(VLOOKUP(B98,Standings!$A:$F, 6, 0)=VLOOKUP(C98,Standings!$A:$F, 6, 0), VLOOKUP(B98,Standings!$A:$F, 6, 0), "Non-con"), "FCS"))</f>
        <v>SEC</v>
      </c>
      <c r="W98" s="3" t="str">
        <f t="shared" si="10"/>
        <v>Missouri</v>
      </c>
      <c r="X98" s="3" t="str">
        <f t="shared" si="11"/>
        <v>Alabama</v>
      </c>
      <c r="Y98" s="30">
        <f>IF(D98=0,,IF(ISBLANK(Q98),,VLOOKUP(X98,Week3,2,FALSE)/(VLOOKUP(X98,Week3,2,FALSE)+VLOOKUP(W98,Week3,2,FALSE))+0.05)*100)</f>
        <v>73.94273128</v>
      </c>
      <c r="Z98" s="3" t="s">
        <v>23</v>
      </c>
      <c r="AA98" s="3">
        <v>38.0</v>
      </c>
      <c r="AB98" s="4" t="str">
        <f t="shared" si="20"/>
        <v>Missouri</v>
      </c>
      <c r="AC98" s="3">
        <v>19.0</v>
      </c>
      <c r="AD98" s="3"/>
      <c r="AE98" s="3">
        <f t="shared" si="13"/>
        <v>19</v>
      </c>
      <c r="AF98" s="3"/>
      <c r="AG98" s="3">
        <f t="shared" si="25"/>
        <v>1</v>
      </c>
      <c r="AH98" s="3"/>
      <c r="AI98" s="7"/>
      <c r="AJ98" s="4"/>
      <c r="AK98" s="7"/>
      <c r="AL98" s="7"/>
      <c r="AM98" s="7"/>
      <c r="AN98" s="7"/>
      <c r="AO98" s="7"/>
      <c r="AP98" s="7"/>
      <c r="AQ98" s="7"/>
      <c r="AR98" s="7"/>
      <c r="AS98" s="7"/>
      <c r="AT98" s="7"/>
      <c r="AU98" s="7"/>
      <c r="AV98" s="7"/>
      <c r="AW98" s="7"/>
      <c r="AX98" s="7"/>
    </row>
    <row r="99" ht="12.75" hidden="1" customHeight="1">
      <c r="A99" s="3">
        <v>7.0</v>
      </c>
      <c r="B99" s="3" t="s">
        <v>123</v>
      </c>
      <c r="C99" s="3" t="s">
        <v>178</v>
      </c>
      <c r="D99" s="4">
        <f>IFERROR(VLOOKUP(B99,Week6,2,FALSE),0)</f>
        <v>14.53</v>
      </c>
      <c r="E99" s="4">
        <f>IF(ISBLANK(B99),,IFERROR(VLOOKUP(B99,CurrentRank!$B$2:$C$132,2,FALSE),0))</f>
        <v>13.91</v>
      </c>
      <c r="F99" s="4">
        <f>IFERROR(VLOOKUP(B99,Week6,3,FALSE),130)</f>
        <v>130</v>
      </c>
      <c r="G99" s="4">
        <f>IF(ISBLANK(B99),,IFERROR(VLOOKUP(B99,CurrentRank!$B$2:$D$132,3,FALSE),130))</f>
        <v>129</v>
      </c>
      <c r="H99" s="4">
        <f>IFERROR(VLOOKUP(C99,Week6,2,FALSE),0)</f>
        <v>32.19</v>
      </c>
      <c r="I99" s="4">
        <f>IF(ISBLANK(B99),,IFERROR(VLOOKUP(C99,CurrentRank!$B$2:$C$132,2,FALSE),0))</f>
        <v>30.84</v>
      </c>
      <c r="J99" s="4">
        <f>IFERROR(VLOOKUP(C99,Week6,3,FALSE),130)</f>
        <v>64</v>
      </c>
      <c r="K99" s="4">
        <f>IF(ISBLANK(C99),,IFERROR(VLOOKUP(C99,CurrentRank!$B$2:$D$132,3,FALSE),130))</f>
        <v>104</v>
      </c>
      <c r="L99" s="19">
        <f t="shared" si="77"/>
        <v>0.7008</v>
      </c>
      <c r="M99" s="19">
        <f t="shared" si="78"/>
        <v>0.67125</v>
      </c>
      <c r="N99" s="24">
        <f t="shared" si="71"/>
        <v>97</v>
      </c>
      <c r="O99" s="21">
        <f t="shared" si="4"/>
        <v>-9.1804</v>
      </c>
      <c r="P99" s="21">
        <f t="shared" si="72"/>
        <v>-8.8154</v>
      </c>
      <c r="Q99" s="22">
        <f t="shared" si="6"/>
        <v>0.469098</v>
      </c>
      <c r="R99" s="25" t="str">
        <f t="shared" si="7"/>
        <v>F</v>
      </c>
      <c r="S99" s="19">
        <f t="shared" si="8"/>
        <v>0.505</v>
      </c>
      <c r="T99" s="19" t="str">
        <f t="shared" si="9"/>
        <v>F</v>
      </c>
      <c r="U99" s="3" t="s">
        <v>203</v>
      </c>
      <c r="V99" s="4" t="str">
        <f>IF(ISBLANK(C99),,IFERROR(IF(VLOOKUP(B99,Standings!$A:$F, 6, 0)=VLOOKUP(C99,Standings!$A:$F, 6, 0), VLOOKUP(B99,Standings!$A:$F, 6, 0), "Non-con"), "FCS"))</f>
        <v>AAC</v>
      </c>
      <c r="W99" s="3" t="str">
        <f t="shared" si="10"/>
        <v>South Florida</v>
      </c>
      <c r="X99" s="3" t="str">
        <f t="shared" si="11"/>
        <v>Temple</v>
      </c>
      <c r="Y99" s="30">
        <f>IF(D99=0,,IF(ISBLANK(Q99),,VLOOKUP(X99,Week6,2,FALSE)/(VLOOKUP(X99,Week6,2,FALSE)+VLOOKUP(W99,Week6,2,FALSE))+0.05)*100)</f>
        <v>73.89982877</v>
      </c>
      <c r="Z99" s="3" t="s">
        <v>178</v>
      </c>
      <c r="AA99" s="3">
        <v>39.0</v>
      </c>
      <c r="AB99" s="4" t="str">
        <f t="shared" si="20"/>
        <v>South Florida</v>
      </c>
      <c r="AC99" s="3">
        <v>37.0</v>
      </c>
      <c r="AD99" s="3"/>
      <c r="AE99" s="3">
        <f t="shared" si="13"/>
        <v>2</v>
      </c>
      <c r="AF99" s="3"/>
      <c r="AG99" s="3">
        <f t="shared" si="25"/>
        <v>1</v>
      </c>
      <c r="AH99" s="3"/>
      <c r="AI99" s="7"/>
      <c r="AJ99" s="4" t="s">
        <v>249</v>
      </c>
      <c r="AK99" s="7"/>
      <c r="AL99" s="7"/>
      <c r="AM99" s="7"/>
      <c r="AN99" s="7"/>
      <c r="AO99" s="7"/>
      <c r="AP99" s="7"/>
      <c r="AQ99" s="7"/>
      <c r="AR99" s="7"/>
      <c r="AS99" s="7"/>
      <c r="AT99" s="7"/>
      <c r="AU99" s="7"/>
      <c r="AV99" s="7"/>
      <c r="AW99" s="7"/>
      <c r="AX99" s="7"/>
    </row>
    <row r="100" ht="12.75" hidden="1" customHeight="1">
      <c r="A100" s="3">
        <v>9.0</v>
      </c>
      <c r="B100" s="3" t="s">
        <v>33</v>
      </c>
      <c r="C100" s="3" t="s">
        <v>99</v>
      </c>
      <c r="D100" s="4">
        <f>IFERROR(VLOOKUP(B100,Week8,2,FALSE),0)</f>
        <v>81.26</v>
      </c>
      <c r="E100" s="4">
        <f>IF(ISBLANK(B100),,IFERROR(VLOOKUP(B100,CurrentRank!$B$2:$C$132,2,FALSE),0))</f>
        <v>79.21</v>
      </c>
      <c r="F100" s="4">
        <f>IFERROR(VLOOKUP(B100,Week8,3,FALSE),130)</f>
        <v>6</v>
      </c>
      <c r="G100" s="4">
        <f>IF(ISBLANK(B100),,IFERROR(VLOOKUP(B100,CurrentRank!$B$2:$D$132,3,FALSE),130))</f>
        <v>6</v>
      </c>
      <c r="H100" s="4">
        <f>IFERROR(VLOOKUP(C100,Week8,2,FALSE),0)</f>
        <v>37.19</v>
      </c>
      <c r="I100" s="4">
        <f>IF(ISBLANK(B100),,IFERROR(VLOOKUP(C100,CurrentRank!$B$2:$C$132,2,FALSE),0))</f>
        <v>36.94</v>
      </c>
      <c r="J100" s="4">
        <f>IFERROR(VLOOKUP(C100,Week8,3,FALSE),130)</f>
        <v>48</v>
      </c>
      <c r="K100" s="4">
        <f>IF(ISBLANK(C100),,IFERROR(VLOOKUP(C100,CurrentRank!$B$2:$D$132,3,FALSE),130))</f>
        <v>47</v>
      </c>
      <c r="L100" s="19">
        <f t="shared" si="77"/>
        <v>1.77675</v>
      </c>
      <c r="M100" s="19">
        <f t="shared" si="78"/>
        <v>1.74225</v>
      </c>
      <c r="N100" s="24">
        <f t="shared" si="71"/>
        <v>27</v>
      </c>
      <c r="O100" s="21">
        <f t="shared" si="4"/>
        <v>21.146625</v>
      </c>
      <c r="P100" s="21">
        <f t="shared" si="72"/>
        <v>20.246625</v>
      </c>
      <c r="Q100" s="22">
        <f t="shared" si="6"/>
        <v>0.759266875</v>
      </c>
      <c r="R100" s="25" t="str">
        <f t="shared" si="7"/>
        <v>C</v>
      </c>
      <c r="S100" s="19">
        <f t="shared" si="8"/>
        <v>0.81</v>
      </c>
      <c r="T100" s="19" t="str">
        <f t="shared" si="9"/>
        <v>B-</v>
      </c>
      <c r="U100" s="3" t="s">
        <v>203</v>
      </c>
      <c r="V100" s="4" t="str">
        <f>IF(ISBLANK(C100),,IFERROR(IF(VLOOKUP(B100,Standings!$A:$F, 6, 0)=VLOOKUP(C100,Standings!$A:$F, 6, 0), VLOOKUP(B100,Standings!$A:$F, 6, 0), "Non-con"), "FCS"))</f>
        <v>SEC</v>
      </c>
      <c r="W100" s="3" t="str">
        <f t="shared" si="10"/>
        <v>Kentucky</v>
      </c>
      <c r="X100" s="3" t="str">
        <f t="shared" si="11"/>
        <v>Georgia</v>
      </c>
      <c r="Y100" s="30">
        <f>IF(D100=0,,IF(ISBLANK(Q100),,VLOOKUP(X100,Week8,2,FALSE)/(VLOOKUP(X100,Week8,2,FALSE)+VLOOKUP(W100,Week8,2,FALSE))+0.05)*100)</f>
        <v>73.60278599</v>
      </c>
      <c r="Z100" s="3" t="s">
        <v>33</v>
      </c>
      <c r="AA100" s="3">
        <v>14.0</v>
      </c>
      <c r="AB100" s="4" t="str">
        <f t="shared" si="20"/>
        <v>Kentucky</v>
      </c>
      <c r="AC100" s="3">
        <v>3.0</v>
      </c>
      <c r="AD100" s="3"/>
      <c r="AE100" s="3">
        <f t="shared" si="13"/>
        <v>11</v>
      </c>
      <c r="AF100" s="3"/>
      <c r="AG100" s="3">
        <f t="shared" si="25"/>
        <v>1</v>
      </c>
      <c r="AH100" s="3"/>
      <c r="AI100" s="7"/>
      <c r="AJ100" s="4"/>
      <c r="AK100" s="7"/>
      <c r="AL100" s="7"/>
      <c r="AM100" s="7"/>
      <c r="AN100" s="7"/>
      <c r="AO100" s="7"/>
      <c r="AP100" s="7"/>
      <c r="AQ100" s="7"/>
      <c r="AR100" s="7"/>
      <c r="AS100" s="7"/>
      <c r="AT100" s="7"/>
      <c r="AU100" s="7"/>
      <c r="AV100" s="7"/>
      <c r="AW100" s="7"/>
      <c r="AX100" s="7"/>
    </row>
    <row r="101" ht="12.75" customHeight="1">
      <c r="A101" s="3">
        <v>6.0</v>
      </c>
      <c r="B101" s="3" t="s">
        <v>46</v>
      </c>
      <c r="C101" s="3" t="s">
        <v>51</v>
      </c>
      <c r="D101" s="4">
        <f>IFERROR(VLOOKUP(B101,Week5,2,FALSE),0)</f>
        <v>53.09</v>
      </c>
      <c r="E101" s="4">
        <f>IF(ISBLANK(B101),,IFERROR(VLOOKUP(B101,CurrentRank!$B$2:$C$132,2,FALSE),0))</f>
        <v>62.29</v>
      </c>
      <c r="F101" s="4">
        <f>IFERROR(VLOOKUP(B101,Week5,3,FALSE),130)</f>
        <v>23</v>
      </c>
      <c r="G101" s="4">
        <f>IF(ISBLANK(B101),,IFERROR(VLOOKUP(B101,CurrentRank!$B$2:$D$132,3,FALSE),130))</f>
        <v>20</v>
      </c>
      <c r="H101" s="4">
        <f>IFERROR(VLOOKUP(C101,Week5,2,FALSE),0)</f>
        <v>24.51</v>
      </c>
      <c r="I101" s="4">
        <f>IF(ISBLANK(B101),,IFERROR(VLOOKUP(C101,CurrentRank!$B$2:$C$132,2,FALSE),0))</f>
        <v>81.57</v>
      </c>
      <c r="J101" s="4">
        <f>(IFERROR(VLOOKUP(C101,Week4,3,FALSE),130)+14)/2</f>
        <v>21</v>
      </c>
      <c r="K101" s="4">
        <f>IF(ISBLANK(C101),,IFERROR(VLOOKUP(C101,CurrentRank!$B$2:$D$132,3,FALSE),130))</f>
        <v>5</v>
      </c>
      <c r="L101" s="19">
        <f t="shared" si="77"/>
        <v>1.164</v>
      </c>
      <c r="M101" s="19">
        <f t="shared" si="78"/>
        <v>2.1579</v>
      </c>
      <c r="N101" s="24">
        <f t="shared" si="71"/>
        <v>22</v>
      </c>
      <c r="O101" s="21">
        <f t="shared" si="4"/>
        <v>13.708</v>
      </c>
      <c r="P101" s="21">
        <f t="shared" si="72"/>
        <v>-10.222</v>
      </c>
      <c r="Q101" s="22">
        <f t="shared" si="6"/>
        <v>0.82146</v>
      </c>
      <c r="R101" s="25" t="str">
        <f t="shared" si="7"/>
        <v>B-</v>
      </c>
      <c r="S101" s="19">
        <f t="shared" si="8"/>
        <v>0.85</v>
      </c>
      <c r="T101" s="19" t="str">
        <f t="shared" si="9"/>
        <v>B</v>
      </c>
      <c r="U101" s="3" t="s">
        <v>203</v>
      </c>
      <c r="V101" s="4" t="str">
        <f>IF(ISBLANK(C101),,IFERROR(IF(VLOOKUP(B101,Standings!$A:$F, 6, 0)=VLOOKUP(C101,Standings!$A:$F, 6, 0), VLOOKUP(B101,Standings!$A:$F, 6, 0), "Non-con"), "FCS"))</f>
        <v>BIG12</v>
      </c>
      <c r="W101" s="3" t="str">
        <f t="shared" si="10"/>
        <v>Oklahoma</v>
      </c>
      <c r="X101" s="3" t="str">
        <f t="shared" si="11"/>
        <v>Texas</v>
      </c>
      <c r="Y101" s="30">
        <f>IF(D101=0,,IF(ISBLANK(Q101),,VLOOKUP(X101,Week5,2,FALSE)/(VLOOKUP(X101,Week5,2,FALSE)+VLOOKUP(W101,Week5,2,FALSE))+0.05)*100)</f>
        <v>73.41494845</v>
      </c>
      <c r="Z101" s="3" t="s">
        <v>51</v>
      </c>
      <c r="AA101" s="3">
        <v>53.0</v>
      </c>
      <c r="AB101" s="4" t="str">
        <f t="shared" si="20"/>
        <v>Texas</v>
      </c>
      <c r="AC101" s="3">
        <v>45.0</v>
      </c>
      <c r="AD101" s="3"/>
      <c r="AE101" s="3">
        <f t="shared" si="13"/>
        <v>8</v>
      </c>
      <c r="AF101" s="3"/>
      <c r="AG101" s="3">
        <f t="shared" si="25"/>
        <v>0</v>
      </c>
      <c r="AH101" s="3"/>
      <c r="AI101" s="7"/>
      <c r="AJ101" s="4"/>
      <c r="AK101" s="7"/>
      <c r="AL101" s="7"/>
      <c r="AM101" s="7"/>
      <c r="AN101" s="7"/>
      <c r="AO101" s="7"/>
      <c r="AP101" s="7"/>
      <c r="AQ101" s="7"/>
      <c r="AR101" s="7"/>
      <c r="AS101" s="7"/>
      <c r="AT101" s="7"/>
      <c r="AU101" s="7"/>
      <c r="AV101" s="7"/>
      <c r="AW101" s="7"/>
      <c r="AX101" s="7"/>
    </row>
    <row r="102" ht="12.75" hidden="1" customHeight="1">
      <c r="A102" s="3">
        <v>15.0</v>
      </c>
      <c r="B102" s="3" t="s">
        <v>114</v>
      </c>
      <c r="C102" s="3" t="s">
        <v>43</v>
      </c>
      <c r="D102" s="4">
        <f>IFERROR(VLOOKUP(B102,Week14,2,FALSE),0)</f>
        <v>30.07</v>
      </c>
      <c r="E102" s="4">
        <f>IF(ISBLANK(B102),,IFERROR(VLOOKUP(B102,CurrentRank!$B$2:$C$132,2,FALSE),0))</f>
        <v>29.9</v>
      </c>
      <c r="F102" s="4">
        <f>IFERROR(VLOOKUP(B102,Week14,3,FALSE),130)</f>
        <v>115</v>
      </c>
      <c r="G102" s="4">
        <f>IF(ISBLANK(B102),,IFERROR(VLOOKUP(B102,CurrentRank!$B$2:$D$132,3,FALSE),130))</f>
        <v>110</v>
      </c>
      <c r="H102" s="4">
        <f>IFERROR(VLOOKUP(C102,Week14,2,FALSE),0)</f>
        <v>13.82</v>
      </c>
      <c r="I102" s="4">
        <f>IF(ISBLANK(B102),,IFERROR(VLOOKUP(C102,CurrentRank!$B$2:$C$132,2,FALSE),0))</f>
        <v>11.84</v>
      </c>
      <c r="J102" s="4">
        <f>IFERROR(VLOOKUP(C102,Week14,3,FALSE),130)</f>
        <v>130</v>
      </c>
      <c r="K102" s="4">
        <f>IF(ISBLANK(C102),,IFERROR(VLOOKUP(C102,CurrentRank!$B$2:$D$132,3,FALSE),130))</f>
        <v>130</v>
      </c>
      <c r="L102" s="19">
        <f t="shared" si="77"/>
        <v>0.65835</v>
      </c>
      <c r="M102" s="19">
        <f t="shared" si="78"/>
        <v>0.6261</v>
      </c>
      <c r="N102" s="24">
        <f t="shared" si="71"/>
        <v>122.5</v>
      </c>
      <c r="O102" s="21">
        <f t="shared" si="4"/>
        <v>7.795825</v>
      </c>
      <c r="P102" s="21">
        <f t="shared" si="72"/>
        <v>8.700825</v>
      </c>
      <c r="Q102" s="22">
        <f t="shared" si="6"/>
        <v>0.348520875</v>
      </c>
      <c r="R102" s="25" t="str">
        <f t="shared" si="7"/>
        <v>F</v>
      </c>
      <c r="S102" s="19">
        <f t="shared" si="8"/>
        <v>0.3775</v>
      </c>
      <c r="T102" s="19" t="str">
        <f t="shared" si="9"/>
        <v>F</v>
      </c>
      <c r="U102" s="3" t="s">
        <v>203</v>
      </c>
      <c r="V102" s="4" t="str">
        <f>IF(ISBLANK(C102),,IFERROR(IF(VLOOKUP(B102,Standings!$A:$F, 6, 0)=VLOOKUP(C102,Standings!$A:$F, 6, 0), VLOOKUP(B102,Standings!$A:$F, 6, 0), "Non-con"), "FCS"))</f>
        <v>CUSA</v>
      </c>
      <c r="W102" s="3" t="str">
        <f t="shared" si="10"/>
        <v>UTEP</v>
      </c>
      <c r="X102" s="3" t="str">
        <f t="shared" si="11"/>
        <v>North Texas</v>
      </c>
      <c r="Y102" s="30">
        <f>IF(D102=0,,IF(ISBLANK(Q102),,VLOOKUP(X102,Week14,2,FALSE)/(VLOOKUP(X102,Week14,2,FALSE)+VLOOKUP(W102,Week14,2,FALSE))+0.05)*100)</f>
        <v>73.51218956</v>
      </c>
      <c r="Z102" s="3" t="s">
        <v>114</v>
      </c>
      <c r="AA102" s="3">
        <v>45.0</v>
      </c>
      <c r="AB102" s="4" t="str">
        <f t="shared" si="20"/>
        <v>UTEP</v>
      </c>
      <c r="AC102" s="3">
        <v>43.0</v>
      </c>
      <c r="AD102" s="3"/>
      <c r="AE102" s="3">
        <f t="shared" si="13"/>
        <v>2</v>
      </c>
      <c r="AF102" s="3"/>
      <c r="AG102" s="3">
        <f t="shared" si="25"/>
        <v>1</v>
      </c>
      <c r="AH102" s="3"/>
      <c r="AI102" s="7"/>
      <c r="AJ102" s="4" t="s">
        <v>134</v>
      </c>
      <c r="AK102" s="7"/>
      <c r="AL102" s="7"/>
      <c r="AM102" s="7"/>
      <c r="AN102" s="7"/>
      <c r="AO102" s="7"/>
      <c r="AP102" s="7"/>
      <c r="AQ102" s="7"/>
      <c r="AR102" s="7"/>
      <c r="AS102" s="7"/>
      <c r="AT102" s="7"/>
      <c r="AU102" s="7"/>
      <c r="AV102" s="7"/>
      <c r="AW102" s="7"/>
      <c r="AX102" s="7"/>
    </row>
    <row r="103" ht="12.75" hidden="1" customHeight="1">
      <c r="A103" s="3">
        <v>8.0</v>
      </c>
      <c r="B103" s="3" t="s">
        <v>112</v>
      </c>
      <c r="C103" s="3" t="s">
        <v>40</v>
      </c>
      <c r="D103" s="4">
        <f>IFERROR(VLOOKUP(B103,Week7,2,FALSE),0)</f>
        <v>34.14</v>
      </c>
      <c r="E103" s="4">
        <f>IF(ISBLANK(B103),,IFERROR(VLOOKUP(B103,CurrentRank!$B$2:$C$132,2,FALSE),0))</f>
        <v>36.98</v>
      </c>
      <c r="F103" s="4">
        <f>IFERROR(VLOOKUP(B103,Week7,3,FALSE),130)</f>
        <v>59</v>
      </c>
      <c r="G103" s="4">
        <f>IF(ISBLANK(B103),,IFERROR(VLOOKUP(B103,CurrentRank!$B$2:$D$132,3,FALSE),130))</f>
        <v>46</v>
      </c>
      <c r="H103" s="4">
        <f>IFERROR(VLOOKUP(C103,Week7,2,FALSE),0)</f>
        <v>74.07</v>
      </c>
      <c r="I103" s="4">
        <f>IF(ISBLANK(B103),,IFERROR(VLOOKUP(C103,CurrentRank!$B$2:$C$132,2,FALSE),0))</f>
        <v>57.15</v>
      </c>
      <c r="J103" s="4">
        <f>IFERROR(VLOOKUP(C103,Week7,3,FALSE),130)</f>
        <v>9</v>
      </c>
      <c r="K103" s="4">
        <f>IF(ISBLANK(C103),,IFERROR(VLOOKUP(C103,CurrentRank!$B$2:$D$132,3,FALSE),130))</f>
        <v>23</v>
      </c>
      <c r="L103" s="19">
        <f t="shared" si="77"/>
        <v>1.62315</v>
      </c>
      <c r="M103" s="19">
        <f t="shared" si="78"/>
        <v>1.41195</v>
      </c>
      <c r="N103" s="24">
        <f t="shared" si="71"/>
        <v>34</v>
      </c>
      <c r="O103" s="21">
        <f t="shared" si="4"/>
        <v>-20.776575</v>
      </c>
      <c r="P103" s="21">
        <f t="shared" si="72"/>
        <v>-10.896575</v>
      </c>
      <c r="Q103" s="22">
        <f t="shared" si="6"/>
        <v>0.726117125</v>
      </c>
      <c r="R103" s="25" t="str">
        <f t="shared" si="7"/>
        <v>C</v>
      </c>
      <c r="S103" s="19">
        <f t="shared" si="8"/>
        <v>0.805</v>
      </c>
      <c r="T103" s="19" t="str">
        <f t="shared" si="9"/>
        <v>B-</v>
      </c>
      <c r="U103" s="3" t="s">
        <v>203</v>
      </c>
      <c r="V103" s="4" t="str">
        <f>IF(ISBLANK(C103),,IFERROR(IF(VLOOKUP(B103,Standings!$A:$F, 6, 0)=VLOOKUP(C103,Standings!$A:$F, 6, 0), VLOOKUP(B103,Standings!$A:$F, 6, 0), "Non-con"), "FCS"))</f>
        <v>ACC</v>
      </c>
      <c r="W103" s="3" t="str">
        <f t="shared" si="10"/>
        <v>Virginia</v>
      </c>
      <c r="X103" s="3" t="str">
        <f t="shared" si="11"/>
        <v>Miami</v>
      </c>
      <c r="Y103" s="30">
        <f>IF(D103=0,,IF(ISBLANK(Q103),,VLOOKUP(X103,Week7,2,FALSE)/(VLOOKUP(X103,Week7,2,FALSE)+VLOOKUP(W103,Week7,2,FALSE))+0.05)*100)</f>
        <v>73.45023565</v>
      </c>
      <c r="Z103" s="3" t="s">
        <v>40</v>
      </c>
      <c r="AA103" s="3">
        <v>19.0</v>
      </c>
      <c r="AB103" s="4" t="str">
        <f t="shared" si="20"/>
        <v>Virginia</v>
      </c>
      <c r="AC103" s="3">
        <v>14.0</v>
      </c>
      <c r="AD103" s="3"/>
      <c r="AE103" s="3">
        <f t="shared" si="13"/>
        <v>5</v>
      </c>
      <c r="AF103" s="3"/>
      <c r="AG103" s="3">
        <f t="shared" si="25"/>
        <v>1</v>
      </c>
      <c r="AH103" s="3"/>
      <c r="AI103" s="7"/>
      <c r="AJ103" s="4"/>
      <c r="AK103" s="7"/>
      <c r="AL103" s="7"/>
      <c r="AM103" s="7"/>
      <c r="AN103" s="7"/>
      <c r="AO103" s="7"/>
      <c r="AP103" s="7"/>
      <c r="AQ103" s="7"/>
      <c r="AR103" s="7"/>
      <c r="AS103" s="7"/>
      <c r="AT103" s="7"/>
      <c r="AU103" s="7"/>
      <c r="AV103" s="7"/>
      <c r="AW103" s="7"/>
      <c r="AX103" s="7"/>
    </row>
    <row r="104" ht="12.75" hidden="1" customHeight="1">
      <c r="A104" s="3">
        <v>10.0</v>
      </c>
      <c r="B104" s="3" t="s">
        <v>146</v>
      </c>
      <c r="C104" s="3" t="s">
        <v>95</v>
      </c>
      <c r="D104" s="4">
        <f>IFERROR(VLOOKUP(B104,Week9,2,FALSE),0)</f>
        <v>31.56</v>
      </c>
      <c r="E104" s="4">
        <f>IF(ISBLANK(B104),,IFERROR(VLOOKUP(B104,CurrentRank!$B$2:$C$132,2,FALSE),0))</f>
        <v>29.48</v>
      </c>
      <c r="F104" s="4">
        <f>IFERROR(VLOOKUP(B104,Week9,3,FALSE),130)</f>
        <v>79</v>
      </c>
      <c r="G104" s="4">
        <f>IF(ISBLANK(B104),,IFERROR(VLOOKUP(B104,CurrentRank!$B$2:$D$132,3,FALSE),130))</f>
        <v>113</v>
      </c>
      <c r="H104" s="4">
        <f>IFERROR(VLOOKUP(C104,Week9,2,FALSE),0)</f>
        <v>68.41</v>
      </c>
      <c r="I104" s="4">
        <f>IF(ISBLANK(B104),,IFERROR(VLOOKUP(C104,CurrentRank!$B$2:$C$132,2,FALSE),0))</f>
        <v>33.45</v>
      </c>
      <c r="J104" s="4">
        <f>IFERROR(VLOOKUP(C104,Week9,3,FALSE),130)</f>
        <v>15</v>
      </c>
      <c r="K104" s="4">
        <f>IF(ISBLANK(C104),,IFERROR(VLOOKUP(C104,CurrentRank!$B$2:$D$132,3,FALSE),130))</f>
        <v>81</v>
      </c>
      <c r="L104" s="19">
        <f t="shared" si="77"/>
        <v>1.49955</v>
      </c>
      <c r="M104" s="19">
        <f t="shared" si="78"/>
        <v>0.94395</v>
      </c>
      <c r="N104" s="24">
        <f t="shared" si="71"/>
        <v>47</v>
      </c>
      <c r="O104" s="21">
        <f t="shared" si="4"/>
        <v>-19.174775</v>
      </c>
      <c r="P104" s="21">
        <f t="shared" si="72"/>
        <v>-2.734775</v>
      </c>
      <c r="Q104" s="22">
        <f t="shared" si="6"/>
        <v>0.669126125</v>
      </c>
      <c r="R104" s="25" t="str">
        <f t="shared" si="7"/>
        <v>D+</v>
      </c>
      <c r="S104" s="19">
        <f t="shared" si="8"/>
        <v>0.56</v>
      </c>
      <c r="T104" s="19" t="str">
        <f t="shared" si="9"/>
        <v>F</v>
      </c>
      <c r="U104" s="3" t="s">
        <v>203</v>
      </c>
      <c r="V104" s="4" t="str">
        <f>IF(ISBLANK(C104),,IFERROR(IF(VLOOKUP(B104,Standings!$A:$F, 6, 0)=VLOOKUP(C104,Standings!$A:$F, 6, 0), VLOOKUP(B104,Standings!$A:$F, 6, 0), "Non-con"), "FCS"))</f>
        <v>Non-con</v>
      </c>
      <c r="W104" s="3" t="str">
        <f t="shared" si="10"/>
        <v>Massachusetts</v>
      </c>
      <c r="X104" s="3" t="str">
        <f t="shared" si="11"/>
        <v>Marshall</v>
      </c>
      <c r="Y104" s="30">
        <f>IF(D104=0,,IF(ISBLANK(Q104),,VLOOKUP(X104,Week9,2,FALSE)/(VLOOKUP(X104,Week9,2,FALSE)+VLOOKUP(W104,Week9,2,FALSE))+0.05)*100)</f>
        <v>73.43052916</v>
      </c>
      <c r="Z104" s="3" t="s">
        <v>95</v>
      </c>
      <c r="AA104" s="3">
        <v>51.0</v>
      </c>
      <c r="AB104" s="4" t="str">
        <f t="shared" si="20"/>
        <v>Massachusetts</v>
      </c>
      <c r="AC104" s="3">
        <v>10.0</v>
      </c>
      <c r="AD104" s="3"/>
      <c r="AE104" s="3">
        <f t="shared" si="13"/>
        <v>41</v>
      </c>
      <c r="AF104" s="3"/>
      <c r="AG104" s="3">
        <f t="shared" si="25"/>
        <v>1</v>
      </c>
      <c r="AH104" s="3"/>
      <c r="AI104" s="7"/>
      <c r="AJ104" s="4" t="s">
        <v>43</v>
      </c>
      <c r="AK104" s="7"/>
      <c r="AL104" s="7"/>
      <c r="AM104" s="7"/>
      <c r="AN104" s="7"/>
      <c r="AO104" s="7"/>
      <c r="AP104" s="7"/>
      <c r="AQ104" s="7"/>
      <c r="AR104" s="7"/>
      <c r="AS104" s="7"/>
      <c r="AT104" s="7"/>
      <c r="AU104" s="7"/>
      <c r="AV104" s="7"/>
      <c r="AW104" s="7"/>
      <c r="AX104" s="7"/>
    </row>
    <row r="105" ht="12.75" customHeight="1">
      <c r="A105" s="3">
        <v>8.0</v>
      </c>
      <c r="B105" s="3" t="s">
        <v>82</v>
      </c>
      <c r="C105" s="3" t="s">
        <v>93</v>
      </c>
      <c r="D105" s="4">
        <f>IFERROR(VLOOKUP(B105,Week7,2,FALSE),0)</f>
        <v>67.6</v>
      </c>
      <c r="E105" s="4">
        <f>IF(ISBLANK(B105),,IFERROR(VLOOKUP(B105,CurrentRank!$B$2:$C$132,2,FALSE),0))</f>
        <v>36.12</v>
      </c>
      <c r="F105" s="4">
        <f>IFERROR(VLOOKUP(B105,Week7,3,FALSE),130)</f>
        <v>14</v>
      </c>
      <c r="G105" s="4">
        <f>IF(ISBLANK(B105),,IFERROR(VLOOKUP(B105,CurrentRank!$B$2:$D$132,3,FALSE),130))</f>
        <v>54</v>
      </c>
      <c r="H105" s="4">
        <f>IFERROR(VLOOKUP(C105,Week7,2,FALSE),0)</f>
        <v>40.36</v>
      </c>
      <c r="I105" s="4">
        <f>IF(ISBLANK(B105),,IFERROR(VLOOKUP(C105,CurrentRank!$B$2:$C$132,2,FALSE),0))</f>
        <v>36.48</v>
      </c>
      <c r="J105" s="4">
        <f>IFERROR(VLOOKUP(C105,Week7,3,FALSE),130)</f>
        <v>35</v>
      </c>
      <c r="K105" s="4">
        <f>IF(ISBLANK(C105),,IFERROR(VLOOKUP(C105,CurrentRank!$B$2:$D$132,3,FALSE),130))</f>
        <v>52</v>
      </c>
      <c r="L105" s="19">
        <f t="shared" si="77"/>
        <v>1.6194</v>
      </c>
      <c r="M105" s="19">
        <f t="shared" si="78"/>
        <v>1.089</v>
      </c>
      <c r="N105" s="24">
        <f t="shared" si="71"/>
        <v>24.5</v>
      </c>
      <c r="O105" s="21">
        <f t="shared" si="4"/>
        <v>12.8103</v>
      </c>
      <c r="P105" s="21">
        <f t="shared" si="72"/>
        <v>-0.9897</v>
      </c>
      <c r="Q105" s="22">
        <f t="shared" si="6"/>
        <v>0.8134485</v>
      </c>
      <c r="R105" s="25" t="str">
        <f t="shared" si="7"/>
        <v>B-</v>
      </c>
      <c r="S105" s="19">
        <f t="shared" si="8"/>
        <v>0.8425</v>
      </c>
      <c r="T105" s="19" t="str">
        <f t="shared" si="9"/>
        <v>B</v>
      </c>
      <c r="U105" s="3" t="s">
        <v>203</v>
      </c>
      <c r="V105" s="4" t="str">
        <f>IF(ISBLANK(C105),,IFERROR(IF(VLOOKUP(B105,Standings!$A:$F, 6, 0)=VLOOKUP(C105,Standings!$A:$F, 6, 0), VLOOKUP(B105,Standings!$A:$F, 6, 0), "Non-con"), "FCS"))</f>
        <v>ACC</v>
      </c>
      <c r="W105" s="3" t="str">
        <f t="shared" si="10"/>
        <v>Wake Forest</v>
      </c>
      <c r="X105" s="3" t="str">
        <f t="shared" si="11"/>
        <v>Virginia Tech</v>
      </c>
      <c r="Y105" s="30">
        <f>IF(D105=0,,IF(ISBLANK(Q105),,VLOOKUP(X105,Week7,2,FALSE)/(VLOOKUP(X105,Week7,2,FALSE)+VLOOKUP(W105,Week7,2,FALSE))+0.05)*100)</f>
        <v>67.61578362</v>
      </c>
      <c r="Z105" s="3" t="s">
        <v>93</v>
      </c>
      <c r="AA105" s="3">
        <v>23.0</v>
      </c>
      <c r="AB105" s="4" t="str">
        <f t="shared" si="20"/>
        <v>Virginia Tech</v>
      </c>
      <c r="AC105" s="3">
        <v>16.0</v>
      </c>
      <c r="AD105" s="3"/>
      <c r="AE105" s="3">
        <f t="shared" si="13"/>
        <v>7</v>
      </c>
      <c r="AF105" s="3"/>
      <c r="AG105" s="3">
        <f t="shared" si="25"/>
        <v>0</v>
      </c>
      <c r="AH105" s="3"/>
      <c r="AI105" s="7"/>
      <c r="AJ105" s="4"/>
      <c r="AK105" s="7"/>
      <c r="AL105" s="7"/>
      <c r="AM105" s="7"/>
      <c r="AN105" s="7"/>
      <c r="AO105" s="7"/>
      <c r="AP105" s="7"/>
      <c r="AQ105" s="7"/>
      <c r="AR105" s="7"/>
      <c r="AS105" s="7"/>
      <c r="AT105" s="7"/>
      <c r="AU105" s="7"/>
      <c r="AV105" s="7"/>
      <c r="AW105" s="7"/>
      <c r="AX105" s="7"/>
    </row>
    <row r="106" ht="12.75" hidden="1" customHeight="1">
      <c r="A106" s="3">
        <v>10.0</v>
      </c>
      <c r="B106" s="3" t="s">
        <v>166</v>
      </c>
      <c r="C106" s="3" t="s">
        <v>26</v>
      </c>
      <c r="D106" s="4">
        <f>IFERROR(VLOOKUP(B106,Week9,2,FALSE),0)</f>
        <v>39.8</v>
      </c>
      <c r="E106" s="4">
        <f>IF(ISBLANK(B106),,IFERROR(VLOOKUP(B106,CurrentRank!$B$2:$C$132,2,FALSE),0))</f>
        <v>31.48</v>
      </c>
      <c r="F106" s="4">
        <f>IFERROR(VLOOKUP(B106,Week9,3,FALSE),130)</f>
        <v>37</v>
      </c>
      <c r="G106" s="4">
        <f>IF(ISBLANK(B106),,IFERROR(VLOOKUP(B106,CurrentRank!$B$2:$D$132,3,FALSE),130))</f>
        <v>99</v>
      </c>
      <c r="H106" s="4">
        <f>IFERROR(VLOOKUP(C106,Week9,2,FALSE),0)</f>
        <v>86.13</v>
      </c>
      <c r="I106" s="4">
        <f>IF(ISBLANK(B106),,IFERROR(VLOOKUP(C106,CurrentRank!$B$2:$C$132,2,FALSE),0))</f>
        <v>87.05</v>
      </c>
      <c r="J106" s="4">
        <f>IFERROR(VLOOKUP(C106,Week9,3,FALSE),130)</f>
        <v>4</v>
      </c>
      <c r="K106" s="4">
        <f>IF(ISBLANK(C106),,IFERROR(VLOOKUP(C106,CurrentRank!$B$2:$D$132,3,FALSE),130))</f>
        <v>2</v>
      </c>
      <c r="L106" s="19">
        <f t="shared" si="77"/>
        <v>1.88895</v>
      </c>
      <c r="M106" s="19">
        <f t="shared" si="78"/>
        <v>1.77795</v>
      </c>
      <c r="N106" s="24">
        <f t="shared" si="71"/>
        <v>20.5</v>
      </c>
      <c r="O106" s="21">
        <f t="shared" si="4"/>
        <v>-24.109475</v>
      </c>
      <c r="P106" s="21">
        <f t="shared" si="72"/>
        <v>-28.729475</v>
      </c>
      <c r="Q106" s="22">
        <f t="shared" si="6"/>
        <v>0.776952625</v>
      </c>
      <c r="R106" s="25" t="str">
        <f t="shared" si="7"/>
        <v>C+</v>
      </c>
      <c r="S106" s="19">
        <f t="shared" si="8"/>
        <v>0.7875</v>
      </c>
      <c r="T106" s="19" t="str">
        <f t="shared" si="9"/>
        <v>C+</v>
      </c>
      <c r="U106" s="3" t="s">
        <v>203</v>
      </c>
      <c r="V106" s="4" t="str">
        <f>IF(ISBLANK(C106),,IFERROR(IF(VLOOKUP(B106,Standings!$A:$F, 6, 0)=VLOOKUP(C106,Standings!$A:$F, 6, 0), VLOOKUP(B106,Standings!$A:$F, 6, 0), "Non-con"), "FCS"))</f>
        <v>B1G</v>
      </c>
      <c r="W106" s="3" t="str">
        <f t="shared" si="10"/>
        <v>Rutgers</v>
      </c>
      <c r="X106" s="3" t="str">
        <f t="shared" si="11"/>
        <v>Ohio State</v>
      </c>
      <c r="Y106" s="30">
        <f>IF(D106=0,,IF(ISBLANK(Q106),,VLOOKUP(X106,Week9,2,FALSE)/(VLOOKUP(X106,Week9,2,FALSE)+VLOOKUP(W106,Week9,2,FALSE))+0.05)*100)</f>
        <v>73.39514016</v>
      </c>
      <c r="Z106" s="3" t="s">
        <v>26</v>
      </c>
      <c r="AA106" s="3">
        <v>49.0</v>
      </c>
      <c r="AB106" s="4" t="str">
        <f t="shared" si="20"/>
        <v>Rutgers</v>
      </c>
      <c r="AC106" s="3">
        <v>27.0</v>
      </c>
      <c r="AD106" s="3"/>
      <c r="AE106" s="3">
        <f t="shared" si="13"/>
        <v>22</v>
      </c>
      <c r="AF106" s="3"/>
      <c r="AG106" s="3">
        <f t="shared" si="25"/>
        <v>1</v>
      </c>
      <c r="AH106" s="3"/>
      <c r="AI106" s="7"/>
      <c r="AJ106" s="4"/>
      <c r="AK106" s="7"/>
      <c r="AL106" s="7"/>
      <c r="AM106" s="7"/>
      <c r="AN106" s="7"/>
      <c r="AO106" s="7"/>
      <c r="AP106" s="7"/>
      <c r="AQ106" s="7"/>
      <c r="AR106" s="7"/>
      <c r="AS106" s="7"/>
      <c r="AT106" s="7"/>
      <c r="AU106" s="7"/>
      <c r="AV106" s="7"/>
      <c r="AW106" s="7"/>
      <c r="AX106" s="7"/>
    </row>
    <row r="107" ht="12.75" hidden="1" customHeight="1">
      <c r="A107" s="3">
        <v>14.0</v>
      </c>
      <c r="B107" s="3" t="s">
        <v>79</v>
      </c>
      <c r="C107" s="3" t="s">
        <v>64</v>
      </c>
      <c r="D107" s="4">
        <f>IFERROR(VLOOKUP(B107,Week13,2,FALSE),0)</f>
        <v>81.12</v>
      </c>
      <c r="E107" s="4">
        <f>IF(ISBLANK(B107),,IFERROR(VLOOKUP(B107,CurrentRank!$B$2:$C$132,2,FALSE),0))</f>
        <v>85.31</v>
      </c>
      <c r="F107" s="4">
        <f>IFERROR(VLOOKUP(B107,Week13,3,FALSE),130)</f>
        <v>6</v>
      </c>
      <c r="G107" s="4">
        <f>IF(ISBLANK(B107),,IFERROR(VLOOKUP(B107,CurrentRank!$B$2:$D$132,3,FALSE),130))</f>
        <v>3</v>
      </c>
      <c r="H107" s="4">
        <f>IFERROR(VLOOKUP(C107,Week13,2,FALSE),0)</f>
        <v>37.67</v>
      </c>
      <c r="I107" s="4">
        <f>IF(ISBLANK(B107),,IFERROR(VLOOKUP(C107,CurrentRank!$B$2:$C$132,2,FALSE),0))</f>
        <v>39.11</v>
      </c>
      <c r="J107" s="4">
        <f>IFERROR(VLOOKUP(C107,Week13,3,FALSE),130)</f>
        <v>43</v>
      </c>
      <c r="K107" s="4">
        <f>IF(ISBLANK(C107),,IFERROR(VLOOKUP(C107,CurrentRank!$B$2:$D$132,3,FALSE),130))</f>
        <v>36</v>
      </c>
      <c r="L107" s="19">
        <f t="shared" si="77"/>
        <v>1.78185</v>
      </c>
      <c r="M107" s="19">
        <f t="shared" si="78"/>
        <v>1.8663</v>
      </c>
      <c r="N107" s="24">
        <f t="shared" si="71"/>
        <v>24.5</v>
      </c>
      <c r="O107" s="21">
        <f t="shared" si="4"/>
        <v>20.834075</v>
      </c>
      <c r="P107" s="21">
        <f t="shared" si="72"/>
        <v>22.209075</v>
      </c>
      <c r="Q107" s="22">
        <f t="shared" si="6"/>
        <v>0.773329625</v>
      </c>
      <c r="R107" s="25" t="str">
        <f t="shared" si="7"/>
        <v>C+</v>
      </c>
      <c r="S107" s="19">
        <f t="shared" si="8"/>
        <v>0.8225</v>
      </c>
      <c r="T107" s="19" t="str">
        <f t="shared" si="9"/>
        <v>B-</v>
      </c>
      <c r="U107" s="3" t="s">
        <v>203</v>
      </c>
      <c r="V107" s="4" t="str">
        <f>IF(ISBLANK(C107),,IFERROR(IF(VLOOKUP(B107,Standings!$A:$F, 6, 0)=VLOOKUP(C107,Standings!$A:$F, 6, 0), VLOOKUP(B107,Standings!$A:$F, 6, 0), "Non-con"), "FCS"))</f>
        <v>SEC</v>
      </c>
      <c r="W107" s="3" t="str">
        <f t="shared" si="10"/>
        <v>Auburn</v>
      </c>
      <c r="X107" s="3" t="str">
        <f t="shared" si="11"/>
        <v>Texas A&amp;M</v>
      </c>
      <c r="Y107" s="30">
        <f>IF(D107=0,,IF(ISBLANK(Q107),,VLOOKUP(X107,Week13,2,FALSE)/(VLOOKUP(X107,Week13,2,FALSE)+VLOOKUP(W107,Week13,2,FALSE))+0.05)*100)</f>
        <v>73.28857648</v>
      </c>
      <c r="Z107" s="3" t="s">
        <v>79</v>
      </c>
      <c r="AA107" s="3">
        <v>31.0</v>
      </c>
      <c r="AB107" s="4" t="str">
        <f t="shared" si="20"/>
        <v>Auburn</v>
      </c>
      <c r="AC107" s="3">
        <v>20.0</v>
      </c>
      <c r="AD107" s="3"/>
      <c r="AE107" s="3">
        <f t="shared" si="13"/>
        <v>11</v>
      </c>
      <c r="AF107" s="3"/>
      <c r="AG107" s="3">
        <f t="shared" si="25"/>
        <v>1</v>
      </c>
      <c r="AH107" s="3"/>
      <c r="AI107" s="7"/>
      <c r="AJ107" s="4"/>
      <c r="AK107" s="7"/>
      <c r="AL107" s="7"/>
      <c r="AM107" s="7"/>
      <c r="AN107" s="7"/>
      <c r="AO107" s="7"/>
      <c r="AP107" s="7"/>
      <c r="AQ107" s="7"/>
      <c r="AR107" s="7"/>
      <c r="AS107" s="7"/>
      <c r="AT107" s="7"/>
      <c r="AU107" s="7"/>
      <c r="AV107" s="7"/>
      <c r="AW107" s="7"/>
      <c r="AX107" s="7"/>
    </row>
    <row r="108" ht="12.75" hidden="1" customHeight="1">
      <c r="A108" s="3">
        <v>5.0</v>
      </c>
      <c r="B108" s="3" t="s">
        <v>82</v>
      </c>
      <c r="C108" s="3" t="s">
        <v>187</v>
      </c>
      <c r="D108" s="4">
        <f>IFERROR(VLOOKUP(B108,Week4,2,FALSE),0)</f>
        <v>59.34</v>
      </c>
      <c r="E108" s="4">
        <f>IF(ISBLANK(B108),,IFERROR(VLOOKUP(B108,CurrentRank!$B$2:$C$132,2,FALSE),0))</f>
        <v>36.12</v>
      </c>
      <c r="F108" s="4">
        <f>IFERROR(VLOOKUP(B108,Week4,3,FALSE),130)</f>
        <v>20</v>
      </c>
      <c r="G108" s="4">
        <f>IF(ISBLANK(B108),,IFERROR(VLOOKUP(B108,CurrentRank!$B$2:$D$132,3,FALSE),130))</f>
        <v>54</v>
      </c>
      <c r="H108" s="4">
        <f>IFERROR(VLOOKUP(C108,Week4,2,FALSE),0)</f>
        <v>27.57</v>
      </c>
      <c r="I108" s="4">
        <f>IF(ISBLANK(B108),,IFERROR(VLOOKUP(C108,CurrentRank!$B$2:$C$132,2,FALSE),0))</f>
        <v>28.66</v>
      </c>
      <c r="J108" s="4">
        <f>IFERROR(VLOOKUP(C108,Week4,3,FALSE),130)</f>
        <v>117</v>
      </c>
      <c r="K108" s="4">
        <f>IF(ISBLANK(C108),,IFERROR(VLOOKUP(C108,CurrentRank!$B$2:$D$132,3,FALSE),130))</f>
        <v>120</v>
      </c>
      <c r="L108" s="19">
        <f t="shared" si="77"/>
        <v>1.30365</v>
      </c>
      <c r="M108" s="19">
        <f t="shared" si="78"/>
        <v>0.9717</v>
      </c>
      <c r="N108" s="24">
        <f t="shared" si="71"/>
        <v>68.5</v>
      </c>
      <c r="O108" s="21">
        <f t="shared" si="4"/>
        <v>15.233175</v>
      </c>
      <c r="P108" s="21">
        <f t="shared" si="72"/>
        <v>3.078175</v>
      </c>
      <c r="Q108" s="22">
        <f t="shared" si="6"/>
        <v>0.581334125</v>
      </c>
      <c r="R108" s="25" t="str">
        <f t="shared" si="7"/>
        <v>F</v>
      </c>
      <c r="S108" s="19">
        <f t="shared" si="8"/>
        <v>0.6225</v>
      </c>
      <c r="T108" s="19" t="str">
        <f t="shared" si="9"/>
        <v>D-</v>
      </c>
      <c r="U108" s="3" t="s">
        <v>203</v>
      </c>
      <c r="V108" s="4" t="str">
        <f>IF(ISBLANK(C108),,IFERROR(IF(VLOOKUP(B108,Standings!$A:$F, 6, 0)=VLOOKUP(C108,Standings!$A:$F, 6, 0), VLOOKUP(B108,Standings!$A:$F, 6, 0), "Non-con"), "FCS"))</f>
        <v>ACC</v>
      </c>
      <c r="W108" s="3" t="str">
        <f t="shared" si="10"/>
        <v>Duke</v>
      </c>
      <c r="X108" s="3" t="str">
        <f t="shared" si="11"/>
        <v>Virginia Tech</v>
      </c>
      <c r="Y108" s="30">
        <f>IF(D108=0,,IF(ISBLANK(Q108),,VLOOKUP(X108,Week4,2,FALSE)/(VLOOKUP(X108,Week4,2,FALSE)+VLOOKUP(W108,Week4,2,FALSE))+0.05)*100)</f>
        <v>73.27752848</v>
      </c>
      <c r="Z108" s="3" t="s">
        <v>82</v>
      </c>
      <c r="AA108" s="3">
        <v>38.0</v>
      </c>
      <c r="AB108" s="4" t="str">
        <f t="shared" si="20"/>
        <v>Duke</v>
      </c>
      <c r="AC108" s="3">
        <v>31.0</v>
      </c>
      <c r="AD108" s="3"/>
      <c r="AE108" s="3">
        <f t="shared" si="13"/>
        <v>7</v>
      </c>
      <c r="AF108" s="3"/>
      <c r="AG108" s="3">
        <f t="shared" si="25"/>
        <v>1</v>
      </c>
      <c r="AH108" s="3"/>
      <c r="AI108" s="7"/>
      <c r="AJ108" s="4"/>
      <c r="AK108" s="7"/>
      <c r="AL108" s="7"/>
      <c r="AM108" s="7"/>
      <c r="AN108" s="7"/>
      <c r="AO108" s="7"/>
      <c r="AP108" s="7"/>
      <c r="AQ108" s="7"/>
      <c r="AR108" s="7"/>
      <c r="AS108" s="7"/>
      <c r="AT108" s="7"/>
      <c r="AU108" s="7"/>
      <c r="AV108" s="7"/>
      <c r="AW108" s="7"/>
      <c r="AX108" s="7"/>
    </row>
    <row r="109" ht="12.75" hidden="1" customHeight="1">
      <c r="A109" s="3">
        <v>4.0</v>
      </c>
      <c r="B109" s="3" t="s">
        <v>33</v>
      </c>
      <c r="C109" s="3" t="s">
        <v>118</v>
      </c>
      <c r="D109" s="4">
        <f>IFERROR(VLOOKUP(B109,Week3,2,FALSE),0)</f>
        <v>66.76</v>
      </c>
      <c r="E109" s="4">
        <f>IF(ISBLANK(B109),,IFERROR(VLOOKUP(B109,CurrentRank!$B$2:$C$132,2,FALSE),0))</f>
        <v>79.21</v>
      </c>
      <c r="F109" s="4">
        <f>IFERROR(VLOOKUP(B109,Week3,3,FALSE),130)</f>
        <v>10</v>
      </c>
      <c r="G109" s="4">
        <f>IF(ISBLANK(B109),,IFERROR(VLOOKUP(B109,CurrentRank!$B$2:$D$132,3,FALSE),130))</f>
        <v>6</v>
      </c>
      <c r="H109" s="4">
        <f>IFERROR(VLOOKUP(C109,Week3,2,FALSE),0)</f>
        <v>31.02</v>
      </c>
      <c r="I109" s="4">
        <f>IF(ISBLANK(B109),,IFERROR(VLOOKUP(C109,CurrentRank!$B$2:$C$132,2,FALSE),0))</f>
        <v>35.17</v>
      </c>
      <c r="J109" s="4">
        <f>IFERROR(VLOOKUP(C109,Week3,3,FALSE),130)</f>
        <v>51</v>
      </c>
      <c r="K109" s="4">
        <f>IF(ISBLANK(C109),,IFERROR(VLOOKUP(C109,CurrentRank!$B$2:$D$132,3,FALSE),130))</f>
        <v>65</v>
      </c>
      <c r="L109" s="19">
        <f t="shared" si="77"/>
        <v>1.4667</v>
      </c>
      <c r="M109" s="19">
        <f t="shared" si="78"/>
        <v>1.7157</v>
      </c>
      <c r="N109" s="24">
        <f t="shared" si="71"/>
        <v>30.5</v>
      </c>
      <c r="O109" s="21">
        <f t="shared" si="4"/>
        <v>17.13665</v>
      </c>
      <c r="P109" s="21">
        <f t="shared" si="72"/>
        <v>21.28665</v>
      </c>
      <c r="Q109" s="22">
        <f t="shared" si="6"/>
        <v>0.76181675</v>
      </c>
      <c r="R109" s="25" t="str">
        <f t="shared" si="7"/>
        <v>C</v>
      </c>
      <c r="S109" s="19">
        <f t="shared" si="8"/>
        <v>0.7125</v>
      </c>
      <c r="T109" s="19" t="str">
        <f t="shared" si="9"/>
        <v>C-</v>
      </c>
      <c r="U109" s="3" t="s">
        <v>203</v>
      </c>
      <c r="V109" s="4" t="str">
        <f>IF(ISBLANK(C109),,IFERROR(IF(VLOOKUP(B109,Standings!$A:$F, 6, 0)=VLOOKUP(C109,Standings!$A:$F, 6, 0), VLOOKUP(B109,Standings!$A:$F, 6, 0), "Non-con"), "FCS"))</f>
        <v>SEC</v>
      </c>
      <c r="W109" s="3" t="str">
        <f t="shared" si="10"/>
        <v>Arkansas</v>
      </c>
      <c r="X109" s="3" t="str">
        <f t="shared" si="11"/>
        <v>Georgia</v>
      </c>
      <c r="Y109" s="30">
        <f>IF(D109=0,,IF(ISBLANK(Q109),,VLOOKUP(X109,Week3,2,FALSE)/(VLOOKUP(X109,Week3,2,FALSE)+VLOOKUP(W109,Week3,2,FALSE))+0.05)*100)</f>
        <v>73.27572101</v>
      </c>
      <c r="Z109" s="3" t="s">
        <v>33</v>
      </c>
      <c r="AA109" s="3">
        <v>37.0</v>
      </c>
      <c r="AB109" s="4" t="str">
        <f t="shared" si="20"/>
        <v>Arkansas</v>
      </c>
      <c r="AC109" s="3">
        <v>10.0</v>
      </c>
      <c r="AD109" s="3"/>
      <c r="AE109" s="3">
        <f t="shared" si="13"/>
        <v>27</v>
      </c>
      <c r="AF109" s="3"/>
      <c r="AG109" s="3">
        <f t="shared" si="25"/>
        <v>1</v>
      </c>
      <c r="AH109" s="3"/>
      <c r="AI109" s="7"/>
      <c r="AJ109" s="4"/>
      <c r="AK109" s="7"/>
      <c r="AL109" s="7"/>
      <c r="AM109" s="7"/>
      <c r="AN109" s="7"/>
      <c r="AO109" s="7"/>
      <c r="AP109" s="7"/>
      <c r="AQ109" s="7"/>
      <c r="AR109" s="7"/>
      <c r="AS109" s="7"/>
      <c r="AT109" s="7"/>
      <c r="AU109" s="7"/>
      <c r="AV109" s="7"/>
      <c r="AW109" s="7"/>
      <c r="AX109" s="7"/>
    </row>
    <row r="110" ht="12.75" hidden="1" customHeight="1">
      <c r="A110" s="3">
        <v>7.0</v>
      </c>
      <c r="B110" s="3" t="s">
        <v>89</v>
      </c>
      <c r="C110" s="3" t="s">
        <v>40</v>
      </c>
      <c r="D110" s="4">
        <f>IFERROR(VLOOKUP(B110,Week6,2,FALSE),0)</f>
        <v>32.78</v>
      </c>
      <c r="E110" s="4">
        <f>IF(ISBLANK(B110),,IFERROR(VLOOKUP(B110,CurrentRank!$B$2:$C$132,2,FALSE),0))</f>
        <v>35.74</v>
      </c>
      <c r="F110" s="4">
        <f>IFERROR(VLOOKUP(B110,Week6,3,FALSE),130)</f>
        <v>59</v>
      </c>
      <c r="G110" s="4">
        <f>IF(ISBLANK(B110),,IFERROR(VLOOKUP(B110,CurrentRank!$B$2:$D$132,3,FALSE),130))</f>
        <v>56</v>
      </c>
      <c r="H110" s="4">
        <f>IFERROR(VLOOKUP(C110,Week6,2,FALSE),0)</f>
        <v>70.01</v>
      </c>
      <c r="I110" s="4">
        <f>IF(ISBLANK(B110),,IFERROR(VLOOKUP(C110,CurrentRank!$B$2:$C$132,2,FALSE),0))</f>
        <v>57.15</v>
      </c>
      <c r="J110" s="4">
        <f>IFERROR(VLOOKUP(C110,Week6,3,FALSE),130)</f>
        <v>11</v>
      </c>
      <c r="K110" s="4">
        <f>IF(ISBLANK(C110),,IFERROR(VLOOKUP(C110,CurrentRank!$B$2:$D$132,3,FALSE),130))</f>
        <v>23</v>
      </c>
      <c r="L110" s="19">
        <f t="shared" si="77"/>
        <v>1.54185</v>
      </c>
      <c r="M110" s="19">
        <f t="shared" si="78"/>
        <v>1.39335</v>
      </c>
      <c r="N110" s="24">
        <f t="shared" si="71"/>
        <v>35</v>
      </c>
      <c r="O110" s="21">
        <f t="shared" si="4"/>
        <v>-19.385925</v>
      </c>
      <c r="P110" s="21">
        <f t="shared" si="72"/>
        <v>-11.475925</v>
      </c>
      <c r="Q110" s="22">
        <f t="shared" si="6"/>
        <v>0.728070375</v>
      </c>
      <c r="R110" s="25" t="str">
        <f t="shared" si="7"/>
        <v>C</v>
      </c>
      <c r="S110" s="19">
        <f t="shared" si="8"/>
        <v>0.765</v>
      </c>
      <c r="T110" s="19" t="str">
        <f t="shared" si="9"/>
        <v>C+</v>
      </c>
      <c r="U110" s="3" t="s">
        <v>203</v>
      </c>
      <c r="V110" s="4" t="str">
        <f>IF(ISBLANK(C110),,IFERROR(IF(VLOOKUP(B110,Standings!$A:$F, 6, 0)=VLOOKUP(C110,Standings!$A:$F, 6, 0), VLOOKUP(B110,Standings!$A:$F, 6, 0), "Non-con"), "FCS"))</f>
        <v>ACC</v>
      </c>
      <c r="W110" s="3" t="str">
        <f t="shared" si="10"/>
        <v>Pittsburgh</v>
      </c>
      <c r="X110" s="3" t="str">
        <f t="shared" si="11"/>
        <v>Miami</v>
      </c>
      <c r="Y110" s="30">
        <f>IF(D110=0,,IF(ISBLANK(Q110),,VLOOKUP(X110,Week6,2,FALSE)/(VLOOKUP(X110,Week6,2,FALSE)+VLOOKUP(W110,Week6,2,FALSE))+0.05)*100)</f>
        <v>73.1097383</v>
      </c>
      <c r="Z110" s="3" t="s">
        <v>40</v>
      </c>
      <c r="AA110" s="3">
        <v>31.0</v>
      </c>
      <c r="AB110" s="4" t="str">
        <f t="shared" si="20"/>
        <v>Pittsburgh</v>
      </c>
      <c r="AC110" s="3">
        <v>19.0</v>
      </c>
      <c r="AD110" s="3"/>
      <c r="AE110" s="3">
        <f t="shared" si="13"/>
        <v>12</v>
      </c>
      <c r="AF110" s="3"/>
      <c r="AG110" s="3">
        <f t="shared" si="25"/>
        <v>1</v>
      </c>
      <c r="AH110" s="3"/>
      <c r="AI110" s="7"/>
      <c r="AJ110" s="4"/>
      <c r="AK110" s="7"/>
      <c r="AL110" s="7"/>
      <c r="AM110" s="7"/>
      <c r="AN110" s="7"/>
      <c r="AO110" s="7"/>
      <c r="AP110" s="7"/>
      <c r="AQ110" s="7"/>
      <c r="AR110" s="7"/>
      <c r="AS110" s="7"/>
      <c r="AT110" s="7"/>
      <c r="AU110" s="7"/>
      <c r="AV110" s="7"/>
      <c r="AW110" s="7"/>
      <c r="AX110" s="7"/>
    </row>
    <row r="111" ht="12.75" hidden="1" customHeight="1">
      <c r="A111" s="3">
        <v>8.0</v>
      </c>
      <c r="B111" s="3" t="s">
        <v>153</v>
      </c>
      <c r="C111" s="3" t="s">
        <v>26</v>
      </c>
      <c r="D111" s="4">
        <f>IFERROR(VLOOKUP(B111,Week7,2,FALSE),0)</f>
        <v>30.76</v>
      </c>
      <c r="E111" s="4">
        <f>IF(ISBLANK(B111),,IFERROR(VLOOKUP(B111,CurrentRank!$B$2:$C$132,2,FALSE),0))</f>
        <v>35.51</v>
      </c>
      <c r="F111" s="4">
        <f>IFERROR(VLOOKUP(B111,Week7,3,FALSE),130)</f>
        <v>72</v>
      </c>
      <c r="G111" s="4">
        <f>IF(ISBLANK(B111),,IFERROR(VLOOKUP(B111,CurrentRank!$B$2:$D$132,3,FALSE),130))</f>
        <v>58</v>
      </c>
      <c r="H111" s="4">
        <f>IFERROR(VLOOKUP(C111,Week7,2,FALSE),0)</f>
        <v>65.08</v>
      </c>
      <c r="I111" s="4">
        <f>IF(ISBLANK(B111),,IFERROR(VLOOKUP(C111,CurrentRank!$B$2:$C$132,2,FALSE),0))</f>
        <v>87.05</v>
      </c>
      <c r="J111" s="4">
        <f>IFERROR(VLOOKUP(C111,Week7,3,FALSE),130)</f>
        <v>16</v>
      </c>
      <c r="K111" s="4">
        <f>IF(ISBLANK(C111),,IFERROR(VLOOKUP(C111,CurrentRank!$B$2:$D$132,3,FALSE),130))</f>
        <v>2</v>
      </c>
      <c r="L111" s="19">
        <f t="shared" si="77"/>
        <v>1.4376</v>
      </c>
      <c r="M111" s="19">
        <f t="shared" si="78"/>
        <v>1.8384</v>
      </c>
      <c r="N111" s="24">
        <f t="shared" si="71"/>
        <v>44</v>
      </c>
      <c r="O111" s="21">
        <f t="shared" si="4"/>
        <v>-17.8788</v>
      </c>
      <c r="P111" s="21">
        <f t="shared" si="72"/>
        <v>-26.4888</v>
      </c>
      <c r="Q111" s="22">
        <f t="shared" si="6"/>
        <v>0.690606</v>
      </c>
      <c r="R111" s="25" t="str">
        <f t="shared" si="7"/>
        <v>D+</v>
      </c>
      <c r="S111" s="19">
        <f t="shared" si="8"/>
        <v>0.605</v>
      </c>
      <c r="T111" s="19" t="str">
        <f t="shared" si="9"/>
        <v>D-</v>
      </c>
      <c r="U111" s="3" t="s">
        <v>203</v>
      </c>
      <c r="V111" s="4" t="str">
        <f>IF(ISBLANK(C111),,IFERROR(IF(VLOOKUP(B111,Standings!$A:$F, 6, 0)=VLOOKUP(C111,Standings!$A:$F, 6, 0), VLOOKUP(B111,Standings!$A:$F, 6, 0), "Non-con"), "FCS"))</f>
        <v>B1G</v>
      </c>
      <c r="W111" s="3" t="str">
        <f t="shared" si="10"/>
        <v>Nebraska</v>
      </c>
      <c r="X111" s="3" t="str">
        <f t="shared" si="11"/>
        <v>Ohio State</v>
      </c>
      <c r="Y111" s="30">
        <f>IF(D111=0,,IF(ISBLANK(Q111),,VLOOKUP(X111,Week7,2,FALSE)/(VLOOKUP(X111,Week7,2,FALSE)+VLOOKUP(W111,Week7,2,FALSE))+0.05)*100)</f>
        <v>72.9048414</v>
      </c>
      <c r="Z111" s="3" t="s">
        <v>26</v>
      </c>
      <c r="AA111" s="3">
        <v>52.0</v>
      </c>
      <c r="AB111" s="4" t="str">
        <f t="shared" si="20"/>
        <v>Nebraska</v>
      </c>
      <c r="AC111" s="3">
        <v>17.0</v>
      </c>
      <c r="AD111" s="3"/>
      <c r="AE111" s="3">
        <f t="shared" si="13"/>
        <v>35</v>
      </c>
      <c r="AF111" s="3"/>
      <c r="AG111" s="3">
        <f t="shared" si="25"/>
        <v>1</v>
      </c>
      <c r="AH111" s="3"/>
      <c r="AI111" s="7"/>
      <c r="AJ111" s="4"/>
      <c r="AK111" s="7"/>
      <c r="AL111" s="7"/>
      <c r="AM111" s="7"/>
      <c r="AN111" s="7"/>
      <c r="AO111" s="7"/>
      <c r="AP111" s="7"/>
      <c r="AQ111" s="7"/>
      <c r="AR111" s="7"/>
      <c r="AS111" s="7"/>
      <c r="AT111" s="7"/>
      <c r="AU111" s="7"/>
      <c r="AV111" s="7"/>
      <c r="AW111" s="7"/>
      <c r="AX111" s="7"/>
    </row>
    <row r="112" ht="12.75" hidden="1" customHeight="1">
      <c r="A112" s="3">
        <v>4.0</v>
      </c>
      <c r="B112" s="3" t="s">
        <v>46</v>
      </c>
      <c r="C112" s="3" t="s">
        <v>127</v>
      </c>
      <c r="D112" s="4">
        <f>IFERROR(VLOOKUP(B112,Week3,2,FALSE),0)</f>
        <v>72.16</v>
      </c>
      <c r="E112" s="4">
        <f>IF(ISBLANK(B112),,IFERROR(VLOOKUP(B112,CurrentRank!$B$2:$C$132,2,FALSE),0))</f>
        <v>62.29</v>
      </c>
      <c r="F112" s="4">
        <f>IFERROR(VLOOKUP(B112,Week3,3,FALSE),130)</f>
        <v>6</v>
      </c>
      <c r="G112" s="4">
        <f>IF(ISBLANK(B112),,IFERROR(VLOOKUP(B112,CurrentRank!$B$2:$D$132,3,FALSE),130))</f>
        <v>20</v>
      </c>
      <c r="H112" s="4">
        <f>IFERROR(VLOOKUP(C112,Week3,2,FALSE),0)</f>
        <v>34.15</v>
      </c>
      <c r="I112" s="4">
        <f>IF(ISBLANK(B112),,IFERROR(VLOOKUP(C112,CurrentRank!$B$2:$C$132,2,FALSE),0))</f>
        <v>35.27</v>
      </c>
      <c r="J112" s="4">
        <f>IFERROR(VLOOKUP(C112,Week3,3,FALSE),130)</f>
        <v>45</v>
      </c>
      <c r="K112" s="4">
        <f>IF(ISBLANK(C112),,IFERROR(VLOOKUP(C112,CurrentRank!$B$2:$D$132,3,FALSE),130))</f>
        <v>64</v>
      </c>
      <c r="L112" s="19">
        <f t="shared" si="77"/>
        <v>1.59465</v>
      </c>
      <c r="M112" s="19">
        <f t="shared" si="78"/>
        <v>1.4634</v>
      </c>
      <c r="N112" s="24">
        <f t="shared" si="71"/>
        <v>25.5</v>
      </c>
      <c r="O112" s="21">
        <f t="shared" si="4"/>
        <v>18.207675</v>
      </c>
      <c r="P112" s="21">
        <f t="shared" si="72"/>
        <v>12.712675</v>
      </c>
      <c r="Q112" s="22">
        <f t="shared" si="6"/>
        <v>0.781461625</v>
      </c>
      <c r="R112" s="25" t="str">
        <f t="shared" si="7"/>
        <v>C+</v>
      </c>
      <c r="S112" s="19">
        <f t="shared" si="8"/>
        <v>0.8375</v>
      </c>
      <c r="T112" s="19" t="str">
        <f t="shared" si="9"/>
        <v>B</v>
      </c>
      <c r="U112" s="3" t="s">
        <v>203</v>
      </c>
      <c r="V112" s="4" t="str">
        <f>IF(ISBLANK(C112),,IFERROR(IF(VLOOKUP(B112,Standings!$A:$F, 6, 0)=VLOOKUP(C112,Standings!$A:$F, 6, 0), VLOOKUP(B112,Standings!$A:$F, 6, 0), "Non-con"), "FCS"))</f>
        <v>BIG12</v>
      </c>
      <c r="W112" s="3" t="str">
        <f t="shared" si="10"/>
        <v>Texas Tech</v>
      </c>
      <c r="X112" s="3" t="str">
        <f t="shared" si="11"/>
        <v>Texas</v>
      </c>
      <c r="Y112" s="30">
        <f>IF(D112=0,,IF(ISBLANK(Q112),,VLOOKUP(X112,Week3,2,FALSE)/(VLOOKUP(X112,Week3,2,FALSE)+VLOOKUP(W112,Week3,2,FALSE))+0.05)*100)</f>
        <v>72.8769636</v>
      </c>
      <c r="Z112" s="3" t="s">
        <v>46</v>
      </c>
      <c r="AA112" s="3">
        <v>63.0</v>
      </c>
      <c r="AB112" s="4" t="str">
        <f t="shared" si="20"/>
        <v>Texas Tech</v>
      </c>
      <c r="AC112" s="3">
        <v>56.0</v>
      </c>
      <c r="AD112" s="3"/>
      <c r="AE112" s="3">
        <f t="shared" si="13"/>
        <v>7</v>
      </c>
      <c r="AF112" s="3"/>
      <c r="AG112" s="3">
        <f t="shared" si="25"/>
        <v>1</v>
      </c>
      <c r="AH112" s="3"/>
      <c r="AI112" s="7"/>
      <c r="AJ112" s="4"/>
      <c r="AK112" s="7"/>
      <c r="AL112" s="7"/>
      <c r="AM112" s="7"/>
      <c r="AN112" s="7"/>
      <c r="AO112" s="7"/>
      <c r="AP112" s="7"/>
      <c r="AQ112" s="7"/>
      <c r="AR112" s="7"/>
      <c r="AS112" s="7"/>
      <c r="AT112" s="7"/>
      <c r="AU112" s="7"/>
      <c r="AV112" s="7"/>
      <c r="AW112" s="7"/>
      <c r="AX112" s="7"/>
    </row>
    <row r="113" ht="12.75" hidden="1" customHeight="1">
      <c r="A113" s="3">
        <v>7.0</v>
      </c>
      <c r="B113" s="3" t="s">
        <v>86</v>
      </c>
      <c r="C113" s="3" t="s">
        <v>103</v>
      </c>
      <c r="D113" s="4">
        <f>IFERROR(VLOOKUP(B113,Week6,2,FALSE),0)</f>
        <v>68.01</v>
      </c>
      <c r="E113" s="4">
        <f>IF(ISBLANK(B113),,IFERROR(VLOOKUP(B113,CurrentRank!$B$2:$C$132,2,FALSE),0))</f>
        <v>33.56</v>
      </c>
      <c r="F113" s="4">
        <f>IFERROR(VLOOKUP(B113,Week6,3,FALSE),130)</f>
        <v>13</v>
      </c>
      <c r="G113" s="4">
        <f>IF(ISBLANK(B113),,IFERROR(VLOOKUP(B113,CurrentRank!$B$2:$D$132,3,FALSE),130))</f>
        <v>78</v>
      </c>
      <c r="H113" s="4">
        <f>IFERROR(VLOOKUP(C113,Week6,2,FALSE),0)</f>
        <v>32.2</v>
      </c>
      <c r="I113" s="4">
        <f>IF(ISBLANK(B113),,IFERROR(VLOOKUP(C113,CurrentRank!$B$2:$C$132,2,FALSE),0))</f>
        <v>34.42</v>
      </c>
      <c r="J113" s="4">
        <f>IFERROR(VLOOKUP(C113,Week6,3,FALSE),130)</f>
        <v>63</v>
      </c>
      <c r="K113" s="4">
        <f>IF(ISBLANK(C113),,IFERROR(VLOOKUP(C113,CurrentRank!$B$2:$D$132,3,FALSE),130))</f>
        <v>70</v>
      </c>
      <c r="L113" s="19">
        <f t="shared" si="77"/>
        <v>1.50315</v>
      </c>
      <c r="M113" s="19">
        <f t="shared" si="78"/>
        <v>1.0197</v>
      </c>
      <c r="N113" s="24">
        <f t="shared" si="71"/>
        <v>38</v>
      </c>
      <c r="O113" s="21">
        <f t="shared" si="4"/>
        <v>17.153425</v>
      </c>
      <c r="P113" s="21">
        <f t="shared" si="72"/>
        <v>-1.181575</v>
      </c>
      <c r="Q113" s="22">
        <f t="shared" si="6"/>
        <v>0.724232875</v>
      </c>
      <c r="R113" s="25" t="str">
        <f t="shared" si="7"/>
        <v>C-</v>
      </c>
      <c r="S113" s="19">
        <f t="shared" si="8"/>
        <v>0.795</v>
      </c>
      <c r="T113" s="19" t="str">
        <f t="shared" si="9"/>
        <v>B-</v>
      </c>
      <c r="U113" s="3" t="s">
        <v>203</v>
      </c>
      <c r="V113" s="4" t="str">
        <f>IF(ISBLANK(C113),,IFERROR(IF(VLOOKUP(B113,Standings!$A:$F, 6, 0)=VLOOKUP(C113,Standings!$A:$F, 6, 0), VLOOKUP(B113,Standings!$A:$F, 6, 0), "Non-con"), "FCS"))</f>
        <v>AAC</v>
      </c>
      <c r="W113" s="3" t="str">
        <f t="shared" si="10"/>
        <v>Tulane</v>
      </c>
      <c r="X113" s="3" t="str">
        <f t="shared" si="11"/>
        <v>Southern Methodist</v>
      </c>
      <c r="Y113" s="30">
        <f>IF(D113=0,,IF(ISBLANK(Q113),,VLOOKUP(X113,Week6,2,FALSE)/(VLOOKUP(X113,Week6,2,FALSE)+VLOOKUP(W113,Week6,2,FALSE))+0.05)*100)</f>
        <v>72.8674783</v>
      </c>
      <c r="Z113" s="3" t="s">
        <v>86</v>
      </c>
      <c r="AA113" s="3">
        <v>37.0</v>
      </c>
      <c r="AB113" s="4" t="str">
        <f t="shared" si="20"/>
        <v>Tulane</v>
      </c>
      <c r="AC113" s="3">
        <v>34.0</v>
      </c>
      <c r="AD113" s="3"/>
      <c r="AE113" s="3">
        <f t="shared" si="13"/>
        <v>3</v>
      </c>
      <c r="AF113" s="3"/>
      <c r="AG113" s="3">
        <f t="shared" si="25"/>
        <v>1</v>
      </c>
      <c r="AH113" s="3"/>
      <c r="AI113" s="7"/>
      <c r="AJ113" s="4"/>
      <c r="AK113" s="7"/>
      <c r="AL113" s="7"/>
      <c r="AM113" s="7"/>
      <c r="AN113" s="7"/>
      <c r="AO113" s="7"/>
      <c r="AP113" s="7"/>
      <c r="AQ113" s="7"/>
      <c r="AR113" s="7"/>
      <c r="AS113" s="7"/>
      <c r="AT113" s="7"/>
      <c r="AU113" s="7"/>
      <c r="AV113" s="7"/>
      <c r="AW113" s="7"/>
      <c r="AX113" s="7"/>
    </row>
    <row r="114" ht="12.75" customHeight="1">
      <c r="A114" s="3">
        <v>5.0</v>
      </c>
      <c r="B114" s="3" t="s">
        <v>109</v>
      </c>
      <c r="C114" s="3" t="s">
        <v>89</v>
      </c>
      <c r="D114" s="4">
        <f>IFERROR(VLOOKUP(B114,Week4,2,FALSE),0)</f>
        <v>33.94</v>
      </c>
      <c r="E114" s="4">
        <f>IF(ISBLANK(B114),,IFERROR(VLOOKUP(B114,CurrentRank!$B$2:$C$132,2,FALSE),0))</f>
        <v>37.82</v>
      </c>
      <c r="F114" s="4">
        <f>IFERROR(VLOOKUP(B114,Week4,3,FALSE),130)</f>
        <v>46</v>
      </c>
      <c r="G114" s="4">
        <f>IF(ISBLANK(B114),,IFERROR(VLOOKUP(B114,CurrentRank!$B$2:$D$132,3,FALSE),130))</f>
        <v>40</v>
      </c>
      <c r="H114" s="4">
        <f>IFERROR(VLOOKUP(C114,Week4,2,FALSE),0)</f>
        <v>64.95</v>
      </c>
      <c r="I114" s="4">
        <f>IF(ISBLANK(B114),,IFERROR(VLOOKUP(C114,CurrentRank!$B$2:$C$132,2,FALSE),0))</f>
        <v>35.74</v>
      </c>
      <c r="J114" s="4">
        <f>IFERROR(VLOOKUP(C114,Week4,3,FALSE),130)</f>
        <v>16</v>
      </c>
      <c r="K114" s="4">
        <f>IF(ISBLANK(C114),,IFERROR(VLOOKUP(C114,CurrentRank!$B$2:$D$132,3,FALSE),130))</f>
        <v>56</v>
      </c>
      <c r="L114" s="19">
        <f t="shared" si="77"/>
        <v>1.48335</v>
      </c>
      <c r="M114" s="19">
        <f t="shared" si="78"/>
        <v>1.1034</v>
      </c>
      <c r="N114" s="24">
        <f t="shared" si="71"/>
        <v>31</v>
      </c>
      <c r="O114" s="21">
        <f t="shared" si="4"/>
        <v>-16.246675</v>
      </c>
      <c r="P114" s="21">
        <f t="shared" si="72"/>
        <v>0.298325</v>
      </c>
      <c r="Q114" s="22">
        <f t="shared" si="6"/>
        <v>0.763766625</v>
      </c>
      <c r="R114" s="25" t="str">
        <f t="shared" si="7"/>
        <v>C</v>
      </c>
      <c r="S114" s="19">
        <f t="shared" si="8"/>
        <v>0.84</v>
      </c>
      <c r="T114" s="19" t="str">
        <f t="shared" si="9"/>
        <v>B</v>
      </c>
      <c r="U114" s="3" t="s">
        <v>203</v>
      </c>
      <c r="V114" s="4" t="str">
        <f>IF(ISBLANK(C114),,IFERROR(IF(VLOOKUP(B114,Standings!$A:$F, 6, 0)=VLOOKUP(C114,Standings!$A:$F, 6, 0), VLOOKUP(B114,Standings!$A:$F, 6, 0), "Non-con"), "FCS"))</f>
        <v>ACC</v>
      </c>
      <c r="W114" s="3" t="str">
        <f t="shared" si="10"/>
        <v>North Carolina State</v>
      </c>
      <c r="X114" s="3" t="str">
        <f t="shared" si="11"/>
        <v>Pittsburgh</v>
      </c>
      <c r="Y114" s="30">
        <f>IF(D114=0,,IF(ISBLANK(Q114),,VLOOKUP(X114,Week4,2,FALSE)/(VLOOKUP(X114,Week4,2,FALSE)+VLOOKUP(W114,Week4,2,FALSE))+0.05)*100)</f>
        <v>70.67903731</v>
      </c>
      <c r="Z114" s="3" t="s">
        <v>109</v>
      </c>
      <c r="AA114" s="3">
        <v>30.0</v>
      </c>
      <c r="AB114" s="4" t="str">
        <f t="shared" si="20"/>
        <v>Pittsburgh</v>
      </c>
      <c r="AC114" s="3">
        <v>29.0</v>
      </c>
      <c r="AD114" s="3"/>
      <c r="AE114" s="3">
        <f t="shared" si="13"/>
        <v>1</v>
      </c>
      <c r="AF114" s="3"/>
      <c r="AG114" s="3">
        <f t="shared" si="25"/>
        <v>0</v>
      </c>
      <c r="AH114" s="3"/>
      <c r="AI114" s="7"/>
      <c r="AJ114" s="4"/>
      <c r="AK114" s="7"/>
      <c r="AL114" s="7"/>
      <c r="AM114" s="7"/>
      <c r="AN114" s="7"/>
      <c r="AO114" s="7"/>
      <c r="AP114" s="7"/>
      <c r="AQ114" s="7"/>
      <c r="AR114" s="7"/>
      <c r="AS114" s="7"/>
      <c r="AT114" s="7"/>
      <c r="AU114" s="7"/>
      <c r="AV114" s="7"/>
      <c r="AW114" s="7"/>
      <c r="AX114" s="7"/>
    </row>
    <row r="115" ht="12.75" hidden="1" customHeight="1">
      <c r="A115" s="3">
        <v>10.0</v>
      </c>
      <c r="B115" s="3" t="s">
        <v>79</v>
      </c>
      <c r="C115" s="3" t="s">
        <v>161</v>
      </c>
      <c r="D115" s="4">
        <f>IFERROR(VLOOKUP(B115,Week9,2,FALSE),0)</f>
        <v>77.48</v>
      </c>
      <c r="E115" s="4">
        <f>IF(ISBLANK(B115),,IFERROR(VLOOKUP(B115,CurrentRank!$B$2:$C$132,2,FALSE),0))</f>
        <v>85.31</v>
      </c>
      <c r="F115" s="4">
        <f>IFERROR(VLOOKUP(B115,Week9,3,FALSE),130)</f>
        <v>9</v>
      </c>
      <c r="G115" s="4">
        <f>IF(ISBLANK(B115),,IFERROR(VLOOKUP(B115,CurrentRank!$B$2:$D$132,3,FALSE),130))</f>
        <v>3</v>
      </c>
      <c r="H115" s="4">
        <f>IFERROR(VLOOKUP(C115,Week9,2,FALSE),0)</f>
        <v>36.83</v>
      </c>
      <c r="I115" s="4">
        <f>IF(ISBLANK(B115),,IFERROR(VLOOKUP(C115,CurrentRank!$B$2:$C$132,2,FALSE),0))</f>
        <v>31.11</v>
      </c>
      <c r="J115" s="4">
        <f>IFERROR(VLOOKUP(C115,Week9,3,FALSE),130)</f>
        <v>51</v>
      </c>
      <c r="K115" s="4">
        <f>IF(ISBLANK(C115),,IFERROR(VLOOKUP(C115,CurrentRank!$B$2:$D$132,3,FALSE),130))</f>
        <v>100</v>
      </c>
      <c r="L115" s="19">
        <f t="shared" si="77"/>
        <v>1.71465</v>
      </c>
      <c r="M115" s="19">
        <f t="shared" si="78"/>
        <v>1.7463</v>
      </c>
      <c r="N115" s="24">
        <f t="shared" si="71"/>
        <v>30</v>
      </c>
      <c r="O115" s="21">
        <f t="shared" si="4"/>
        <v>19.467675</v>
      </c>
      <c r="P115" s="21">
        <f t="shared" si="72"/>
        <v>26.242675</v>
      </c>
      <c r="Q115" s="22">
        <f t="shared" si="6"/>
        <v>0.752661625</v>
      </c>
      <c r="R115" s="25" t="str">
        <f t="shared" si="7"/>
        <v>C</v>
      </c>
      <c r="S115" s="19">
        <f t="shared" si="8"/>
        <v>0.625</v>
      </c>
      <c r="T115" s="19" t="str">
        <f t="shared" si="9"/>
        <v>D</v>
      </c>
      <c r="U115" s="3" t="s">
        <v>203</v>
      </c>
      <c r="V115" s="4" t="str">
        <f>IF(ISBLANK(C115),,IFERROR(IF(VLOOKUP(B115,Standings!$A:$F, 6, 0)=VLOOKUP(C115,Standings!$A:$F, 6, 0), VLOOKUP(B115,Standings!$A:$F, 6, 0), "Non-con"), "FCS"))</f>
        <v>SEC</v>
      </c>
      <c r="W115" s="3" t="str">
        <f t="shared" si="10"/>
        <v>South Carolina</v>
      </c>
      <c r="X115" s="3" t="str">
        <f t="shared" si="11"/>
        <v>Texas A&amp;M</v>
      </c>
      <c r="Y115" s="30">
        <f>IF(D115=0,,IF(ISBLANK(Q115),,VLOOKUP(X115,Week9,2,FALSE)/(VLOOKUP(X115,Week9,2,FALSE)+VLOOKUP(W115,Week9,2,FALSE))+0.05)*100)</f>
        <v>72.78059662</v>
      </c>
      <c r="Z115" s="3" t="s">
        <v>79</v>
      </c>
      <c r="AA115" s="3">
        <v>48.0</v>
      </c>
      <c r="AB115" s="4" t="str">
        <f t="shared" si="20"/>
        <v>South Carolina</v>
      </c>
      <c r="AC115" s="3">
        <v>3.0</v>
      </c>
      <c r="AD115" s="3"/>
      <c r="AE115" s="3">
        <f t="shared" si="13"/>
        <v>45</v>
      </c>
      <c r="AF115" s="3"/>
      <c r="AG115" s="3">
        <f t="shared" si="25"/>
        <v>1</v>
      </c>
      <c r="AH115" s="3"/>
      <c r="AI115" s="7"/>
      <c r="AJ115" s="4"/>
      <c r="AK115" s="7"/>
      <c r="AL115" s="7"/>
      <c r="AM115" s="7"/>
      <c r="AN115" s="7"/>
      <c r="AO115" s="7"/>
      <c r="AP115" s="7"/>
      <c r="AQ115" s="7"/>
      <c r="AR115" s="7"/>
      <c r="AS115" s="7"/>
      <c r="AT115" s="7"/>
      <c r="AU115" s="7"/>
      <c r="AV115" s="7"/>
      <c r="AW115" s="7"/>
      <c r="AX115" s="7"/>
    </row>
    <row r="116" ht="12.75" customHeight="1">
      <c r="A116" s="3">
        <v>7.0</v>
      </c>
      <c r="B116" s="3" t="s">
        <v>64</v>
      </c>
      <c r="C116" s="3" t="s">
        <v>161</v>
      </c>
      <c r="D116" s="4">
        <f>IFERROR(VLOOKUP(B116,Week6,2,FALSE),0)</f>
        <v>67.63</v>
      </c>
      <c r="E116" s="4">
        <f>IF(ISBLANK(B116),,IFERROR(VLOOKUP(B116,CurrentRank!$B$2:$C$132,2,FALSE),0))</f>
        <v>39.11</v>
      </c>
      <c r="F116" s="4">
        <f>IFERROR(VLOOKUP(B116,Week6,3,FALSE),130)</f>
        <v>14</v>
      </c>
      <c r="G116" s="4">
        <f>IF(ISBLANK(B116),,IFERROR(VLOOKUP(B116,CurrentRank!$B$2:$D$132,3,FALSE),130))</f>
        <v>36</v>
      </c>
      <c r="H116" s="4">
        <f>IFERROR(VLOOKUP(C116,Week6,2,FALSE),0)</f>
        <v>40.36</v>
      </c>
      <c r="I116" s="4">
        <f>IF(ISBLANK(B116),,IFERROR(VLOOKUP(C116,CurrentRank!$B$2:$C$132,2,FALSE),0))</f>
        <v>31.11</v>
      </c>
      <c r="J116" s="4">
        <f>IFERROR(VLOOKUP(C116,Week6,3,FALSE),130)</f>
        <v>35</v>
      </c>
      <c r="K116" s="4">
        <f>IF(ISBLANK(C116),,IFERROR(VLOOKUP(C116,CurrentRank!$B$2:$D$132,3,FALSE),130))</f>
        <v>100</v>
      </c>
      <c r="L116" s="19">
        <f t="shared" si="77"/>
        <v>1.61985</v>
      </c>
      <c r="M116" s="19">
        <f t="shared" si="78"/>
        <v>1.0533</v>
      </c>
      <c r="N116" s="24">
        <f t="shared" si="71"/>
        <v>24.5</v>
      </c>
      <c r="O116" s="21">
        <f t="shared" si="4"/>
        <v>12.825075</v>
      </c>
      <c r="P116" s="21">
        <f t="shared" si="72"/>
        <v>3.190075</v>
      </c>
      <c r="Q116" s="22">
        <f t="shared" si="6"/>
        <v>0.813374625</v>
      </c>
      <c r="R116" s="25" t="str">
        <f t="shared" si="7"/>
        <v>B-</v>
      </c>
      <c r="S116" s="19">
        <f t="shared" si="8"/>
        <v>0.8375</v>
      </c>
      <c r="T116" s="19" t="str">
        <f t="shared" si="9"/>
        <v>B</v>
      </c>
      <c r="U116" s="3" t="s">
        <v>203</v>
      </c>
      <c r="V116" s="4" t="str">
        <f>IF(ISBLANK(C116),,IFERROR(IF(VLOOKUP(B116,Standings!$A:$F, 6, 0)=VLOOKUP(C116,Standings!$A:$F, 6, 0), VLOOKUP(B116,Standings!$A:$F, 6, 0), "Non-con"), "FCS"))</f>
        <v>SEC</v>
      </c>
      <c r="W116" s="3" t="str">
        <f t="shared" si="10"/>
        <v>South Carolina</v>
      </c>
      <c r="X116" s="3" t="str">
        <f t="shared" si="11"/>
        <v>Auburn</v>
      </c>
      <c r="Y116" s="30">
        <f>IF(D116=0,,IF(ISBLANK(Q116),,VLOOKUP(X116,Week6,2,FALSE)/(VLOOKUP(X116,Week6,2,FALSE)+VLOOKUP(W116,Week6,2,FALSE))+0.05)*100)</f>
        <v>67.62616909</v>
      </c>
      <c r="Z116" s="3" t="s">
        <v>161</v>
      </c>
      <c r="AA116" s="3">
        <v>30.0</v>
      </c>
      <c r="AB116" s="4" t="str">
        <f t="shared" si="20"/>
        <v>Auburn</v>
      </c>
      <c r="AC116" s="3">
        <v>22.0</v>
      </c>
      <c r="AD116" s="3"/>
      <c r="AE116" s="3">
        <f t="shared" si="13"/>
        <v>8</v>
      </c>
      <c r="AF116" s="3"/>
      <c r="AG116" s="3">
        <f t="shared" si="25"/>
        <v>0</v>
      </c>
      <c r="AH116" s="3"/>
      <c r="AI116" s="7"/>
      <c r="AJ116" s="4"/>
      <c r="AK116" s="7"/>
      <c r="AL116" s="7"/>
      <c r="AM116" s="7"/>
      <c r="AN116" s="7"/>
      <c r="AO116" s="7"/>
      <c r="AP116" s="7"/>
      <c r="AQ116" s="7"/>
      <c r="AR116" s="7"/>
      <c r="AS116" s="7"/>
      <c r="AT116" s="7"/>
      <c r="AU116" s="7"/>
      <c r="AV116" s="7"/>
      <c r="AW116" s="7"/>
      <c r="AX116" s="7"/>
    </row>
    <row r="117" ht="12.75" hidden="1" customHeight="1">
      <c r="A117" s="3">
        <v>9.0</v>
      </c>
      <c r="B117" s="3" t="s">
        <v>152</v>
      </c>
      <c r="C117" s="3" t="s">
        <v>137</v>
      </c>
      <c r="D117" s="4">
        <f>IFERROR(VLOOKUP(B117,Week8,2,FALSE),0)</f>
        <v>40.38</v>
      </c>
      <c r="E117" s="4">
        <f>IF(ISBLANK(B117),,IFERROR(VLOOKUP(B117,CurrentRank!$B$2:$C$132,2,FALSE),0))</f>
        <v>32.23</v>
      </c>
      <c r="F117" s="4">
        <f>IFERROR(VLOOKUP(B117,Week8,3,FALSE),130)</f>
        <v>33</v>
      </c>
      <c r="G117" s="4">
        <f>IF(ISBLANK(B117),,IFERROR(VLOOKUP(B117,CurrentRank!$B$2:$D$132,3,FALSE),130))</f>
        <v>92</v>
      </c>
      <c r="H117" s="4">
        <f>IFERROR(VLOOKUP(C117,Week8,2,FALSE),0)</f>
        <v>19.28</v>
      </c>
      <c r="I117" s="4">
        <f>IF(ISBLANK(B117),,IFERROR(VLOOKUP(C117,CurrentRank!$B$2:$C$132,2,FALSE),0))</f>
        <v>31.52</v>
      </c>
      <c r="J117" s="4">
        <f>IFERROR(VLOOKUP(C117,Week8,3,FALSE),130)</f>
        <v>127</v>
      </c>
      <c r="K117" s="4">
        <f>IF(ISBLANK(C117),,IFERROR(VLOOKUP(C117,CurrentRank!$B$2:$D$132,3,FALSE),130))</f>
        <v>98</v>
      </c>
      <c r="L117" s="19">
        <f t="shared" si="77"/>
        <v>0.8949</v>
      </c>
      <c r="M117" s="19">
        <f t="shared" si="78"/>
        <v>0.95625</v>
      </c>
      <c r="N117" s="24">
        <f t="shared" si="71"/>
        <v>80</v>
      </c>
      <c r="O117" s="21">
        <f t="shared" si="4"/>
        <v>10.10255</v>
      </c>
      <c r="P117" s="21">
        <f t="shared" si="72"/>
        <v>-0.09245</v>
      </c>
      <c r="Q117" s="22">
        <f t="shared" si="6"/>
        <v>0.54948725</v>
      </c>
      <c r="R117" s="25" t="str">
        <f t="shared" si="7"/>
        <v>F</v>
      </c>
      <c r="S117" s="19">
        <f t="shared" si="8"/>
        <v>0.565</v>
      </c>
      <c r="T117" s="19" t="str">
        <f t="shared" si="9"/>
        <v>F</v>
      </c>
      <c r="U117" s="3" t="s">
        <v>203</v>
      </c>
      <c r="V117" s="4" t="str">
        <f>IF(ISBLANK(C117),,IFERROR(IF(VLOOKUP(B117,Standings!$A:$F, 6, 0)=VLOOKUP(C117,Standings!$A:$F, 6, 0), VLOOKUP(B117,Standings!$A:$F, 6, 0), "Non-con"), "FCS"))</f>
        <v>B1G</v>
      </c>
      <c r="W117" s="3" t="str">
        <f t="shared" si="10"/>
        <v>Illinois</v>
      </c>
      <c r="X117" s="3" t="str">
        <f t="shared" si="11"/>
        <v>Purdue</v>
      </c>
      <c r="Y117" s="30">
        <f>IF(D117=0,,IF(ISBLANK(Q117),,VLOOKUP(X117,Week8,2,FALSE)/(VLOOKUP(X117,Week8,2,FALSE)+VLOOKUP(W117,Week8,2,FALSE))+0.05)*100)</f>
        <v>72.68354006</v>
      </c>
      <c r="Z117" s="3" t="s">
        <v>152</v>
      </c>
      <c r="AA117" s="3">
        <v>31.0</v>
      </c>
      <c r="AB117" s="4" t="str">
        <f t="shared" si="20"/>
        <v>Illinois</v>
      </c>
      <c r="AC117" s="3">
        <v>24.0</v>
      </c>
      <c r="AD117" s="3"/>
      <c r="AE117" s="3">
        <f t="shared" si="13"/>
        <v>7</v>
      </c>
      <c r="AF117" s="3"/>
      <c r="AG117" s="3">
        <f t="shared" si="25"/>
        <v>1</v>
      </c>
      <c r="AH117" s="3"/>
      <c r="AI117" s="7"/>
      <c r="AJ117" s="4"/>
      <c r="AK117" s="7"/>
      <c r="AL117" s="7"/>
      <c r="AM117" s="7"/>
      <c r="AN117" s="7"/>
      <c r="AO117" s="7"/>
      <c r="AP117" s="7"/>
      <c r="AQ117" s="7"/>
      <c r="AR117" s="7"/>
      <c r="AS117" s="7"/>
      <c r="AT117" s="7"/>
      <c r="AU117" s="7"/>
      <c r="AV117" s="7"/>
      <c r="AW117" s="7"/>
      <c r="AX117" s="7"/>
    </row>
    <row r="118" ht="12.75" hidden="1" customHeight="1">
      <c r="A118" s="3">
        <v>4.0</v>
      </c>
      <c r="B118" s="3" t="s">
        <v>48</v>
      </c>
      <c r="C118" s="3" t="s">
        <v>129</v>
      </c>
      <c r="D118" s="4">
        <f>IFERROR(VLOOKUP(B118,Week3,2,FALSE),0)</f>
        <v>64.82</v>
      </c>
      <c r="E118" s="4">
        <f>IF(ISBLANK(B118),,IFERROR(VLOOKUP(B118,CurrentRank!$B$2:$C$132,2,FALSE),0))</f>
        <v>68.03</v>
      </c>
      <c r="F118" s="4">
        <f>IFERROR(VLOOKUP(B118,Week3,3,FALSE),130)</f>
        <v>14</v>
      </c>
      <c r="G118" s="4">
        <f>IF(ISBLANK(B118),,IFERROR(VLOOKUP(B118,CurrentRank!$B$2:$D$132,3,FALSE),130))</f>
        <v>16</v>
      </c>
      <c r="H118" s="4">
        <f>IFERROR(VLOOKUP(C118,Week3,2,FALSE),0)</f>
        <v>31.02</v>
      </c>
      <c r="I118" s="4">
        <f>IF(ISBLANK(B118),,IFERROR(VLOOKUP(C118,CurrentRank!$B$2:$C$132,2,FALSE),0))</f>
        <v>39.96</v>
      </c>
      <c r="J118" s="4">
        <f>IFERROR(VLOOKUP(C118,Week3,3,FALSE),130)</f>
        <v>51</v>
      </c>
      <c r="K118" s="4">
        <f>IF(ISBLANK(C118),,IFERROR(VLOOKUP(C118,CurrentRank!$B$2:$D$132,3,FALSE),130))</f>
        <v>35</v>
      </c>
      <c r="L118" s="19">
        <f t="shared" si="77"/>
        <v>1.4376</v>
      </c>
      <c r="M118" s="19">
        <f t="shared" si="78"/>
        <v>1.61985</v>
      </c>
      <c r="N118" s="24">
        <f t="shared" si="71"/>
        <v>32.5</v>
      </c>
      <c r="O118" s="21">
        <f t="shared" si="4"/>
        <v>16.1812</v>
      </c>
      <c r="P118" s="21">
        <f t="shared" si="72"/>
        <v>13.3162</v>
      </c>
      <c r="Q118" s="22">
        <f t="shared" si="6"/>
        <v>0.756594</v>
      </c>
      <c r="R118" s="25" t="str">
        <f t="shared" si="7"/>
        <v>C</v>
      </c>
      <c r="S118" s="19">
        <f t="shared" si="8"/>
        <v>0.7575</v>
      </c>
      <c r="T118" s="19" t="str">
        <f t="shared" si="9"/>
        <v>C</v>
      </c>
      <c r="U118" s="3" t="s">
        <v>203</v>
      </c>
      <c r="V118" s="4" t="str">
        <f>IF(ISBLANK(C118),,IFERROR(IF(VLOOKUP(B118,Standings!$A:$F, 6, 0)=VLOOKUP(C118,Standings!$A:$F, 6, 0), VLOOKUP(B118,Standings!$A:$F, 6, 0), "Non-con"), "FCS"))</f>
        <v>SEC</v>
      </c>
      <c r="W118" s="3" t="str">
        <f t="shared" si="10"/>
        <v>Mississippi</v>
      </c>
      <c r="X118" s="3" t="str">
        <f t="shared" si="11"/>
        <v>Florida</v>
      </c>
      <c r="Y118" s="30">
        <f>IF(D118=0,,IF(ISBLANK(Q118),,VLOOKUP(X118,Week3,2,FALSE)/(VLOOKUP(X118,Week3,2,FALSE)+VLOOKUP(W118,Week3,2,FALSE))+0.05)*100)</f>
        <v>72.63355593</v>
      </c>
      <c r="Z118" s="3" t="s">
        <v>48</v>
      </c>
      <c r="AA118" s="3">
        <v>51.0</v>
      </c>
      <c r="AB118" s="4" t="str">
        <f t="shared" si="20"/>
        <v>Mississippi</v>
      </c>
      <c r="AC118" s="3">
        <v>35.0</v>
      </c>
      <c r="AD118" s="3"/>
      <c r="AE118" s="3">
        <f t="shared" si="13"/>
        <v>16</v>
      </c>
      <c r="AF118" s="3"/>
      <c r="AG118" s="3">
        <f t="shared" si="25"/>
        <v>1</v>
      </c>
      <c r="AH118" s="3"/>
      <c r="AI118" s="7"/>
      <c r="AJ118" s="4"/>
      <c r="AM118" s="7"/>
      <c r="AN118" s="7"/>
      <c r="AO118" s="7"/>
      <c r="AP118" s="7"/>
      <c r="AQ118" s="7"/>
      <c r="AR118" s="7"/>
      <c r="AS118" s="7"/>
      <c r="AT118" s="7"/>
      <c r="AU118" s="7"/>
      <c r="AV118" s="7"/>
      <c r="AW118" s="7"/>
      <c r="AX118" s="7"/>
    </row>
    <row r="119" ht="12.75" hidden="1" customHeight="1">
      <c r="A119" s="3">
        <v>15.0</v>
      </c>
      <c r="B119" s="3" t="s">
        <v>137</v>
      </c>
      <c r="C119" s="3" t="s">
        <v>189</v>
      </c>
      <c r="D119" s="4">
        <f>IFERROR(VLOOKUP(B119,Week14,2,FALSE),0)</f>
        <v>32.73</v>
      </c>
      <c r="E119" s="4">
        <f>IF(ISBLANK(B119),,IFERROR(VLOOKUP(B119,CurrentRank!$B$2:$C$132,2,FALSE),0))</f>
        <v>31.52</v>
      </c>
      <c r="F119" s="4">
        <f>IFERROR(VLOOKUP(B119,Week14,3,FALSE),130)</f>
        <v>91</v>
      </c>
      <c r="G119" s="4">
        <f>IF(ISBLANK(B119),,IFERROR(VLOOKUP(B119,CurrentRank!$B$2:$D$132,3,FALSE),130))</f>
        <v>98</v>
      </c>
      <c r="H119" s="4">
        <f>IFERROR(VLOOKUP(C119,Week14,2,FALSE),0)</f>
        <v>67.86</v>
      </c>
      <c r="I119" s="4">
        <f>IF(ISBLANK(B119),,IFERROR(VLOOKUP(C119,CurrentRank!$B$2:$C$132,2,FALSE),0))</f>
        <v>72.23</v>
      </c>
      <c r="J119" s="4">
        <f>IFERROR(VLOOKUP(C119,Week14,3,FALSE),130)</f>
        <v>17</v>
      </c>
      <c r="K119" s="4">
        <f>IF(ISBLANK(C119),,IFERROR(VLOOKUP(C119,CurrentRank!$B$2:$D$132,3,FALSE),130))</f>
        <v>11</v>
      </c>
      <c r="L119" s="19">
        <f t="shared" si="77"/>
        <v>1.50885</v>
      </c>
      <c r="M119" s="19">
        <f t="shared" si="78"/>
        <v>1.55625</v>
      </c>
      <c r="N119" s="24">
        <f t="shared" si="71"/>
        <v>54</v>
      </c>
      <c r="O119" s="21">
        <f t="shared" si="4"/>
        <v>-18.319425</v>
      </c>
      <c r="P119" s="21">
        <f t="shared" si="72"/>
        <v>-21.109425</v>
      </c>
      <c r="Q119" s="22">
        <f t="shared" si="6"/>
        <v>0.638402875</v>
      </c>
      <c r="R119" s="25" t="str">
        <f t="shared" si="7"/>
        <v>D</v>
      </c>
      <c r="S119" s="19">
        <f t="shared" si="8"/>
        <v>0.64</v>
      </c>
      <c r="T119" s="19" t="str">
        <f t="shared" si="9"/>
        <v>D</v>
      </c>
      <c r="U119" s="3" t="s">
        <v>203</v>
      </c>
      <c r="V119" s="4" t="str">
        <f>IF(ISBLANK(C119),,IFERROR(IF(VLOOKUP(B119,Standings!$A:$F, 6, 0)=VLOOKUP(C119,Standings!$A:$F, 6, 0), VLOOKUP(B119,Standings!$A:$F, 6, 0), "Non-con"), "FCS"))</f>
        <v>B1G</v>
      </c>
      <c r="W119" s="3" t="str">
        <f t="shared" si="10"/>
        <v>Illinois</v>
      </c>
      <c r="X119" s="3" t="str">
        <f t="shared" si="11"/>
        <v>Northwestern</v>
      </c>
      <c r="Y119" s="30">
        <f>IF(D119=0,,IF(ISBLANK(Q119),,VLOOKUP(X119,Week14,2,FALSE)/(VLOOKUP(X119,Week14,2,FALSE)+VLOOKUP(W119,Week14,2,FALSE))+0.05)*100)</f>
        <v>72.46197435</v>
      </c>
      <c r="Z119" s="3" t="s">
        <v>189</v>
      </c>
      <c r="AA119" s="3">
        <v>28.0</v>
      </c>
      <c r="AB119" s="4" t="str">
        <f t="shared" si="20"/>
        <v>Illinois</v>
      </c>
      <c r="AC119" s="3">
        <v>10.0</v>
      </c>
      <c r="AD119" s="3"/>
      <c r="AE119" s="3">
        <f t="shared" si="13"/>
        <v>18</v>
      </c>
      <c r="AF119" s="3"/>
      <c r="AG119" s="3">
        <f t="shared" si="25"/>
        <v>1</v>
      </c>
      <c r="AH119" s="3"/>
      <c r="AI119" s="7"/>
      <c r="AJ119" s="4"/>
      <c r="AK119" s="7"/>
      <c r="AL119" s="7"/>
      <c r="AM119" s="7"/>
      <c r="AN119" s="7"/>
      <c r="AO119" s="7"/>
      <c r="AP119" s="7"/>
      <c r="AQ119" s="7"/>
      <c r="AR119" s="7"/>
      <c r="AS119" s="7"/>
      <c r="AT119" s="7"/>
      <c r="AU119" s="7"/>
      <c r="AV119" s="7"/>
      <c r="AW119" s="7"/>
      <c r="AX119" s="7"/>
    </row>
    <row r="120" ht="12.75" customHeight="1">
      <c r="A120" s="3">
        <v>11.0</v>
      </c>
      <c r="B120" s="3" t="s">
        <v>86</v>
      </c>
      <c r="C120" s="3" t="s">
        <v>132</v>
      </c>
      <c r="D120" s="4">
        <f>IFERROR(VLOOKUP(B120,Week10,2,FALSE),0)</f>
        <v>61.95</v>
      </c>
      <c r="E120" s="4">
        <f>IF(ISBLANK(B120),,IFERROR(VLOOKUP(B120,CurrentRank!$B$2:$C$132,2,FALSE),0))</f>
        <v>33.56</v>
      </c>
      <c r="F120" s="4">
        <f>IFERROR(VLOOKUP(B120,Week10,3,FALSE),130)</f>
        <v>21</v>
      </c>
      <c r="G120" s="4">
        <f>IF(ISBLANK(B120),,IFERROR(VLOOKUP(B120,CurrentRank!$B$2:$D$132,3,FALSE),130))</f>
        <v>78</v>
      </c>
      <c r="H120" s="4">
        <f>IFERROR(VLOOKUP(C120,Week10,2,FALSE),0)</f>
        <v>39.94</v>
      </c>
      <c r="I120" s="4">
        <f>IF(ISBLANK(B120),,IFERROR(VLOOKUP(C120,CurrentRank!$B$2:$C$132,2,FALSE),0))</f>
        <v>37.38</v>
      </c>
      <c r="J120" s="4">
        <f>IFERROR(VLOOKUP(C120,Week10,3,FALSE),130)</f>
        <v>37</v>
      </c>
      <c r="K120" s="4">
        <f>IF(ISBLANK(C120),,IFERROR(VLOOKUP(C120,CurrentRank!$B$2:$D$132,3,FALSE),130))</f>
        <v>43</v>
      </c>
      <c r="L120" s="19">
        <f t="shared" si="77"/>
        <v>1.52835</v>
      </c>
      <c r="M120" s="19">
        <f t="shared" si="78"/>
        <v>1.0641</v>
      </c>
      <c r="N120" s="24">
        <f t="shared" si="71"/>
        <v>29</v>
      </c>
      <c r="O120" s="21">
        <f t="shared" si="4"/>
        <v>10.240825</v>
      </c>
      <c r="P120" s="21">
        <f t="shared" si="72"/>
        <v>-2.674175</v>
      </c>
      <c r="Q120" s="22">
        <f t="shared" si="6"/>
        <v>0.803795875</v>
      </c>
      <c r="R120" s="25" t="str">
        <f t="shared" si="7"/>
        <v>B-</v>
      </c>
      <c r="S120" s="19">
        <f t="shared" si="8"/>
        <v>0.835</v>
      </c>
      <c r="T120" s="19" t="str">
        <f t="shared" si="9"/>
        <v>B</v>
      </c>
      <c r="U120" s="3" t="s">
        <v>203</v>
      </c>
      <c r="V120" s="4" t="str">
        <f>IF(ISBLANK(C120),,IFERROR(IF(VLOOKUP(B120,Standings!$A:$F, 6, 0)=VLOOKUP(C120,Standings!$A:$F, 6, 0), VLOOKUP(B120,Standings!$A:$F, 6, 0), "Non-con"), "FCS"))</f>
        <v>AAC</v>
      </c>
      <c r="W120" s="3" t="str">
        <f t="shared" si="10"/>
        <v>Tulsa</v>
      </c>
      <c r="X120" s="3" t="str">
        <f t="shared" si="11"/>
        <v>Southern Methodist</v>
      </c>
      <c r="Y120" s="30">
        <f>IF(D120=0,,IF(ISBLANK(Q120),,VLOOKUP(X120,Week10,2,FALSE)/(VLOOKUP(X120,Week10,2,FALSE)+VLOOKUP(W120,Week10,2,FALSE))+0.05)*100)</f>
        <v>65.80086368</v>
      </c>
      <c r="Z120" s="3" t="s">
        <v>132</v>
      </c>
      <c r="AA120" s="3">
        <v>28.0</v>
      </c>
      <c r="AB120" s="4" t="str">
        <f t="shared" si="20"/>
        <v>Southern Methodist</v>
      </c>
      <c r="AC120" s="3">
        <v>24.0</v>
      </c>
      <c r="AD120" s="3"/>
      <c r="AE120" s="3">
        <f t="shared" si="13"/>
        <v>4</v>
      </c>
      <c r="AF120" s="3"/>
      <c r="AG120" s="3">
        <f t="shared" si="25"/>
        <v>0</v>
      </c>
      <c r="AH120" s="3"/>
      <c r="AI120" s="7"/>
      <c r="AJ120" s="4"/>
      <c r="AK120" s="7"/>
      <c r="AL120" s="7"/>
      <c r="AM120" s="7"/>
      <c r="AN120" s="7"/>
      <c r="AO120" s="7"/>
      <c r="AP120" s="7"/>
      <c r="AQ120" s="7"/>
      <c r="AR120" s="7"/>
      <c r="AS120" s="7"/>
      <c r="AT120" s="7"/>
      <c r="AU120" s="7"/>
      <c r="AV120" s="7"/>
      <c r="AW120" s="7"/>
      <c r="AX120" s="7"/>
    </row>
    <row r="121" ht="12.75" hidden="1" customHeight="1">
      <c r="A121" s="3">
        <v>10.0</v>
      </c>
      <c r="B121" s="3" t="s">
        <v>104</v>
      </c>
      <c r="C121" s="3" t="s">
        <v>92</v>
      </c>
      <c r="D121" s="4">
        <f>IFERROR(VLOOKUP(B121,Week9,2,FALSE),0)</f>
        <v>31.34</v>
      </c>
      <c r="E121" s="4">
        <f>IF(ISBLANK(B121),,IFERROR(VLOOKUP(B121,CurrentRank!$B$2:$C$132,2,FALSE),0))</f>
        <v>31.08</v>
      </c>
      <c r="F121" s="4">
        <f>IFERROR(VLOOKUP(B121,Week9,3,FALSE),130)</f>
        <v>80</v>
      </c>
      <c r="G121" s="4">
        <f>IF(ISBLANK(B121),,IFERROR(VLOOKUP(B121,CurrentRank!$B$2:$D$132,3,FALSE),130))</f>
        <v>101</v>
      </c>
      <c r="H121" s="4">
        <f>IFERROR(VLOOKUP(C121,Week9,2,FALSE),0)</f>
        <v>63.45</v>
      </c>
      <c r="I121" s="4">
        <f>IF(ISBLANK(B121),,IFERROR(VLOOKUP(C121,CurrentRank!$B$2:$C$132,2,FALSE),0))</f>
        <v>73.64</v>
      </c>
      <c r="J121" s="4">
        <f>IFERROR(VLOOKUP(C121,Week9,3,FALSE),130)</f>
        <v>16</v>
      </c>
      <c r="K121" s="4">
        <f>IF(ISBLANK(C121),,IFERROR(VLOOKUP(C121,CurrentRank!$B$2:$D$132,3,FALSE),130))</f>
        <v>8</v>
      </c>
      <c r="L121" s="19">
        <f t="shared" si="77"/>
        <v>1.42185</v>
      </c>
      <c r="M121" s="19">
        <f t="shared" si="78"/>
        <v>1.5708</v>
      </c>
      <c r="N121" s="24">
        <f t="shared" si="71"/>
        <v>48</v>
      </c>
      <c r="O121" s="21">
        <f t="shared" si="4"/>
        <v>-16.765925</v>
      </c>
      <c r="P121" s="21">
        <f t="shared" si="72"/>
        <v>-21.990925</v>
      </c>
      <c r="Q121" s="22">
        <f t="shared" si="6"/>
        <v>0.676170375</v>
      </c>
      <c r="R121" s="25" t="str">
        <f t="shared" si="7"/>
        <v>D+</v>
      </c>
      <c r="S121" s="19">
        <f t="shared" si="8"/>
        <v>0.725</v>
      </c>
      <c r="T121" s="19" t="str">
        <f t="shared" si="9"/>
        <v>C</v>
      </c>
      <c r="U121" s="3" t="s">
        <v>203</v>
      </c>
      <c r="V121" s="4" t="str">
        <f>IF(ISBLANK(C121),,IFERROR(IF(VLOOKUP(B121,Standings!$A:$F, 6, 0)=VLOOKUP(C121,Standings!$A:$F, 6, 0), VLOOKUP(B121,Standings!$A:$F, 6, 0), "Non-con"), "FCS"))</f>
        <v>BIG12</v>
      </c>
      <c r="W121" s="3" t="str">
        <f t="shared" si="10"/>
        <v>Baylor</v>
      </c>
      <c r="X121" s="3" t="str">
        <f t="shared" si="11"/>
        <v>Iowa State</v>
      </c>
      <c r="Y121" s="30">
        <f>IF(D121=0,,IF(ISBLANK(Q121),,VLOOKUP(X121,Week9,2,FALSE)/(VLOOKUP(X121,Week9,2,FALSE)+VLOOKUP(W121,Week9,2,FALSE))+0.05)*100)</f>
        <v>71.93744066</v>
      </c>
      <c r="Z121" s="3" t="s">
        <v>92</v>
      </c>
      <c r="AA121" s="3">
        <v>38.0</v>
      </c>
      <c r="AB121" s="4" t="str">
        <f t="shared" si="20"/>
        <v>Baylor</v>
      </c>
      <c r="AC121" s="3">
        <v>31.0</v>
      </c>
      <c r="AD121" s="3"/>
      <c r="AE121" s="3">
        <f t="shared" si="13"/>
        <v>7</v>
      </c>
      <c r="AF121" s="3"/>
      <c r="AG121" s="3">
        <f t="shared" si="25"/>
        <v>1</v>
      </c>
      <c r="AH121" s="3"/>
      <c r="AI121" s="7"/>
      <c r="AJ121" s="4"/>
      <c r="AK121" s="7"/>
      <c r="AL121" s="7"/>
      <c r="AM121" s="7"/>
      <c r="AN121" s="7"/>
      <c r="AO121" s="7"/>
      <c r="AP121" s="7"/>
      <c r="AQ121" s="7"/>
      <c r="AR121" s="7"/>
      <c r="AS121" s="7"/>
      <c r="AT121" s="7"/>
      <c r="AU121" s="7"/>
      <c r="AV121" s="7"/>
      <c r="AW121" s="7"/>
      <c r="AX121" s="7"/>
    </row>
    <row r="122" ht="12.75" hidden="1" customHeight="1">
      <c r="A122" s="3">
        <v>14.0</v>
      </c>
      <c r="B122" s="3" t="s">
        <v>132</v>
      </c>
      <c r="C122" s="3" t="s">
        <v>130</v>
      </c>
      <c r="D122" s="4">
        <f>IFERROR(VLOOKUP(B122,Week13,2,FALSE),0)</f>
        <v>59.29</v>
      </c>
      <c r="E122" s="4">
        <f>IF(ISBLANK(B122),,IFERROR(VLOOKUP(B122,CurrentRank!$B$2:$C$132,2,FALSE),0))</f>
        <v>37.38</v>
      </c>
      <c r="F122" s="4">
        <f>IFERROR(VLOOKUP(B122,Week13,3,FALSE),130)</f>
        <v>23</v>
      </c>
      <c r="G122" s="4">
        <f>IF(ISBLANK(B122),,IFERROR(VLOOKUP(B122,CurrentRank!$B$2:$D$132,3,FALSE),130))</f>
        <v>43</v>
      </c>
      <c r="H122" s="4">
        <f>IFERROR(VLOOKUP(C122,Week13,2,FALSE),0)</f>
        <v>29.29</v>
      </c>
      <c r="I122" s="4">
        <f>IF(ISBLANK(B122),,IFERROR(VLOOKUP(C122,CurrentRank!$B$2:$C$132,2,FALSE),0))</f>
        <v>29.22</v>
      </c>
      <c r="J122" s="4">
        <f>IFERROR(VLOOKUP(C122,Week13,3,FALSE),130)</f>
        <v>115</v>
      </c>
      <c r="K122" s="4">
        <f>IF(ISBLANK(C122),,IFERROR(VLOOKUP(C122,CurrentRank!$B$2:$D$132,3,FALSE),130))</f>
        <v>116</v>
      </c>
      <c r="L122" s="19">
        <f t="shared" si="77"/>
        <v>1.3287</v>
      </c>
      <c r="M122" s="19">
        <f t="shared" si="78"/>
        <v>0.999</v>
      </c>
      <c r="N122" s="24">
        <f t="shared" si="71"/>
        <v>69</v>
      </c>
      <c r="O122" s="21">
        <f t="shared" si="4"/>
        <v>14.33565</v>
      </c>
      <c r="P122" s="21">
        <f t="shared" si="72"/>
        <v>3.41565</v>
      </c>
      <c r="Q122" s="22">
        <f t="shared" si="6"/>
        <v>0.58332175</v>
      </c>
      <c r="R122" s="25" t="str">
        <f t="shared" si="7"/>
        <v>F</v>
      </c>
      <c r="S122" s="19">
        <f t="shared" si="8"/>
        <v>0.59</v>
      </c>
      <c r="T122" s="19" t="str">
        <f t="shared" si="9"/>
        <v>F</v>
      </c>
      <c r="U122" s="3" t="s">
        <v>203</v>
      </c>
      <c r="V122" s="4" t="str">
        <f>IF(ISBLANK(C122),,IFERROR(IF(VLOOKUP(B122,Standings!$A:$F, 6, 0)=VLOOKUP(C122,Standings!$A:$F, 6, 0), VLOOKUP(B122,Standings!$A:$F, 6, 0), "Non-con"), "FCS"))</f>
        <v>AAC</v>
      </c>
      <c r="W122" s="3" t="str">
        <f t="shared" si="10"/>
        <v>Navy</v>
      </c>
      <c r="X122" s="3" t="str">
        <f t="shared" si="11"/>
        <v>Tulsa</v>
      </c>
      <c r="Y122" s="30">
        <f>IF(D122=0,,IF(ISBLANK(Q122),,VLOOKUP(X122,Week13,2,FALSE)/(VLOOKUP(X122,Week13,2,FALSE)+VLOOKUP(W122,Week13,2,FALSE))+0.05)*100)</f>
        <v>71.93384511</v>
      </c>
      <c r="Z122" s="3" t="s">
        <v>132</v>
      </c>
      <c r="AA122" s="3">
        <v>19.0</v>
      </c>
      <c r="AB122" s="4" t="str">
        <f t="shared" si="20"/>
        <v>Navy</v>
      </c>
      <c r="AC122" s="3">
        <v>6.0</v>
      </c>
      <c r="AD122" s="3"/>
      <c r="AE122" s="3">
        <f t="shared" si="13"/>
        <v>13</v>
      </c>
      <c r="AF122" s="3"/>
      <c r="AG122" s="3">
        <f t="shared" si="25"/>
        <v>1</v>
      </c>
      <c r="AH122" s="3"/>
      <c r="AI122" s="7"/>
      <c r="AJ122" s="3" t="s">
        <v>250</v>
      </c>
      <c r="AK122" s="7"/>
      <c r="AL122" s="7"/>
      <c r="AM122" s="7"/>
      <c r="AN122" s="7"/>
      <c r="AO122" s="7"/>
      <c r="AP122" s="7"/>
      <c r="AQ122" s="7"/>
      <c r="AR122" s="7"/>
      <c r="AS122" s="7"/>
      <c r="AT122" s="7"/>
      <c r="AU122" s="7"/>
      <c r="AV122" s="7"/>
      <c r="AW122" s="7"/>
      <c r="AX122" s="7"/>
    </row>
    <row r="123" ht="12.75" hidden="1" customHeight="1">
      <c r="A123" s="3">
        <v>12.0</v>
      </c>
      <c r="B123" s="3" t="s">
        <v>90</v>
      </c>
      <c r="C123" s="3" t="s">
        <v>96</v>
      </c>
      <c r="D123" s="4">
        <f>IFERROR(VLOOKUP(B123,Week11,2,FALSE),0)</f>
        <v>61.93</v>
      </c>
      <c r="E123" s="4">
        <f>IF(ISBLANK(B123),,IFERROR(VLOOKUP(B123,CurrentRank!$B$2:$C$132,2,FALSE),0))</f>
        <v>62.48</v>
      </c>
      <c r="F123" s="4">
        <f>IFERROR(VLOOKUP(B123,Week11,3,FALSE),130)</f>
        <v>22</v>
      </c>
      <c r="G123" s="4">
        <f>IF(ISBLANK(B123),,IFERROR(VLOOKUP(B123,CurrentRank!$B$2:$D$132,3,FALSE),130))</f>
        <v>19</v>
      </c>
      <c r="H123" s="4">
        <f>IFERROR(VLOOKUP(C123,Week11,2,FALSE),0)</f>
        <v>30.71</v>
      </c>
      <c r="I123" s="4">
        <f>IF(ISBLANK(B123),,IFERROR(VLOOKUP(C123,CurrentRank!$B$2:$C$132,2,FALSE),0))</f>
        <v>43.66</v>
      </c>
      <c r="J123" s="4">
        <f>IFERROR(VLOOKUP(C123,Week11,3,FALSE),130)</f>
        <v>98</v>
      </c>
      <c r="K123" s="4">
        <f>IF(ISBLANK(C123),,IFERROR(VLOOKUP(C123,CurrentRank!$B$2:$D$132,3,FALSE),130))</f>
        <v>27</v>
      </c>
      <c r="L123" s="19">
        <f t="shared" si="77"/>
        <v>1.3896</v>
      </c>
      <c r="M123" s="19">
        <f t="shared" si="78"/>
        <v>1.5921</v>
      </c>
      <c r="N123" s="24">
        <f t="shared" si="71"/>
        <v>60</v>
      </c>
      <c r="O123" s="21">
        <f t="shared" si="4"/>
        <v>14.9152</v>
      </c>
      <c r="P123" s="21">
        <f t="shared" si="72"/>
        <v>8.7152</v>
      </c>
      <c r="Q123" s="22">
        <f t="shared" si="6"/>
        <v>0.625424</v>
      </c>
      <c r="R123" s="25" t="str">
        <f t="shared" si="7"/>
        <v>D</v>
      </c>
      <c r="S123" s="19">
        <f t="shared" si="8"/>
        <v>0.595</v>
      </c>
      <c r="T123" s="19" t="str">
        <f t="shared" si="9"/>
        <v>D-</v>
      </c>
      <c r="U123" s="3" t="s">
        <v>203</v>
      </c>
      <c r="V123" s="4" t="str">
        <f>IF(ISBLANK(C123),,IFERROR(IF(VLOOKUP(B123,Standings!$A:$F, 6, 0)=VLOOKUP(C123,Standings!$A:$F, 6, 0), VLOOKUP(B123,Standings!$A:$F, 6, 0), "Non-con"), "FCS"))</f>
        <v>PAC12</v>
      </c>
      <c r="W123" s="3" t="str">
        <f t="shared" si="10"/>
        <v>Utah</v>
      </c>
      <c r="X123" s="3" t="str">
        <f t="shared" si="11"/>
        <v>Southern Cal</v>
      </c>
      <c r="Y123" s="30">
        <f>IF(D123=0,,IF(ISBLANK(Q123),,VLOOKUP(X123,Week11,2,FALSE)/(VLOOKUP(X123,Week11,2,FALSE)+VLOOKUP(W123,Week11,2,FALSE))+0.05)*100)</f>
        <v>71.85017271</v>
      </c>
      <c r="Z123" s="3" t="s">
        <v>90</v>
      </c>
      <c r="AA123" s="3">
        <v>38.0</v>
      </c>
      <c r="AB123" s="4" t="str">
        <f t="shared" si="20"/>
        <v>Utah</v>
      </c>
      <c r="AC123" s="3">
        <v>17.0</v>
      </c>
      <c r="AD123" s="3"/>
      <c r="AE123" s="3">
        <f t="shared" si="13"/>
        <v>21</v>
      </c>
      <c r="AF123" s="3"/>
      <c r="AG123" s="3">
        <f t="shared" si="25"/>
        <v>1</v>
      </c>
      <c r="AH123" s="3"/>
      <c r="AI123" s="7"/>
      <c r="AJ123" s="4"/>
      <c r="AK123" s="7"/>
      <c r="AL123" s="7"/>
      <c r="AM123" s="7"/>
      <c r="AN123" s="7"/>
      <c r="AO123" s="7"/>
      <c r="AP123" s="7"/>
      <c r="AQ123" s="7"/>
      <c r="AR123" s="7"/>
      <c r="AS123" s="7"/>
      <c r="AT123" s="7"/>
      <c r="AU123" s="7"/>
      <c r="AV123" s="7"/>
      <c r="AW123" s="7"/>
      <c r="AX123" s="7"/>
    </row>
    <row r="124" ht="12.75" customHeight="1">
      <c r="A124" s="3">
        <v>2.0</v>
      </c>
      <c r="B124" s="3" t="s">
        <v>103</v>
      </c>
      <c r="C124" s="3" t="s">
        <v>102</v>
      </c>
      <c r="D124" s="4">
        <f>IFERROR(VLOOKUP(B124,Week1,2,FALSE),0)</f>
        <v>6.67</v>
      </c>
      <c r="E124" s="4">
        <f>IF(ISBLANK(B124),,IFERROR(VLOOKUP(B124,CurrentRank!$B$2:$C$132,2,FALSE),0))</f>
        <v>34.42</v>
      </c>
      <c r="F124" s="4">
        <f>IFERROR(VLOOKUP(B124,Week1,3,FALSE),130)</f>
        <v>35</v>
      </c>
      <c r="G124" s="4">
        <f>IF(ISBLANK(B124),,IFERROR(VLOOKUP(B124,CurrentRank!$B$2:$D$132,3,FALSE),130))</f>
        <v>70</v>
      </c>
      <c r="H124" s="4">
        <f>IFERROR(VLOOKUP(C124,Week1,2,FALSE),0)</f>
        <v>19.65</v>
      </c>
      <c r="I124" s="4">
        <f>IF(ISBLANK(B124),,IFERROR(VLOOKUP(C124,CurrentRank!$B$2:$C$132,2,FALSE),0))</f>
        <v>31.07</v>
      </c>
      <c r="J124" s="4">
        <f>IFERROR(VLOOKUP(C124,Week1,3,FALSE),130)</f>
        <v>25</v>
      </c>
      <c r="K124" s="4">
        <f>IF(ISBLANK(C124),,IFERROR(VLOOKUP(C124,CurrentRank!$B$2:$D$132,3,FALSE),130))</f>
        <v>102</v>
      </c>
      <c r="L124" s="19">
        <f t="shared" si="77"/>
        <v>0.3948</v>
      </c>
      <c r="M124" s="19">
        <f t="shared" si="78"/>
        <v>0.98235</v>
      </c>
      <c r="N124" s="24">
        <f t="shared" si="71"/>
        <v>30</v>
      </c>
      <c r="O124" s="21">
        <f t="shared" si="4"/>
        <v>-6.6874</v>
      </c>
      <c r="P124" s="21">
        <f t="shared" si="72"/>
        <v>1.4776</v>
      </c>
      <c r="Q124" s="22">
        <f t="shared" si="6"/>
        <v>0.816563</v>
      </c>
      <c r="R124" s="25" t="str">
        <f t="shared" si="7"/>
        <v>B-</v>
      </c>
      <c r="S124" s="19">
        <f t="shared" si="8"/>
        <v>0.835</v>
      </c>
      <c r="T124" s="19" t="str">
        <f t="shared" si="9"/>
        <v>B</v>
      </c>
      <c r="U124" s="3" t="s">
        <v>203</v>
      </c>
      <c r="V124" s="4" t="str">
        <f>IF(ISBLANK(C124),,IFERROR(IF(VLOOKUP(B124,Standings!$A:$F, 6, 0)=VLOOKUP(C124,Standings!$A:$F, 6, 0), VLOOKUP(B124,Standings!$A:$F, 6, 0), "Non-con"), "FCS"))</f>
        <v>Non-con</v>
      </c>
      <c r="W124" s="3" t="str">
        <f t="shared" si="10"/>
        <v>Tulane</v>
      </c>
      <c r="X124" s="3" t="str">
        <f t="shared" si="11"/>
        <v>South Alabama</v>
      </c>
      <c r="Y124" s="30">
        <f>IF(D124=0,,IF(ISBLANK(Q124),,VLOOKUP(X124,Week1,2,FALSE)/(VLOOKUP(X124,Week1,2,FALSE)+VLOOKUP(W124,Week1,2,FALSE))+0.05)*100)</f>
        <v>79.65805471</v>
      </c>
      <c r="Z124" s="3" t="s">
        <v>103</v>
      </c>
      <c r="AA124" s="3">
        <v>27.0</v>
      </c>
      <c r="AB124" s="4" t="str">
        <f t="shared" si="20"/>
        <v>South Alabama</v>
      </c>
      <c r="AC124" s="3">
        <v>24.0</v>
      </c>
      <c r="AD124" s="3"/>
      <c r="AE124" s="3">
        <f t="shared" si="13"/>
        <v>3</v>
      </c>
      <c r="AF124" s="3"/>
      <c r="AG124" s="3">
        <f t="shared" si="25"/>
        <v>0</v>
      </c>
      <c r="AH124" s="3"/>
      <c r="AI124" s="7"/>
      <c r="AJ124" s="4"/>
      <c r="AK124" s="7"/>
      <c r="AL124" s="7"/>
      <c r="AM124" s="7"/>
      <c r="AN124" s="7"/>
      <c r="AO124" s="7"/>
      <c r="AP124" s="7"/>
      <c r="AQ124" s="7"/>
      <c r="AR124" s="7"/>
      <c r="AS124" s="7"/>
      <c r="AT124" s="7"/>
      <c r="AU124" s="7"/>
      <c r="AV124" s="7"/>
      <c r="AW124" s="7"/>
      <c r="AX124" s="7"/>
    </row>
    <row r="125" ht="12.75" hidden="1" customHeight="1">
      <c r="A125" s="3">
        <v>11.0</v>
      </c>
      <c r="B125" s="3" t="s">
        <v>40</v>
      </c>
      <c r="C125" s="3" t="s">
        <v>82</v>
      </c>
      <c r="D125" s="4">
        <f>IFERROR(VLOOKUP(B125,Week10,2,FALSE),0)</f>
        <v>75.25</v>
      </c>
      <c r="E125" s="4">
        <f>IF(ISBLANK(B125),,IFERROR(VLOOKUP(B125,CurrentRank!$B$2:$C$132,2,FALSE),0))</f>
        <v>57.15</v>
      </c>
      <c r="F125" s="4">
        <f>IFERROR(VLOOKUP(B125,Week10,3,FALSE),130)</f>
        <v>11</v>
      </c>
      <c r="G125" s="4">
        <f>IF(ISBLANK(B125),,IFERROR(VLOOKUP(B125,CurrentRank!$B$2:$D$132,3,FALSE),130))</f>
        <v>23</v>
      </c>
      <c r="H125" s="4">
        <f>IFERROR(VLOOKUP(C125,Week10,2,FALSE),0)</f>
        <v>37.48</v>
      </c>
      <c r="I125" s="4">
        <f>IF(ISBLANK(B125),,IFERROR(VLOOKUP(C125,CurrentRank!$B$2:$C$132,2,FALSE),0))</f>
        <v>36.12</v>
      </c>
      <c r="J125" s="4">
        <f>IFERROR(VLOOKUP(C125,Week10,3,FALSE),130)</f>
        <v>53</v>
      </c>
      <c r="K125" s="4">
        <f>IF(ISBLANK(C125),,IFERROR(VLOOKUP(C125,CurrentRank!$B$2:$D$132,3,FALSE),130))</f>
        <v>54</v>
      </c>
      <c r="L125" s="19">
        <f t="shared" si="77"/>
        <v>1.69095</v>
      </c>
      <c r="M125" s="19">
        <f t="shared" si="78"/>
        <v>1.39905</v>
      </c>
      <c r="N125" s="24">
        <f t="shared" si="71"/>
        <v>32</v>
      </c>
      <c r="O125" s="21">
        <f t="shared" si="4"/>
        <v>18.039525</v>
      </c>
      <c r="P125" s="21">
        <f t="shared" si="72"/>
        <v>9.669525</v>
      </c>
      <c r="Q125" s="22">
        <f t="shared" si="6"/>
        <v>0.749802375</v>
      </c>
      <c r="R125" s="25" t="str">
        <f t="shared" si="7"/>
        <v>C</v>
      </c>
      <c r="S125" s="19">
        <f t="shared" si="8"/>
        <v>0.835</v>
      </c>
      <c r="T125" s="19" t="str">
        <f t="shared" si="9"/>
        <v>B</v>
      </c>
      <c r="U125" s="3" t="s">
        <v>203</v>
      </c>
      <c r="V125" s="4" t="str">
        <f>IF(ISBLANK(C125),,IFERROR(IF(VLOOKUP(B125,Standings!$A:$F, 6, 0)=VLOOKUP(C125,Standings!$A:$F, 6, 0), VLOOKUP(B125,Standings!$A:$F, 6, 0), "Non-con"), "FCS"))</f>
        <v>ACC</v>
      </c>
      <c r="W125" s="3" t="str">
        <f t="shared" si="10"/>
        <v>Virginia Tech</v>
      </c>
      <c r="X125" s="3" t="str">
        <f t="shared" si="11"/>
        <v>Miami</v>
      </c>
      <c r="Y125" s="30">
        <f>IF(D125=0,,IF(ISBLANK(Q125),,VLOOKUP(X125,Week10,2,FALSE)/(VLOOKUP(X125,Week10,2,FALSE)+VLOOKUP(W125,Week10,2,FALSE))+0.05)*100)</f>
        <v>71.75241728</v>
      </c>
      <c r="Z125" s="3" t="s">
        <v>40</v>
      </c>
      <c r="AA125" s="3">
        <v>25.0</v>
      </c>
      <c r="AB125" s="4" t="str">
        <f t="shared" si="20"/>
        <v>Virginia Tech</v>
      </c>
      <c r="AC125" s="3">
        <v>24.0</v>
      </c>
      <c r="AD125" s="3"/>
      <c r="AE125" s="3">
        <f t="shared" si="13"/>
        <v>1</v>
      </c>
      <c r="AF125" s="3"/>
      <c r="AG125" s="3">
        <f t="shared" si="25"/>
        <v>1</v>
      </c>
      <c r="AH125" s="3"/>
      <c r="AI125" s="7"/>
      <c r="AJ125" s="4"/>
      <c r="AK125" s="7"/>
      <c r="AL125" s="7"/>
      <c r="AM125" s="7"/>
      <c r="AN125" s="7"/>
      <c r="AO125" s="7"/>
      <c r="AP125" s="7"/>
      <c r="AQ125" s="7"/>
      <c r="AR125" s="7"/>
      <c r="AS125" s="7"/>
      <c r="AT125" s="7"/>
      <c r="AU125" s="7"/>
      <c r="AV125" s="7"/>
      <c r="AW125" s="7"/>
      <c r="AX125" s="7"/>
    </row>
    <row r="126" ht="12.75" hidden="1" customHeight="1">
      <c r="A126" s="3">
        <v>10.0</v>
      </c>
      <c r="B126" s="3" t="s">
        <v>40</v>
      </c>
      <c r="C126" s="3" t="s">
        <v>109</v>
      </c>
      <c r="D126" s="4">
        <f>IFERROR(VLOOKUP(B126,Week9,2,FALSE),0)</f>
        <v>74.23</v>
      </c>
      <c r="E126" s="4">
        <f>IF(ISBLANK(B126),,IFERROR(VLOOKUP(B126,CurrentRank!$B$2:$C$132,2,FALSE),0))</f>
        <v>57.15</v>
      </c>
      <c r="F126" s="4">
        <f>IFERROR(VLOOKUP(B126,Week9,3,FALSE),130)</f>
        <v>11</v>
      </c>
      <c r="G126" s="4">
        <f>IF(ISBLANK(B126),,IFERROR(VLOOKUP(B126,CurrentRank!$B$2:$D$132,3,FALSE),130))</f>
        <v>23</v>
      </c>
      <c r="H126" s="4">
        <f>IFERROR(VLOOKUP(C126,Week9,2,FALSE),0)</f>
        <v>37.05</v>
      </c>
      <c r="I126" s="4">
        <f>IF(ISBLANK(B126),,IFERROR(VLOOKUP(C126,CurrentRank!$B$2:$C$132,2,FALSE),0))</f>
        <v>37.82</v>
      </c>
      <c r="J126" s="4">
        <f>IFERROR(VLOOKUP(C126,Week9,3,FALSE),130)</f>
        <v>50</v>
      </c>
      <c r="K126" s="4">
        <f>IF(ISBLANK(C126),,IFERROR(VLOOKUP(C126,CurrentRank!$B$2:$D$132,3,FALSE),130))</f>
        <v>40</v>
      </c>
      <c r="L126" s="19">
        <f t="shared" si="77"/>
        <v>1.6692</v>
      </c>
      <c r="M126" s="19">
        <f t="shared" si="78"/>
        <v>1.42455</v>
      </c>
      <c r="N126" s="24">
        <f t="shared" si="71"/>
        <v>30.5</v>
      </c>
      <c r="O126" s="21">
        <f t="shared" si="4"/>
        <v>17.7554</v>
      </c>
      <c r="P126" s="21">
        <f t="shared" si="72"/>
        <v>8.8304</v>
      </c>
      <c r="Q126" s="22">
        <f t="shared" si="6"/>
        <v>0.758723</v>
      </c>
      <c r="R126" s="25" t="str">
        <f t="shared" si="7"/>
        <v>C</v>
      </c>
      <c r="S126" s="19">
        <f t="shared" si="8"/>
        <v>0.8325</v>
      </c>
      <c r="T126" s="19" t="str">
        <f t="shared" si="9"/>
        <v>B</v>
      </c>
      <c r="U126" s="3" t="s">
        <v>203</v>
      </c>
      <c r="V126" s="4" t="str">
        <f>IF(ISBLANK(C126),,IFERROR(IF(VLOOKUP(B126,Standings!$A:$F, 6, 0)=VLOOKUP(C126,Standings!$A:$F, 6, 0), VLOOKUP(B126,Standings!$A:$F, 6, 0), "Non-con"), "FCS"))</f>
        <v>ACC</v>
      </c>
      <c r="W126" s="3" t="str">
        <f t="shared" si="10"/>
        <v>North Carolina State</v>
      </c>
      <c r="X126" s="3" t="str">
        <f t="shared" si="11"/>
        <v>Miami</v>
      </c>
      <c r="Y126" s="30">
        <f>IF(D126=0,,IF(ISBLANK(Q126),,VLOOKUP(X126,Week9,2,FALSE)/(VLOOKUP(X126,Week9,2,FALSE)+VLOOKUP(W126,Week9,2,FALSE))+0.05)*100)</f>
        <v>71.70560748</v>
      </c>
      <c r="Z126" s="3" t="s">
        <v>40</v>
      </c>
      <c r="AA126" s="3">
        <v>44.0</v>
      </c>
      <c r="AB126" s="4" t="str">
        <f t="shared" si="20"/>
        <v>North Carolina State</v>
      </c>
      <c r="AC126" s="3">
        <v>41.0</v>
      </c>
      <c r="AD126" s="3"/>
      <c r="AE126" s="3">
        <f t="shared" si="13"/>
        <v>3</v>
      </c>
      <c r="AF126" s="3"/>
      <c r="AG126" s="3">
        <f t="shared" si="25"/>
        <v>1</v>
      </c>
      <c r="AH126" s="3"/>
      <c r="AI126" s="7"/>
      <c r="AJ126" s="4"/>
      <c r="AK126" s="7"/>
      <c r="AL126" s="7"/>
      <c r="AM126" s="7"/>
      <c r="AN126" s="7"/>
      <c r="AO126" s="7"/>
      <c r="AP126" s="7"/>
      <c r="AQ126" s="7"/>
      <c r="AR126" s="7"/>
      <c r="AS126" s="7"/>
      <c r="AT126" s="7"/>
      <c r="AU126" s="7"/>
      <c r="AV126" s="7"/>
      <c r="AW126" s="7"/>
      <c r="AX126" s="7"/>
    </row>
    <row r="127" ht="12.75" customHeight="1">
      <c r="A127" s="3">
        <v>12.0</v>
      </c>
      <c r="B127" s="3" t="s">
        <v>106</v>
      </c>
      <c r="C127" s="3" t="s">
        <v>109</v>
      </c>
      <c r="D127" s="4">
        <f>IFERROR(VLOOKUP(B127,Week11,2,FALSE),0)</f>
        <v>68.42</v>
      </c>
      <c r="E127" s="4">
        <f>IF(ISBLANK(B127),,IFERROR(VLOOKUP(B127,CurrentRank!$B$2:$C$132,2,FALSE),0))</f>
        <v>65.58</v>
      </c>
      <c r="F127" s="4">
        <f>IFERROR(VLOOKUP(B127,Week11,3,FALSE),130)</f>
        <v>18</v>
      </c>
      <c r="G127" s="4">
        <f>IF(ISBLANK(B127),,IFERROR(VLOOKUP(B127,CurrentRank!$B$2:$D$132,3,FALSE),130))</f>
        <v>17</v>
      </c>
      <c r="H127" s="4">
        <f>IFERROR(VLOOKUP(C127,Week11,2,FALSE),0)</f>
        <v>38.52</v>
      </c>
      <c r="I127" s="4">
        <f>IF(ISBLANK(B127),,IFERROR(VLOOKUP(C127,CurrentRank!$B$2:$C$132,2,FALSE),0))</f>
        <v>37.82</v>
      </c>
      <c r="J127" s="4">
        <f>IFERROR(VLOOKUP(C127,Week11,3,FALSE),130)</f>
        <v>48</v>
      </c>
      <c r="K127" s="4">
        <f>IF(ISBLANK(C127),,IFERROR(VLOOKUP(C127,CurrentRank!$B$2:$D$132,3,FALSE),130))</f>
        <v>40</v>
      </c>
      <c r="L127" s="19">
        <f t="shared" si="77"/>
        <v>1.6041</v>
      </c>
      <c r="M127" s="19">
        <f t="shared" si="78"/>
        <v>1.551</v>
      </c>
      <c r="N127" s="24">
        <f t="shared" si="71"/>
        <v>33</v>
      </c>
      <c r="O127" s="21">
        <f t="shared" si="4"/>
        <v>14.14795</v>
      </c>
      <c r="P127" s="21">
        <f t="shared" si="72"/>
        <v>13.07795</v>
      </c>
      <c r="Q127" s="22">
        <f t="shared" si="6"/>
        <v>0.76426025</v>
      </c>
      <c r="R127" s="25" t="str">
        <f t="shared" si="7"/>
        <v>C</v>
      </c>
      <c r="S127" s="19">
        <f t="shared" si="8"/>
        <v>0.83</v>
      </c>
      <c r="T127" s="19" t="str">
        <f t="shared" si="9"/>
        <v>B</v>
      </c>
      <c r="U127" s="3" t="s">
        <v>203</v>
      </c>
      <c r="V127" s="4" t="str">
        <f>IF(ISBLANK(C127),,IFERROR(IF(VLOOKUP(B127,Standings!$A:$F, 6, 0)=VLOOKUP(C127,Standings!$A:$F, 6, 0), VLOOKUP(B127,Standings!$A:$F, 6, 0), "Non-con"), "FCS"))</f>
        <v>Non-con</v>
      </c>
      <c r="W127" s="3" t="str">
        <f t="shared" si="10"/>
        <v>North Carolina State</v>
      </c>
      <c r="X127" s="3" t="str">
        <f t="shared" si="11"/>
        <v>Liberty</v>
      </c>
      <c r="Y127" s="30">
        <f>IF(D127=0,,IF(ISBLANK(Q127),,VLOOKUP(X127,Week11,2,FALSE)/(VLOOKUP(X127,Week11,2,FALSE)+VLOOKUP(W127,Week11,2,FALSE))+0.05)*100)</f>
        <v>68.97980176</v>
      </c>
      <c r="Z127" s="3" t="s">
        <v>109</v>
      </c>
      <c r="AA127" s="3">
        <v>15.0</v>
      </c>
      <c r="AB127" s="4" t="str">
        <f t="shared" si="20"/>
        <v>Liberty</v>
      </c>
      <c r="AC127" s="3">
        <v>14.0</v>
      </c>
      <c r="AD127" s="3"/>
      <c r="AE127" s="3">
        <f t="shared" si="13"/>
        <v>1</v>
      </c>
      <c r="AF127" s="3"/>
      <c r="AG127" s="3">
        <f t="shared" si="25"/>
        <v>0</v>
      </c>
      <c r="AH127" s="3"/>
      <c r="AI127" s="7"/>
      <c r="AJ127" s="4" t="s">
        <v>88</v>
      </c>
      <c r="AK127" s="7"/>
      <c r="AL127" s="7"/>
      <c r="AM127" s="7"/>
      <c r="AN127" s="7"/>
      <c r="AO127" s="7"/>
      <c r="AP127" s="7"/>
      <c r="AQ127" s="7"/>
      <c r="AR127" s="7"/>
      <c r="AS127" s="7"/>
      <c r="AT127" s="7"/>
      <c r="AU127" s="7"/>
      <c r="AV127" s="7"/>
      <c r="AW127" s="7"/>
      <c r="AX127" s="7"/>
    </row>
    <row r="128" ht="12.75" hidden="1" customHeight="1">
      <c r="A128" s="3">
        <v>12.0</v>
      </c>
      <c r="B128" s="3" t="s">
        <v>129</v>
      </c>
      <c r="C128" s="3" t="s">
        <v>79</v>
      </c>
      <c r="D128" s="4">
        <f>IFERROR(VLOOKUP(B128,CurrentRank!$B$2:$C$132,2,FALSE),0)</f>
        <v>39.96</v>
      </c>
      <c r="E128" s="4">
        <f>IF(ISBLANK(B128),,IFERROR(VLOOKUP(B128,CurrentRank!$B$2:$C$132,2,FALSE),0))</f>
        <v>39.96</v>
      </c>
      <c r="F128" s="4">
        <f>IFERROR(VLOOKUP(B128,CurrentRank!$B$2:$D$132,3,FALSE),130)</f>
        <v>35</v>
      </c>
      <c r="G128" s="4">
        <f>IF(ISBLANK(B128),,IFERROR(VLOOKUP(B128,CurrentRank!$B$2:$D$132,3,FALSE),130))</f>
        <v>35</v>
      </c>
      <c r="H128" s="4">
        <f>IFERROR(VLOOKUP(C128,CurrentRank!$B$2:$C$132,2,FALSE),0)</f>
        <v>85.31</v>
      </c>
      <c r="I128" s="4">
        <f>IF(ISBLANK(B128),,IFERROR(VLOOKUP(C128,CurrentRank!$B$2:$C$132,2,FALSE),0))</f>
        <v>85.31</v>
      </c>
      <c r="J128" s="4">
        <f>IFERROR(VLOOKUP(C128,Week11,3,FALSE),130)</f>
        <v>5</v>
      </c>
      <c r="K128" s="4">
        <f>IFERROR(VLOOKUP(C128,CurrentRank!$B$2:$D$132,3,FALSE),130)</f>
        <v>3</v>
      </c>
      <c r="L128" s="19">
        <f t="shared" ref="L128:M128" si="79">IF(ISBLANK(C128),,(D128+H128)*0.015)</f>
        <v>1.87905</v>
      </c>
      <c r="M128" s="19">
        <f t="shared" si="79"/>
        <v>1.87905</v>
      </c>
      <c r="N128" s="24">
        <f>(F128+K128)/2</f>
        <v>19</v>
      </c>
      <c r="O128" s="21">
        <f t="shared" si="4"/>
        <v>-23.614525</v>
      </c>
      <c r="P128" s="24">
        <f>(D128-(H128+L128))/2</f>
        <v>-23.614525</v>
      </c>
      <c r="Q128" s="22">
        <f t="shared" si="6"/>
        <v>0.786927375</v>
      </c>
      <c r="R128" s="25" t="str">
        <f t="shared" si="7"/>
        <v>C+</v>
      </c>
      <c r="S128" s="19" t="str">
        <f t="shared" si="8"/>
        <v/>
      </c>
      <c r="T128" s="19" t="str">
        <f t="shared" si="9"/>
        <v/>
      </c>
      <c r="U128" s="3" t="s">
        <v>203</v>
      </c>
      <c r="V128" s="4" t="str">
        <f>IFERROR(IF(VLOOKUP(B128,Standings!$A:$F, 6, 0)=VLOOKUP(C128,Standings!$A:$F, 6, 0), VLOOKUP(B128,Standings!$A:$F, 6, 0), "Non-con"), "FCS")</f>
        <v>SEC</v>
      </c>
      <c r="W128" s="3" t="str">
        <f t="shared" si="10"/>
        <v>Mississippi</v>
      </c>
      <c r="X128" s="3" t="str">
        <f t="shared" si="11"/>
        <v>Texas A&amp;M</v>
      </c>
      <c r="Y128" s="30">
        <f>IF(D128=0,,IF(ISBLANK(Q128),,VLOOKUP(X128,Week11,2,FALSE)/(VLOOKUP(X128,Week11,2,FALSE)+VLOOKUP(W128,Week11,2,FALSE))+0.05)*100)</f>
        <v>71.42166983</v>
      </c>
      <c r="Z128" s="3"/>
      <c r="AA128" s="3"/>
      <c r="AB128" s="4" t="str">
        <f t="shared" si="20"/>
        <v/>
      </c>
      <c r="AC128" s="3"/>
      <c r="AD128" s="3"/>
      <c r="AE128" s="3" t="str">
        <f t="shared" si="13"/>
        <v/>
      </c>
      <c r="AF128" s="3" t="s">
        <v>228</v>
      </c>
      <c r="AG128" s="3" t="str">
        <f t="shared" si="25"/>
        <v/>
      </c>
      <c r="AH128" s="3"/>
      <c r="AI128" s="7"/>
      <c r="AJ128" s="4"/>
      <c r="AK128" s="7"/>
      <c r="AL128" s="7"/>
      <c r="AM128" s="7"/>
      <c r="AN128" s="7"/>
      <c r="AO128" s="7"/>
      <c r="AP128" s="7"/>
      <c r="AQ128" s="7"/>
      <c r="AR128" s="7"/>
      <c r="AS128" s="7"/>
      <c r="AT128" s="7"/>
      <c r="AU128" s="7"/>
      <c r="AV128" s="7"/>
      <c r="AW128" s="7"/>
      <c r="AX128" s="7"/>
    </row>
    <row r="129" ht="12.75" customHeight="1">
      <c r="A129" s="3">
        <v>16.0</v>
      </c>
      <c r="B129" s="3" t="s">
        <v>62</v>
      </c>
      <c r="C129" s="3" t="s">
        <v>90</v>
      </c>
      <c r="D129" s="4">
        <f>IFERROR(VLOOKUP(B129,Week15,2,FALSE),0)</f>
        <v>37.51</v>
      </c>
      <c r="E129" s="4">
        <f>IF(ISBLANK(B129),,IFERROR(VLOOKUP(B129,CurrentRank!$B$2:$C$132,2,FALSE),0))</f>
        <v>37.34</v>
      </c>
      <c r="F129" s="4">
        <f>IFERROR(VLOOKUP(B129,Week15,3,FALSE),130)</f>
        <v>46</v>
      </c>
      <c r="G129" s="4">
        <f>IF(ISBLANK(B129),,IFERROR(VLOOKUP(B129,CurrentRank!$B$2:$D$132,3,FALSE),130))</f>
        <v>44</v>
      </c>
      <c r="H129" s="4">
        <f>IFERROR(VLOOKUP(C129,Week15,2,FALSE),0)</f>
        <v>75.05</v>
      </c>
      <c r="I129" s="4">
        <f>IF(ISBLANK(B129),,IFERROR(VLOOKUP(C129,CurrentRank!$B$2:$C$132,2,FALSE),0))</f>
        <v>62.48</v>
      </c>
      <c r="J129" s="4">
        <f>IFERROR(VLOOKUP(C129,Week15,3,FALSE),130)</f>
        <v>11</v>
      </c>
      <c r="K129" s="4">
        <f>IF(ISBLANK(C129),,IFERROR(VLOOKUP(C129,CurrentRank!$B$2:$D$132,3,FALSE),130))</f>
        <v>19</v>
      </c>
      <c r="L129" s="19">
        <f t="shared" ref="L129:L130" si="80">IF(U129= "Yes", 0, IF(ISBLANK(C129),,(D129+H129)*0.015))</f>
        <v>1.6884</v>
      </c>
      <c r="M129" s="19">
        <f t="shared" ref="M129:M130" si="81">IF(U129= "Yes", 0, IF(ISBLANK(D129),,(E129+I129)*0.015))</f>
        <v>1.4973</v>
      </c>
      <c r="N129" s="24">
        <f t="shared" ref="N129:N255" si="82">IF(ISBLANK(C129),,(F129+J129)/2)</f>
        <v>28.5</v>
      </c>
      <c r="O129" s="21">
        <f t="shared" si="4"/>
        <v>-19.6142</v>
      </c>
      <c r="P129" s="21">
        <f t="shared" ref="P129:P169" si="83">IF(ISBLANK(C129),,(E129-(I129+L129))/2)</f>
        <v>-13.4142</v>
      </c>
      <c r="Q129" s="22">
        <f t="shared" si="6"/>
        <v>0.759429</v>
      </c>
      <c r="R129" s="25" t="str">
        <f t="shared" si="7"/>
        <v>C</v>
      </c>
      <c r="S129" s="19">
        <f t="shared" si="8"/>
        <v>0.8225</v>
      </c>
      <c r="T129" s="19" t="str">
        <f t="shared" si="9"/>
        <v>B-</v>
      </c>
      <c r="U129" s="3" t="s">
        <v>203</v>
      </c>
      <c r="V129" s="4" t="str">
        <f>IF(ISBLANK(C129),,IFERROR(IF(VLOOKUP(B129,Standings!$A:$F, 6, 0)=VLOOKUP(C129,Standings!$A:$F, 6, 0), VLOOKUP(B129,Standings!$A:$F, 6, 0), "Non-con"), "FCS"))</f>
        <v>PAC12</v>
      </c>
      <c r="W129" s="3" t="str">
        <f t="shared" si="10"/>
        <v>Oregon</v>
      </c>
      <c r="X129" s="3" t="str">
        <f t="shared" si="11"/>
        <v>Southern Cal</v>
      </c>
      <c r="Y129" s="30">
        <f>IF(D129=0,,IF(ISBLANK(Q129),,VLOOKUP(X129,Week15,2,FALSE)/(VLOOKUP(X129,Week15,2,FALSE)+VLOOKUP(W129,Week15,2,FALSE))+0.05)*100)</f>
        <v>71.67555082</v>
      </c>
      <c r="Z129" s="3" t="s">
        <v>62</v>
      </c>
      <c r="AA129" s="3">
        <v>31.0</v>
      </c>
      <c r="AB129" s="4" t="str">
        <f t="shared" si="20"/>
        <v>Southern Cal</v>
      </c>
      <c r="AC129" s="3">
        <v>24.0</v>
      </c>
      <c r="AD129" s="3"/>
      <c r="AE129" s="3">
        <f t="shared" si="13"/>
        <v>7</v>
      </c>
      <c r="AF129" s="3" t="s">
        <v>233</v>
      </c>
      <c r="AG129" s="3">
        <f t="shared" si="25"/>
        <v>0</v>
      </c>
      <c r="AH129" s="3"/>
      <c r="AI129" s="7"/>
      <c r="AJ129" s="4"/>
      <c r="AK129" s="7"/>
      <c r="AL129" s="7"/>
      <c r="AM129" s="7"/>
      <c r="AN129" s="7"/>
      <c r="AO129" s="7"/>
      <c r="AP129" s="7"/>
      <c r="AQ129" s="7"/>
      <c r="AR129" s="7"/>
      <c r="AS129" s="7"/>
      <c r="AT129" s="7"/>
      <c r="AU129" s="7"/>
      <c r="AV129" s="7"/>
      <c r="AW129" s="7"/>
      <c r="AX129" s="7"/>
    </row>
    <row r="130" ht="12.75" hidden="1" customHeight="1">
      <c r="A130" s="3">
        <v>6.0</v>
      </c>
      <c r="B130" s="3" t="s">
        <v>127</v>
      </c>
      <c r="C130" s="3" t="s">
        <v>92</v>
      </c>
      <c r="D130" s="4">
        <f>IFERROR(VLOOKUP(B130,Week5,2,FALSE),0)</f>
        <v>29.59</v>
      </c>
      <c r="E130" s="4">
        <f>IF(ISBLANK(B130),,IFERROR(VLOOKUP(B130,CurrentRank!$B$2:$C$132,2,FALSE),0))</f>
        <v>35.27</v>
      </c>
      <c r="F130" s="4">
        <f>IFERROR(VLOOKUP(B130,Week5,3,FALSE),130)</f>
        <v>115</v>
      </c>
      <c r="G130" s="4">
        <f>IF(ISBLANK(B130),,IFERROR(VLOOKUP(B130,CurrentRank!$B$2:$D$132,3,FALSE),130))</f>
        <v>64</v>
      </c>
      <c r="H130" s="4">
        <f>IFERROR(VLOOKUP(C130,Week5,2,FALSE),0)</f>
        <v>58.34</v>
      </c>
      <c r="I130" s="4">
        <f>IF(ISBLANK(B130),,IFERROR(VLOOKUP(C130,CurrentRank!$B$2:$C$132,2,FALSE),0))</f>
        <v>73.64</v>
      </c>
      <c r="J130" s="4">
        <f>IFERROR(VLOOKUP(C130,Week5,3,FALSE),130)</f>
        <v>19</v>
      </c>
      <c r="K130" s="4">
        <f>IF(ISBLANK(C130),,IFERROR(VLOOKUP(C130,CurrentRank!$B$2:$D$132,3,FALSE),130))</f>
        <v>8</v>
      </c>
      <c r="L130" s="19">
        <f t="shared" si="80"/>
        <v>1.31895</v>
      </c>
      <c r="M130" s="19">
        <f t="shared" si="81"/>
        <v>1.63365</v>
      </c>
      <c r="N130" s="24">
        <f t="shared" si="82"/>
        <v>67</v>
      </c>
      <c r="O130" s="21">
        <f t="shared" si="4"/>
        <v>-15.034475</v>
      </c>
      <c r="P130" s="21">
        <f t="shared" si="83"/>
        <v>-19.844475</v>
      </c>
      <c r="Q130" s="22">
        <f t="shared" si="6"/>
        <v>0.589827625</v>
      </c>
      <c r="R130" s="25" t="str">
        <f t="shared" si="7"/>
        <v>F</v>
      </c>
      <c r="S130" s="19">
        <f t="shared" si="8"/>
        <v>0.585</v>
      </c>
      <c r="T130" s="19" t="str">
        <f t="shared" si="9"/>
        <v>F</v>
      </c>
      <c r="U130" s="3" t="s">
        <v>203</v>
      </c>
      <c r="V130" s="4" t="str">
        <f>IF(ISBLANK(C130),,IFERROR(IF(VLOOKUP(B130,Standings!$A:$F, 6, 0)=VLOOKUP(C130,Standings!$A:$F, 6, 0), VLOOKUP(B130,Standings!$A:$F, 6, 0), "Non-con"), "FCS"))</f>
        <v>BIG12</v>
      </c>
      <c r="W130" s="3" t="str">
        <f t="shared" si="10"/>
        <v>Texas Tech</v>
      </c>
      <c r="X130" s="3" t="str">
        <f t="shared" si="11"/>
        <v>Iowa State</v>
      </c>
      <c r="Y130" s="30">
        <f>IF(D130=0,,IF(ISBLANK(Q130),,VLOOKUP(X130,Week5,2,FALSE)/(VLOOKUP(X130,Week5,2,FALSE)+VLOOKUP(W130,Week5,2,FALSE))+0.05)*100)</f>
        <v>71.34823155</v>
      </c>
      <c r="Z130" s="3" t="s">
        <v>92</v>
      </c>
      <c r="AA130" s="3">
        <v>31.0</v>
      </c>
      <c r="AB130" s="4" t="str">
        <f t="shared" si="20"/>
        <v>Texas Tech</v>
      </c>
      <c r="AC130" s="3">
        <v>15.0</v>
      </c>
      <c r="AD130" s="3"/>
      <c r="AE130" s="3">
        <f t="shared" si="13"/>
        <v>16</v>
      </c>
      <c r="AF130" s="3"/>
      <c r="AG130" s="3">
        <f t="shared" si="25"/>
        <v>1</v>
      </c>
      <c r="AH130" s="3"/>
      <c r="AI130" s="7"/>
      <c r="AJ130" s="4"/>
      <c r="AK130" s="7"/>
      <c r="AL130" s="7"/>
      <c r="AM130" s="7"/>
      <c r="AN130" s="7"/>
      <c r="AO130" s="7"/>
      <c r="AP130" s="7"/>
      <c r="AQ130" s="7"/>
      <c r="AR130" s="7"/>
      <c r="AS130" s="7"/>
      <c r="AT130" s="7"/>
      <c r="AU130" s="7"/>
      <c r="AV130" s="7"/>
      <c r="AW130" s="7"/>
      <c r="AX130" s="7"/>
    </row>
    <row r="131" ht="12.75" hidden="1" customHeight="1">
      <c r="A131" s="3">
        <v>15.0</v>
      </c>
      <c r="B131" s="3" t="s">
        <v>51</v>
      </c>
      <c r="C131" s="3" t="s">
        <v>117</v>
      </c>
      <c r="D131" s="4">
        <f>IFERROR(VLOOKUP(B131,Week14,2,FALSE),0)</f>
        <v>73.07</v>
      </c>
      <c r="E131" s="4">
        <f>IF(ISBLANK(B131),,IFERROR(VLOOKUP(B131,CurrentRank!$B$2:$C$132,2,FALSE),0))</f>
        <v>81.57</v>
      </c>
      <c r="F131" s="4">
        <f>IFERROR(VLOOKUP(B131,Week14,3,FALSE),130)</f>
        <v>13</v>
      </c>
      <c r="G131" s="4">
        <f>IF(ISBLANK(B131),,IFERROR(VLOOKUP(B131,CurrentRank!$B$2:$D$132,3,FALSE),130))</f>
        <v>5</v>
      </c>
      <c r="H131" s="4">
        <f>IFERROR(VLOOKUP(C131,Week14,2,FALSE),0)</f>
        <v>37.1</v>
      </c>
      <c r="I131" s="4">
        <f>IF(ISBLANK(B131),,IFERROR(VLOOKUP(C131,CurrentRank!$B$2:$C$132,2,FALSE),0))</f>
        <v>38.08</v>
      </c>
      <c r="J131" s="4">
        <f>IFERROR(VLOOKUP(C131,Week14,3,FALSE),130)</f>
        <v>47</v>
      </c>
      <c r="K131" s="4">
        <f>IF(ISBLANK(C131),,IFERROR(VLOOKUP(C131,CurrentRank!$B$2:$D$132,3,FALSE),130))</f>
        <v>37</v>
      </c>
      <c r="L131" s="19">
        <f t="shared" ref="L131:M131" si="84">IF(ISBLANK(C131),,(D131+H131)*0.015)</f>
        <v>1.65255</v>
      </c>
      <c r="M131" s="19">
        <f t="shared" si="84"/>
        <v>1.79475</v>
      </c>
      <c r="N131" s="24">
        <f t="shared" si="82"/>
        <v>30</v>
      </c>
      <c r="O131" s="21">
        <f t="shared" si="4"/>
        <v>17.158725</v>
      </c>
      <c r="P131" s="21">
        <f t="shared" si="83"/>
        <v>20.918725</v>
      </c>
      <c r="Q131" s="22">
        <f t="shared" si="6"/>
        <v>0.764206375</v>
      </c>
      <c r="R131" s="25" t="str">
        <f t="shared" si="7"/>
        <v>C</v>
      </c>
      <c r="S131" s="19" t="str">
        <f t="shared" si="8"/>
        <v/>
      </c>
      <c r="T131" s="19" t="str">
        <f t="shared" si="9"/>
        <v/>
      </c>
      <c r="U131" s="3" t="s">
        <v>203</v>
      </c>
      <c r="V131" s="4" t="str">
        <f>IF(ISBLANK(C131),,IFERROR(IF(VLOOKUP(B131,Standings!$A:$F, 6, 0)=VLOOKUP(C131,Standings!$A:$F, 6, 0), VLOOKUP(B131,Standings!$A:$F, 6, 0), "Non-con"), "FCS"))</f>
        <v>BIG12</v>
      </c>
      <c r="W131" s="3" t="str">
        <f t="shared" si="10"/>
        <v>West Virginia</v>
      </c>
      <c r="X131" s="3" t="str">
        <f t="shared" si="11"/>
        <v>Oklahoma</v>
      </c>
      <c r="Y131" s="30">
        <f>IF(D131=0,,IF(ISBLANK(Q131),,VLOOKUP(X131,Week14,2,FALSE)/(VLOOKUP(X131,Week14,2,FALSE)+VLOOKUP(W131,Week14,2,FALSE))+0.05)*100)</f>
        <v>71.32477081</v>
      </c>
      <c r="Z131" s="3"/>
      <c r="AA131" s="3"/>
      <c r="AB131" s="4" t="str">
        <f t="shared" si="20"/>
        <v/>
      </c>
      <c r="AC131" s="3"/>
      <c r="AD131" s="3"/>
      <c r="AE131" s="3" t="str">
        <f t="shared" si="13"/>
        <v/>
      </c>
      <c r="AF131" s="3" t="s">
        <v>226</v>
      </c>
      <c r="AG131" s="3" t="str">
        <f t="shared" si="25"/>
        <v/>
      </c>
      <c r="AH131" s="3"/>
      <c r="AI131" s="7"/>
      <c r="AJ131" s="4"/>
      <c r="AK131" s="7"/>
      <c r="AL131" s="7"/>
      <c r="AM131" s="7"/>
      <c r="AN131" s="7"/>
      <c r="AO131" s="7"/>
      <c r="AP131" s="7"/>
      <c r="AQ131" s="7"/>
      <c r="AR131" s="7"/>
      <c r="AS131" s="7"/>
      <c r="AT131" s="7"/>
      <c r="AU131" s="7"/>
      <c r="AV131" s="7"/>
      <c r="AW131" s="7"/>
      <c r="AX131" s="7"/>
    </row>
    <row r="132" ht="12.75" hidden="1" customHeight="1">
      <c r="A132" s="3">
        <v>9.0</v>
      </c>
      <c r="B132" s="3" t="s">
        <v>60</v>
      </c>
      <c r="C132" s="3" t="s">
        <v>69</v>
      </c>
      <c r="D132" s="4">
        <f>IFERROR(VLOOKUP(B132,Week8,2,FALSE),0)</f>
        <v>39.96</v>
      </c>
      <c r="E132" s="4">
        <f>IF(ISBLANK(B132),,IFERROR(VLOOKUP(B132,CurrentRank!$B$2:$C$132,2,FALSE),0))</f>
        <v>35.34</v>
      </c>
      <c r="F132" s="4">
        <f>IFERROR(VLOOKUP(B132,Week8,3,FALSE),130)</f>
        <v>35</v>
      </c>
      <c r="G132" s="4">
        <f>IF(ISBLANK(B132),,IFERROR(VLOOKUP(B132,CurrentRank!$B$2:$D$132,3,FALSE),130))</f>
        <v>61</v>
      </c>
      <c r="H132" s="4">
        <f>IFERROR(VLOOKUP(C132,Week8,2,FALSE),0)</f>
        <v>78.48</v>
      </c>
      <c r="I132" s="4">
        <f>IF(ISBLANK(B132),,IFERROR(VLOOKUP(C132,CurrentRank!$B$2:$C$132,2,FALSE),0))</f>
        <v>72.9</v>
      </c>
      <c r="J132" s="4">
        <f>IFERROR(VLOOKUP(C132,Week8,3,FALSE),130)</f>
        <v>7</v>
      </c>
      <c r="K132" s="4">
        <f>IF(ISBLANK(C132),,IFERROR(VLOOKUP(C132,CurrentRank!$B$2:$D$132,3,FALSE),130))</f>
        <v>9</v>
      </c>
      <c r="L132" s="19">
        <f t="shared" ref="L132:L137" si="85">IF(U132= "Yes", 0, IF(ISBLANK(C132),,(D132+H132)*0.015))</f>
        <v>1.7766</v>
      </c>
      <c r="M132" s="19">
        <f t="shared" ref="M132:M137" si="86">IF(U132= "Yes", 0, IF(ISBLANK(D132),,(E132+I132)*0.015))</f>
        <v>1.6236</v>
      </c>
      <c r="N132" s="24">
        <f t="shared" si="82"/>
        <v>21</v>
      </c>
      <c r="O132" s="21">
        <f t="shared" si="4"/>
        <v>-20.1483</v>
      </c>
      <c r="P132" s="21">
        <f t="shared" si="83"/>
        <v>-19.6683</v>
      </c>
      <c r="Q132" s="22">
        <f t="shared" si="6"/>
        <v>0.7942585</v>
      </c>
      <c r="R132" s="25" t="str">
        <f t="shared" si="7"/>
        <v>C+</v>
      </c>
      <c r="S132" s="19">
        <f t="shared" si="8"/>
        <v>0.7</v>
      </c>
      <c r="T132" s="19" t="str">
        <f t="shared" si="9"/>
        <v>C-</v>
      </c>
      <c r="U132" s="3" t="s">
        <v>203</v>
      </c>
      <c r="V132" s="4" t="str">
        <f>IF(ISBLANK(C132),,IFERROR(IF(VLOOKUP(B132,Standings!$A:$F, 6, 0)=VLOOKUP(C132,Standings!$A:$F, 6, 0), VLOOKUP(B132,Standings!$A:$F, 6, 0), "Non-con"), "FCS"))</f>
        <v>AAC</v>
      </c>
      <c r="W132" s="3" t="str">
        <f t="shared" si="10"/>
        <v>Memphis</v>
      </c>
      <c r="X132" s="3" t="str">
        <f t="shared" si="11"/>
        <v>Cincinnati</v>
      </c>
      <c r="Y132" s="30">
        <f>IF(D132=0,,IF(ISBLANK(Q132),,VLOOKUP(X132,Week8,2,FALSE)/(VLOOKUP(X132,Week8,2,FALSE)+VLOOKUP(W132,Week8,2,FALSE))+0.05)*100)</f>
        <v>71.26139818</v>
      </c>
      <c r="Z132" s="3" t="s">
        <v>69</v>
      </c>
      <c r="AA132" s="3">
        <v>49.0</v>
      </c>
      <c r="AB132" s="4" t="str">
        <f t="shared" si="20"/>
        <v>Memphis</v>
      </c>
      <c r="AC132" s="3">
        <v>10.0</v>
      </c>
      <c r="AD132" s="3"/>
      <c r="AE132" s="3">
        <f t="shared" si="13"/>
        <v>39</v>
      </c>
      <c r="AF132" s="3"/>
      <c r="AG132" s="3">
        <f t="shared" si="25"/>
        <v>1</v>
      </c>
      <c r="AH132" s="3"/>
      <c r="AI132" s="7"/>
      <c r="AJ132" s="3" t="s">
        <v>251</v>
      </c>
      <c r="AK132" s="7"/>
      <c r="AL132" s="7"/>
      <c r="AM132" s="7"/>
      <c r="AN132" s="7"/>
      <c r="AO132" s="7"/>
      <c r="AP132" s="7"/>
      <c r="AQ132" s="7"/>
      <c r="AR132" s="7"/>
      <c r="AS132" s="7"/>
      <c r="AT132" s="7"/>
      <c r="AU132" s="7"/>
      <c r="AV132" s="7"/>
      <c r="AW132" s="7"/>
      <c r="AX132" s="7"/>
    </row>
    <row r="133" ht="12.75" hidden="1" customHeight="1">
      <c r="A133" s="3">
        <v>10.0</v>
      </c>
      <c r="B133" s="3" t="s">
        <v>153</v>
      </c>
      <c r="C133" s="3" t="s">
        <v>189</v>
      </c>
      <c r="D133" s="4">
        <f>IFERROR(VLOOKUP(B133,Week9,2,FALSE),0)</f>
        <v>24.63</v>
      </c>
      <c r="E133" s="4">
        <f>IF(ISBLANK(B133),,IFERROR(VLOOKUP(B133,CurrentRank!$B$2:$C$132,2,FALSE),0))</f>
        <v>35.51</v>
      </c>
      <c r="F133" s="4">
        <f>IFERROR(VLOOKUP(B133,Week9,3,FALSE),130)</f>
        <v>125</v>
      </c>
      <c r="G133" s="4">
        <f>IF(ISBLANK(B133),,IFERROR(VLOOKUP(B133,CurrentRank!$B$2:$D$132,3,FALSE),130))</f>
        <v>58</v>
      </c>
      <c r="H133" s="4">
        <f>IFERROR(VLOOKUP(C133,Week9,2,FALSE),0)</f>
        <v>48.3</v>
      </c>
      <c r="I133" s="4">
        <f>IF(ISBLANK(B133),,IFERROR(VLOOKUP(C133,CurrentRank!$B$2:$C$132,2,FALSE),0))</f>
        <v>72.23</v>
      </c>
      <c r="J133" s="4">
        <f>IFERROR(VLOOKUP(C133,Week9,3,FALSE),130)</f>
        <v>26</v>
      </c>
      <c r="K133" s="4">
        <f>IF(ISBLANK(C133),,IFERROR(VLOOKUP(C133,CurrentRank!$B$2:$D$132,3,FALSE),130))</f>
        <v>11</v>
      </c>
      <c r="L133" s="19">
        <f t="shared" si="85"/>
        <v>1.09395</v>
      </c>
      <c r="M133" s="19">
        <f t="shared" si="86"/>
        <v>1.6161</v>
      </c>
      <c r="N133" s="24">
        <f t="shared" si="82"/>
        <v>75.5</v>
      </c>
      <c r="O133" s="21">
        <f t="shared" si="4"/>
        <v>-12.381975</v>
      </c>
      <c r="P133" s="21">
        <f t="shared" si="83"/>
        <v>-18.906975</v>
      </c>
      <c r="Q133" s="22">
        <f t="shared" si="6"/>
        <v>0.560590125</v>
      </c>
      <c r="R133" s="25" t="str">
        <f t="shared" si="7"/>
        <v>F</v>
      </c>
      <c r="S133" s="19">
        <f t="shared" si="8"/>
        <v>0.5825</v>
      </c>
      <c r="T133" s="19" t="str">
        <f t="shared" si="9"/>
        <v>F</v>
      </c>
      <c r="U133" s="3" t="s">
        <v>203</v>
      </c>
      <c r="V133" s="4" t="str">
        <f>IF(ISBLANK(C133),,IFERROR(IF(VLOOKUP(B133,Standings!$A:$F, 6, 0)=VLOOKUP(C133,Standings!$A:$F, 6, 0), VLOOKUP(B133,Standings!$A:$F, 6, 0), "Non-con"), "FCS"))</f>
        <v>B1G</v>
      </c>
      <c r="W133" s="3" t="str">
        <f t="shared" si="10"/>
        <v>Nebraska</v>
      </c>
      <c r="X133" s="3" t="str">
        <f t="shared" si="11"/>
        <v>Northwestern</v>
      </c>
      <c r="Y133" s="30">
        <f>IF(D133=0,,IF(ISBLANK(Q133),,VLOOKUP(X133,Week9,2,FALSE)/(VLOOKUP(X133,Week9,2,FALSE)+VLOOKUP(W133,Week9,2,FALSE))+0.05)*100)</f>
        <v>71.22788976</v>
      </c>
      <c r="Z133" s="3" t="s">
        <v>189</v>
      </c>
      <c r="AA133" s="3">
        <v>21.0</v>
      </c>
      <c r="AB133" s="4" t="str">
        <f t="shared" si="20"/>
        <v>Nebraska</v>
      </c>
      <c r="AC133" s="3">
        <v>13.0</v>
      </c>
      <c r="AD133" s="3"/>
      <c r="AE133" s="3">
        <f t="shared" si="13"/>
        <v>8</v>
      </c>
      <c r="AF133" s="3"/>
      <c r="AG133" s="3">
        <f t="shared" si="25"/>
        <v>1</v>
      </c>
      <c r="AH133" s="3"/>
      <c r="AI133" s="7"/>
      <c r="AJ133" s="4"/>
      <c r="AK133" s="7"/>
      <c r="AL133" s="7"/>
      <c r="AM133" s="7"/>
      <c r="AN133" s="7"/>
      <c r="AO133" s="7"/>
      <c r="AP133" s="7"/>
      <c r="AQ133" s="7"/>
      <c r="AR133" s="7"/>
      <c r="AS133" s="7"/>
      <c r="AT133" s="7"/>
      <c r="AU133" s="7"/>
      <c r="AV133" s="7"/>
      <c r="AW133" s="7"/>
      <c r="AX133" s="7"/>
    </row>
    <row r="134" ht="12.75" hidden="1" customHeight="1">
      <c r="A134" s="3">
        <v>11.0</v>
      </c>
      <c r="B134" s="3" t="s">
        <v>90</v>
      </c>
      <c r="C134" s="3" t="s">
        <v>168</v>
      </c>
      <c r="D134" s="4">
        <f>IFERROR(VLOOKUP(B134,Week10,2,FALSE),0)</f>
        <v>59.56</v>
      </c>
      <c r="E134" s="4">
        <f>IF(ISBLANK(B134),,IFERROR(VLOOKUP(B134,CurrentRank!$B$2:$C$132,2,FALSE),0))</f>
        <v>62.48</v>
      </c>
      <c r="F134" s="4">
        <f>IFERROR(VLOOKUP(B134,Week10,3,FALSE),130)</f>
        <v>22</v>
      </c>
      <c r="G134" s="4">
        <f>IF(ISBLANK(B134),,IFERROR(VLOOKUP(B134,CurrentRank!$B$2:$D$132,3,FALSE),130))</f>
        <v>19</v>
      </c>
      <c r="H134" s="4">
        <f>IFERROR(VLOOKUP(C134,Week10,2,FALSE),0)</f>
        <v>30.75</v>
      </c>
      <c r="I134" s="4">
        <f>IF(ISBLANK(B134),,IFERROR(VLOOKUP(C134,CurrentRank!$B$2:$C$132,2,FALSE),0))</f>
        <v>27.16</v>
      </c>
      <c r="J134" s="4">
        <f>IFERROR(VLOOKUP(C134,Week10,3,FALSE),130)</f>
        <v>91</v>
      </c>
      <c r="K134" s="4">
        <f>IF(ISBLANK(C134),,IFERROR(VLOOKUP(C134,CurrentRank!$B$2:$D$132,3,FALSE),130))</f>
        <v>122</v>
      </c>
      <c r="L134" s="19">
        <f t="shared" si="85"/>
        <v>1.35465</v>
      </c>
      <c r="M134" s="19">
        <f t="shared" si="86"/>
        <v>1.3446</v>
      </c>
      <c r="N134" s="24">
        <f t="shared" si="82"/>
        <v>56.5</v>
      </c>
      <c r="O134" s="21">
        <f t="shared" si="4"/>
        <v>13.727675</v>
      </c>
      <c r="P134" s="21">
        <f t="shared" si="83"/>
        <v>16.982675</v>
      </c>
      <c r="Q134" s="22">
        <f t="shared" si="6"/>
        <v>0.648861625</v>
      </c>
      <c r="R134" s="25" t="str">
        <f t="shared" si="7"/>
        <v>D</v>
      </c>
      <c r="S134" s="19">
        <f t="shared" si="8"/>
        <v>0.6975</v>
      </c>
      <c r="T134" s="19" t="str">
        <f t="shared" si="9"/>
        <v>C-</v>
      </c>
      <c r="U134" s="3" t="s">
        <v>203</v>
      </c>
      <c r="V134" s="4" t="str">
        <f>IF(ISBLANK(C134),,IFERROR(IF(VLOOKUP(B134,Standings!$A:$F, 6, 0)=VLOOKUP(C134,Standings!$A:$F, 6, 0), VLOOKUP(B134,Standings!$A:$F, 6, 0), "Non-con"), "FCS"))</f>
        <v>PAC12</v>
      </c>
      <c r="W134" s="3" t="str">
        <f t="shared" si="10"/>
        <v>Arizona</v>
      </c>
      <c r="X134" s="3" t="str">
        <f t="shared" si="11"/>
        <v>Southern Cal</v>
      </c>
      <c r="Y134" s="30">
        <f>IF(D134=0,,IF(ISBLANK(Q134),,VLOOKUP(X134,Week10,2,FALSE)/(VLOOKUP(X134,Week10,2,FALSE)+VLOOKUP(W134,Week10,2,FALSE))+0.05)*100)</f>
        <v>70.95061455</v>
      </c>
      <c r="Z134" s="3" t="s">
        <v>90</v>
      </c>
      <c r="AA134" s="3">
        <v>34.0</v>
      </c>
      <c r="AB134" s="4" t="str">
        <f t="shared" si="20"/>
        <v>Arizona</v>
      </c>
      <c r="AC134" s="3">
        <v>30.0</v>
      </c>
      <c r="AD134" s="3"/>
      <c r="AE134" s="3">
        <f t="shared" si="13"/>
        <v>4</v>
      </c>
      <c r="AF134" s="3"/>
      <c r="AG134" s="3">
        <f t="shared" si="25"/>
        <v>1</v>
      </c>
      <c r="AH134" s="3"/>
      <c r="AI134" s="7"/>
      <c r="AJ134" s="4"/>
      <c r="AK134" s="7"/>
      <c r="AL134" s="7"/>
      <c r="AM134" s="7"/>
      <c r="AN134" s="7"/>
      <c r="AO134" s="7"/>
      <c r="AP134" s="7"/>
      <c r="AQ134" s="7"/>
      <c r="AR134" s="7"/>
      <c r="AS134" s="7"/>
      <c r="AT134" s="7"/>
      <c r="AU134" s="7"/>
      <c r="AV134" s="7"/>
      <c r="AW134" s="7"/>
      <c r="AX134" s="7"/>
    </row>
    <row r="135" ht="12.75" hidden="1" customHeight="1">
      <c r="A135" s="3">
        <v>7.0</v>
      </c>
      <c r="B135" s="3" t="s">
        <v>192</v>
      </c>
      <c r="C135" s="3" t="s">
        <v>117</v>
      </c>
      <c r="D135" s="4">
        <f>IFERROR(VLOOKUP(B135,Week6,2,FALSE),0)</f>
        <v>19.85</v>
      </c>
      <c r="E135" s="4">
        <f>IF(ISBLANK(B135),,IFERROR(VLOOKUP(B135,CurrentRank!$B$2:$C$132,2,FALSE),0))</f>
        <v>21.55</v>
      </c>
      <c r="F135" s="4">
        <f>IFERROR(VLOOKUP(B135,Week6,3,FALSE),130)</f>
        <v>128</v>
      </c>
      <c r="G135" s="4">
        <f>IF(ISBLANK(B135),,IFERROR(VLOOKUP(B135,CurrentRank!$B$2:$D$132,3,FALSE),130))</f>
        <v>127</v>
      </c>
      <c r="H135" s="4">
        <f>IFERROR(VLOOKUP(C135,Week6,2,FALSE),0)</f>
        <v>38.41</v>
      </c>
      <c r="I135" s="4">
        <f>IF(ISBLANK(B135),,IFERROR(VLOOKUP(C135,CurrentRank!$B$2:$C$132,2,FALSE),0))</f>
        <v>38.08</v>
      </c>
      <c r="J135" s="4">
        <f>IFERROR(VLOOKUP(C135,Week6,3,FALSE),130)</f>
        <v>38</v>
      </c>
      <c r="K135" s="4">
        <f>IF(ISBLANK(C135),,IFERROR(VLOOKUP(C135,CurrentRank!$B$2:$D$132,3,FALSE),130))</f>
        <v>37</v>
      </c>
      <c r="L135" s="19">
        <f t="shared" si="85"/>
        <v>0.8739</v>
      </c>
      <c r="M135" s="19">
        <f t="shared" si="86"/>
        <v>0.89445</v>
      </c>
      <c r="N135" s="24">
        <f t="shared" si="82"/>
        <v>83</v>
      </c>
      <c r="O135" s="21">
        <f t="shared" si="4"/>
        <v>-9.71695</v>
      </c>
      <c r="P135" s="21">
        <f t="shared" si="83"/>
        <v>-8.70195</v>
      </c>
      <c r="Q135" s="22">
        <f t="shared" si="6"/>
        <v>0.53641525</v>
      </c>
      <c r="R135" s="25" t="str">
        <f t="shared" si="7"/>
        <v>F</v>
      </c>
      <c r="S135" s="19">
        <f t="shared" si="8"/>
        <v>0.48</v>
      </c>
      <c r="T135" s="19" t="str">
        <f t="shared" si="9"/>
        <v>F</v>
      </c>
      <c r="U135" s="3" t="s">
        <v>203</v>
      </c>
      <c r="V135" s="4" t="str">
        <f>IF(ISBLANK(C135),,IFERROR(IF(VLOOKUP(B135,Standings!$A:$F, 6, 0)=VLOOKUP(C135,Standings!$A:$F, 6, 0), VLOOKUP(B135,Standings!$A:$F, 6, 0), "Non-con"), "FCS"))</f>
        <v>BIG12</v>
      </c>
      <c r="W135" s="3" t="str">
        <f t="shared" si="10"/>
        <v>Kansas</v>
      </c>
      <c r="X135" s="3" t="str">
        <f t="shared" si="11"/>
        <v>West Virginia</v>
      </c>
      <c r="Y135" s="30">
        <f>IF(D135=0,,IF(ISBLANK(Q135),,VLOOKUP(X135,Week6,2,FALSE)/(VLOOKUP(X135,Week6,2,FALSE)+VLOOKUP(W135,Week6,2,FALSE))+0.05)*100)</f>
        <v>70.92859595</v>
      </c>
      <c r="Z135" s="3" t="s">
        <v>117</v>
      </c>
      <c r="AA135" s="3">
        <v>38.0</v>
      </c>
      <c r="AB135" s="4" t="str">
        <f t="shared" si="20"/>
        <v>Kansas</v>
      </c>
      <c r="AC135" s="3">
        <v>17.0</v>
      </c>
      <c r="AD135" s="3"/>
      <c r="AE135" s="3">
        <f t="shared" si="13"/>
        <v>21</v>
      </c>
      <c r="AF135" s="3"/>
      <c r="AG135" s="3">
        <f t="shared" si="25"/>
        <v>1</v>
      </c>
      <c r="AH135" s="3"/>
      <c r="AI135" s="7"/>
      <c r="AJ135" s="4"/>
      <c r="AK135" s="7"/>
      <c r="AL135" s="7"/>
      <c r="AM135" s="7"/>
      <c r="AN135" s="7"/>
      <c r="AO135" s="7"/>
      <c r="AP135" s="7"/>
      <c r="AQ135" s="7"/>
      <c r="AR135" s="7"/>
      <c r="AS135" s="7"/>
      <c r="AT135" s="7"/>
      <c r="AU135" s="7"/>
      <c r="AV135" s="7"/>
      <c r="AW135" s="7"/>
      <c r="AX135" s="7"/>
    </row>
    <row r="136" ht="12.75" hidden="1" customHeight="1">
      <c r="A136" s="3">
        <v>4.0</v>
      </c>
      <c r="B136" s="3" t="s">
        <v>181</v>
      </c>
      <c r="C136" s="3" t="s">
        <v>79</v>
      </c>
      <c r="D136" s="4">
        <f>IFERROR(VLOOKUP(B136,Week3,2,FALSE),0)</f>
        <v>31.02</v>
      </c>
      <c r="E136" s="4">
        <f>IF(ISBLANK(B136),,IFERROR(VLOOKUP(B136,CurrentRank!$B$2:$C$132,2,FALSE),0))</f>
        <v>25.47</v>
      </c>
      <c r="F136" s="4">
        <f>IFERROR(VLOOKUP(B136,Week3,3,FALSE),130)</f>
        <v>51</v>
      </c>
      <c r="G136" s="4">
        <f>IF(ISBLANK(B136),,IFERROR(VLOOKUP(B136,CurrentRank!$B$2:$D$132,3,FALSE),130))</f>
        <v>125</v>
      </c>
      <c r="H136" s="4">
        <f>IFERROR(VLOOKUP(C136,Week3,2,FALSE),0)</f>
        <v>59.99</v>
      </c>
      <c r="I136" s="4">
        <f>IF(ISBLANK(B136),,IFERROR(VLOOKUP(C136,CurrentRank!$B$2:$C$132,2,FALSE),0))</f>
        <v>85.31</v>
      </c>
      <c r="J136" s="4">
        <f>IFERROR(VLOOKUP(C136,Week3,3,FALSE),130)</f>
        <v>18</v>
      </c>
      <c r="K136" s="4">
        <f>IF(ISBLANK(C136),,IFERROR(VLOOKUP(C136,CurrentRank!$B$2:$D$132,3,FALSE),130))</f>
        <v>3</v>
      </c>
      <c r="L136" s="19">
        <f t="shared" si="85"/>
        <v>1.36515</v>
      </c>
      <c r="M136" s="19">
        <f t="shared" si="86"/>
        <v>1.6617</v>
      </c>
      <c r="N136" s="24">
        <f t="shared" si="82"/>
        <v>34.5</v>
      </c>
      <c r="O136" s="21">
        <f t="shared" si="4"/>
        <v>-15.167575</v>
      </c>
      <c r="P136" s="21">
        <f t="shared" si="83"/>
        <v>-30.602575</v>
      </c>
      <c r="Q136" s="22">
        <f t="shared" si="6"/>
        <v>0.751662125</v>
      </c>
      <c r="R136" s="25" t="str">
        <f t="shared" si="7"/>
        <v>C</v>
      </c>
      <c r="S136" s="19">
        <f t="shared" si="8"/>
        <v>0.8025</v>
      </c>
      <c r="T136" s="19" t="str">
        <f t="shared" si="9"/>
        <v>B-</v>
      </c>
      <c r="U136" s="3" t="s">
        <v>203</v>
      </c>
      <c r="V136" s="4" t="str">
        <f>IF(ISBLANK(C136),,IFERROR(IF(VLOOKUP(B136,Standings!$A:$F, 6, 0)=VLOOKUP(C136,Standings!$A:$F, 6, 0), VLOOKUP(B136,Standings!$A:$F, 6, 0), "Non-con"), "FCS"))</f>
        <v>SEC</v>
      </c>
      <c r="W136" s="3" t="str">
        <f t="shared" si="10"/>
        <v>Vanderbilt</v>
      </c>
      <c r="X136" s="3" t="str">
        <f t="shared" si="11"/>
        <v>Texas A&amp;M</v>
      </c>
      <c r="Y136" s="30">
        <f>IF(D136=0,,IF(ISBLANK(Q136),,VLOOKUP(X136,Week3,2,FALSE)/(VLOOKUP(X136,Week3,2,FALSE)+VLOOKUP(W136,Week3,2,FALSE))+0.05)*100)</f>
        <v>70.91583342</v>
      </c>
      <c r="Z136" s="3" t="s">
        <v>79</v>
      </c>
      <c r="AA136" s="3">
        <v>17.0</v>
      </c>
      <c r="AB136" s="4" t="str">
        <f t="shared" si="20"/>
        <v>Vanderbilt</v>
      </c>
      <c r="AC136" s="3">
        <v>12.0</v>
      </c>
      <c r="AD136" s="3"/>
      <c r="AE136" s="3">
        <f t="shared" si="13"/>
        <v>5</v>
      </c>
      <c r="AF136" s="3"/>
      <c r="AG136" s="3">
        <f t="shared" si="25"/>
        <v>1</v>
      </c>
      <c r="AH136" s="3"/>
      <c r="AI136" s="7"/>
      <c r="AJ136" s="4"/>
      <c r="AK136" s="7"/>
      <c r="AL136" s="7"/>
      <c r="AM136" s="7"/>
      <c r="AN136" s="7"/>
      <c r="AO136" s="7"/>
      <c r="AP136" s="7"/>
      <c r="AQ136" s="7"/>
      <c r="AR136" s="7"/>
      <c r="AS136" s="7"/>
      <c r="AT136" s="7"/>
      <c r="AU136" s="7"/>
      <c r="AV136" s="7"/>
      <c r="AW136" s="7"/>
      <c r="AX136" s="7"/>
    </row>
    <row r="137" ht="12.75" hidden="1" customHeight="1">
      <c r="A137" s="3">
        <v>9.0</v>
      </c>
      <c r="B137" s="3" t="s">
        <v>100</v>
      </c>
      <c r="C137" s="3" t="s">
        <v>136</v>
      </c>
      <c r="D137" s="4">
        <f>IFERROR(VLOOKUP(B137,Week8,2,FALSE),0)</f>
        <v>69.49</v>
      </c>
      <c r="E137" s="4">
        <f>IF(ISBLANK(B137),,IFERROR(VLOOKUP(B137,CurrentRank!$B$2:$C$132,2,FALSE),0))</f>
        <v>69.98</v>
      </c>
      <c r="F137" s="4">
        <f>IFERROR(VLOOKUP(B137,Week8,3,FALSE),130)</f>
        <v>15</v>
      </c>
      <c r="G137" s="4">
        <f>IF(ISBLANK(B137),,IFERROR(VLOOKUP(B137,CurrentRank!$B$2:$D$132,3,FALSE),130))</f>
        <v>13</v>
      </c>
      <c r="H137" s="4">
        <f>IFERROR(VLOOKUP(C137,Week8,2,FALSE),0)</f>
        <v>36.01</v>
      </c>
      <c r="I137" s="4">
        <f>IF(ISBLANK(B137),,IFERROR(VLOOKUP(C137,CurrentRank!$B$2:$C$132,2,FALSE),0))</f>
        <v>35.33</v>
      </c>
      <c r="J137" s="4">
        <f>IFERROR(VLOOKUP(C137,Week8,3,FALSE),130)</f>
        <v>55</v>
      </c>
      <c r="K137" s="4">
        <f>IF(ISBLANK(C137),,IFERROR(VLOOKUP(C137,CurrentRank!$B$2:$D$132,3,FALSE),130))</f>
        <v>62</v>
      </c>
      <c r="L137" s="19">
        <f t="shared" si="85"/>
        <v>1.5825</v>
      </c>
      <c r="M137" s="19">
        <f t="shared" si="86"/>
        <v>1.57965</v>
      </c>
      <c r="N137" s="24">
        <f t="shared" si="82"/>
        <v>35</v>
      </c>
      <c r="O137" s="21">
        <f t="shared" si="4"/>
        <v>15.94875</v>
      </c>
      <c r="P137" s="21">
        <f t="shared" si="83"/>
        <v>16.53375</v>
      </c>
      <c r="Q137" s="22">
        <f t="shared" si="6"/>
        <v>0.74525625</v>
      </c>
      <c r="R137" s="25" t="str">
        <f t="shared" si="7"/>
        <v>C</v>
      </c>
      <c r="S137" s="19">
        <f t="shared" si="8"/>
        <v>0.57</v>
      </c>
      <c r="T137" s="19" t="str">
        <f t="shared" si="9"/>
        <v>F</v>
      </c>
      <c r="U137" s="3" t="s">
        <v>203</v>
      </c>
      <c r="V137" s="4" t="str">
        <f>IF(ISBLANK(C137),,IFERROR(IF(VLOOKUP(B137,Standings!$A:$F, 6, 0)=VLOOKUP(C137,Standings!$A:$F, 6, 0), VLOOKUP(B137,Standings!$A:$F, 6, 0), "Non-con"), "FCS"))</f>
        <v>SUN</v>
      </c>
      <c r="W137" s="3" t="str">
        <f t="shared" si="10"/>
        <v>Georgia State</v>
      </c>
      <c r="X137" s="3" t="str">
        <f t="shared" si="11"/>
        <v>Coastal Carolina</v>
      </c>
      <c r="Y137" s="30">
        <f>IF(D137=0,,IF(ISBLANK(Q137),,VLOOKUP(X137,Week8,2,FALSE)/(VLOOKUP(X137,Week8,2,FALSE)+VLOOKUP(W137,Week8,2,FALSE))+0.05)*100)</f>
        <v>70.86729858</v>
      </c>
      <c r="Z137" s="3" t="s">
        <v>100</v>
      </c>
      <c r="AA137" s="3">
        <v>51.0</v>
      </c>
      <c r="AB137" s="4" t="str">
        <f t="shared" si="20"/>
        <v>Georgia State</v>
      </c>
      <c r="AC137" s="3">
        <v>0.0</v>
      </c>
      <c r="AD137" s="3"/>
      <c r="AE137" s="3">
        <f t="shared" si="13"/>
        <v>51</v>
      </c>
      <c r="AF137" s="3"/>
      <c r="AG137" s="3">
        <f t="shared" si="25"/>
        <v>1</v>
      </c>
      <c r="AH137" s="3"/>
      <c r="AI137" s="7"/>
      <c r="AJ137" s="4" t="s">
        <v>46</v>
      </c>
      <c r="AK137" s="7"/>
      <c r="AL137" s="7"/>
      <c r="AM137" s="7"/>
      <c r="AN137" s="7"/>
      <c r="AO137" s="7"/>
      <c r="AP137" s="7"/>
      <c r="AQ137" s="7"/>
      <c r="AR137" s="7"/>
      <c r="AS137" s="7"/>
      <c r="AT137" s="7"/>
      <c r="AU137" s="7"/>
      <c r="AV137" s="7"/>
      <c r="AW137" s="7"/>
      <c r="AX137" s="7"/>
    </row>
    <row r="138" ht="12.75" hidden="1" customHeight="1">
      <c r="A138" s="3">
        <v>11.0</v>
      </c>
      <c r="B138" s="3" t="s">
        <v>64</v>
      </c>
      <c r="C138" s="3" t="s">
        <v>81</v>
      </c>
      <c r="D138" s="4">
        <f>IFERROR(VLOOKUP(B138,CurrentRank!$B$2:$C$132,2,FALSE),0)</f>
        <v>39.11</v>
      </c>
      <c r="E138" s="4">
        <f>IF(ISBLANK(B138),,IFERROR(VLOOKUP(B138,CurrentRank!$B$2:$C$132,2,FALSE),0))</f>
        <v>39.11</v>
      </c>
      <c r="F138" s="4">
        <f>IFERROR(VLOOKUP(B138,Week10,3,FALSE),130)</f>
        <v>23</v>
      </c>
      <c r="G138" s="4">
        <f>IF(ISBLANK(B138),,IFERROR(VLOOKUP(B138,CurrentRank!$B$2:$D$132,3,FALSE),130))</f>
        <v>36</v>
      </c>
      <c r="H138" s="4">
        <f>IFERROR(VLOOKUP(C138,CurrentRank!$B$2:$C$132,2,FALSE),0)</f>
        <v>33.91</v>
      </c>
      <c r="I138" s="4">
        <f>IF(ISBLANK(B138),,IFERROR(VLOOKUP(C138,CurrentRank!$B$2:$C$132,2,FALSE),0))</f>
        <v>33.91</v>
      </c>
      <c r="J138" s="4">
        <f>IFERROR(VLOOKUP(C138,Week10,3,FALSE),130)</f>
        <v>106</v>
      </c>
      <c r="K138" s="4">
        <f>IF(ISBLANK(C138),,IFERROR(VLOOKUP(C138,CurrentRank!$B$2:$D$132,3,FALSE),130))</f>
        <v>75</v>
      </c>
      <c r="L138" s="19">
        <f t="shared" ref="L138:M138" si="87">IF(ISBLANK(C138),,(D138+H138)*0.015)</f>
        <v>1.0953</v>
      </c>
      <c r="M138" s="19">
        <f t="shared" si="87"/>
        <v>1.0953</v>
      </c>
      <c r="N138" s="24">
        <f t="shared" si="82"/>
        <v>64.5</v>
      </c>
      <c r="O138" s="21">
        <f t="shared" si="4"/>
        <v>2.05235</v>
      </c>
      <c r="P138" s="21">
        <f t="shared" si="83"/>
        <v>2.05235</v>
      </c>
      <c r="Q138" s="22">
        <f t="shared" si="6"/>
        <v>0.66723825</v>
      </c>
      <c r="R138" s="25" t="str">
        <f t="shared" si="7"/>
        <v>D+</v>
      </c>
      <c r="S138" s="19" t="str">
        <f t="shared" si="8"/>
        <v/>
      </c>
      <c r="T138" s="19" t="str">
        <f t="shared" si="9"/>
        <v/>
      </c>
      <c r="U138" s="3" t="s">
        <v>203</v>
      </c>
      <c r="V138" s="4" t="str">
        <f>IFERROR(IF(VLOOKUP(B138,Standings!$A:$F, 6, 0)=VLOOKUP(C138,Standings!$A:$F, 6, 0), VLOOKUP(B138,Standings!$A:$F, 6, 0), "Non-con"), "FCS")</f>
        <v>SEC</v>
      </c>
      <c r="W138" s="3" t="str">
        <f t="shared" si="10"/>
        <v>Mississippi State</v>
      </c>
      <c r="X138" s="3" t="str">
        <f t="shared" si="11"/>
        <v>Auburn</v>
      </c>
      <c r="Y138" s="30">
        <f>IF(D138=0,,IF(ISBLANK(Q138),,VLOOKUP(X138,Week10,2,FALSE)/(VLOOKUP(X138,Week10,2,FALSE)+VLOOKUP(W138,Week10,2,FALSE))+0.05)*100)</f>
        <v>70.82350921</v>
      </c>
      <c r="Z138" s="3"/>
      <c r="AA138" s="3"/>
      <c r="AB138" s="4" t="str">
        <f t="shared" si="20"/>
        <v/>
      </c>
      <c r="AC138" s="3"/>
      <c r="AD138" s="3"/>
      <c r="AE138" s="3" t="str">
        <f t="shared" si="13"/>
        <v/>
      </c>
      <c r="AF138" s="3" t="s">
        <v>228</v>
      </c>
      <c r="AG138" s="3" t="str">
        <f t="shared" si="25"/>
        <v/>
      </c>
      <c r="AH138" s="3"/>
      <c r="AI138" s="7"/>
      <c r="AJ138" s="4" t="s">
        <v>155</v>
      </c>
      <c r="AK138" s="7"/>
      <c r="AL138" s="7"/>
      <c r="AM138" s="7"/>
      <c r="AN138" s="7"/>
      <c r="AO138" s="7"/>
      <c r="AP138" s="7"/>
      <c r="AQ138" s="7"/>
      <c r="AR138" s="7"/>
      <c r="AS138" s="7"/>
      <c r="AT138" s="7"/>
      <c r="AU138" s="7"/>
      <c r="AV138" s="7"/>
      <c r="AW138" s="7"/>
      <c r="AX138" s="7"/>
    </row>
    <row r="139" ht="12.75" hidden="1" customHeight="1">
      <c r="A139" s="3">
        <v>11.0</v>
      </c>
      <c r="B139" s="3" t="s">
        <v>118</v>
      </c>
      <c r="C139" s="3" t="s">
        <v>48</v>
      </c>
      <c r="D139" s="4">
        <f>IFERROR(VLOOKUP(B139,Week10,2,FALSE),0)</f>
        <v>41.18</v>
      </c>
      <c r="E139" s="4">
        <f>IF(ISBLANK(B139),,IFERROR(VLOOKUP(B139,CurrentRank!$B$2:$C$132,2,FALSE),0))</f>
        <v>35.17</v>
      </c>
      <c r="F139" s="4">
        <f>IFERROR(VLOOKUP(B139,Week10,3,FALSE),130)</f>
        <v>35</v>
      </c>
      <c r="G139" s="4">
        <f>IF(ISBLANK(B139),,IFERROR(VLOOKUP(B139,CurrentRank!$B$2:$D$132,3,FALSE),130))</f>
        <v>65</v>
      </c>
      <c r="H139" s="4">
        <f>IFERROR(VLOOKUP(C139,Week10,2,FALSE),0)</f>
        <v>79.04</v>
      </c>
      <c r="I139" s="4">
        <f>IF(ISBLANK(B139),,IFERROR(VLOOKUP(C139,CurrentRank!$B$2:$C$132,2,FALSE),0))</f>
        <v>68.03</v>
      </c>
      <c r="J139" s="4">
        <f>IFERROR(VLOOKUP(C139,Week10,3,FALSE),130)</f>
        <v>8</v>
      </c>
      <c r="K139" s="4">
        <f>IF(ISBLANK(C139),,IFERROR(VLOOKUP(C139,CurrentRank!$B$2:$D$132,3,FALSE),130))</f>
        <v>16</v>
      </c>
      <c r="L139" s="19">
        <f>IF(U139= "Yes", 0, IF(ISBLANK(C139),,(D139+H139)*0.015))</f>
        <v>1.8033</v>
      </c>
      <c r="M139" s="19">
        <f>IF(U139= "Yes", 0, IF(ISBLANK(D139),,(E139+I139)*0.015))</f>
        <v>1.548</v>
      </c>
      <c r="N139" s="24">
        <f t="shared" si="82"/>
        <v>21.5</v>
      </c>
      <c r="O139" s="21">
        <f t="shared" si="4"/>
        <v>-19.83165</v>
      </c>
      <c r="P139" s="21">
        <f t="shared" si="83"/>
        <v>-17.33165</v>
      </c>
      <c r="Q139" s="22">
        <f t="shared" si="6"/>
        <v>0.79334175</v>
      </c>
      <c r="R139" s="25" t="str">
        <f t="shared" si="7"/>
        <v>C+</v>
      </c>
      <c r="S139" s="19">
        <f t="shared" si="8"/>
        <v>0.7525</v>
      </c>
      <c r="T139" s="19" t="str">
        <f t="shared" si="9"/>
        <v>C</v>
      </c>
      <c r="U139" s="3" t="s">
        <v>203</v>
      </c>
      <c r="V139" s="4" t="str">
        <f>IF(ISBLANK(C139),,IFERROR(IF(VLOOKUP(B139,Standings!$A:$F, 6, 0)=VLOOKUP(C139,Standings!$A:$F, 6, 0), VLOOKUP(B139,Standings!$A:$F, 6, 0), "Non-con"), "FCS"))</f>
        <v>SEC</v>
      </c>
      <c r="W139" s="3" t="str">
        <f t="shared" si="10"/>
        <v>Arkansas</v>
      </c>
      <c r="X139" s="3" t="str">
        <f t="shared" si="11"/>
        <v>Florida</v>
      </c>
      <c r="Y139" s="30">
        <f>IF(D139=0,,IF(ISBLANK(Q139),,VLOOKUP(X139,Week10,2,FALSE)/(VLOOKUP(X139,Week10,2,FALSE)+VLOOKUP(W139,Week10,2,FALSE))+0.05)*100)</f>
        <v>70.74613209</v>
      </c>
      <c r="Z139" s="3" t="s">
        <v>48</v>
      </c>
      <c r="AA139" s="3">
        <v>63.0</v>
      </c>
      <c r="AB139" s="4" t="str">
        <f t="shared" si="20"/>
        <v>Arkansas</v>
      </c>
      <c r="AC139" s="3">
        <v>35.0</v>
      </c>
      <c r="AD139" s="3"/>
      <c r="AE139" s="3">
        <f t="shared" si="13"/>
        <v>28</v>
      </c>
      <c r="AF139" s="3"/>
      <c r="AG139" s="3">
        <f t="shared" si="25"/>
        <v>1</v>
      </c>
      <c r="AH139" s="3"/>
      <c r="AI139" s="7"/>
      <c r="AJ139" s="4"/>
      <c r="AK139" s="7"/>
      <c r="AL139" s="7"/>
      <c r="AM139" s="7"/>
      <c r="AN139" s="7"/>
      <c r="AO139" s="7"/>
      <c r="AP139" s="7"/>
      <c r="AQ139" s="7"/>
      <c r="AR139" s="7"/>
      <c r="AS139" s="7"/>
      <c r="AT139" s="7"/>
      <c r="AU139" s="7"/>
      <c r="AV139" s="7"/>
      <c r="AW139" s="7"/>
      <c r="AX139" s="7"/>
    </row>
    <row r="140" ht="12.75" hidden="1" customHeight="1">
      <c r="A140" s="3">
        <v>11.0</v>
      </c>
      <c r="B140" s="3" t="s">
        <v>33</v>
      </c>
      <c r="C140" s="3" t="s">
        <v>149</v>
      </c>
      <c r="D140" s="4">
        <f>IFERROR(VLOOKUP(B140,CurrentRank!$B$2:$C$132,2,FALSE),0)</f>
        <v>79.21</v>
      </c>
      <c r="E140" s="4">
        <f>IF(ISBLANK(B140),,IFERROR(VLOOKUP(B140,CurrentRank!$B$2:$C$132,2,FALSE),0))</f>
        <v>79.21</v>
      </c>
      <c r="F140" s="4">
        <f>IFERROR(VLOOKUP(B140,Week10,3,FALSE),130)</f>
        <v>14</v>
      </c>
      <c r="G140" s="4">
        <f>IF(ISBLANK(B140),,IFERROR(VLOOKUP(B140,CurrentRank!$B$2:$D$132,3,FALSE),130))</f>
        <v>6</v>
      </c>
      <c r="H140" s="4">
        <f>IFERROR(VLOOKUP(C140,CurrentRank!$B$2:$C$132,2,FALSE),0)</f>
        <v>36.59</v>
      </c>
      <c r="I140" s="4">
        <f>IF(ISBLANK(B140),,IFERROR(VLOOKUP(C140,CurrentRank!$B$2:$C$132,2,FALSE),0))</f>
        <v>36.59</v>
      </c>
      <c r="J140" s="4">
        <f>IFERROR(VLOOKUP(C140,Week10,3,FALSE),130)</f>
        <v>59</v>
      </c>
      <c r="K140" s="4">
        <f>IF(ISBLANK(C140),,IFERROR(VLOOKUP(C140,CurrentRank!$B$2:$D$132,3,FALSE),130))</f>
        <v>51</v>
      </c>
      <c r="L140" s="19">
        <f t="shared" ref="L140:M140" si="88">IF(ISBLANK(C140),,(D140+H140)*0.015)</f>
        <v>1.737</v>
      </c>
      <c r="M140" s="19">
        <f t="shared" si="88"/>
        <v>1.737</v>
      </c>
      <c r="N140" s="24">
        <f t="shared" si="82"/>
        <v>36.5</v>
      </c>
      <c r="O140" s="21">
        <f t="shared" si="4"/>
        <v>20.4415</v>
      </c>
      <c r="P140" s="21">
        <f t="shared" si="83"/>
        <v>20.4415</v>
      </c>
      <c r="Q140" s="22">
        <f t="shared" si="6"/>
        <v>0.7152925</v>
      </c>
      <c r="R140" s="25" t="str">
        <f t="shared" si="7"/>
        <v>C-</v>
      </c>
      <c r="S140" s="19" t="str">
        <f t="shared" si="8"/>
        <v/>
      </c>
      <c r="T140" s="19" t="str">
        <f t="shared" si="9"/>
        <v/>
      </c>
      <c r="U140" s="3" t="s">
        <v>203</v>
      </c>
      <c r="V140" s="4" t="str">
        <f>IFERROR(IF(VLOOKUP(B140,Standings!$A:$F, 6, 0)=VLOOKUP(C140,Standings!$A:$F, 6, 0), VLOOKUP(B140,Standings!$A:$F, 6, 0), "Non-con"), "FCS")</f>
        <v>SEC</v>
      </c>
      <c r="W140" s="3" t="str">
        <f t="shared" si="10"/>
        <v>Missouri</v>
      </c>
      <c r="X140" s="3" t="str">
        <f t="shared" si="11"/>
        <v>Georgia</v>
      </c>
      <c r="Y140" s="30">
        <f>IF(D140=0,,IF(ISBLANK(Q140),,VLOOKUP(X140,Week10,2,FALSE)/(VLOOKUP(X140,Week10,2,FALSE)+VLOOKUP(W140,Week10,2,FALSE))+0.05)*100)</f>
        <v>70.73065364</v>
      </c>
      <c r="Z140" s="3"/>
      <c r="AA140" s="3"/>
      <c r="AB140" s="4" t="str">
        <f t="shared" si="20"/>
        <v/>
      </c>
      <c r="AC140" s="3"/>
      <c r="AD140" s="3"/>
      <c r="AE140" s="3" t="str">
        <f t="shared" si="13"/>
        <v/>
      </c>
      <c r="AF140" s="3" t="s">
        <v>228</v>
      </c>
      <c r="AG140" s="3" t="str">
        <f t="shared" si="25"/>
        <v/>
      </c>
      <c r="AH140" s="3"/>
      <c r="AI140" s="7"/>
      <c r="AJ140" s="4" t="s">
        <v>146</v>
      </c>
      <c r="AK140" s="7"/>
      <c r="AL140" s="7"/>
      <c r="AM140" s="7"/>
      <c r="AN140" s="7"/>
      <c r="AO140" s="7"/>
      <c r="AP140" s="7"/>
      <c r="AQ140" s="7"/>
      <c r="AR140" s="7"/>
      <c r="AS140" s="7"/>
      <c r="AT140" s="7"/>
      <c r="AU140" s="7"/>
      <c r="AV140" s="7"/>
      <c r="AW140" s="7"/>
      <c r="AX140" s="7"/>
    </row>
    <row r="141" ht="12.75" hidden="1" customHeight="1">
      <c r="A141" s="3">
        <v>13.0</v>
      </c>
      <c r="B141" s="3" t="s">
        <v>150</v>
      </c>
      <c r="C141" s="3" t="s">
        <v>174</v>
      </c>
      <c r="D141" s="4">
        <f>IFERROR(VLOOKUP(B141,Week12,2,FALSE),0)</f>
        <v>37.97</v>
      </c>
      <c r="E141" s="4">
        <f>IF(ISBLANK(B141),,IFERROR(VLOOKUP(B141,CurrentRank!$B$2:$C$132,2,FALSE),0))</f>
        <v>33.72</v>
      </c>
      <c r="F141" s="4">
        <f>IFERROR(VLOOKUP(B141,Week12,3,FALSE),130)</f>
        <v>46</v>
      </c>
      <c r="G141" s="4">
        <f>IF(ISBLANK(B141),,IFERROR(VLOOKUP(B141,CurrentRank!$B$2:$D$132,3,FALSE),130))</f>
        <v>76</v>
      </c>
      <c r="H141" s="4">
        <f>IFERROR(VLOOKUP(C141,Week12,2,FALSE),0)</f>
        <v>72.71</v>
      </c>
      <c r="I141" s="4">
        <f>IF(ISBLANK(B141),,IFERROR(VLOOKUP(C141,CurrentRank!$B$2:$C$132,2,FALSE),0))</f>
        <v>69.98</v>
      </c>
      <c r="J141" s="4">
        <f>IFERROR(VLOOKUP(C141,Week12,3,FALSE),130)</f>
        <v>13</v>
      </c>
      <c r="K141" s="4">
        <f>IF(ISBLANK(C141),,IFERROR(VLOOKUP(C141,CurrentRank!$B$2:$D$132,3,FALSE),130))</f>
        <v>13</v>
      </c>
      <c r="L141" s="19">
        <f t="shared" ref="L141:L143" si="89">IF(U141= "Yes", 0, IF(ISBLANK(C141),,(D141+H141)*0.015))</f>
        <v>1.6602</v>
      </c>
      <c r="M141" s="19">
        <f t="shared" ref="M141:M143" si="90">IF(U141= "Yes", 0, IF(ISBLANK(D141),,(E141+I141)*0.015))</f>
        <v>1.5555</v>
      </c>
      <c r="N141" s="24">
        <f t="shared" si="82"/>
        <v>29.5</v>
      </c>
      <c r="O141" s="21">
        <f t="shared" si="4"/>
        <v>-18.2001</v>
      </c>
      <c r="P141" s="21">
        <f t="shared" si="83"/>
        <v>-18.9601</v>
      </c>
      <c r="Q141" s="22">
        <f t="shared" si="6"/>
        <v>0.7614995</v>
      </c>
      <c r="R141" s="25" t="str">
        <f t="shared" si="7"/>
        <v>C</v>
      </c>
      <c r="S141" s="19">
        <f t="shared" si="8"/>
        <v>0.7725</v>
      </c>
      <c r="T141" s="19" t="str">
        <f t="shared" si="9"/>
        <v>C+</v>
      </c>
      <c r="U141" s="3" t="s">
        <v>203</v>
      </c>
      <c r="V141" s="4" t="str">
        <f>IF(ISBLANK(C141),,IFERROR(IF(VLOOKUP(B141,Standings!$A:$F, 6, 0)=VLOOKUP(C141,Standings!$A:$F, 6, 0), VLOOKUP(B141,Standings!$A:$F, 6, 0), "Non-con"), "FCS"))</f>
        <v>B1G</v>
      </c>
      <c r="W141" s="3" t="str">
        <f t="shared" si="10"/>
        <v>Maryland</v>
      </c>
      <c r="X141" s="3" t="str">
        <f t="shared" si="11"/>
        <v>Indiana</v>
      </c>
      <c r="Y141" s="30">
        <f>IF(D141=0,,IF(ISBLANK(Q141),,VLOOKUP(X141,Week12,2,FALSE)/(VLOOKUP(X141,Week12,2,FALSE)+VLOOKUP(W141,Week12,2,FALSE))+0.05)*100)</f>
        <v>70.6938923</v>
      </c>
      <c r="Z141" s="3" t="s">
        <v>174</v>
      </c>
      <c r="AA141" s="3">
        <v>27.0</v>
      </c>
      <c r="AB141" s="4" t="str">
        <f t="shared" si="20"/>
        <v>Maryland</v>
      </c>
      <c r="AC141" s="3">
        <v>11.0</v>
      </c>
      <c r="AD141" s="3"/>
      <c r="AE141" s="3">
        <f t="shared" si="13"/>
        <v>16</v>
      </c>
      <c r="AF141" s="3"/>
      <c r="AG141" s="3">
        <f t="shared" si="25"/>
        <v>1</v>
      </c>
      <c r="AH141" s="3"/>
      <c r="AI141" s="7"/>
      <c r="AJ141" s="4"/>
      <c r="AK141" s="7"/>
      <c r="AL141" s="7"/>
      <c r="AM141" s="7"/>
      <c r="AN141" s="7"/>
      <c r="AO141" s="7"/>
      <c r="AP141" s="7"/>
      <c r="AQ141" s="7"/>
      <c r="AR141" s="7"/>
      <c r="AS141" s="7"/>
      <c r="AT141" s="7"/>
      <c r="AU141" s="7"/>
      <c r="AV141" s="7"/>
      <c r="AW141" s="7"/>
      <c r="AX141" s="7"/>
    </row>
    <row r="142" ht="12.75" customHeight="1">
      <c r="A142" s="3">
        <v>13.0</v>
      </c>
      <c r="B142" s="3" t="s">
        <v>62</v>
      </c>
      <c r="C142" s="3" t="s">
        <v>160</v>
      </c>
      <c r="D142" s="4">
        <f>IFERROR(VLOOKUP(B142,Week12,2,FALSE),0)</f>
        <v>77.16</v>
      </c>
      <c r="E142" s="4">
        <f>IF(ISBLANK(B142),,IFERROR(VLOOKUP(B142,CurrentRank!$B$2:$C$132,2,FALSE),0))</f>
        <v>37.34</v>
      </c>
      <c r="F142" s="4">
        <f>IFERROR(VLOOKUP(B142,Week12,3,FALSE),130)</f>
        <v>10</v>
      </c>
      <c r="G142" s="4">
        <f>IF(ISBLANK(B142),,IFERROR(VLOOKUP(B142,CurrentRank!$B$2:$D$132,3,FALSE),130))</f>
        <v>44</v>
      </c>
      <c r="H142" s="4">
        <f>IFERROR(VLOOKUP(C142,Week12,2,FALSE),0)</f>
        <v>35.41</v>
      </c>
      <c r="I142" s="4">
        <f>IF(ISBLANK(B142),,IFERROR(VLOOKUP(C142,CurrentRank!$B$2:$C$132,2,FALSE),0))</f>
        <v>34.87</v>
      </c>
      <c r="J142" s="4">
        <f>IFERROR(VLOOKUP(C142,Week12,3,FALSE),130)</f>
        <v>59</v>
      </c>
      <c r="K142" s="4">
        <f>IF(ISBLANK(C142),,IFERROR(VLOOKUP(C142,CurrentRank!$B$2:$D$132,3,FALSE),130))</f>
        <v>66</v>
      </c>
      <c r="L142" s="19">
        <f t="shared" si="89"/>
        <v>1.68855</v>
      </c>
      <c r="M142" s="19">
        <f t="shared" si="90"/>
        <v>1.08315</v>
      </c>
      <c r="N142" s="24">
        <f t="shared" si="82"/>
        <v>34.5</v>
      </c>
      <c r="O142" s="21">
        <f t="shared" si="4"/>
        <v>20.030725</v>
      </c>
      <c r="P142" s="21">
        <f t="shared" si="83"/>
        <v>0.390725</v>
      </c>
      <c r="Q142" s="22">
        <f t="shared" si="6"/>
        <v>0.727346375</v>
      </c>
      <c r="R142" s="25" t="str">
        <f t="shared" si="7"/>
        <v>C</v>
      </c>
      <c r="S142" s="19">
        <f t="shared" si="8"/>
        <v>0.8125</v>
      </c>
      <c r="T142" s="19" t="str">
        <f t="shared" si="9"/>
        <v>B-</v>
      </c>
      <c r="U142" s="3" t="s">
        <v>203</v>
      </c>
      <c r="V142" s="4" t="str">
        <f>IF(ISBLANK(C142),,IFERROR(IF(VLOOKUP(B142,Standings!$A:$F, 6, 0)=VLOOKUP(C142,Standings!$A:$F, 6, 0), VLOOKUP(B142,Standings!$A:$F, 6, 0), "Non-con"), "FCS"))</f>
        <v>PAC12</v>
      </c>
      <c r="W142" s="3" t="str">
        <f t="shared" si="10"/>
        <v>Oregon State</v>
      </c>
      <c r="X142" s="3" t="str">
        <f t="shared" si="11"/>
        <v>Oregon</v>
      </c>
      <c r="Y142" s="30">
        <f>IF(D142=0,,IF(ISBLANK(Q142),,VLOOKUP(X142,Week12,2,FALSE)/(VLOOKUP(X142,Week12,2,FALSE)+VLOOKUP(W142,Week12,2,FALSE))+0.05)*100)</f>
        <v>73.54401706</v>
      </c>
      <c r="Z142" s="3" t="s">
        <v>160</v>
      </c>
      <c r="AA142" s="3">
        <v>41.0</v>
      </c>
      <c r="AB142" s="4" t="str">
        <f t="shared" si="20"/>
        <v>Oregon</v>
      </c>
      <c r="AC142" s="3">
        <v>38.0</v>
      </c>
      <c r="AD142" s="3"/>
      <c r="AE142" s="3">
        <f t="shared" si="13"/>
        <v>3</v>
      </c>
      <c r="AF142" s="3"/>
      <c r="AG142" s="3">
        <f t="shared" si="25"/>
        <v>0</v>
      </c>
      <c r="AH142" s="3"/>
      <c r="AI142" s="7"/>
      <c r="AJ142" s="4"/>
      <c r="AK142" s="7"/>
      <c r="AL142" s="7"/>
      <c r="AM142" s="7"/>
      <c r="AN142" s="7"/>
      <c r="AO142" s="7"/>
      <c r="AP142" s="7"/>
      <c r="AQ142" s="7"/>
      <c r="AR142" s="7"/>
      <c r="AS142" s="7"/>
      <c r="AT142" s="7"/>
      <c r="AU142" s="7"/>
      <c r="AV142" s="7"/>
      <c r="AW142" s="7"/>
      <c r="AX142" s="7"/>
    </row>
    <row r="143" ht="12.75" hidden="1" customHeight="1">
      <c r="A143" s="3">
        <v>13.0</v>
      </c>
      <c r="B143" s="3" t="s">
        <v>113</v>
      </c>
      <c r="C143" s="3" t="s">
        <v>192</v>
      </c>
      <c r="D143" s="4">
        <f>IFERROR(VLOOKUP(B143,Week12,2,FALSE),0)</f>
        <v>37.09</v>
      </c>
      <c r="E143" s="4">
        <f>IF(ISBLANK(B143),,IFERROR(VLOOKUP(B143,CurrentRank!$B$2:$C$132,2,FALSE),0))</f>
        <v>41.9</v>
      </c>
      <c r="F143" s="4">
        <f>IFERROR(VLOOKUP(B143,Week12,3,FALSE),130)</f>
        <v>49</v>
      </c>
      <c r="G143" s="4">
        <f>IF(ISBLANK(B143),,IFERROR(VLOOKUP(B143,CurrentRank!$B$2:$D$132,3,FALSE),130))</f>
        <v>29</v>
      </c>
      <c r="H143" s="4">
        <f>IFERROR(VLOOKUP(C143,Week12,2,FALSE),0)</f>
        <v>19.54</v>
      </c>
      <c r="I143" s="4">
        <f>IF(ISBLANK(B143),,IFERROR(VLOOKUP(C143,CurrentRank!$B$2:$C$132,2,FALSE),0))</f>
        <v>21.55</v>
      </c>
      <c r="J143" s="4">
        <f>IFERROR(VLOOKUP(C143,Week12,3,FALSE),130)</f>
        <v>128</v>
      </c>
      <c r="K143" s="4">
        <f>IF(ISBLANK(C143),,IFERROR(VLOOKUP(C143,CurrentRank!$B$2:$D$132,3,FALSE),130))</f>
        <v>127</v>
      </c>
      <c r="L143" s="19">
        <f t="shared" si="89"/>
        <v>0.84945</v>
      </c>
      <c r="M143" s="19">
        <f t="shared" si="90"/>
        <v>0.95175</v>
      </c>
      <c r="N143" s="24">
        <f t="shared" si="82"/>
        <v>88.5</v>
      </c>
      <c r="O143" s="21">
        <f t="shared" si="4"/>
        <v>8.350275</v>
      </c>
      <c r="P143" s="21">
        <f t="shared" si="83"/>
        <v>9.750275</v>
      </c>
      <c r="Q143" s="22">
        <f t="shared" si="6"/>
        <v>0.515748625</v>
      </c>
      <c r="R143" s="25" t="str">
        <f t="shared" si="7"/>
        <v>F</v>
      </c>
      <c r="S143" s="19">
        <f t="shared" si="8"/>
        <v>0.3775</v>
      </c>
      <c r="T143" s="19" t="str">
        <f t="shared" si="9"/>
        <v>F</v>
      </c>
      <c r="U143" s="3" t="s">
        <v>203</v>
      </c>
      <c r="V143" s="4" t="str">
        <f>IF(ISBLANK(C143),,IFERROR(IF(VLOOKUP(B143,Standings!$A:$F, 6, 0)=VLOOKUP(C143,Standings!$A:$F, 6, 0), VLOOKUP(B143,Standings!$A:$F, 6, 0), "Non-con"), "FCS"))</f>
        <v>BIG12</v>
      </c>
      <c r="W143" s="3" t="str">
        <f t="shared" si="10"/>
        <v>Kansas</v>
      </c>
      <c r="X143" s="3" t="str">
        <f t="shared" si="11"/>
        <v>TCU</v>
      </c>
      <c r="Y143" s="30">
        <f>IF(D143=0,,IF(ISBLANK(Q143),,VLOOKUP(X143,Week12,2,FALSE)/(VLOOKUP(X143,Week12,2,FALSE)+VLOOKUP(W143,Week12,2,FALSE))+0.05)*100)</f>
        <v>70.4953205</v>
      </c>
      <c r="Z143" s="3" t="s">
        <v>113</v>
      </c>
      <c r="AA143" s="3">
        <v>59.0</v>
      </c>
      <c r="AB143" s="4" t="str">
        <f t="shared" si="20"/>
        <v>Kansas</v>
      </c>
      <c r="AC143" s="3">
        <v>23.0</v>
      </c>
      <c r="AD143" s="3"/>
      <c r="AE143" s="3">
        <f t="shared" si="13"/>
        <v>36</v>
      </c>
      <c r="AF143" s="3"/>
      <c r="AG143" s="3">
        <f t="shared" si="25"/>
        <v>1</v>
      </c>
      <c r="AH143" s="3"/>
      <c r="AI143" s="7"/>
      <c r="AJ143" s="4"/>
      <c r="AK143" s="7"/>
      <c r="AL143" s="7"/>
      <c r="AM143" s="7"/>
      <c r="AN143" s="7"/>
      <c r="AO143" s="7"/>
      <c r="AP143" s="7"/>
      <c r="AQ143" s="7"/>
      <c r="AR143" s="7"/>
      <c r="AS143" s="7"/>
      <c r="AT143" s="7"/>
      <c r="AU143" s="7"/>
      <c r="AV143" s="7"/>
      <c r="AW143" s="7"/>
      <c r="AX143" s="7"/>
    </row>
    <row r="144" ht="12.75" hidden="1" customHeight="1">
      <c r="A144" s="3">
        <v>14.0</v>
      </c>
      <c r="B144" s="3" t="s">
        <v>40</v>
      </c>
      <c r="C144" s="3" t="s">
        <v>93</v>
      </c>
      <c r="D144" s="4">
        <f>IFERROR(VLOOKUP(B144,Week13,2,FALSE),0)</f>
        <v>75.99</v>
      </c>
      <c r="E144" s="4">
        <f>IF(ISBLANK(B144),,IFERROR(VLOOKUP(B144,CurrentRank!$B$2:$C$132,2,FALSE),0))</f>
        <v>57.15</v>
      </c>
      <c r="F144" s="4">
        <f>IFERROR(VLOOKUP(B144,Week13,3,FALSE),130)</f>
        <v>10</v>
      </c>
      <c r="G144" s="4">
        <f>IF(ISBLANK(B144),,IFERROR(VLOOKUP(B144,CurrentRank!$B$2:$D$132,3,FALSE),130))</f>
        <v>23</v>
      </c>
      <c r="H144" s="4">
        <f>IFERROR(VLOOKUP(C144,Week13,2,FALSE),0)</f>
        <v>40.06</v>
      </c>
      <c r="I144" s="4">
        <f>IF(ISBLANK(B144),,IFERROR(VLOOKUP(C144,CurrentRank!$B$2:$C$132,2,FALSE),0))</f>
        <v>36.48</v>
      </c>
      <c r="J144" s="4">
        <f>IFERROR(VLOOKUP(C144,Week13,3,FALSE),130)</f>
        <v>37</v>
      </c>
      <c r="K144" s="4">
        <f>IF(ISBLANK(C144),,IFERROR(VLOOKUP(C144,CurrentRank!$B$2:$D$132,3,FALSE),130))</f>
        <v>52</v>
      </c>
      <c r="L144" s="19">
        <f t="shared" ref="L144:M144" si="91">IF(ISBLANK(C144),,(D144+H144)*0.015)</f>
        <v>1.74075</v>
      </c>
      <c r="M144" s="19">
        <f t="shared" si="91"/>
        <v>1.40445</v>
      </c>
      <c r="N144" s="24">
        <f t="shared" si="82"/>
        <v>23.5</v>
      </c>
      <c r="O144" s="21">
        <f t="shared" si="4"/>
        <v>17.094625</v>
      </c>
      <c r="P144" s="21">
        <f t="shared" si="83"/>
        <v>9.464625</v>
      </c>
      <c r="Q144" s="22">
        <f t="shared" si="6"/>
        <v>0.797026875</v>
      </c>
      <c r="R144" s="25" t="str">
        <f t="shared" si="7"/>
        <v>B-</v>
      </c>
      <c r="S144" s="19" t="str">
        <f t="shared" si="8"/>
        <v/>
      </c>
      <c r="T144" s="19" t="str">
        <f t="shared" si="9"/>
        <v/>
      </c>
      <c r="U144" s="3" t="s">
        <v>203</v>
      </c>
      <c r="V144" s="4" t="str">
        <f>IF(ISBLANK(C144),,IFERROR(IF(VLOOKUP(B144,Standings!$A:$F, 6, 0)=VLOOKUP(C144,Standings!$A:$F, 6, 0), VLOOKUP(B144,Standings!$A:$F, 6, 0), "Non-con"), "FCS"))</f>
        <v>ACC</v>
      </c>
      <c r="W144" s="3" t="str">
        <f t="shared" si="10"/>
        <v>Wake Forest</v>
      </c>
      <c r="X144" s="3" t="str">
        <f t="shared" si="11"/>
        <v>Miami</v>
      </c>
      <c r="Y144" s="30">
        <f>IF(D144=0,,IF(ISBLANK(Q144),,VLOOKUP(X144,Week13,2,FALSE)/(VLOOKUP(X144,Week13,2,FALSE)+VLOOKUP(W144,Week13,2,FALSE))+0.05)*100)</f>
        <v>70.48039638</v>
      </c>
      <c r="Z144" s="3"/>
      <c r="AA144" s="3"/>
      <c r="AB144" s="4" t="str">
        <f t="shared" si="20"/>
        <v/>
      </c>
      <c r="AC144" s="3"/>
      <c r="AD144" s="3"/>
      <c r="AE144" s="3" t="str">
        <f t="shared" si="13"/>
        <v/>
      </c>
      <c r="AF144" s="3" t="s">
        <v>228</v>
      </c>
      <c r="AG144" s="3" t="str">
        <f t="shared" si="25"/>
        <v/>
      </c>
      <c r="AH144" s="3"/>
      <c r="AI144" s="7"/>
      <c r="AJ144" s="4"/>
      <c r="AK144" s="7"/>
      <c r="AL144" s="7"/>
      <c r="AM144" s="7"/>
      <c r="AN144" s="7"/>
      <c r="AO144" s="7"/>
      <c r="AP144" s="7"/>
      <c r="AQ144" s="7"/>
      <c r="AR144" s="7"/>
      <c r="AS144" s="7"/>
      <c r="AT144" s="7"/>
      <c r="AU144" s="7"/>
      <c r="AV144" s="7"/>
      <c r="AW144" s="7"/>
      <c r="AX144" s="7"/>
    </row>
    <row r="145" ht="12.75" hidden="1" customHeight="1">
      <c r="A145" s="3">
        <v>8.0</v>
      </c>
      <c r="B145" s="3" t="s">
        <v>43</v>
      </c>
      <c r="C145" s="3" t="s">
        <v>140</v>
      </c>
      <c r="D145" s="4">
        <f>IFERROR(VLOOKUP(B145,Week7,2,FALSE),0)</f>
        <v>18.02</v>
      </c>
      <c r="E145" s="4">
        <f>IF(ISBLANK(B145),,IFERROR(VLOOKUP(B145,CurrentRank!$B$2:$C$132,2,FALSE),0))</f>
        <v>11.84</v>
      </c>
      <c r="F145" s="4">
        <f>IFERROR(VLOOKUP(B145,Week7,3,FALSE),130)</f>
        <v>129</v>
      </c>
      <c r="G145" s="4">
        <f>IF(ISBLANK(B145),,IFERROR(VLOOKUP(B145,CurrentRank!$B$2:$D$132,3,FALSE),130))</f>
        <v>130</v>
      </c>
      <c r="H145" s="4">
        <f>IFERROR(VLOOKUP(C145,Week7,2,FALSE),0)</f>
        <v>34.16</v>
      </c>
      <c r="I145" s="4">
        <f>IF(ISBLANK(B145),,IFERROR(VLOOKUP(C145,CurrentRank!$B$2:$C$132,2,FALSE),0))</f>
        <v>22.5</v>
      </c>
      <c r="J145" s="4">
        <f>IFERROR(VLOOKUP(C145,Week7,3,FALSE),130)</f>
        <v>58</v>
      </c>
      <c r="K145" s="4">
        <f>IF(ISBLANK(C145),,IFERROR(VLOOKUP(C145,CurrentRank!$B$2:$D$132,3,FALSE),130))</f>
        <v>126</v>
      </c>
      <c r="L145" s="19">
        <f t="shared" ref="L145:L151" si="92">IF(U145= "Yes", 0, IF(ISBLANK(C145),,(D145+H145)*0.015))</f>
        <v>0.7827</v>
      </c>
      <c r="M145" s="19">
        <f t="shared" ref="M145:M151" si="93">IF(U145= "Yes", 0, IF(ISBLANK(D145),,(E145+I145)*0.015))</f>
        <v>0.5151</v>
      </c>
      <c r="N145" s="24">
        <f t="shared" si="82"/>
        <v>93.5</v>
      </c>
      <c r="O145" s="21">
        <f t="shared" si="4"/>
        <v>-8.46135</v>
      </c>
      <c r="P145" s="21">
        <f t="shared" si="83"/>
        <v>-5.72135</v>
      </c>
      <c r="Q145" s="22">
        <f t="shared" si="6"/>
        <v>0.49019325</v>
      </c>
      <c r="R145" s="25" t="str">
        <f t="shared" si="7"/>
        <v>F</v>
      </c>
      <c r="S145" s="19">
        <f t="shared" si="8"/>
        <v>0.4825</v>
      </c>
      <c r="T145" s="19" t="str">
        <f t="shared" si="9"/>
        <v>F</v>
      </c>
      <c r="U145" s="3" t="s">
        <v>203</v>
      </c>
      <c r="V145" s="4" t="str">
        <f>IF(ISBLANK(C145),,IFERROR(IF(VLOOKUP(B145,Standings!$A:$F, 6, 0)=VLOOKUP(C145,Standings!$A:$F, 6, 0), VLOOKUP(B145,Standings!$A:$F, 6, 0), "Non-con"), "FCS"))</f>
        <v>CUSA</v>
      </c>
      <c r="W145" s="3" t="str">
        <f t="shared" si="10"/>
        <v>UTEP</v>
      </c>
      <c r="X145" s="3" t="str">
        <f t="shared" si="11"/>
        <v>Charlotte</v>
      </c>
      <c r="Y145" s="30">
        <f>IF(D145=0,,IF(ISBLANK(Q145),,VLOOKUP(X145,Week7,2,FALSE)/(VLOOKUP(X145,Week7,2,FALSE)+VLOOKUP(W145,Week7,2,FALSE))+0.05)*100)</f>
        <v>70.46569567</v>
      </c>
      <c r="Z145" s="3" t="s">
        <v>140</v>
      </c>
      <c r="AA145" s="3">
        <v>38.0</v>
      </c>
      <c r="AB145" s="4" t="str">
        <f t="shared" si="20"/>
        <v>UTEP</v>
      </c>
      <c r="AC145" s="3">
        <v>28.0</v>
      </c>
      <c r="AD145" s="3"/>
      <c r="AE145" s="3">
        <f t="shared" si="13"/>
        <v>10</v>
      </c>
      <c r="AF145" s="3"/>
      <c r="AG145" s="3">
        <f t="shared" si="25"/>
        <v>1</v>
      </c>
      <c r="AH145" s="3"/>
      <c r="AI145" s="7"/>
      <c r="AJ145" s="4"/>
      <c r="AK145" s="7"/>
      <c r="AL145" s="7"/>
      <c r="AM145" s="7"/>
      <c r="AN145" s="7"/>
      <c r="AO145" s="7"/>
      <c r="AP145" s="7"/>
      <c r="AQ145" s="7"/>
      <c r="AR145" s="7"/>
      <c r="AS145" s="7"/>
      <c r="AT145" s="7"/>
      <c r="AU145" s="7"/>
      <c r="AV145" s="7"/>
      <c r="AW145" s="7"/>
      <c r="AX145" s="7"/>
    </row>
    <row r="146" ht="12.75" hidden="1" customHeight="1">
      <c r="A146" s="3">
        <v>4.0</v>
      </c>
      <c r="B146" s="3" t="s">
        <v>131</v>
      </c>
      <c r="C146" s="3" t="s">
        <v>58</v>
      </c>
      <c r="D146" s="4">
        <f>IFERROR(VLOOKUP(B146,Week3,2,FALSE),0)</f>
        <v>35.78</v>
      </c>
      <c r="E146" s="4">
        <f>IF(ISBLANK(B146),,IFERROR(VLOOKUP(B146,CurrentRank!$B$2:$C$132,2,FALSE),0))</f>
        <v>33.34</v>
      </c>
      <c r="F146" s="4">
        <f>IFERROR(VLOOKUP(B146,Week3,3,FALSE),130)</f>
        <v>42</v>
      </c>
      <c r="G146" s="4">
        <f>IF(ISBLANK(B146),,IFERROR(VLOOKUP(B146,CurrentRank!$B$2:$D$132,3,FALSE),130))</f>
        <v>82</v>
      </c>
      <c r="H146" s="4">
        <f>IFERROR(VLOOKUP(C146,Week3,2,FALSE),0)</f>
        <v>67.68</v>
      </c>
      <c r="I146" s="4">
        <f>IF(ISBLANK(B146),,IFERROR(VLOOKUP(C146,CurrentRank!$B$2:$C$132,2,FALSE),0))</f>
        <v>72.87</v>
      </c>
      <c r="J146" s="4">
        <f>IFERROR(VLOOKUP(C146,Week3,3,FALSE),130)</f>
        <v>9</v>
      </c>
      <c r="K146" s="4">
        <f>IF(ISBLANK(C146),,IFERROR(VLOOKUP(C146,CurrentRank!$B$2:$D$132,3,FALSE),130))</f>
        <v>10</v>
      </c>
      <c r="L146" s="19">
        <f t="shared" si="92"/>
        <v>1.5519</v>
      </c>
      <c r="M146" s="19">
        <f t="shared" si="93"/>
        <v>1.59315</v>
      </c>
      <c r="N146" s="24">
        <f t="shared" si="82"/>
        <v>25.5</v>
      </c>
      <c r="O146" s="21">
        <f t="shared" si="4"/>
        <v>-16.72595</v>
      </c>
      <c r="P146" s="21">
        <f t="shared" si="83"/>
        <v>-20.54095</v>
      </c>
      <c r="Q146" s="22">
        <f t="shared" si="6"/>
        <v>0.78887025</v>
      </c>
      <c r="R146" s="25" t="str">
        <f t="shared" si="7"/>
        <v>C+</v>
      </c>
      <c r="S146" s="19">
        <f t="shared" si="8"/>
        <v>0.8625</v>
      </c>
      <c r="T146" s="19" t="str">
        <f t="shared" si="9"/>
        <v>B</v>
      </c>
      <c r="U146" s="3" t="s">
        <v>203</v>
      </c>
      <c r="V146" s="4" t="str">
        <f>IF(ISBLANK(C146),,IFERROR(IF(VLOOKUP(B146,Standings!$A:$F, 6, 0)=VLOOKUP(C146,Standings!$A:$F, 6, 0), VLOOKUP(B146,Standings!$A:$F, 6, 0), "Non-con"), "FCS"))</f>
        <v>SUN</v>
      </c>
      <c r="W146" s="3" t="str">
        <f t="shared" si="10"/>
        <v>Georgia Southern</v>
      </c>
      <c r="X146" s="3" t="str">
        <f t="shared" si="11"/>
        <v>UL-Lafayette</v>
      </c>
      <c r="Y146" s="30">
        <f>IF(D146=0,,IF(ISBLANK(Q146),,VLOOKUP(X146,Week3,2,FALSE)/(VLOOKUP(X146,Week3,2,FALSE)+VLOOKUP(W146,Week3,2,FALSE))+0.05)*100)</f>
        <v>70.41658612</v>
      </c>
      <c r="Z146" s="3" t="s">
        <v>58</v>
      </c>
      <c r="AA146" s="3">
        <v>20.0</v>
      </c>
      <c r="AB146" s="4" t="str">
        <f t="shared" si="20"/>
        <v>Georgia Southern</v>
      </c>
      <c r="AC146" s="3">
        <v>18.0</v>
      </c>
      <c r="AD146" s="3"/>
      <c r="AE146" s="3">
        <f t="shared" si="13"/>
        <v>2</v>
      </c>
      <c r="AF146" s="3"/>
      <c r="AG146" s="3">
        <f t="shared" si="25"/>
        <v>1</v>
      </c>
      <c r="AH146" s="3"/>
      <c r="AI146" s="7"/>
      <c r="AJ146" s="4" t="s">
        <v>133</v>
      </c>
      <c r="AK146" s="7"/>
      <c r="AL146" s="7"/>
      <c r="AM146" s="7"/>
      <c r="AN146" s="7"/>
      <c r="AO146" s="7"/>
      <c r="AP146" s="7"/>
      <c r="AQ146" s="7"/>
      <c r="AR146" s="7"/>
      <c r="AS146" s="7"/>
      <c r="AT146" s="7"/>
      <c r="AU146" s="7"/>
      <c r="AV146" s="7"/>
      <c r="AW146" s="7"/>
      <c r="AX146" s="7"/>
    </row>
    <row r="147" ht="12.75" hidden="1" customHeight="1">
      <c r="A147" s="3">
        <v>5.0</v>
      </c>
      <c r="B147" s="3" t="s">
        <v>112</v>
      </c>
      <c r="C147" s="3" t="s">
        <v>18</v>
      </c>
      <c r="D147" s="4">
        <f>IFERROR(VLOOKUP(B147,Week4,2,FALSE),0)</f>
        <v>46.81</v>
      </c>
      <c r="E147" s="4">
        <f>IF(ISBLANK(B147),,IFERROR(VLOOKUP(B147,CurrentRank!$B$2:$C$132,2,FALSE),0))</f>
        <v>36.98</v>
      </c>
      <c r="F147" s="4">
        <f>IFERROR(VLOOKUP(B147,Week4,3,FALSE),130)</f>
        <v>31</v>
      </c>
      <c r="G147" s="4">
        <f>IF(ISBLANK(B147),,IFERROR(VLOOKUP(B147,CurrentRank!$B$2:$D$132,3,FALSE),130))</f>
        <v>46</v>
      </c>
      <c r="H147" s="4">
        <f>IFERROR(VLOOKUP(C147,Week4,2,FALSE),0)</f>
        <v>88.54</v>
      </c>
      <c r="I147" s="4">
        <f>IF(ISBLANK(B147),,IFERROR(VLOOKUP(C147,CurrentRank!$B$2:$C$132,2,FALSE),0))</f>
        <v>84.24</v>
      </c>
      <c r="J147" s="4">
        <f>IFERROR(VLOOKUP(C147,Week4,3,FALSE),130)</f>
        <v>1</v>
      </c>
      <c r="K147" s="4">
        <f>IF(ISBLANK(C147),,IFERROR(VLOOKUP(C147,CurrentRank!$B$2:$D$132,3,FALSE),130))</f>
        <v>4</v>
      </c>
      <c r="L147" s="19">
        <f t="shared" si="92"/>
        <v>2.03025</v>
      </c>
      <c r="M147" s="19">
        <f t="shared" si="93"/>
        <v>1.8183</v>
      </c>
      <c r="N147" s="24">
        <f t="shared" si="82"/>
        <v>16</v>
      </c>
      <c r="O147" s="21">
        <f t="shared" si="4"/>
        <v>-21.880125</v>
      </c>
      <c r="P147" s="21">
        <f t="shared" si="83"/>
        <v>-24.645125</v>
      </c>
      <c r="Q147" s="22">
        <f t="shared" si="6"/>
        <v>0.810599375</v>
      </c>
      <c r="R147" s="25" t="str">
        <f t="shared" si="7"/>
        <v>B-</v>
      </c>
      <c r="S147" s="19">
        <f t="shared" si="8"/>
        <v>0.83</v>
      </c>
      <c r="T147" s="19" t="str">
        <f t="shared" si="9"/>
        <v>B</v>
      </c>
      <c r="U147" s="3" t="s">
        <v>203</v>
      </c>
      <c r="V147" s="4" t="str">
        <f>IF(ISBLANK(C147),,IFERROR(IF(VLOOKUP(B147,Standings!$A:$F, 6, 0)=VLOOKUP(C147,Standings!$A:$F, 6, 0), VLOOKUP(B147,Standings!$A:$F, 6, 0), "Non-con"), "FCS"))</f>
        <v>ACC</v>
      </c>
      <c r="W147" s="3" t="str">
        <f t="shared" si="10"/>
        <v>Virginia</v>
      </c>
      <c r="X147" s="3" t="str">
        <f t="shared" si="11"/>
        <v>Clemson</v>
      </c>
      <c r="Y147" s="30">
        <f>IF(D147=0,,IF(ISBLANK(Q147),,VLOOKUP(X147,Week4,2,FALSE)/(VLOOKUP(X147,Week4,2,FALSE)+VLOOKUP(W147,Week4,2,FALSE))+0.05)*100)</f>
        <v>70.41558921</v>
      </c>
      <c r="Z147" s="3" t="s">
        <v>18</v>
      </c>
      <c r="AA147" s="3">
        <v>41.0</v>
      </c>
      <c r="AB147" s="4" t="str">
        <f t="shared" si="20"/>
        <v>Virginia</v>
      </c>
      <c r="AC147" s="3">
        <v>23.0</v>
      </c>
      <c r="AD147" s="3"/>
      <c r="AE147" s="3">
        <f t="shared" si="13"/>
        <v>18</v>
      </c>
      <c r="AF147" s="3"/>
      <c r="AG147" s="3">
        <f t="shared" si="25"/>
        <v>1</v>
      </c>
      <c r="AH147" s="3"/>
      <c r="AI147" s="7"/>
      <c r="AJ147" s="4"/>
      <c r="AK147" s="7"/>
      <c r="AL147" s="7"/>
      <c r="AM147" s="7"/>
      <c r="AN147" s="7"/>
      <c r="AO147" s="7"/>
      <c r="AP147" s="7"/>
      <c r="AQ147" s="7"/>
      <c r="AR147" s="7"/>
      <c r="AS147" s="7"/>
      <c r="AT147" s="7"/>
      <c r="AU147" s="7"/>
      <c r="AV147" s="7"/>
      <c r="AW147" s="7"/>
      <c r="AX147" s="7"/>
    </row>
    <row r="148" ht="12.75" hidden="1" customHeight="1">
      <c r="A148" s="3">
        <v>14.0</v>
      </c>
      <c r="B148" s="3" t="s">
        <v>117</v>
      </c>
      <c r="C148" s="3" t="s">
        <v>92</v>
      </c>
      <c r="D148" s="4">
        <f>IFERROR(VLOOKUP(B148,Week13,2,FALSE),0)</f>
        <v>38.69</v>
      </c>
      <c r="E148" s="4">
        <f>IF(ISBLANK(B148),,IFERROR(VLOOKUP(B148,CurrentRank!$B$2:$C$132,2,FALSE),0))</f>
        <v>38.08</v>
      </c>
      <c r="F148" s="4">
        <f>IFERROR(VLOOKUP(B148,Week13,3,FALSE),130)</f>
        <v>41</v>
      </c>
      <c r="G148" s="4">
        <f>IF(ISBLANK(B148),,IFERROR(VLOOKUP(B148,CurrentRank!$B$2:$D$132,3,FALSE),130))</f>
        <v>37</v>
      </c>
      <c r="H148" s="4">
        <f>IFERROR(VLOOKUP(C148,Week13,2,FALSE),0)</f>
        <v>73.07</v>
      </c>
      <c r="I148" s="4">
        <f>IF(ISBLANK(B148),,IFERROR(VLOOKUP(C148,CurrentRank!$B$2:$C$132,2,FALSE),0))</f>
        <v>73.64</v>
      </c>
      <c r="J148" s="4">
        <f>IFERROR(VLOOKUP(C148,Week13,3,FALSE),130)</f>
        <v>12</v>
      </c>
      <c r="K148" s="4">
        <f>IF(ISBLANK(C148),,IFERROR(VLOOKUP(C148,CurrentRank!$B$2:$D$132,3,FALSE),130))</f>
        <v>8</v>
      </c>
      <c r="L148" s="19">
        <f t="shared" si="92"/>
        <v>1.6764</v>
      </c>
      <c r="M148" s="19">
        <f t="shared" si="93"/>
        <v>1.6758</v>
      </c>
      <c r="N148" s="24">
        <f t="shared" si="82"/>
        <v>26.5</v>
      </c>
      <c r="O148" s="21">
        <f t="shared" si="4"/>
        <v>-18.0282</v>
      </c>
      <c r="P148" s="21">
        <f t="shared" si="83"/>
        <v>-18.6182</v>
      </c>
      <c r="Q148" s="22">
        <f t="shared" si="6"/>
        <v>0.777359</v>
      </c>
      <c r="R148" s="25" t="str">
        <f t="shared" si="7"/>
        <v>C+</v>
      </c>
      <c r="S148" s="19">
        <f t="shared" si="8"/>
        <v>0.6875</v>
      </c>
      <c r="T148" s="19" t="str">
        <f t="shared" si="9"/>
        <v>D+</v>
      </c>
      <c r="U148" s="3" t="s">
        <v>203</v>
      </c>
      <c r="V148" s="4" t="str">
        <f>IF(ISBLANK(C148),,IFERROR(IF(VLOOKUP(B148,Standings!$A:$F, 6, 0)=VLOOKUP(C148,Standings!$A:$F, 6, 0), VLOOKUP(B148,Standings!$A:$F, 6, 0), "Non-con"), "FCS"))</f>
        <v>BIG12</v>
      </c>
      <c r="W148" s="3" t="str">
        <f t="shared" si="10"/>
        <v>West Virginia</v>
      </c>
      <c r="X148" s="3" t="str">
        <f t="shared" si="11"/>
        <v>Iowa State</v>
      </c>
      <c r="Y148" s="30">
        <f>IF(D148=0,,IF(ISBLANK(Q148),,VLOOKUP(X148,Week13,2,FALSE)/(VLOOKUP(X148,Week13,2,FALSE)+VLOOKUP(W148,Week13,2,FALSE))+0.05)*100)</f>
        <v>70.38117394</v>
      </c>
      <c r="Z148" s="3" t="s">
        <v>92</v>
      </c>
      <c r="AA148" s="3">
        <v>42.0</v>
      </c>
      <c r="AB148" s="4" t="str">
        <f t="shared" si="20"/>
        <v>West Virginia</v>
      </c>
      <c r="AC148" s="3">
        <v>6.0</v>
      </c>
      <c r="AD148" s="3"/>
      <c r="AE148" s="3">
        <f t="shared" si="13"/>
        <v>36</v>
      </c>
      <c r="AF148" s="3"/>
      <c r="AG148" s="3">
        <f t="shared" si="25"/>
        <v>1</v>
      </c>
      <c r="AH148" s="3"/>
      <c r="AI148" s="7"/>
      <c r="AJ148" s="4" t="s">
        <v>129</v>
      </c>
      <c r="AK148" s="7"/>
      <c r="AL148" s="7"/>
      <c r="AM148" s="7"/>
      <c r="AN148" s="7"/>
      <c r="AO148" s="7"/>
      <c r="AP148" s="7"/>
      <c r="AQ148" s="7"/>
      <c r="AR148" s="7"/>
      <c r="AS148" s="7"/>
      <c r="AT148" s="7"/>
      <c r="AU148" s="7"/>
      <c r="AV148" s="7"/>
      <c r="AW148" s="7"/>
      <c r="AX148" s="7"/>
    </row>
    <row r="149" ht="12.75" hidden="1" customHeight="1">
      <c r="A149" s="3">
        <v>9.0</v>
      </c>
      <c r="B149" s="3" t="s">
        <v>118</v>
      </c>
      <c r="C149" s="3" t="s">
        <v>79</v>
      </c>
      <c r="D149" s="4">
        <f>IFERROR(VLOOKUP(B149,Week8,2,FALSE),0)</f>
        <v>39.75</v>
      </c>
      <c r="E149" s="4">
        <f>IF(ISBLANK(B149),,IFERROR(VLOOKUP(B149,CurrentRank!$B$2:$C$132,2,FALSE),0))</f>
        <v>35.17</v>
      </c>
      <c r="F149" s="4">
        <f>IFERROR(VLOOKUP(B149,Week8,3,FALSE),130)</f>
        <v>36</v>
      </c>
      <c r="G149" s="4">
        <f>IF(ISBLANK(B149),,IFERROR(VLOOKUP(B149,CurrentRank!$B$2:$D$132,3,FALSE),130))</f>
        <v>65</v>
      </c>
      <c r="H149" s="4">
        <f>IFERROR(VLOOKUP(C149,Week8,2,FALSE),0)</f>
        <v>74.99</v>
      </c>
      <c r="I149" s="4">
        <f>IF(ISBLANK(B149),,IFERROR(VLOOKUP(C149,CurrentRank!$B$2:$C$132,2,FALSE),0))</f>
        <v>85.31</v>
      </c>
      <c r="J149" s="4">
        <f>IFERROR(VLOOKUP(C149,Week8,3,FALSE),130)</f>
        <v>10</v>
      </c>
      <c r="K149" s="4">
        <f>IF(ISBLANK(C149),,IFERROR(VLOOKUP(C149,CurrentRank!$B$2:$D$132,3,FALSE),130))</f>
        <v>3</v>
      </c>
      <c r="L149" s="19">
        <f t="shared" si="92"/>
        <v>1.7211</v>
      </c>
      <c r="M149" s="19">
        <f t="shared" si="93"/>
        <v>1.8072</v>
      </c>
      <c r="N149" s="24">
        <f t="shared" si="82"/>
        <v>23</v>
      </c>
      <c r="O149" s="21">
        <f t="shared" si="4"/>
        <v>-18.48055</v>
      </c>
      <c r="P149" s="21">
        <f t="shared" si="83"/>
        <v>-25.93055</v>
      </c>
      <c r="Q149" s="22">
        <f t="shared" si="6"/>
        <v>0.79259725</v>
      </c>
      <c r="R149" s="25" t="str">
        <f t="shared" si="7"/>
        <v>C+</v>
      </c>
      <c r="S149" s="19">
        <f t="shared" si="8"/>
        <v>0.83</v>
      </c>
      <c r="T149" s="19" t="str">
        <f t="shared" si="9"/>
        <v>B</v>
      </c>
      <c r="U149" s="3" t="s">
        <v>203</v>
      </c>
      <c r="V149" s="4" t="str">
        <f>IF(ISBLANK(C149),,IFERROR(IF(VLOOKUP(B149,Standings!$A:$F, 6, 0)=VLOOKUP(C149,Standings!$A:$F, 6, 0), VLOOKUP(B149,Standings!$A:$F, 6, 0), "Non-con"), "FCS"))</f>
        <v>SEC</v>
      </c>
      <c r="W149" s="3" t="str">
        <f t="shared" si="10"/>
        <v>Arkansas</v>
      </c>
      <c r="X149" s="3" t="str">
        <f t="shared" si="11"/>
        <v>Texas A&amp;M</v>
      </c>
      <c r="Y149" s="30">
        <f>IF(D149=0,,IF(ISBLANK(Q149),,VLOOKUP(X149,Week8,2,FALSE)/(VLOOKUP(X149,Week8,2,FALSE)+VLOOKUP(W149,Week8,2,FALSE))+0.05)*100)</f>
        <v>70.35645808</v>
      </c>
      <c r="Z149" s="3" t="s">
        <v>79</v>
      </c>
      <c r="AA149" s="3">
        <v>42.0</v>
      </c>
      <c r="AB149" s="4" t="str">
        <f t="shared" si="20"/>
        <v>Arkansas</v>
      </c>
      <c r="AC149" s="3">
        <v>31.0</v>
      </c>
      <c r="AD149" s="3"/>
      <c r="AE149" s="3">
        <f t="shared" si="13"/>
        <v>11</v>
      </c>
      <c r="AF149" s="3"/>
      <c r="AG149" s="3">
        <f t="shared" si="25"/>
        <v>1</v>
      </c>
      <c r="AH149" s="3"/>
      <c r="AI149" s="7"/>
      <c r="AJ149" s="4" t="s">
        <v>89</v>
      </c>
      <c r="AK149" s="7"/>
      <c r="AL149" s="7"/>
      <c r="AM149" s="7"/>
      <c r="AN149" s="7"/>
      <c r="AO149" s="7"/>
      <c r="AP149" s="7"/>
      <c r="AQ149" s="7"/>
      <c r="AR149" s="7"/>
      <c r="AS149" s="7"/>
      <c r="AT149" s="7"/>
      <c r="AU149" s="7"/>
      <c r="AV149" s="7"/>
      <c r="AW149" s="7"/>
      <c r="AX149" s="7"/>
    </row>
    <row r="150" ht="12.75" hidden="1" customHeight="1">
      <c r="A150" s="3">
        <v>10.0</v>
      </c>
      <c r="B150" s="3" t="s">
        <v>190</v>
      </c>
      <c r="C150" s="3" t="s">
        <v>62</v>
      </c>
      <c r="D150" s="4">
        <f>IFERROR(VLOOKUP(B150,Week9,2,FALSE),0)</f>
        <v>30.61</v>
      </c>
      <c r="E150" s="4">
        <f>IF(ISBLANK(B150),,IFERROR(VLOOKUP(B150,CurrentRank!$B$2:$C$132,2,FALSE),0))</f>
        <v>42.24</v>
      </c>
      <c r="F150" s="4">
        <f>IFERROR(VLOOKUP(B150,Week9,3,FALSE),130)</f>
        <v>83</v>
      </c>
      <c r="G150" s="4">
        <f>IF(ISBLANK(B150),,IFERROR(VLOOKUP(B150,CurrentRank!$B$2:$D$132,3,FALSE),130))</f>
        <v>28</v>
      </c>
      <c r="H150" s="4">
        <f>IFERROR(VLOOKUP(C150,Week9,2,FALSE),0)</f>
        <v>57.51</v>
      </c>
      <c r="I150" s="4">
        <f>IF(ISBLANK(B150),,IFERROR(VLOOKUP(C150,CurrentRank!$B$2:$C$132,2,FALSE),0))</f>
        <v>37.34</v>
      </c>
      <c r="J150" s="4">
        <f>IFERROR(VLOOKUP(C150,Week9,3,FALSE),130)</f>
        <v>21</v>
      </c>
      <c r="K150" s="4">
        <f>IF(ISBLANK(C150),,IFERROR(VLOOKUP(C150,CurrentRank!$B$2:$D$132,3,FALSE),130))</f>
        <v>44</v>
      </c>
      <c r="L150" s="19">
        <f t="shared" si="92"/>
        <v>1.3218</v>
      </c>
      <c r="M150" s="19">
        <f t="shared" si="93"/>
        <v>1.1937</v>
      </c>
      <c r="N150" s="24">
        <f t="shared" si="82"/>
        <v>52</v>
      </c>
      <c r="O150" s="21">
        <f t="shared" si="4"/>
        <v>-14.1109</v>
      </c>
      <c r="P150" s="21">
        <f t="shared" si="83"/>
        <v>1.7891</v>
      </c>
      <c r="Q150" s="22">
        <f t="shared" si="6"/>
        <v>0.6694455</v>
      </c>
      <c r="R150" s="25" t="str">
        <f t="shared" si="7"/>
        <v>D+</v>
      </c>
      <c r="S150" s="19">
        <f t="shared" si="8"/>
        <v>0.635</v>
      </c>
      <c r="T150" s="19" t="str">
        <f t="shared" si="9"/>
        <v>D</v>
      </c>
      <c r="U150" s="3" t="s">
        <v>203</v>
      </c>
      <c r="V150" s="4" t="str">
        <f>IF(ISBLANK(C150),,IFERROR(IF(VLOOKUP(B150,Standings!$A:$F, 6, 0)=VLOOKUP(C150,Standings!$A:$F, 6, 0), VLOOKUP(B150,Standings!$A:$F, 6, 0), "Non-con"), "FCS"))</f>
        <v>PAC12</v>
      </c>
      <c r="W150" s="3" t="str">
        <f t="shared" si="10"/>
        <v>Stanford</v>
      </c>
      <c r="X150" s="3" t="str">
        <f t="shared" si="11"/>
        <v>Oregon</v>
      </c>
      <c r="Y150" s="30">
        <f>IF(D150=0,,IF(ISBLANK(Q150),,VLOOKUP(X150,Week9,2,FALSE)/(VLOOKUP(X150,Week9,2,FALSE)+VLOOKUP(W150,Week9,2,FALSE))+0.05)*100)</f>
        <v>70.26327735</v>
      </c>
      <c r="Z150" s="3" t="s">
        <v>62</v>
      </c>
      <c r="AA150" s="3">
        <v>35.0</v>
      </c>
      <c r="AB150" s="4" t="str">
        <f t="shared" si="20"/>
        <v>Stanford</v>
      </c>
      <c r="AC150" s="3">
        <v>14.0</v>
      </c>
      <c r="AD150" s="3"/>
      <c r="AE150" s="3">
        <f t="shared" si="13"/>
        <v>21</v>
      </c>
      <c r="AF150" s="3"/>
      <c r="AG150" s="3">
        <f t="shared" si="25"/>
        <v>1</v>
      </c>
      <c r="AH150" s="3"/>
      <c r="AI150" s="7"/>
      <c r="AJ150" s="4"/>
      <c r="AK150" s="7"/>
      <c r="AL150" s="7"/>
      <c r="AM150" s="7"/>
      <c r="AN150" s="7"/>
      <c r="AO150" s="7"/>
      <c r="AP150" s="7"/>
      <c r="AQ150" s="7"/>
      <c r="AR150" s="7"/>
      <c r="AS150" s="7"/>
      <c r="AT150" s="7"/>
      <c r="AU150" s="7"/>
      <c r="AV150" s="7"/>
      <c r="AW150" s="7"/>
      <c r="AX150" s="7"/>
    </row>
    <row r="151" ht="12.75" hidden="1" customHeight="1">
      <c r="A151" s="3">
        <v>12.0</v>
      </c>
      <c r="B151" s="3" t="s">
        <v>69</v>
      </c>
      <c r="C151" s="3" t="s">
        <v>47</v>
      </c>
      <c r="D151" s="4">
        <f>IFERROR(VLOOKUP(B151,Week11,2,FALSE),0)</f>
        <v>79.64</v>
      </c>
      <c r="E151" s="4">
        <f>IF(ISBLANK(B151),,IFERROR(VLOOKUP(B151,CurrentRank!$B$2:$C$132,2,FALSE),0))</f>
        <v>72.9</v>
      </c>
      <c r="F151" s="4">
        <f>IFERROR(VLOOKUP(B151,Week11,3,FALSE),130)</f>
        <v>8</v>
      </c>
      <c r="G151" s="4">
        <f>IF(ISBLANK(B151),,IFERROR(VLOOKUP(B151,CurrentRank!$B$2:$D$132,3,FALSE),130))</f>
        <v>9</v>
      </c>
      <c r="H151" s="4">
        <f>IFERROR(VLOOKUP(C151,Week11,2,FALSE),0)</f>
        <v>42.54</v>
      </c>
      <c r="I151" s="4">
        <f>IF(ISBLANK(B151),,IFERROR(VLOOKUP(C151,CurrentRank!$B$2:$C$132,2,FALSE),0))</f>
        <v>41.86</v>
      </c>
      <c r="J151" s="4">
        <f>IFERROR(VLOOKUP(C151,Week11,3,FALSE),130)</f>
        <v>35</v>
      </c>
      <c r="K151" s="4">
        <f>IF(ISBLANK(C151),,IFERROR(VLOOKUP(C151,CurrentRank!$B$2:$D$132,3,FALSE),130))</f>
        <v>30</v>
      </c>
      <c r="L151" s="19">
        <f t="shared" si="92"/>
        <v>1.8327</v>
      </c>
      <c r="M151" s="19">
        <f t="shared" si="93"/>
        <v>1.7214</v>
      </c>
      <c r="N151" s="24">
        <f t="shared" si="82"/>
        <v>21.5</v>
      </c>
      <c r="O151" s="21">
        <f t="shared" si="4"/>
        <v>17.63365</v>
      </c>
      <c r="P151" s="21">
        <f t="shared" si="83"/>
        <v>14.60365</v>
      </c>
      <c r="Q151" s="22">
        <f t="shared" si="6"/>
        <v>0.80433175</v>
      </c>
      <c r="R151" s="25" t="str">
        <f t="shared" si="7"/>
        <v>B-</v>
      </c>
      <c r="S151" s="19">
        <f t="shared" si="8"/>
        <v>0.8775</v>
      </c>
      <c r="T151" s="19" t="str">
        <f t="shared" si="9"/>
        <v>B+</v>
      </c>
      <c r="U151" s="3" t="s">
        <v>203</v>
      </c>
      <c r="V151" s="4" t="str">
        <f>IF(ISBLANK(C151),,IFERROR(IF(VLOOKUP(B151,Standings!$A:$F, 6, 0)=VLOOKUP(C151,Standings!$A:$F, 6, 0), VLOOKUP(B151,Standings!$A:$F, 6, 0), "Non-con"), "FCS"))</f>
        <v>AAC</v>
      </c>
      <c r="W151" s="3" t="str">
        <f t="shared" si="10"/>
        <v>Central Florida</v>
      </c>
      <c r="X151" s="3" t="str">
        <f t="shared" si="11"/>
        <v>Cincinnati</v>
      </c>
      <c r="Y151" s="30">
        <f>IF(D151=0,,IF(ISBLANK(Q151),,VLOOKUP(X151,Week11,2,FALSE)/(VLOOKUP(X151,Week11,2,FALSE)+VLOOKUP(W151,Week11,2,FALSE))+0.05)*100)</f>
        <v>70.1825176</v>
      </c>
      <c r="Z151" s="3" t="s">
        <v>69</v>
      </c>
      <c r="AA151" s="3">
        <v>36.0</v>
      </c>
      <c r="AB151" s="4" t="str">
        <f t="shared" si="20"/>
        <v>Central Florida</v>
      </c>
      <c r="AC151" s="3">
        <v>33.0</v>
      </c>
      <c r="AD151" s="3"/>
      <c r="AE151" s="3">
        <f t="shared" si="13"/>
        <v>3</v>
      </c>
      <c r="AF151" s="3"/>
      <c r="AG151" s="3">
        <f t="shared" si="25"/>
        <v>1</v>
      </c>
      <c r="AH151" s="3"/>
      <c r="AI151" s="7"/>
      <c r="AJ151" s="4"/>
      <c r="AK151" s="7"/>
      <c r="AL151" s="7"/>
      <c r="AM151" s="7"/>
      <c r="AN151" s="7"/>
      <c r="AO151" s="7"/>
      <c r="AP151" s="7"/>
      <c r="AQ151" s="7"/>
      <c r="AR151" s="7"/>
      <c r="AS151" s="7"/>
      <c r="AT151" s="7"/>
      <c r="AU151" s="7"/>
      <c r="AV151" s="7"/>
      <c r="AW151" s="7"/>
      <c r="AX151" s="7"/>
    </row>
    <row r="152" ht="12.75" hidden="1" customHeight="1">
      <c r="A152" s="3">
        <v>16.0</v>
      </c>
      <c r="B152" s="3" t="s">
        <v>138</v>
      </c>
      <c r="C152" s="3" t="s">
        <v>90</v>
      </c>
      <c r="D152" s="4">
        <f>IFERROR(VLOOKUP(B152,Week15,2,FALSE),0)</f>
        <v>40.21</v>
      </c>
      <c r="E152" s="4">
        <f>IF(ISBLANK(B152),,IFERROR(VLOOKUP(B152,CurrentRank!$B$2:$C$132,2,FALSE),0))</f>
        <v>40.47</v>
      </c>
      <c r="F152" s="4">
        <f>IFERROR(VLOOKUP(B152,Week15,3,FALSE),130)</f>
        <v>37</v>
      </c>
      <c r="G152" s="4">
        <f>IF(ISBLANK(B152),,IFERROR(VLOOKUP(B152,CurrentRank!$B$2:$D$132,3,FALSE),130))</f>
        <v>33</v>
      </c>
      <c r="H152" s="4">
        <f>IFERROR(VLOOKUP(C152,Week15,2,FALSE),0)</f>
        <v>75.05</v>
      </c>
      <c r="I152" s="4">
        <f>IF(ISBLANK(B152),,IFERROR(VLOOKUP(C152,CurrentRank!$B$2:$C$132,2,FALSE),0))</f>
        <v>62.48</v>
      </c>
      <c r="J152" s="4">
        <f>IFERROR(VLOOKUP(C152,Week15,3,FALSE),130)</f>
        <v>11</v>
      </c>
      <c r="K152" s="4">
        <f>IF(ISBLANK(C152),,IFERROR(VLOOKUP(C152,CurrentRank!$B$2:$D$132,3,FALSE),130))</f>
        <v>19</v>
      </c>
      <c r="L152" s="19">
        <f t="shared" ref="L152:M152" si="94">IF(ISBLANK(C152),,(D152+H152)*0.015)</f>
        <v>1.7289</v>
      </c>
      <c r="M152" s="19">
        <f t="shared" si="94"/>
        <v>1.54425</v>
      </c>
      <c r="N152" s="24">
        <f t="shared" si="82"/>
        <v>24</v>
      </c>
      <c r="O152" s="21">
        <f t="shared" si="4"/>
        <v>-18.28445</v>
      </c>
      <c r="P152" s="21">
        <f t="shared" si="83"/>
        <v>-11.86945</v>
      </c>
      <c r="Q152" s="22">
        <f t="shared" si="6"/>
        <v>0.78857775</v>
      </c>
      <c r="R152" s="25" t="str">
        <f t="shared" si="7"/>
        <v>C+</v>
      </c>
      <c r="S152" s="19" t="str">
        <f t="shared" si="8"/>
        <v/>
      </c>
      <c r="T152" s="19" t="str">
        <f t="shared" si="9"/>
        <v/>
      </c>
      <c r="U152" s="3" t="s">
        <v>203</v>
      </c>
      <c r="V152" s="4" t="str">
        <f>IF(ISBLANK(C152),,IFERROR(IF(VLOOKUP(B152,Standings!$A:$F, 6, 0)=VLOOKUP(C152,Standings!$A:$F, 6, 0), VLOOKUP(B152,Standings!$A:$F, 6, 0), "Non-con"), "FCS"))</f>
        <v>PAC12</v>
      </c>
      <c r="W152" s="3" t="str">
        <f t="shared" si="10"/>
        <v>Washington</v>
      </c>
      <c r="X152" s="3" t="str">
        <f t="shared" si="11"/>
        <v>Southern Cal</v>
      </c>
      <c r="Y152" s="30">
        <f>IF(D152=0,,IF(ISBLANK(Q152),,VLOOKUP(X152,Week15,2,FALSE)/(VLOOKUP(X152,Week15,2,FALSE)+VLOOKUP(W152,Week15,2,FALSE))+0.05)*100)</f>
        <v>70.11365608</v>
      </c>
      <c r="Z152" s="4"/>
      <c r="AA152" s="3"/>
      <c r="AB152" s="4" t="str">
        <f t="shared" si="20"/>
        <v/>
      </c>
      <c r="AC152" s="3"/>
      <c r="AD152" s="3"/>
      <c r="AE152" s="3" t="str">
        <f t="shared" si="13"/>
        <v/>
      </c>
      <c r="AF152" s="3" t="s">
        <v>226</v>
      </c>
      <c r="AG152" s="3" t="str">
        <f t="shared" si="25"/>
        <v/>
      </c>
      <c r="AH152" s="3"/>
      <c r="AI152" s="7"/>
      <c r="AJ152" s="4"/>
      <c r="AK152" s="7"/>
      <c r="AL152" s="7"/>
      <c r="AM152" s="7"/>
      <c r="AN152" s="7"/>
      <c r="AO152" s="7"/>
      <c r="AP152" s="7"/>
      <c r="AQ152" s="7"/>
      <c r="AR152" s="7"/>
      <c r="AS152" s="7"/>
      <c r="AT152" s="7"/>
      <c r="AU152" s="7"/>
      <c r="AV152" s="7"/>
      <c r="AW152" s="7"/>
      <c r="AX152" s="7"/>
    </row>
    <row r="153" ht="12.75" hidden="1" customHeight="1">
      <c r="A153" s="3">
        <v>14.0</v>
      </c>
      <c r="B153" s="3" t="s">
        <v>97</v>
      </c>
      <c r="C153" s="3" t="s">
        <v>137</v>
      </c>
      <c r="D153" s="4">
        <f>IFERROR(VLOOKUP(B153,Week13,2,FALSE),0)</f>
        <v>62.01</v>
      </c>
      <c r="E153" s="4">
        <f>IF(ISBLANK(B153),,IFERROR(VLOOKUP(B153,CurrentRank!$B$2:$C$132,2,FALSE),0))</f>
        <v>71.81</v>
      </c>
      <c r="F153" s="4">
        <f>IFERROR(VLOOKUP(B153,Week13,3,FALSE),130)</f>
        <v>21</v>
      </c>
      <c r="G153" s="4">
        <f>IF(ISBLANK(B153),,IFERROR(VLOOKUP(B153,CurrentRank!$B$2:$D$132,3,FALSE),130))</f>
        <v>12</v>
      </c>
      <c r="H153" s="4">
        <f>IFERROR(VLOOKUP(C153,Week13,2,FALSE),0)</f>
        <v>33.3</v>
      </c>
      <c r="I153" s="4">
        <f>IF(ISBLANK(B153),,IFERROR(VLOOKUP(C153,CurrentRank!$B$2:$C$132,2,FALSE),0))</f>
        <v>31.52</v>
      </c>
      <c r="J153" s="4">
        <f>IFERROR(VLOOKUP(C153,Week13,3,FALSE),130)</f>
        <v>75</v>
      </c>
      <c r="K153" s="4">
        <f>IF(ISBLANK(C153),,IFERROR(VLOOKUP(C153,CurrentRank!$B$2:$D$132,3,FALSE),130))</f>
        <v>98</v>
      </c>
      <c r="L153" s="19">
        <f t="shared" ref="L153:L166" si="95">IF(U153= "Yes", 0, IF(ISBLANK(C153),,(D153+H153)*0.015))</f>
        <v>1.42965</v>
      </c>
      <c r="M153" s="19">
        <f t="shared" ref="M153:M166" si="96">IF(U153= "Yes", 0, IF(ISBLANK(D153),,(E153+I153)*0.015))</f>
        <v>1.54995</v>
      </c>
      <c r="N153" s="24">
        <f t="shared" si="82"/>
        <v>48</v>
      </c>
      <c r="O153" s="21">
        <f t="shared" si="4"/>
        <v>13.640175</v>
      </c>
      <c r="P153" s="21">
        <f t="shared" si="83"/>
        <v>19.430175</v>
      </c>
      <c r="Q153" s="22">
        <f t="shared" si="6"/>
        <v>0.691799125</v>
      </c>
      <c r="R153" s="25" t="str">
        <f t="shared" si="7"/>
        <v>D+</v>
      </c>
      <c r="S153" s="19">
        <f t="shared" si="8"/>
        <v>0.69</v>
      </c>
      <c r="T153" s="19" t="str">
        <f t="shared" si="9"/>
        <v>D+</v>
      </c>
      <c r="U153" s="3" t="s">
        <v>203</v>
      </c>
      <c r="V153" s="4" t="str">
        <f>IF(ISBLANK(C153),,IFERROR(IF(VLOOKUP(B153,Standings!$A:$F, 6, 0)=VLOOKUP(C153,Standings!$A:$F, 6, 0), VLOOKUP(B153,Standings!$A:$F, 6, 0), "Non-con"), "FCS"))</f>
        <v>B1G</v>
      </c>
      <c r="W153" s="3" t="str">
        <f t="shared" si="10"/>
        <v>Illinois</v>
      </c>
      <c r="X153" s="3" t="str">
        <f t="shared" si="11"/>
        <v>Iowa</v>
      </c>
      <c r="Y153" s="30">
        <f>IF(D153=0,,IF(ISBLANK(Q153),,VLOOKUP(X153,Week13,2,FALSE)/(VLOOKUP(X153,Week13,2,FALSE)+VLOOKUP(W153,Week13,2,FALSE))+0.05)*100)</f>
        <v>70.06137866</v>
      </c>
      <c r="Z153" s="3" t="s">
        <v>97</v>
      </c>
      <c r="AA153" s="3">
        <v>35.0</v>
      </c>
      <c r="AB153" s="4" t="str">
        <f t="shared" si="20"/>
        <v>Illinois</v>
      </c>
      <c r="AC153" s="3">
        <v>21.0</v>
      </c>
      <c r="AD153" s="3"/>
      <c r="AE153" s="3">
        <f t="shared" si="13"/>
        <v>14</v>
      </c>
      <c r="AF153" s="3"/>
      <c r="AG153" s="3">
        <f t="shared" si="25"/>
        <v>1</v>
      </c>
      <c r="AH153" s="3"/>
      <c r="AI153" s="7"/>
      <c r="AJ153" s="4"/>
      <c r="AK153" s="7"/>
      <c r="AL153" s="7"/>
      <c r="AM153" s="7"/>
      <c r="AN153" s="7"/>
      <c r="AO153" s="7"/>
      <c r="AP153" s="7"/>
      <c r="AQ153" s="7"/>
      <c r="AR153" s="7"/>
      <c r="AS153" s="7"/>
      <c r="AT153" s="7"/>
      <c r="AU153" s="7"/>
      <c r="AV153" s="7"/>
      <c r="AW153" s="7"/>
      <c r="AX153" s="7"/>
    </row>
    <row r="154" ht="12.75" hidden="1" customHeight="1">
      <c r="A154" s="3">
        <v>10.0</v>
      </c>
      <c r="B154" s="3" t="s">
        <v>55</v>
      </c>
      <c r="C154" s="3" t="s">
        <v>116</v>
      </c>
      <c r="D154" s="4">
        <f>IFERROR(VLOOKUP(B154,Week9,2,FALSE),0)</f>
        <v>68.96</v>
      </c>
      <c r="E154" s="4">
        <f>IF(ISBLANK(B154),,IFERROR(VLOOKUP(B154,CurrentRank!$B$2:$C$132,2,FALSE),0))</f>
        <v>59.34</v>
      </c>
      <c r="F154" s="4">
        <f>IFERROR(VLOOKUP(B154,Week9,3,FALSE),130)</f>
        <v>14</v>
      </c>
      <c r="G154" s="4">
        <f>IF(ISBLANK(B154),,IFERROR(VLOOKUP(B154,CurrentRank!$B$2:$D$132,3,FALSE),130))</f>
        <v>22</v>
      </c>
      <c r="H154" s="4">
        <f>IFERROR(VLOOKUP(C154,Week9,2,FALSE),0)</f>
        <v>37.15</v>
      </c>
      <c r="I154" s="4">
        <f>IF(ISBLANK(B154),,IFERROR(VLOOKUP(C154,CurrentRank!$B$2:$C$132,2,FALSE),0))</f>
        <v>31.6</v>
      </c>
      <c r="J154" s="4">
        <f>IFERROR(VLOOKUP(C154,Week9,3,FALSE),130)</f>
        <v>49</v>
      </c>
      <c r="K154" s="4">
        <f>IF(ISBLANK(C154),,IFERROR(VLOOKUP(C154,CurrentRank!$B$2:$D$132,3,FALSE),130))</f>
        <v>96</v>
      </c>
      <c r="L154" s="19">
        <f t="shared" si="95"/>
        <v>1.59165</v>
      </c>
      <c r="M154" s="19">
        <f t="shared" si="96"/>
        <v>1.3641</v>
      </c>
      <c r="N154" s="24">
        <f t="shared" si="82"/>
        <v>31.5</v>
      </c>
      <c r="O154" s="21">
        <f t="shared" si="4"/>
        <v>15.109175</v>
      </c>
      <c r="P154" s="21">
        <f t="shared" si="83"/>
        <v>13.074175</v>
      </c>
      <c r="Q154" s="22">
        <f t="shared" si="6"/>
        <v>0.766954125</v>
      </c>
      <c r="R154" s="25" t="str">
        <f t="shared" si="7"/>
        <v>C+</v>
      </c>
      <c r="S154" s="19">
        <f t="shared" si="8"/>
        <v>0.8325</v>
      </c>
      <c r="T154" s="19" t="str">
        <f t="shared" si="9"/>
        <v>B</v>
      </c>
      <c r="U154" s="3" t="s">
        <v>203</v>
      </c>
      <c r="V154" s="4" t="str">
        <f>IF(ISBLANK(C154),,IFERROR(IF(VLOOKUP(B154,Standings!$A:$F, 6, 0)=VLOOKUP(C154,Standings!$A:$F, 6, 0), VLOOKUP(B154,Standings!$A:$F, 6, 0), "Non-con"), "FCS"))</f>
        <v>BIG12</v>
      </c>
      <c r="W154" s="3" t="str">
        <f t="shared" si="10"/>
        <v>Kansas State</v>
      </c>
      <c r="X154" s="3" t="str">
        <f t="shared" si="11"/>
        <v>Oklahoma State</v>
      </c>
      <c r="Y154" s="30">
        <f>IF(D154=0,,IF(ISBLANK(Q154),,VLOOKUP(X154,Week9,2,FALSE)/(VLOOKUP(X154,Week9,2,FALSE)+VLOOKUP(W154,Week9,2,FALSE))+0.05)*100)</f>
        <v>69.98916219</v>
      </c>
      <c r="Z154" s="3" t="s">
        <v>55</v>
      </c>
      <c r="AA154" s="3">
        <v>20.0</v>
      </c>
      <c r="AB154" s="4" t="str">
        <f t="shared" si="20"/>
        <v>Kansas State</v>
      </c>
      <c r="AC154" s="3">
        <v>18.0</v>
      </c>
      <c r="AD154" s="3"/>
      <c r="AE154" s="3">
        <f t="shared" si="13"/>
        <v>2</v>
      </c>
      <c r="AF154" s="3"/>
      <c r="AG154" s="3">
        <f t="shared" si="25"/>
        <v>1</v>
      </c>
      <c r="AH154" s="3"/>
      <c r="AI154" s="7"/>
      <c r="AJ154" s="4" t="s">
        <v>116</v>
      </c>
      <c r="AK154" s="7"/>
      <c r="AL154" s="7"/>
      <c r="AM154" s="7"/>
      <c r="AN154" s="7"/>
      <c r="AO154" s="7"/>
      <c r="AP154" s="7"/>
      <c r="AQ154" s="7"/>
      <c r="AR154" s="7"/>
      <c r="AS154" s="7"/>
      <c r="AT154" s="7"/>
      <c r="AU154" s="7"/>
      <c r="AV154" s="7"/>
      <c r="AW154" s="7"/>
      <c r="AX154" s="7"/>
    </row>
    <row r="155" ht="12.75" hidden="1" customHeight="1">
      <c r="A155" s="3">
        <v>8.0</v>
      </c>
      <c r="B155" s="3" t="s">
        <v>131</v>
      </c>
      <c r="C155" s="3" t="s">
        <v>100</v>
      </c>
      <c r="D155" s="4">
        <f>IFERROR(VLOOKUP(B155,Week7,2,FALSE),0)</f>
        <v>36.65</v>
      </c>
      <c r="E155" s="4">
        <f>IF(ISBLANK(B155),,IFERROR(VLOOKUP(B155,CurrentRank!$B$2:$C$132,2,FALSE),0))</f>
        <v>33.34</v>
      </c>
      <c r="F155" s="4">
        <f>IFERROR(VLOOKUP(B155,Week7,3,FALSE),130)</f>
        <v>49</v>
      </c>
      <c r="G155" s="4">
        <f>IF(ISBLANK(B155),,IFERROR(VLOOKUP(B155,CurrentRank!$B$2:$D$132,3,FALSE),130))</f>
        <v>82</v>
      </c>
      <c r="H155" s="4">
        <f>IFERROR(VLOOKUP(C155,Week7,2,FALSE),0)</f>
        <v>68.02</v>
      </c>
      <c r="I155" s="4">
        <f>IF(ISBLANK(B155),,IFERROR(VLOOKUP(C155,CurrentRank!$B$2:$C$132,2,FALSE),0))</f>
        <v>69.98</v>
      </c>
      <c r="J155" s="4">
        <f>IFERROR(VLOOKUP(C155,Week7,3,FALSE),130)</f>
        <v>12</v>
      </c>
      <c r="K155" s="4">
        <f>IF(ISBLANK(C155),,IFERROR(VLOOKUP(C155,CurrentRank!$B$2:$D$132,3,FALSE),130))</f>
        <v>13</v>
      </c>
      <c r="L155" s="19">
        <f t="shared" si="95"/>
        <v>1.57005</v>
      </c>
      <c r="M155" s="19">
        <f t="shared" si="96"/>
        <v>1.5498</v>
      </c>
      <c r="N155" s="24">
        <f t="shared" si="82"/>
        <v>30.5</v>
      </c>
      <c r="O155" s="21">
        <f t="shared" si="4"/>
        <v>-16.470025</v>
      </c>
      <c r="P155" s="21">
        <f t="shared" si="83"/>
        <v>-19.105025</v>
      </c>
      <c r="Q155" s="22">
        <f t="shared" si="6"/>
        <v>0.765149875</v>
      </c>
      <c r="R155" s="25" t="str">
        <f t="shared" si="7"/>
        <v>C+</v>
      </c>
      <c r="S155" s="19">
        <f t="shared" si="8"/>
        <v>0.7775</v>
      </c>
      <c r="T155" s="19" t="str">
        <f t="shared" si="9"/>
        <v>C+</v>
      </c>
      <c r="U155" s="3" t="s">
        <v>203</v>
      </c>
      <c r="V155" s="4" t="str">
        <f>IF(ISBLANK(C155),,IFERROR(IF(VLOOKUP(B155,Standings!$A:$F, 6, 0)=VLOOKUP(C155,Standings!$A:$F, 6, 0), VLOOKUP(B155,Standings!$A:$F, 6, 0), "Non-con"), "FCS"))</f>
        <v>SUN</v>
      </c>
      <c r="W155" s="3" t="str">
        <f t="shared" si="10"/>
        <v>Georgia Southern</v>
      </c>
      <c r="X155" s="3" t="str">
        <f t="shared" si="11"/>
        <v>Coastal Carolina</v>
      </c>
      <c r="Y155" s="30">
        <f>IF(D155=0,,IF(ISBLANK(Q155),,VLOOKUP(X155,Week7,2,FALSE)/(VLOOKUP(X155,Week7,2,FALSE)+VLOOKUP(W155,Week7,2,FALSE))+0.05)*100)</f>
        <v>69.98519155</v>
      </c>
      <c r="Z155" s="3" t="s">
        <v>100</v>
      </c>
      <c r="AA155" s="3">
        <v>28.0</v>
      </c>
      <c r="AB155" s="4" t="str">
        <f t="shared" si="20"/>
        <v>Georgia Southern</v>
      </c>
      <c r="AC155" s="3">
        <v>14.0</v>
      </c>
      <c r="AD155" s="3"/>
      <c r="AE155" s="3">
        <f t="shared" si="13"/>
        <v>14</v>
      </c>
      <c r="AF155" s="3"/>
      <c r="AG155" s="3">
        <f t="shared" si="25"/>
        <v>1</v>
      </c>
      <c r="AH155" s="3"/>
      <c r="AI155" s="7"/>
      <c r="AJ155" s="4"/>
      <c r="AK155" s="7"/>
      <c r="AL155" s="7"/>
      <c r="AM155" s="7"/>
      <c r="AN155" s="7"/>
      <c r="AO155" s="7"/>
      <c r="AP155" s="7"/>
      <c r="AQ155" s="7"/>
      <c r="AR155" s="7"/>
      <c r="AS155" s="7"/>
      <c r="AT155" s="7"/>
      <c r="AU155" s="7"/>
      <c r="AV155" s="7"/>
      <c r="AW155" s="7"/>
      <c r="AX155" s="7"/>
    </row>
    <row r="156" ht="12.75" hidden="1" customHeight="1">
      <c r="A156" s="3">
        <v>12.0</v>
      </c>
      <c r="B156" s="3" t="s">
        <v>98</v>
      </c>
      <c r="C156" s="3" t="s">
        <v>100</v>
      </c>
      <c r="D156" s="4">
        <f>IFERROR(VLOOKUP(B156,Week11,2,FALSE),0)</f>
        <v>40.12</v>
      </c>
      <c r="E156" s="4">
        <f>IF(ISBLANK(B156),,IFERROR(VLOOKUP(B156,CurrentRank!$B$2:$C$132,2,FALSE),0))</f>
        <v>37.44</v>
      </c>
      <c r="F156" s="4">
        <f>IFERROR(VLOOKUP(B156,Week11,3,FALSE),130)</f>
        <v>42</v>
      </c>
      <c r="G156" s="4">
        <f>IF(ISBLANK(B156),,IFERROR(VLOOKUP(B156,CurrentRank!$B$2:$D$132,3,FALSE),130))</f>
        <v>42</v>
      </c>
      <c r="H156" s="4">
        <f>IFERROR(VLOOKUP(C156,Week11,2,FALSE),0)</f>
        <v>74.33</v>
      </c>
      <c r="I156" s="4">
        <f>IF(ISBLANK(B156),,IFERROR(VLOOKUP(C156,CurrentRank!$B$2:$C$132,2,FALSE),0))</f>
        <v>69.98</v>
      </c>
      <c r="J156" s="4">
        <f>IFERROR(VLOOKUP(C156,Week11,3,FALSE),130)</f>
        <v>13</v>
      </c>
      <c r="K156" s="4">
        <f>IF(ISBLANK(C156),,IFERROR(VLOOKUP(C156,CurrentRank!$B$2:$D$132,3,FALSE),130))</f>
        <v>13</v>
      </c>
      <c r="L156" s="19">
        <f t="shared" si="95"/>
        <v>1.71675</v>
      </c>
      <c r="M156" s="19">
        <f t="shared" si="96"/>
        <v>1.6113</v>
      </c>
      <c r="N156" s="24">
        <f t="shared" si="82"/>
        <v>27.5</v>
      </c>
      <c r="O156" s="21">
        <f t="shared" si="4"/>
        <v>-17.963375</v>
      </c>
      <c r="P156" s="21">
        <f t="shared" si="83"/>
        <v>-17.128375</v>
      </c>
      <c r="Q156" s="22">
        <f t="shared" si="6"/>
        <v>0.772683125</v>
      </c>
      <c r="R156" s="25" t="str">
        <f t="shared" si="7"/>
        <v>C+</v>
      </c>
      <c r="S156" s="19">
        <f t="shared" si="8"/>
        <v>0.8075</v>
      </c>
      <c r="T156" s="19" t="str">
        <f t="shared" si="9"/>
        <v>B-</v>
      </c>
      <c r="U156" s="3" t="s">
        <v>203</v>
      </c>
      <c r="V156" s="4" t="str">
        <f>IF(ISBLANK(C156),,IFERROR(IF(VLOOKUP(B156,Standings!$A:$F, 6, 0)=VLOOKUP(C156,Standings!$A:$F, 6, 0), VLOOKUP(B156,Standings!$A:$F, 6, 0), "Non-con"), "FCS"))</f>
        <v>SUN</v>
      </c>
      <c r="W156" s="3" t="str">
        <f t="shared" si="10"/>
        <v>Appalachian State</v>
      </c>
      <c r="X156" s="3" t="str">
        <f t="shared" si="11"/>
        <v>Coastal Carolina</v>
      </c>
      <c r="Y156" s="30">
        <f>IF(D156=0,,IF(ISBLANK(Q156),,VLOOKUP(X156,Week11,2,FALSE)/(VLOOKUP(X156,Week11,2,FALSE)+VLOOKUP(W156,Week11,2,FALSE))+0.05)*100)</f>
        <v>69.945391</v>
      </c>
      <c r="Z156" s="3" t="s">
        <v>100</v>
      </c>
      <c r="AA156" s="3">
        <v>34.0</v>
      </c>
      <c r="AB156" s="4" t="str">
        <f t="shared" si="20"/>
        <v>Appalachian State</v>
      </c>
      <c r="AC156" s="3">
        <v>23.0</v>
      </c>
      <c r="AD156" s="3"/>
      <c r="AE156" s="3">
        <f t="shared" si="13"/>
        <v>11</v>
      </c>
      <c r="AF156" s="3"/>
      <c r="AG156" s="3">
        <f t="shared" si="25"/>
        <v>1</v>
      </c>
      <c r="AH156" s="3"/>
      <c r="AI156" s="7"/>
      <c r="AJ156" s="4"/>
      <c r="AK156" s="7"/>
      <c r="AL156" s="7"/>
      <c r="AM156" s="7"/>
      <c r="AN156" s="7"/>
      <c r="AO156" s="7"/>
      <c r="AP156" s="7"/>
      <c r="AQ156" s="7"/>
      <c r="AR156" s="7"/>
      <c r="AS156" s="7"/>
      <c r="AT156" s="7"/>
      <c r="AU156" s="7"/>
      <c r="AV156" s="7"/>
      <c r="AW156" s="7"/>
      <c r="AX156" s="7"/>
    </row>
    <row r="157" ht="12.75" hidden="1" customHeight="1">
      <c r="A157" s="3">
        <v>15.0</v>
      </c>
      <c r="B157" s="3" t="s">
        <v>173</v>
      </c>
      <c r="C157" s="3" t="s">
        <v>73</v>
      </c>
      <c r="D157" s="4">
        <f>IFERROR(VLOOKUP(B157,Week14,2,FALSE),0)</f>
        <v>35.27</v>
      </c>
      <c r="E157" s="4">
        <f>IF(ISBLANK(B157),,IFERROR(VLOOKUP(B157,CurrentRank!$B$2:$C$132,2,FALSE),0))</f>
        <v>34.13</v>
      </c>
      <c r="F157" s="4">
        <f>IFERROR(VLOOKUP(B157,Week14,3,FALSE),130)</f>
        <v>67</v>
      </c>
      <c r="G157" s="4">
        <f>IF(ISBLANK(B157),,IFERROR(VLOOKUP(B157,CurrentRank!$B$2:$D$132,3,FALSE),130))</f>
        <v>73</v>
      </c>
      <c r="H157" s="4">
        <f>IFERROR(VLOOKUP(C157,Week14,2,FALSE),0)</f>
        <v>65.02</v>
      </c>
      <c r="I157" s="4">
        <f>IF(ISBLANK(B157),,IFERROR(VLOOKUP(C157,CurrentRank!$B$2:$C$132,2,FALSE),0))</f>
        <v>69.33</v>
      </c>
      <c r="J157" s="4">
        <f>IFERROR(VLOOKUP(C157,Week14,3,FALSE),130)</f>
        <v>19</v>
      </c>
      <c r="K157" s="4">
        <f>IF(ISBLANK(C157),,IFERROR(VLOOKUP(C157,CurrentRank!$B$2:$D$132,3,FALSE),130))</f>
        <v>15</v>
      </c>
      <c r="L157" s="19">
        <f t="shared" si="95"/>
        <v>1.50435</v>
      </c>
      <c r="M157" s="19">
        <f t="shared" si="96"/>
        <v>1.5519</v>
      </c>
      <c r="N157" s="24">
        <f t="shared" si="82"/>
        <v>43</v>
      </c>
      <c r="O157" s="21">
        <f t="shared" si="4"/>
        <v>-15.627175</v>
      </c>
      <c r="P157" s="21">
        <f t="shared" si="83"/>
        <v>-18.352175</v>
      </c>
      <c r="Q157" s="22">
        <f t="shared" si="6"/>
        <v>0.706864125</v>
      </c>
      <c r="R157" s="25" t="str">
        <f t="shared" si="7"/>
        <v>C-</v>
      </c>
      <c r="S157" s="19">
        <f t="shared" si="8"/>
        <v>0.715</v>
      </c>
      <c r="T157" s="19" t="str">
        <f t="shared" si="9"/>
        <v>C-</v>
      </c>
      <c r="U157" s="3" t="s">
        <v>203</v>
      </c>
      <c r="V157" s="4" t="str">
        <f>IF(ISBLANK(C157),,IFERROR(IF(VLOOKUP(B157,Standings!$A:$F, 6, 0)=VLOOKUP(C157,Standings!$A:$F, 6, 0), VLOOKUP(B157,Standings!$A:$F, 6, 0), "Non-con"), "FCS"))</f>
        <v>Non-con</v>
      </c>
      <c r="W157" s="3" t="str">
        <f t="shared" si="10"/>
        <v>San Diego State</v>
      </c>
      <c r="X157" s="3" t="str">
        <f t="shared" si="11"/>
        <v>BYU</v>
      </c>
      <c r="Y157" s="30">
        <f>IF(D157=0,,IF(ISBLANK(Q157),,VLOOKUP(X157,Week14,2,FALSE)/(VLOOKUP(X157,Week14,2,FALSE)+VLOOKUP(W157,Week14,2,FALSE))+0.05)*100)</f>
        <v>69.83198724</v>
      </c>
      <c r="Z157" s="3" t="s">
        <v>73</v>
      </c>
      <c r="AA157" s="3">
        <v>28.0</v>
      </c>
      <c r="AB157" s="4" t="str">
        <f t="shared" si="20"/>
        <v>San Diego State</v>
      </c>
      <c r="AC157" s="3">
        <v>14.0</v>
      </c>
      <c r="AD157" s="3"/>
      <c r="AE157" s="3">
        <f t="shared" si="13"/>
        <v>14</v>
      </c>
      <c r="AF157" s="3"/>
      <c r="AG157" s="3">
        <f t="shared" si="25"/>
        <v>1</v>
      </c>
      <c r="AH157" s="3"/>
      <c r="AI157" s="7"/>
      <c r="AJ157" s="4"/>
      <c r="AK157" s="7"/>
      <c r="AL157" s="7"/>
      <c r="AM157" s="7"/>
      <c r="AN157" s="7"/>
      <c r="AO157" s="7"/>
      <c r="AP157" s="7"/>
      <c r="AQ157" s="7"/>
      <c r="AR157" s="7"/>
      <c r="AS157" s="7"/>
      <c r="AT157" s="7"/>
      <c r="AU157" s="7"/>
      <c r="AV157" s="7"/>
      <c r="AW157" s="7"/>
      <c r="AX157" s="7"/>
    </row>
    <row r="158" ht="12.75" customHeight="1">
      <c r="A158" s="3">
        <v>2.0</v>
      </c>
      <c r="B158" s="3" t="s">
        <v>108</v>
      </c>
      <c r="C158" s="3" t="s">
        <v>147</v>
      </c>
      <c r="D158" s="4">
        <f>IFERROR(VLOOKUP(B158,Week1,2,FALSE),0)</f>
        <v>6.67</v>
      </c>
      <c r="E158" s="4">
        <f>IF(ISBLANK(B158),,IFERROR(VLOOKUP(B158,CurrentRank!$B$2:$C$132,2,FALSE),0))</f>
        <v>30.15</v>
      </c>
      <c r="F158" s="4">
        <f>IFERROR(VLOOKUP(B158,Week1,3,FALSE),130)</f>
        <v>35</v>
      </c>
      <c r="G158" s="4">
        <f>IF(ISBLANK(B158),,IFERROR(VLOOKUP(B158,CurrentRank!$B$2:$D$132,3,FALSE),130))</f>
        <v>109</v>
      </c>
      <c r="H158" s="4">
        <f>IFERROR(VLOOKUP(C158,Week1,2,FALSE),0)</f>
        <v>6.67</v>
      </c>
      <c r="I158" s="4">
        <f>IF(ISBLANK(B158),,IFERROR(VLOOKUP(C158,CurrentRank!$B$2:$C$132,2,FALSE),0))</f>
        <v>32.08</v>
      </c>
      <c r="J158" s="4">
        <f>IFERROR(VLOOKUP(C158,Week1,3,FALSE),130)</f>
        <v>35</v>
      </c>
      <c r="K158" s="4">
        <f>IF(ISBLANK(C158),,IFERROR(VLOOKUP(C158,CurrentRank!$B$2:$D$132,3,FALSE),130))</f>
        <v>93</v>
      </c>
      <c r="L158" s="19">
        <f t="shared" si="95"/>
        <v>0.2001</v>
      </c>
      <c r="M158" s="19">
        <f t="shared" si="96"/>
        <v>0.93345</v>
      </c>
      <c r="N158" s="24">
        <f t="shared" si="82"/>
        <v>35</v>
      </c>
      <c r="O158" s="21">
        <f t="shared" si="4"/>
        <v>-0.10005</v>
      </c>
      <c r="P158" s="21">
        <f t="shared" si="83"/>
        <v>-1.06505</v>
      </c>
      <c r="Q158" s="22">
        <f t="shared" si="6"/>
        <v>0.82449975</v>
      </c>
      <c r="R158" s="25" t="str">
        <f t="shared" si="7"/>
        <v>B-</v>
      </c>
      <c r="S158" s="19">
        <f t="shared" si="8"/>
        <v>0.81</v>
      </c>
      <c r="T158" s="19" t="str">
        <f t="shared" si="9"/>
        <v>B-</v>
      </c>
      <c r="U158" s="3" t="s">
        <v>203</v>
      </c>
      <c r="V158" s="4" t="str">
        <f>IF(ISBLANK(C158),,IFERROR(IF(VLOOKUP(B158,Standings!$A:$F, 6, 0)=VLOOKUP(C158,Standings!$A:$F, 6, 0), VLOOKUP(B158,Standings!$A:$F, 6, 0), "Non-con"), "FCS"))</f>
        <v>ACC</v>
      </c>
      <c r="W158" s="3" t="str">
        <f t="shared" si="10"/>
        <v>Georgia Tech</v>
      </c>
      <c r="X158" s="3" t="str">
        <f t="shared" si="11"/>
        <v>Florida State</v>
      </c>
      <c r="Y158" s="30">
        <f>IF(D158=0,,IF(ISBLANK(Q158),,VLOOKUP(X158,Week1,2,FALSE)/(VLOOKUP(X158,Week1,2,FALSE)+VLOOKUP(W158,Week1,2,FALSE))+0.05)*100)</f>
        <v>55</v>
      </c>
      <c r="Z158" s="3" t="s">
        <v>108</v>
      </c>
      <c r="AA158" s="3">
        <v>16.0</v>
      </c>
      <c r="AB158" s="4" t="str">
        <f t="shared" si="20"/>
        <v>Florida State</v>
      </c>
      <c r="AC158" s="3">
        <v>13.0</v>
      </c>
      <c r="AD158" s="3"/>
      <c r="AE158" s="3">
        <f t="shared" si="13"/>
        <v>3</v>
      </c>
      <c r="AF158" s="3"/>
      <c r="AG158" s="3">
        <f t="shared" si="25"/>
        <v>0</v>
      </c>
      <c r="AH158" s="3"/>
      <c r="AI158" s="7"/>
      <c r="AJ158" s="4"/>
      <c r="AK158" s="7"/>
      <c r="AL158" s="7"/>
      <c r="AM158" s="7"/>
      <c r="AN158" s="7"/>
      <c r="AO158" s="7"/>
      <c r="AP158" s="7"/>
      <c r="AQ158" s="7"/>
      <c r="AR158" s="7"/>
      <c r="AS158" s="7"/>
      <c r="AT158" s="7"/>
      <c r="AU158" s="7"/>
      <c r="AV158" s="7"/>
      <c r="AW158" s="7"/>
      <c r="AX158" s="7"/>
    </row>
    <row r="159" ht="12.75" hidden="1" customHeight="1">
      <c r="A159" s="3">
        <v>9.0</v>
      </c>
      <c r="B159" s="3" t="s">
        <v>130</v>
      </c>
      <c r="C159" s="3" t="s">
        <v>86</v>
      </c>
      <c r="D159" s="4">
        <f>IFERROR(VLOOKUP(B159,Week8,2,FALSE),0)</f>
        <v>30.76</v>
      </c>
      <c r="E159" s="4">
        <f>IF(ISBLANK(B159),,IFERROR(VLOOKUP(B159,CurrentRank!$B$2:$C$132,2,FALSE),0))</f>
        <v>29.22</v>
      </c>
      <c r="F159" s="4">
        <f>IFERROR(VLOOKUP(B159,Week8,3,FALSE),130)</f>
        <v>76</v>
      </c>
      <c r="G159" s="4">
        <f>IF(ISBLANK(B159),,IFERROR(VLOOKUP(B159,CurrentRank!$B$2:$D$132,3,FALSE),130))</f>
        <v>116</v>
      </c>
      <c r="H159" s="4">
        <f>IFERROR(VLOOKUP(C159,Week8,2,FALSE),0)</f>
        <v>56.24</v>
      </c>
      <c r="I159" s="4">
        <f>IF(ISBLANK(B159),,IFERROR(VLOOKUP(C159,CurrentRank!$B$2:$C$132,2,FALSE),0))</f>
        <v>33.56</v>
      </c>
      <c r="J159" s="4">
        <f>IFERROR(VLOOKUP(C159,Week8,3,FALSE),130)</f>
        <v>21</v>
      </c>
      <c r="K159" s="4">
        <f>IF(ISBLANK(C159),,IFERROR(VLOOKUP(C159,CurrentRank!$B$2:$D$132,3,FALSE),130))</f>
        <v>78</v>
      </c>
      <c r="L159" s="19">
        <f t="shared" si="95"/>
        <v>1.305</v>
      </c>
      <c r="M159" s="19">
        <f t="shared" si="96"/>
        <v>0.9417</v>
      </c>
      <c r="N159" s="24">
        <f t="shared" si="82"/>
        <v>48.5</v>
      </c>
      <c r="O159" s="21">
        <f t="shared" si="4"/>
        <v>-13.3925</v>
      </c>
      <c r="P159" s="21">
        <f t="shared" si="83"/>
        <v>-2.8225</v>
      </c>
      <c r="Q159" s="22">
        <f t="shared" si="6"/>
        <v>0.6905375</v>
      </c>
      <c r="R159" s="25" t="str">
        <f t="shared" si="7"/>
        <v>D+</v>
      </c>
      <c r="S159" s="19">
        <f t="shared" si="8"/>
        <v>0.6875</v>
      </c>
      <c r="T159" s="19" t="str">
        <f t="shared" si="9"/>
        <v>D+</v>
      </c>
      <c r="U159" s="3" t="s">
        <v>203</v>
      </c>
      <c r="V159" s="4" t="str">
        <f>IF(ISBLANK(C159),,IFERROR(IF(VLOOKUP(B159,Standings!$A:$F, 6, 0)=VLOOKUP(C159,Standings!$A:$F, 6, 0), VLOOKUP(B159,Standings!$A:$F, 6, 0), "Non-con"), "FCS"))</f>
        <v>AAC</v>
      </c>
      <c r="W159" s="3" t="str">
        <f t="shared" si="10"/>
        <v>Navy</v>
      </c>
      <c r="X159" s="3" t="str">
        <f t="shared" si="11"/>
        <v>Southern Methodist</v>
      </c>
      <c r="Y159" s="30">
        <f>IF(D159=0,,IF(ISBLANK(Q159),,VLOOKUP(X159,Week8,2,FALSE)/(VLOOKUP(X159,Week8,2,FALSE)+VLOOKUP(W159,Week8,2,FALSE))+0.05)*100)</f>
        <v>69.64367816</v>
      </c>
      <c r="Z159" s="3" t="s">
        <v>86</v>
      </c>
      <c r="AA159" s="3">
        <v>51.0</v>
      </c>
      <c r="AB159" s="4" t="str">
        <f t="shared" si="20"/>
        <v>Navy</v>
      </c>
      <c r="AC159" s="3">
        <v>37.0</v>
      </c>
      <c r="AD159" s="3"/>
      <c r="AE159" s="3">
        <f t="shared" si="13"/>
        <v>14</v>
      </c>
      <c r="AF159" s="3"/>
      <c r="AG159" s="3">
        <f t="shared" si="25"/>
        <v>1</v>
      </c>
      <c r="AH159" s="3"/>
      <c r="AI159" s="7"/>
      <c r="AJ159" s="4"/>
      <c r="AK159" s="7"/>
      <c r="AL159" s="7"/>
      <c r="AM159" s="7"/>
      <c r="AN159" s="7"/>
      <c r="AO159" s="7"/>
      <c r="AP159" s="7"/>
      <c r="AQ159" s="7"/>
      <c r="AR159" s="7"/>
      <c r="AS159" s="7"/>
      <c r="AT159" s="7"/>
      <c r="AU159" s="7"/>
      <c r="AV159" s="7"/>
      <c r="AW159" s="7"/>
      <c r="AX159" s="7"/>
    </row>
    <row r="160" ht="12.75" hidden="1" customHeight="1">
      <c r="A160" s="3">
        <v>10.0</v>
      </c>
      <c r="B160" s="3" t="s">
        <v>86</v>
      </c>
      <c r="C160" s="3" t="s">
        <v>178</v>
      </c>
      <c r="D160" s="4">
        <f>IFERROR(VLOOKUP(B160,Week9,2,FALSE),0)</f>
        <v>60.66</v>
      </c>
      <c r="E160" s="4">
        <f>IF(ISBLANK(B160),,IFERROR(VLOOKUP(B160,CurrentRank!$B$2:$C$132,2,FALSE),0))</f>
        <v>33.56</v>
      </c>
      <c r="F160" s="4">
        <f>IFERROR(VLOOKUP(B160,Week9,3,FALSE),130)</f>
        <v>19</v>
      </c>
      <c r="G160" s="4">
        <f>IF(ISBLANK(B160),,IFERROR(VLOOKUP(B160,CurrentRank!$B$2:$D$132,3,FALSE),130))</f>
        <v>78</v>
      </c>
      <c r="H160" s="4">
        <f>IFERROR(VLOOKUP(C160,Week9,2,FALSE),0)</f>
        <v>33.25</v>
      </c>
      <c r="I160" s="4">
        <f>IF(ISBLANK(B160),,IFERROR(VLOOKUP(C160,CurrentRank!$B$2:$C$132,2,FALSE),0))</f>
        <v>30.84</v>
      </c>
      <c r="J160" s="4">
        <f>IFERROR(VLOOKUP(C160,Week9,3,FALSE),130)</f>
        <v>67</v>
      </c>
      <c r="K160" s="4">
        <f>IF(ISBLANK(C160),,IFERROR(VLOOKUP(C160,CurrentRank!$B$2:$D$132,3,FALSE),130))</f>
        <v>104</v>
      </c>
      <c r="L160" s="19">
        <f t="shared" si="95"/>
        <v>1.40865</v>
      </c>
      <c r="M160" s="19">
        <f t="shared" si="96"/>
        <v>0.966</v>
      </c>
      <c r="N160" s="24">
        <f t="shared" si="82"/>
        <v>43</v>
      </c>
      <c r="O160" s="21">
        <f t="shared" si="4"/>
        <v>13.000675</v>
      </c>
      <c r="P160" s="21">
        <f t="shared" si="83"/>
        <v>0.655675</v>
      </c>
      <c r="Q160" s="22">
        <f t="shared" si="6"/>
        <v>0.719996625</v>
      </c>
      <c r="R160" s="25" t="str">
        <f t="shared" si="7"/>
        <v>C-</v>
      </c>
      <c r="S160" s="19">
        <f t="shared" si="8"/>
        <v>0.665</v>
      </c>
      <c r="T160" s="19" t="str">
        <f t="shared" si="9"/>
        <v>D+</v>
      </c>
      <c r="U160" s="3" t="s">
        <v>203</v>
      </c>
      <c r="V160" s="4" t="str">
        <f>IF(ISBLANK(C160),,IFERROR(IF(VLOOKUP(B160,Standings!$A:$F, 6, 0)=VLOOKUP(C160,Standings!$A:$F, 6, 0), VLOOKUP(B160,Standings!$A:$F, 6, 0), "Non-con"), "FCS"))</f>
        <v>AAC</v>
      </c>
      <c r="W160" s="3" t="str">
        <f t="shared" si="10"/>
        <v>Temple</v>
      </c>
      <c r="X160" s="3" t="str">
        <f t="shared" si="11"/>
        <v>Southern Methodist</v>
      </c>
      <c r="Y160" s="30">
        <f>IF(D160=0,,IF(ISBLANK(Q160),,VLOOKUP(X160,Week9,2,FALSE)/(VLOOKUP(X160,Week9,2,FALSE)+VLOOKUP(W160,Week9,2,FALSE))+0.05)*100)</f>
        <v>69.59375998</v>
      </c>
      <c r="Z160" s="3" t="s">
        <v>86</v>
      </c>
      <c r="AA160" s="3">
        <v>47.0</v>
      </c>
      <c r="AB160" s="4" t="str">
        <f t="shared" si="20"/>
        <v>Temple</v>
      </c>
      <c r="AC160" s="3">
        <v>23.0</v>
      </c>
      <c r="AD160" s="3"/>
      <c r="AE160" s="3">
        <f t="shared" si="13"/>
        <v>24</v>
      </c>
      <c r="AF160" s="3"/>
      <c r="AG160" s="3">
        <f t="shared" si="25"/>
        <v>1</v>
      </c>
      <c r="AH160" s="3"/>
      <c r="AI160" s="7"/>
      <c r="AJ160" s="4"/>
      <c r="AK160" s="7"/>
      <c r="AL160" s="7"/>
      <c r="AM160" s="7"/>
      <c r="AN160" s="7"/>
      <c r="AO160" s="7"/>
      <c r="AP160" s="7"/>
      <c r="AQ160" s="7"/>
      <c r="AR160" s="7"/>
      <c r="AS160" s="7"/>
      <c r="AT160" s="7"/>
      <c r="AU160" s="7"/>
      <c r="AV160" s="7"/>
      <c r="AW160" s="7"/>
      <c r="AX160" s="7"/>
    </row>
    <row r="161" ht="12.75" hidden="1" customHeight="1">
      <c r="A161" s="3">
        <v>8.0</v>
      </c>
      <c r="B161" s="3" t="s">
        <v>137</v>
      </c>
      <c r="C161" s="3" t="s">
        <v>74</v>
      </c>
      <c r="D161" s="4">
        <f>IFERROR(VLOOKUP(B161,Week7,2,FALSE),0)</f>
        <v>30.76</v>
      </c>
      <c r="E161" s="4">
        <f>IF(ISBLANK(B161),,IFERROR(VLOOKUP(B161,CurrentRank!$B$2:$C$132,2,FALSE),0))</f>
        <v>31.52</v>
      </c>
      <c r="F161" s="4">
        <f>IFERROR(VLOOKUP(B161,Week7,3,FALSE),130)</f>
        <v>72</v>
      </c>
      <c r="G161" s="4">
        <f>IF(ISBLANK(B161),,IFERROR(VLOOKUP(B161,CurrentRank!$B$2:$D$132,3,FALSE),130))</f>
        <v>98</v>
      </c>
      <c r="H161" s="4">
        <f>IFERROR(VLOOKUP(C161,Week7,2,FALSE),0)</f>
        <v>56.09</v>
      </c>
      <c r="I161" s="4">
        <f>IF(ISBLANK(B161),,IFERROR(VLOOKUP(C161,CurrentRank!$B$2:$C$132,2,FALSE),0))</f>
        <v>41.11</v>
      </c>
      <c r="J161" s="4">
        <f>IFERROR(VLOOKUP(C161,Week7,3,FALSE),130)</f>
        <v>22</v>
      </c>
      <c r="K161" s="4">
        <f>IF(ISBLANK(C161),,IFERROR(VLOOKUP(C161,CurrentRank!$B$2:$D$132,3,FALSE),130))</f>
        <v>32</v>
      </c>
      <c r="L161" s="19">
        <f t="shared" si="95"/>
        <v>1.30275</v>
      </c>
      <c r="M161" s="19">
        <f t="shared" si="96"/>
        <v>1.08945</v>
      </c>
      <c r="N161" s="24">
        <f t="shared" si="82"/>
        <v>47</v>
      </c>
      <c r="O161" s="21">
        <f t="shared" si="4"/>
        <v>-13.316375</v>
      </c>
      <c r="P161" s="21">
        <f t="shared" si="83"/>
        <v>-5.446375</v>
      </c>
      <c r="Q161" s="22">
        <f t="shared" si="6"/>
        <v>0.698418125</v>
      </c>
      <c r="R161" s="25" t="str">
        <f t="shared" si="7"/>
        <v>C-</v>
      </c>
      <c r="S161" s="19">
        <f t="shared" si="8"/>
        <v>0.575</v>
      </c>
      <c r="T161" s="19" t="str">
        <f t="shared" si="9"/>
        <v>F</v>
      </c>
      <c r="U161" s="3" t="s">
        <v>203</v>
      </c>
      <c r="V161" s="4" t="str">
        <f>IF(ISBLANK(C161),,IFERROR(IF(VLOOKUP(B161,Standings!$A:$F, 6, 0)=VLOOKUP(C161,Standings!$A:$F, 6, 0), VLOOKUP(B161,Standings!$A:$F, 6, 0), "Non-con"), "FCS"))</f>
        <v>B1G</v>
      </c>
      <c r="W161" s="3" t="str">
        <f t="shared" si="10"/>
        <v>Illinois</v>
      </c>
      <c r="X161" s="3" t="str">
        <f t="shared" si="11"/>
        <v>Wisconsin</v>
      </c>
      <c r="Y161" s="30">
        <f>IF(D161=0,,IF(ISBLANK(Q161),,VLOOKUP(X161,Week7,2,FALSE)/(VLOOKUP(X161,Week7,2,FALSE)+VLOOKUP(W161,Week7,2,FALSE))+0.05)*100)</f>
        <v>69.5826137</v>
      </c>
      <c r="Z161" s="3" t="s">
        <v>74</v>
      </c>
      <c r="AA161" s="3">
        <v>45.0</v>
      </c>
      <c r="AB161" s="4" t="str">
        <f t="shared" si="20"/>
        <v>Illinois</v>
      </c>
      <c r="AC161" s="3">
        <v>7.0</v>
      </c>
      <c r="AD161" s="3"/>
      <c r="AE161" s="3">
        <f t="shared" si="13"/>
        <v>38</v>
      </c>
      <c r="AF161" s="3"/>
      <c r="AG161" s="3">
        <f t="shared" si="25"/>
        <v>1</v>
      </c>
      <c r="AH161" s="3"/>
      <c r="AI161" s="7"/>
      <c r="AJ161" s="4"/>
      <c r="AK161" s="7"/>
      <c r="AL161" s="7"/>
      <c r="AM161" s="7"/>
      <c r="AN161" s="7"/>
      <c r="AO161" s="7"/>
      <c r="AP161" s="7"/>
      <c r="AQ161" s="7"/>
      <c r="AR161" s="7"/>
      <c r="AS161" s="7"/>
      <c r="AT161" s="7"/>
      <c r="AU161" s="7"/>
      <c r="AV161" s="7"/>
      <c r="AW161" s="7"/>
      <c r="AX161" s="7"/>
    </row>
    <row r="162" ht="12.75" hidden="1" customHeight="1">
      <c r="A162" s="3">
        <v>12.0</v>
      </c>
      <c r="B162" s="3" t="s">
        <v>65</v>
      </c>
      <c r="C162" s="3" t="s">
        <v>64</v>
      </c>
      <c r="D162" s="4">
        <f>IFERROR(VLOOKUP(B162,Week11,2,FALSE),0)</f>
        <v>31.66</v>
      </c>
      <c r="E162" s="4">
        <f>IF(ISBLANK(B162),,IFERROR(VLOOKUP(B162,CurrentRank!$B$2:$C$132,2,FALSE),0))</f>
        <v>34.09</v>
      </c>
      <c r="F162" s="4">
        <f>IFERROR(VLOOKUP(B162,Week11,3,FALSE),130)</f>
        <v>92</v>
      </c>
      <c r="G162" s="4">
        <f>IF(ISBLANK(B162),,IFERROR(VLOOKUP(B162,CurrentRank!$B$2:$D$132,3,FALSE),130))</f>
        <v>74</v>
      </c>
      <c r="H162" s="4">
        <f>IFERROR(VLOOKUP(C162,Week11,2,FALSE),0)</f>
        <v>57.55</v>
      </c>
      <c r="I162" s="4">
        <f>IF(ISBLANK(B162),,IFERROR(VLOOKUP(C162,CurrentRank!$B$2:$C$132,2,FALSE),0))</f>
        <v>39.11</v>
      </c>
      <c r="J162" s="4">
        <f>IFERROR(VLOOKUP(C162,Week11,3,FALSE),130)</f>
        <v>23</v>
      </c>
      <c r="K162" s="4">
        <f>IF(ISBLANK(C162),,IFERROR(VLOOKUP(C162,CurrentRank!$B$2:$D$132,3,FALSE),130))</f>
        <v>36</v>
      </c>
      <c r="L162" s="19">
        <f t="shared" si="95"/>
        <v>1.33815</v>
      </c>
      <c r="M162" s="19">
        <f t="shared" si="96"/>
        <v>1.098</v>
      </c>
      <c r="N162" s="24">
        <f t="shared" si="82"/>
        <v>57.5</v>
      </c>
      <c r="O162" s="21">
        <f t="shared" si="4"/>
        <v>-13.614075</v>
      </c>
      <c r="P162" s="21">
        <f t="shared" si="83"/>
        <v>-3.179075</v>
      </c>
      <c r="Q162" s="22">
        <f t="shared" si="6"/>
        <v>0.644429625</v>
      </c>
      <c r="R162" s="25" t="str">
        <f t="shared" si="7"/>
        <v>D</v>
      </c>
      <c r="S162" s="19">
        <f t="shared" si="8"/>
        <v>0.6475</v>
      </c>
      <c r="T162" s="19" t="str">
        <f t="shared" si="9"/>
        <v>D</v>
      </c>
      <c r="U162" s="3" t="s">
        <v>203</v>
      </c>
      <c r="V162" s="4" t="str">
        <f>IF(ISBLANK(C162),,IFERROR(IF(VLOOKUP(B162,Standings!$A:$F, 6, 0)=VLOOKUP(C162,Standings!$A:$F, 6, 0), VLOOKUP(B162,Standings!$A:$F, 6, 0), "Non-con"), "FCS"))</f>
        <v>SEC</v>
      </c>
      <c r="W162" s="3" t="str">
        <f t="shared" si="10"/>
        <v>Tennessee</v>
      </c>
      <c r="X162" s="3" t="str">
        <f t="shared" si="11"/>
        <v>Auburn</v>
      </c>
      <c r="Y162" s="30">
        <f>IF(D162=0,,IF(ISBLANK(Q162),,VLOOKUP(X162,Week11,2,FALSE)/(VLOOKUP(X162,Week11,2,FALSE)+VLOOKUP(W162,Week11,2,FALSE))+0.05)*100)</f>
        <v>69.51070508</v>
      </c>
      <c r="Z162" s="3" t="s">
        <v>64</v>
      </c>
      <c r="AA162" s="3">
        <v>30.0</v>
      </c>
      <c r="AB162" s="4" t="str">
        <f t="shared" si="20"/>
        <v>Tennessee</v>
      </c>
      <c r="AC162" s="3">
        <v>17.0</v>
      </c>
      <c r="AD162" s="3"/>
      <c r="AE162" s="3">
        <f t="shared" si="13"/>
        <v>13</v>
      </c>
      <c r="AF162" s="3"/>
      <c r="AG162" s="3">
        <f t="shared" si="25"/>
        <v>1</v>
      </c>
      <c r="AH162" s="3"/>
      <c r="AI162" s="7"/>
      <c r="AJ162" s="4"/>
      <c r="AK162" s="7"/>
      <c r="AL162" s="7"/>
      <c r="AM162" s="7"/>
      <c r="AN162" s="7"/>
      <c r="AO162" s="7"/>
      <c r="AP162" s="7"/>
      <c r="AQ162" s="7"/>
      <c r="AR162" s="7"/>
      <c r="AS162" s="7"/>
      <c r="AT162" s="7"/>
      <c r="AU162" s="7"/>
      <c r="AV162" s="7"/>
      <c r="AW162" s="7"/>
      <c r="AX162" s="7"/>
    </row>
    <row r="163" ht="12.75" hidden="1" customHeight="1">
      <c r="A163" s="3">
        <v>2.0</v>
      </c>
      <c r="B163" s="3" t="s">
        <v>105</v>
      </c>
      <c r="C163" s="3" t="s">
        <v>139</v>
      </c>
      <c r="D163" s="4">
        <f>IFERROR(VLOOKUP(B163,Week1,2,FALSE),0)</f>
        <v>6.67</v>
      </c>
      <c r="E163" s="4">
        <f>IF(ISBLANK(B163),,IFERROR(VLOOKUP(B163,CurrentRank!$B$2:$C$132,2,FALSE),0))</f>
        <v>32.43</v>
      </c>
      <c r="F163" s="4">
        <f>IFERROR(VLOOKUP(B163,Week1,3,FALSE),130)</f>
        <v>35</v>
      </c>
      <c r="G163" s="4">
        <f>IF(ISBLANK(B163),,IFERROR(VLOOKUP(B163,CurrentRank!$B$2:$D$132,3,FALSE),130))</f>
        <v>90</v>
      </c>
      <c r="H163" s="4">
        <f>IFERROR(VLOOKUP(C163,Week1,2,FALSE),0)</f>
        <v>3.67</v>
      </c>
      <c r="I163" s="4">
        <f>IF(ISBLANK(B163),,IFERROR(VLOOKUP(C163,CurrentRank!$B$2:$C$132,2,FALSE),0))</f>
        <v>28.86</v>
      </c>
      <c r="J163" s="4">
        <f>IFERROR(VLOOKUP(C163,Week1,3,FALSE),130)</f>
        <v>128</v>
      </c>
      <c r="K163" s="4">
        <f>IF(ISBLANK(C163),,IFERROR(VLOOKUP(C163,CurrentRank!$B$2:$D$132,3,FALSE),130))</f>
        <v>119</v>
      </c>
      <c r="L163" s="19">
        <f t="shared" si="95"/>
        <v>0.1551</v>
      </c>
      <c r="M163" s="19">
        <f t="shared" si="96"/>
        <v>0.91935</v>
      </c>
      <c r="N163" s="24">
        <f t="shared" si="82"/>
        <v>81.5</v>
      </c>
      <c r="O163" s="21">
        <f t="shared" si="4"/>
        <v>1.42245</v>
      </c>
      <c r="P163" s="21">
        <f t="shared" si="83"/>
        <v>1.70745</v>
      </c>
      <c r="Q163" s="22">
        <f t="shared" si="6"/>
        <v>0.58538775</v>
      </c>
      <c r="R163" s="25" t="str">
        <f t="shared" si="7"/>
        <v>F</v>
      </c>
      <c r="S163" s="19">
        <f t="shared" si="8"/>
        <v>0.5775</v>
      </c>
      <c r="T163" s="19" t="str">
        <f t="shared" si="9"/>
        <v>F</v>
      </c>
      <c r="U163" s="3" t="s">
        <v>203</v>
      </c>
      <c r="V163" s="4" t="str">
        <f>IF(ISBLANK(C163),,IFERROR(IF(VLOOKUP(B163,Standings!$A:$F, 6, 0)=VLOOKUP(C163,Standings!$A:$F, 6, 0), VLOOKUP(B163,Standings!$A:$F, 6, 0), "Non-con"), "FCS"))</f>
        <v>Non-con</v>
      </c>
      <c r="W163" s="3" t="str">
        <f t="shared" si="10"/>
        <v>Texas State</v>
      </c>
      <c r="X163" s="3" t="str">
        <f t="shared" si="11"/>
        <v>Texas-San Antonio</v>
      </c>
      <c r="Y163" s="30">
        <f>IF(D163=0,,IF(ISBLANK(Q163),,VLOOKUP(X163,Week1,2,FALSE)/(VLOOKUP(X163,Week1,2,FALSE)+VLOOKUP(W163,Week1,2,FALSE))+0.05)*100)</f>
        <v>69.50676983</v>
      </c>
      <c r="Z163" s="3" t="s">
        <v>105</v>
      </c>
      <c r="AA163" s="3">
        <v>51.0</v>
      </c>
      <c r="AB163" s="4" t="str">
        <f t="shared" si="20"/>
        <v>Texas State</v>
      </c>
      <c r="AC163" s="3">
        <v>48.0</v>
      </c>
      <c r="AD163" s="3"/>
      <c r="AE163" s="3">
        <f t="shared" si="13"/>
        <v>3</v>
      </c>
      <c r="AF163" s="3"/>
      <c r="AG163" s="3">
        <f t="shared" si="25"/>
        <v>1</v>
      </c>
      <c r="AH163" s="3"/>
      <c r="AI163" s="7"/>
      <c r="AJ163" s="4"/>
      <c r="AK163" s="7"/>
      <c r="AL163" s="7"/>
      <c r="AM163" s="7"/>
      <c r="AN163" s="7"/>
      <c r="AO163" s="7"/>
      <c r="AP163" s="7"/>
      <c r="AQ163" s="7"/>
      <c r="AR163" s="7"/>
      <c r="AS163" s="7"/>
      <c r="AT163" s="7"/>
      <c r="AU163" s="7"/>
      <c r="AV163" s="7"/>
      <c r="AW163" s="7"/>
      <c r="AX163" s="7"/>
    </row>
    <row r="164" ht="12.75" hidden="1" customHeight="1">
      <c r="A164" s="3">
        <v>9.0</v>
      </c>
      <c r="B164" s="3" t="s">
        <v>149</v>
      </c>
      <c r="C164" s="3" t="s">
        <v>48</v>
      </c>
      <c r="D164" s="4">
        <f>IFERROR(VLOOKUP(B164,Week8,2,FALSE),0)</f>
        <v>39.32</v>
      </c>
      <c r="E164" s="4">
        <f>IF(ISBLANK(B164),,IFERROR(VLOOKUP(B164,CurrentRank!$B$2:$C$132,2,FALSE),0))</f>
        <v>36.59</v>
      </c>
      <c r="F164" s="4">
        <f>IFERROR(VLOOKUP(B164,Week8,3,FALSE),130)</f>
        <v>39</v>
      </c>
      <c r="G164" s="4">
        <f>IF(ISBLANK(B164),,IFERROR(VLOOKUP(B164,CurrentRank!$B$2:$D$132,3,FALSE),130))</f>
        <v>51</v>
      </c>
      <c r="H164" s="4">
        <f>IFERROR(VLOOKUP(C164,Week8,2,FALSE),0)</f>
        <v>71.38</v>
      </c>
      <c r="I164" s="4">
        <f>IF(ISBLANK(B164),,IFERROR(VLOOKUP(C164,CurrentRank!$B$2:$C$132,2,FALSE),0))</f>
        <v>68.03</v>
      </c>
      <c r="J164" s="4">
        <f>IFERROR(VLOOKUP(C164,Week8,3,FALSE),130)</f>
        <v>13</v>
      </c>
      <c r="K164" s="4">
        <f>IF(ISBLANK(C164),,IFERROR(VLOOKUP(C164,CurrentRank!$B$2:$D$132,3,FALSE),130))</f>
        <v>16</v>
      </c>
      <c r="L164" s="19">
        <f t="shared" si="95"/>
        <v>1.6605</v>
      </c>
      <c r="M164" s="19">
        <f t="shared" si="96"/>
        <v>1.5693</v>
      </c>
      <c r="N164" s="24">
        <f t="shared" si="82"/>
        <v>26</v>
      </c>
      <c r="O164" s="21">
        <f t="shared" si="4"/>
        <v>-16.86025</v>
      </c>
      <c r="P164" s="21">
        <f t="shared" si="83"/>
        <v>-16.55025</v>
      </c>
      <c r="Q164" s="22">
        <f t="shared" si="6"/>
        <v>0.78569875</v>
      </c>
      <c r="R164" s="25" t="str">
        <f t="shared" si="7"/>
        <v>C+</v>
      </c>
      <c r="S164" s="19">
        <f t="shared" si="8"/>
        <v>0.75</v>
      </c>
      <c r="T164" s="19" t="str">
        <f t="shared" si="9"/>
        <v>C</v>
      </c>
      <c r="U164" s="3" t="s">
        <v>203</v>
      </c>
      <c r="V164" s="4" t="str">
        <f>IF(ISBLANK(C164),,IFERROR(IF(VLOOKUP(B164,Standings!$A:$F, 6, 0)=VLOOKUP(C164,Standings!$A:$F, 6, 0), VLOOKUP(B164,Standings!$A:$F, 6, 0), "Non-con"), "FCS"))</f>
        <v>SEC</v>
      </c>
      <c r="W164" s="3" t="str">
        <f t="shared" si="10"/>
        <v>Missouri</v>
      </c>
      <c r="X164" s="3" t="str">
        <f t="shared" si="11"/>
        <v>Florida</v>
      </c>
      <c r="Y164" s="30">
        <f>IF(D164=0,,IF(ISBLANK(Q164),,VLOOKUP(X164,Week8,2,FALSE)/(VLOOKUP(X164,Week8,2,FALSE)+VLOOKUP(W164,Week8,2,FALSE))+0.05)*100)</f>
        <v>69.48057814</v>
      </c>
      <c r="Z164" s="3" t="s">
        <v>48</v>
      </c>
      <c r="AA164" s="3">
        <v>41.0</v>
      </c>
      <c r="AB164" s="4" t="str">
        <f t="shared" si="20"/>
        <v>Missouri</v>
      </c>
      <c r="AC164" s="3">
        <v>17.0</v>
      </c>
      <c r="AD164" s="3"/>
      <c r="AE164" s="3">
        <f t="shared" si="13"/>
        <v>24</v>
      </c>
      <c r="AF164" s="3"/>
      <c r="AG164" s="3">
        <f t="shared" si="25"/>
        <v>1</v>
      </c>
      <c r="AH164" s="3"/>
      <c r="AI164" s="7"/>
      <c r="AJ164" s="4" t="s">
        <v>194</v>
      </c>
      <c r="AK164" s="7"/>
      <c r="AL164" s="7"/>
      <c r="AM164" s="7"/>
      <c r="AN164" s="7"/>
      <c r="AO164" s="7"/>
      <c r="AP164" s="7"/>
      <c r="AQ164" s="7"/>
      <c r="AR164" s="7"/>
      <c r="AS164" s="7"/>
      <c r="AT164" s="7"/>
      <c r="AU164" s="7"/>
      <c r="AV164" s="7"/>
      <c r="AW164" s="7"/>
      <c r="AX164" s="7"/>
    </row>
    <row r="165" ht="12.75" hidden="1" customHeight="1">
      <c r="A165" s="3">
        <v>14.0</v>
      </c>
      <c r="B165" s="3" t="s">
        <v>58</v>
      </c>
      <c r="C165" s="3" t="s">
        <v>98</v>
      </c>
      <c r="D165" s="4">
        <f>IFERROR(VLOOKUP(B165,Week13,2,FALSE),0)</f>
        <v>66</v>
      </c>
      <c r="E165" s="4">
        <f>IF(ISBLANK(B165),,IFERROR(VLOOKUP(B165,CurrentRank!$B$2:$C$132,2,FALSE),0))</f>
        <v>72.87</v>
      </c>
      <c r="F165" s="4">
        <f>IFERROR(VLOOKUP(B165,Week13,3,FALSE),130)</f>
        <v>19</v>
      </c>
      <c r="G165" s="4">
        <f>IF(ISBLANK(B165),,IFERROR(VLOOKUP(B165,CurrentRank!$B$2:$D$132,3,FALSE),130))</f>
        <v>10</v>
      </c>
      <c r="H165" s="4">
        <f>IFERROR(VLOOKUP(C165,Week13,2,FALSE),0)</f>
        <v>36.47</v>
      </c>
      <c r="I165" s="4">
        <f>IF(ISBLANK(B165),,IFERROR(VLOOKUP(C165,CurrentRank!$B$2:$C$132,2,FALSE),0))</f>
        <v>37.44</v>
      </c>
      <c r="J165" s="4">
        <f>IFERROR(VLOOKUP(C165,Week13,3,FALSE),130)</f>
        <v>49</v>
      </c>
      <c r="K165" s="4">
        <f>IF(ISBLANK(C165),,IFERROR(VLOOKUP(C165,CurrentRank!$B$2:$D$132,3,FALSE),130))</f>
        <v>42</v>
      </c>
      <c r="L165" s="19">
        <f t="shared" si="95"/>
        <v>1.53705</v>
      </c>
      <c r="M165" s="19">
        <f t="shared" si="96"/>
        <v>1.65465</v>
      </c>
      <c r="N165" s="24">
        <f t="shared" si="82"/>
        <v>34</v>
      </c>
      <c r="O165" s="21">
        <f t="shared" si="4"/>
        <v>13.996475</v>
      </c>
      <c r="P165" s="21">
        <f t="shared" si="83"/>
        <v>16.946475</v>
      </c>
      <c r="Q165" s="22">
        <f t="shared" si="6"/>
        <v>0.760017625</v>
      </c>
      <c r="R165" s="25" t="str">
        <f t="shared" si="7"/>
        <v>C</v>
      </c>
      <c r="S165" s="19">
        <f t="shared" si="8"/>
        <v>0.815</v>
      </c>
      <c r="T165" s="19" t="str">
        <f t="shared" si="9"/>
        <v>B-</v>
      </c>
      <c r="U165" s="3" t="s">
        <v>203</v>
      </c>
      <c r="V165" s="4" t="str">
        <f>IF(ISBLANK(C165),,IFERROR(IF(VLOOKUP(B165,Standings!$A:$F, 6, 0)=VLOOKUP(C165,Standings!$A:$F, 6, 0), VLOOKUP(B165,Standings!$A:$F, 6, 0), "Non-con"), "FCS"))</f>
        <v>SUN</v>
      </c>
      <c r="W165" s="3" t="str">
        <f t="shared" si="10"/>
        <v>Appalachian State</v>
      </c>
      <c r="X165" s="3" t="str">
        <f t="shared" si="11"/>
        <v>UL-Lafayette</v>
      </c>
      <c r="Y165" s="30">
        <f>IF(D165=0,,IF(ISBLANK(Q165),,VLOOKUP(X165,Week13,2,FALSE)/(VLOOKUP(X165,Week13,2,FALSE)+VLOOKUP(W165,Week13,2,FALSE))+0.05)*100)</f>
        <v>69.40909534</v>
      </c>
      <c r="Z165" s="3" t="s">
        <v>58</v>
      </c>
      <c r="AA165" s="3">
        <v>24.0</v>
      </c>
      <c r="AB165" s="4" t="str">
        <f t="shared" si="20"/>
        <v>Appalachian State</v>
      </c>
      <c r="AC165" s="3">
        <v>21.0</v>
      </c>
      <c r="AD165" s="3"/>
      <c r="AE165" s="3">
        <f t="shared" si="13"/>
        <v>3</v>
      </c>
      <c r="AF165" s="3"/>
      <c r="AG165" s="3">
        <f t="shared" si="25"/>
        <v>1</v>
      </c>
      <c r="AH165" s="3"/>
      <c r="AI165" s="7"/>
      <c r="AJ165" s="4"/>
      <c r="AK165" s="7"/>
      <c r="AL165" s="7"/>
      <c r="AM165" s="7"/>
      <c r="AN165" s="7"/>
      <c r="AO165" s="7"/>
      <c r="AP165" s="7"/>
      <c r="AQ165" s="7"/>
      <c r="AR165" s="7"/>
      <c r="AS165" s="7"/>
      <c r="AT165" s="7"/>
      <c r="AU165" s="7"/>
      <c r="AV165" s="7"/>
      <c r="AW165" s="7"/>
      <c r="AX165" s="7"/>
    </row>
    <row r="166" ht="12.75" hidden="1" customHeight="1">
      <c r="A166" s="3">
        <v>12.0</v>
      </c>
      <c r="B166" s="3" t="s">
        <v>116</v>
      </c>
      <c r="C166" s="3" t="s">
        <v>92</v>
      </c>
      <c r="D166" s="4">
        <f>IFERROR(VLOOKUP(B166,Week11,2,FALSE),0)</f>
        <v>36.18</v>
      </c>
      <c r="E166" s="4">
        <f>IF(ISBLANK(B166),,IFERROR(VLOOKUP(B166,CurrentRank!$B$2:$C$132,2,FALSE),0))</f>
        <v>31.6</v>
      </c>
      <c r="F166" s="4">
        <f>IFERROR(VLOOKUP(B166,Week11,3,FALSE),130)</f>
        <v>59</v>
      </c>
      <c r="G166" s="4">
        <f>IF(ISBLANK(B166),,IFERROR(VLOOKUP(B166,CurrentRank!$B$2:$D$132,3,FALSE),130))</f>
        <v>96</v>
      </c>
      <c r="H166" s="4">
        <f>IFERROR(VLOOKUP(C166,Week11,2,FALSE),0)</f>
        <v>65.25</v>
      </c>
      <c r="I166" s="4">
        <f>IF(ISBLANK(B166),,IFERROR(VLOOKUP(C166,CurrentRank!$B$2:$C$132,2,FALSE),0))</f>
        <v>73.64</v>
      </c>
      <c r="J166" s="4">
        <f>IFERROR(VLOOKUP(C166,Week11,3,FALSE),130)</f>
        <v>19</v>
      </c>
      <c r="K166" s="4">
        <f>IF(ISBLANK(C166),,IFERROR(VLOOKUP(C166,CurrentRank!$B$2:$D$132,3,FALSE),130))</f>
        <v>8</v>
      </c>
      <c r="L166" s="19">
        <f t="shared" si="95"/>
        <v>1.52145</v>
      </c>
      <c r="M166" s="19">
        <f t="shared" si="96"/>
        <v>1.5786</v>
      </c>
      <c r="N166" s="24">
        <f t="shared" si="82"/>
        <v>39</v>
      </c>
      <c r="O166" s="21">
        <f t="shared" si="4"/>
        <v>-15.295725</v>
      </c>
      <c r="P166" s="21">
        <f t="shared" si="83"/>
        <v>-21.780725</v>
      </c>
      <c r="Q166" s="22">
        <f t="shared" si="6"/>
        <v>0.728521375</v>
      </c>
      <c r="R166" s="25" t="str">
        <f t="shared" si="7"/>
        <v>C</v>
      </c>
      <c r="S166" s="19">
        <f t="shared" si="8"/>
        <v>0.58</v>
      </c>
      <c r="T166" s="19" t="str">
        <f t="shared" si="9"/>
        <v>F</v>
      </c>
      <c r="U166" s="3" t="s">
        <v>203</v>
      </c>
      <c r="V166" s="4" t="str">
        <f>IF(ISBLANK(C166),,IFERROR(IF(VLOOKUP(B166,Standings!$A:$F, 6, 0)=VLOOKUP(C166,Standings!$A:$F, 6, 0), VLOOKUP(B166,Standings!$A:$F, 6, 0), "Non-con"), "FCS"))</f>
        <v>BIG12</v>
      </c>
      <c r="W166" s="3" t="str">
        <f t="shared" si="10"/>
        <v>Kansas State</v>
      </c>
      <c r="X166" s="3" t="str">
        <f t="shared" si="11"/>
        <v>Iowa State</v>
      </c>
      <c r="Y166" s="30">
        <f>IF(D166=0,,IF(ISBLANK(Q166),,VLOOKUP(X166,Week11,2,FALSE)/(VLOOKUP(X166,Week11,2,FALSE)+VLOOKUP(W166,Week11,2,FALSE))+0.05)*100)</f>
        <v>69.33007986</v>
      </c>
      <c r="Z166" s="3" t="s">
        <v>92</v>
      </c>
      <c r="AA166" s="3">
        <v>45.0</v>
      </c>
      <c r="AB166" s="4" t="str">
        <f t="shared" si="20"/>
        <v>Kansas State</v>
      </c>
      <c r="AC166" s="3">
        <v>0.0</v>
      </c>
      <c r="AD166" s="3"/>
      <c r="AE166" s="3">
        <f t="shared" si="13"/>
        <v>45</v>
      </c>
      <c r="AF166" s="3"/>
      <c r="AG166" s="3">
        <f t="shared" si="25"/>
        <v>1</v>
      </c>
      <c r="AH166" s="3"/>
      <c r="AI166" s="7"/>
      <c r="AJ166" s="3" t="s">
        <v>252</v>
      </c>
      <c r="AK166" s="7"/>
      <c r="AL166" s="7"/>
      <c r="AM166" s="7"/>
      <c r="AN166" s="7"/>
      <c r="AO166" s="7"/>
      <c r="AP166" s="7"/>
      <c r="AQ166" s="7"/>
      <c r="AR166" s="7"/>
      <c r="AS166" s="7"/>
      <c r="AT166" s="7"/>
      <c r="AU166" s="7"/>
      <c r="AV166" s="7"/>
      <c r="AW166" s="7"/>
      <c r="AX166" s="7"/>
    </row>
    <row r="167" ht="12.75" hidden="1" customHeight="1">
      <c r="A167" s="3">
        <v>14.0</v>
      </c>
      <c r="B167" s="3" t="s">
        <v>189</v>
      </c>
      <c r="C167" s="3" t="s">
        <v>91</v>
      </c>
      <c r="D167" s="4">
        <f>IFERROR(VLOOKUP(B167,Week13,2,FALSE),0)</f>
        <v>64.62</v>
      </c>
      <c r="E167" s="4">
        <f>IF(ISBLANK(B167),,IFERROR(VLOOKUP(B167,CurrentRank!$B$2:$C$132,2,FALSE),0))</f>
        <v>72.23</v>
      </c>
      <c r="F167" s="4">
        <f>IFERROR(VLOOKUP(B167,Week13,3,FALSE),130)</f>
        <v>20</v>
      </c>
      <c r="G167" s="4">
        <f>IF(ISBLANK(B167),,IFERROR(VLOOKUP(B167,CurrentRank!$B$2:$D$132,3,FALSE),130))</f>
        <v>11</v>
      </c>
      <c r="H167" s="4">
        <f>IFERROR(VLOOKUP(C167,Week13,2,FALSE),0)</f>
        <v>35.97</v>
      </c>
      <c r="I167" s="4">
        <f>IF(ISBLANK(B167),,IFERROR(VLOOKUP(C167,CurrentRank!$B$2:$C$132,2,FALSE),0))</f>
        <v>35.39</v>
      </c>
      <c r="J167" s="4">
        <f>IFERROR(VLOOKUP(C167,Week13,3,FALSE),130)</f>
        <v>55</v>
      </c>
      <c r="K167" s="4">
        <f>IF(ISBLANK(C167),,IFERROR(VLOOKUP(C167,CurrentRank!$B$2:$D$132,3,FALSE),130))</f>
        <v>60</v>
      </c>
      <c r="L167" s="19">
        <f t="shared" ref="L167:M167" si="97">IF(ISBLANK(C167),,(D167+H167)*0.015)</f>
        <v>1.50885</v>
      </c>
      <c r="M167" s="19">
        <f t="shared" si="97"/>
        <v>1.6143</v>
      </c>
      <c r="N167" s="24">
        <f t="shared" si="82"/>
        <v>37.5</v>
      </c>
      <c r="O167" s="21">
        <f t="shared" si="4"/>
        <v>13.570575</v>
      </c>
      <c r="P167" s="21">
        <f t="shared" si="83"/>
        <v>17.665575</v>
      </c>
      <c r="Q167" s="22">
        <f t="shared" si="6"/>
        <v>0.744647125</v>
      </c>
      <c r="R167" s="25" t="str">
        <f t="shared" si="7"/>
        <v>C</v>
      </c>
      <c r="S167" s="19" t="str">
        <f t="shared" si="8"/>
        <v/>
      </c>
      <c r="T167" s="19" t="str">
        <f t="shared" si="9"/>
        <v/>
      </c>
      <c r="U167" s="3" t="s">
        <v>203</v>
      </c>
      <c r="V167" s="4" t="str">
        <f>IF(ISBLANK(C167),,IFERROR(IF(VLOOKUP(B167,Standings!$A:$F, 6, 0)=VLOOKUP(C167,Standings!$A:$F, 6, 0), VLOOKUP(B167,Standings!$A:$F, 6, 0), "Non-con"), "FCS"))</f>
        <v>B1G</v>
      </c>
      <c r="W167" s="3" t="str">
        <f t="shared" si="10"/>
        <v>Minnesota</v>
      </c>
      <c r="X167" s="3" t="str">
        <f t="shared" si="11"/>
        <v>Northwestern</v>
      </c>
      <c r="Y167" s="30">
        <f>IF(D167=0,,IF(ISBLANK(Q167),,VLOOKUP(X167,Week13,2,FALSE)/(VLOOKUP(X167,Week13,2,FALSE)+VLOOKUP(W167,Week13,2,FALSE))+0.05)*100)</f>
        <v>69.24097823</v>
      </c>
      <c r="Z167" s="3"/>
      <c r="AA167" s="3"/>
      <c r="AB167" s="4" t="str">
        <f t="shared" si="20"/>
        <v/>
      </c>
      <c r="AC167" s="3"/>
      <c r="AD167" s="3"/>
      <c r="AE167" s="3" t="str">
        <f t="shared" si="13"/>
        <v/>
      </c>
      <c r="AF167" s="3" t="s">
        <v>226</v>
      </c>
      <c r="AG167" s="3" t="str">
        <f t="shared" si="25"/>
        <v/>
      </c>
      <c r="AH167" s="3"/>
      <c r="AI167" s="7"/>
      <c r="AJ167" s="4"/>
      <c r="AK167" s="7"/>
      <c r="AL167" s="7"/>
      <c r="AM167" s="7"/>
      <c r="AN167" s="7"/>
      <c r="AO167" s="7"/>
      <c r="AP167" s="7"/>
      <c r="AQ167" s="7"/>
      <c r="AR167" s="7"/>
      <c r="AS167" s="7"/>
      <c r="AT167" s="7"/>
      <c r="AU167" s="7"/>
      <c r="AV167" s="7"/>
      <c r="AW167" s="7"/>
      <c r="AX167" s="7"/>
    </row>
    <row r="168" ht="12.75" hidden="1" customHeight="1">
      <c r="A168" s="3">
        <v>12.0</v>
      </c>
      <c r="B168" s="3" t="s">
        <v>125</v>
      </c>
      <c r="C168" s="3" t="s">
        <v>62</v>
      </c>
      <c r="D168" s="4">
        <f>IFERROR(VLOOKUP(B168,Week11,2,FALSE),0)</f>
        <v>43.22</v>
      </c>
      <c r="E168" s="4">
        <f>IF(ISBLANK(B168),,IFERROR(VLOOKUP(B168,CurrentRank!$B$2:$C$132,2,FALSE),0))</f>
        <v>41.14</v>
      </c>
      <c r="F168" s="4">
        <f>IFERROR(VLOOKUP(B168,Week11,3,FALSE),130)</f>
        <v>33</v>
      </c>
      <c r="G168" s="4">
        <f>IF(ISBLANK(B168),,IFERROR(VLOOKUP(B168,CurrentRank!$B$2:$D$132,3,FALSE),130))</f>
        <v>31</v>
      </c>
      <c r="H168" s="4">
        <f>IFERROR(VLOOKUP(C168,Week11,2,FALSE),0)</f>
        <v>77.63</v>
      </c>
      <c r="I168" s="4">
        <f>IF(ISBLANK(B168),,IFERROR(VLOOKUP(C168,CurrentRank!$B$2:$C$132,2,FALSE),0))</f>
        <v>37.34</v>
      </c>
      <c r="J168" s="4">
        <f>IFERROR(VLOOKUP(C168,Week11,3,FALSE),130)</f>
        <v>11</v>
      </c>
      <c r="K168" s="4">
        <f>IF(ISBLANK(C168),,IFERROR(VLOOKUP(C168,CurrentRank!$B$2:$D$132,3,FALSE),130))</f>
        <v>44</v>
      </c>
      <c r="L168" s="19">
        <f>IF(U168= "Yes", 0, IF(ISBLANK(C168),,(D168+H168)*0.015))</f>
        <v>1.81275</v>
      </c>
      <c r="M168" s="19">
        <f>IF(U168= "Yes", 0, IF(ISBLANK(D168),,(E168+I168)*0.015))</f>
        <v>1.1772</v>
      </c>
      <c r="N168" s="24">
        <f t="shared" si="82"/>
        <v>22</v>
      </c>
      <c r="O168" s="21">
        <f t="shared" si="4"/>
        <v>-18.111375</v>
      </c>
      <c r="P168" s="21">
        <f t="shared" si="83"/>
        <v>0.993625</v>
      </c>
      <c r="Q168" s="22">
        <f t="shared" si="6"/>
        <v>0.799443125</v>
      </c>
      <c r="R168" s="25" t="str">
        <f t="shared" si="7"/>
        <v>B-</v>
      </c>
      <c r="S168" s="19">
        <f t="shared" si="8"/>
        <v>0.875</v>
      </c>
      <c r="T168" s="19" t="str">
        <f t="shared" si="9"/>
        <v>B+</v>
      </c>
      <c r="U168" s="3" t="s">
        <v>203</v>
      </c>
      <c r="V168" s="4" t="str">
        <f>IF(ISBLANK(C168),,IFERROR(IF(VLOOKUP(B168,Standings!$A:$F, 6, 0)=VLOOKUP(C168,Standings!$A:$F, 6, 0), VLOOKUP(B168,Standings!$A:$F, 6, 0), "Non-con"), "FCS"))</f>
        <v>PAC12</v>
      </c>
      <c r="W168" s="3" t="str">
        <f t="shared" si="10"/>
        <v>UCLA</v>
      </c>
      <c r="X168" s="3" t="str">
        <f t="shared" si="11"/>
        <v>Oregon</v>
      </c>
      <c r="Y168" s="30">
        <f>IF(D168=0,,IF(ISBLANK(Q168),,VLOOKUP(X168,Week11,2,FALSE)/(VLOOKUP(X168,Week11,2,FALSE)+VLOOKUP(W168,Week11,2,FALSE))+0.05)*100)</f>
        <v>69.23665701</v>
      </c>
      <c r="Z168" s="3" t="s">
        <v>62</v>
      </c>
      <c r="AA168" s="3">
        <v>38.0</v>
      </c>
      <c r="AB168" s="4" t="str">
        <f t="shared" si="20"/>
        <v>UCLA</v>
      </c>
      <c r="AC168" s="3">
        <v>35.0</v>
      </c>
      <c r="AD168" s="3"/>
      <c r="AE168" s="3">
        <f t="shared" si="13"/>
        <v>3</v>
      </c>
      <c r="AF168" s="3"/>
      <c r="AG168" s="3">
        <f t="shared" si="25"/>
        <v>1</v>
      </c>
      <c r="AH168" s="3"/>
      <c r="AI168" s="7"/>
      <c r="AJ168" s="4"/>
      <c r="AK168" s="7"/>
      <c r="AL168" s="7"/>
      <c r="AM168" s="7"/>
      <c r="AN168" s="7"/>
      <c r="AO168" s="7"/>
      <c r="AP168" s="7"/>
      <c r="AQ168" s="7"/>
      <c r="AR168" s="7"/>
      <c r="AS168" s="7"/>
      <c r="AT168" s="7"/>
      <c r="AU168" s="7"/>
      <c r="AV168" s="7"/>
      <c r="AW168" s="7"/>
      <c r="AX168" s="7"/>
    </row>
    <row r="169" ht="12.75" hidden="1" customHeight="1">
      <c r="A169" s="3">
        <v>13.0</v>
      </c>
      <c r="B169" s="3" t="s">
        <v>51</v>
      </c>
      <c r="C169" s="3" t="s">
        <v>117</v>
      </c>
      <c r="D169" s="4">
        <f>IFERROR(VLOOKUP(B169,Week12,2,FALSE),0)</f>
        <v>69.32</v>
      </c>
      <c r="E169" s="4">
        <f>IF(ISBLANK(B169),,IFERROR(VLOOKUP(B169,CurrentRank!$B$2:$C$132,2,FALSE),0))</f>
        <v>81.57</v>
      </c>
      <c r="F169" s="4">
        <f>IFERROR(VLOOKUP(B169,Week12,3,FALSE),130)</f>
        <v>15</v>
      </c>
      <c r="G169" s="4">
        <f>IF(ISBLANK(B169),,IFERROR(VLOOKUP(B169,CurrentRank!$B$2:$D$132,3,FALSE),130))</f>
        <v>5</v>
      </c>
      <c r="H169" s="4">
        <f>IFERROR(VLOOKUP(C169,Week12,2,FALSE),0)</f>
        <v>38.86</v>
      </c>
      <c r="I169" s="4">
        <f>IF(ISBLANK(B169),,IFERROR(VLOOKUP(C169,CurrentRank!$B$2:$C$132,2,FALSE),0))</f>
        <v>38.08</v>
      </c>
      <c r="J169" s="4">
        <f>IFERROR(VLOOKUP(C169,Week12,3,FALSE),130)</f>
        <v>44</v>
      </c>
      <c r="K169" s="4">
        <f>IF(ISBLANK(C169),,IFERROR(VLOOKUP(C169,CurrentRank!$B$2:$D$132,3,FALSE),130))</f>
        <v>37</v>
      </c>
      <c r="L169" s="19">
        <f t="shared" ref="L169:M169" si="98">IF(ISBLANK(C169),,(D169+H169)*0.015)</f>
        <v>1.6227</v>
      </c>
      <c r="M169" s="19">
        <f t="shared" si="98"/>
        <v>1.79475</v>
      </c>
      <c r="N169" s="24">
        <f t="shared" si="82"/>
        <v>29.5</v>
      </c>
      <c r="O169" s="24">
        <f t="shared" si="4"/>
        <v>14.41865</v>
      </c>
      <c r="P169" s="24">
        <f t="shared" si="83"/>
        <v>20.93365</v>
      </c>
      <c r="Q169" s="22">
        <f t="shared" si="6"/>
        <v>0.78040675</v>
      </c>
      <c r="R169" s="25" t="str">
        <f t="shared" si="7"/>
        <v>C+</v>
      </c>
      <c r="S169" s="19" t="str">
        <f t="shared" si="8"/>
        <v/>
      </c>
      <c r="T169" s="19" t="str">
        <f t="shared" si="9"/>
        <v/>
      </c>
      <c r="U169" s="3" t="s">
        <v>203</v>
      </c>
      <c r="V169" s="4" t="str">
        <f>IF(ISBLANK(C169),,IFERROR(IF(VLOOKUP(B169,Standings!$A:$F, 6, 0)=VLOOKUP(C169,Standings!$A:$F, 6, 0), VLOOKUP(B169,Standings!$A:$F, 6, 0), "Non-con"), "FCS"))</f>
        <v>BIG12</v>
      </c>
      <c r="W169" s="3" t="str">
        <f t="shared" si="10"/>
        <v>West Virginia</v>
      </c>
      <c r="X169" s="3" t="str">
        <f t="shared" si="11"/>
        <v>Oklahoma</v>
      </c>
      <c r="Y169" s="30">
        <f>IF(D169=0,,IF(ISBLANK(Q169),,VLOOKUP(X169,Week12,2,FALSE)/(VLOOKUP(X169,Week12,2,FALSE)+VLOOKUP(W169,Week12,2,FALSE))+0.05)*100)</f>
        <v>69.07838787</v>
      </c>
      <c r="Z169" s="3"/>
      <c r="AA169" s="3"/>
      <c r="AB169" s="4" t="str">
        <f t="shared" si="20"/>
        <v/>
      </c>
      <c r="AC169" s="3"/>
      <c r="AD169" s="3"/>
      <c r="AE169" s="3" t="str">
        <f t="shared" si="13"/>
        <v/>
      </c>
      <c r="AF169" s="3" t="s">
        <v>228</v>
      </c>
      <c r="AG169" s="3" t="str">
        <f t="shared" si="25"/>
        <v/>
      </c>
      <c r="AH169" s="3"/>
      <c r="AI169" s="7"/>
      <c r="AJ169" s="4"/>
      <c r="AK169" s="7"/>
      <c r="AL169" s="7"/>
      <c r="AM169" s="7"/>
      <c r="AN169" s="7"/>
      <c r="AO169" s="7"/>
      <c r="AP169" s="7"/>
      <c r="AQ169" s="7"/>
      <c r="AR169" s="7"/>
      <c r="AS169" s="7"/>
      <c r="AT169" s="7"/>
      <c r="AU169" s="7"/>
      <c r="AV169" s="7"/>
      <c r="AW169" s="7"/>
      <c r="AX169" s="7"/>
    </row>
    <row r="170" ht="12.75" hidden="1" customHeight="1">
      <c r="A170" s="3">
        <v>10.0</v>
      </c>
      <c r="B170" s="3" t="s">
        <v>152</v>
      </c>
      <c r="C170" s="3" t="s">
        <v>74</v>
      </c>
      <c r="D170" s="4">
        <f>IFERROR(VLOOKUP(B170,CurrentRank!$B$2:$C$132,2,FALSE),0)</f>
        <v>32.23</v>
      </c>
      <c r="E170" s="4">
        <f>IF(ISBLANK(B170),,IFERROR(VLOOKUP(B170,CurrentRank!$B$2:$C$132,2,FALSE),0))</f>
        <v>32.23</v>
      </c>
      <c r="F170" s="4">
        <f>IFERROR(VLOOKUP(B170,Week9,3,FALSE),130)</f>
        <v>30</v>
      </c>
      <c r="G170" s="4">
        <f>IF(ISBLANK(B170),,IFERROR(VLOOKUP(B170,CurrentRank!$B$2:$D$132,3,FALSE),130))</f>
        <v>92</v>
      </c>
      <c r="H170" s="4">
        <f>IFERROR(VLOOKUP(C170,CurrentRank!$B$2:$C$132,2,FALSE),0)</f>
        <v>41.11</v>
      </c>
      <c r="I170" s="4">
        <f>IF(ISBLANK(B170),,IFERROR(VLOOKUP(C170,CurrentRank!$B$2:$C$132,2,FALSE),0))</f>
        <v>41.11</v>
      </c>
      <c r="J170" s="4">
        <f>IFERROR(VLOOKUP(C170,Week9,3,FALSE),130)</f>
        <v>7</v>
      </c>
      <c r="K170" s="4">
        <f>IF(ISBLANK(C170),,IFERROR(VLOOKUP(C170,CurrentRank!$B$2:$D$132,3,FALSE),130))</f>
        <v>32</v>
      </c>
      <c r="L170" s="19">
        <f t="shared" ref="L170:M170" si="99">IF(ISBLANK(C170),,(D170+H170)*0.015)</f>
        <v>1.1001</v>
      </c>
      <c r="M170" s="19">
        <f t="shared" si="99"/>
        <v>1.1001</v>
      </c>
      <c r="N170" s="24">
        <f t="shared" si="82"/>
        <v>18.5</v>
      </c>
      <c r="O170" s="21">
        <f t="shared" si="4"/>
        <v>-4.99005</v>
      </c>
      <c r="P170" s="24">
        <f>(D170-(H170+L170))/2</f>
        <v>-4.99005</v>
      </c>
      <c r="Q170" s="22">
        <f t="shared" si="6"/>
        <v>0.88254975</v>
      </c>
      <c r="R170" s="25" t="str">
        <f t="shared" si="7"/>
        <v>B+</v>
      </c>
      <c r="S170" s="19" t="str">
        <f t="shared" si="8"/>
        <v/>
      </c>
      <c r="T170" s="19" t="str">
        <f t="shared" si="9"/>
        <v/>
      </c>
      <c r="U170" s="3" t="s">
        <v>203</v>
      </c>
      <c r="V170" s="4" t="str">
        <f>IFERROR(IF(VLOOKUP(B170,Standings!$A:$F, 6, 0)=VLOOKUP(C170,Standings!$A:$F, 6, 0), VLOOKUP(B170,Standings!$A:$F, 6, 0), "Non-con"), "FCS")</f>
        <v>B1G</v>
      </c>
      <c r="W170" s="3" t="str">
        <f t="shared" si="10"/>
        <v>Purdue</v>
      </c>
      <c r="X170" s="3" t="str">
        <f t="shared" si="11"/>
        <v>Wisconsin</v>
      </c>
      <c r="Y170" s="30">
        <f>IF(D170=0,,IF(ISBLANK(Q170),,VLOOKUP(X170,Week9,2,FALSE)/(VLOOKUP(X170,Week9,2,FALSE)+VLOOKUP(W170,Week9,2,FALSE))+0.05)*100)</f>
        <v>69.06364153</v>
      </c>
      <c r="Z170" s="3"/>
      <c r="AA170" s="3"/>
      <c r="AB170" s="4" t="str">
        <f t="shared" si="20"/>
        <v/>
      </c>
      <c r="AC170" s="3"/>
      <c r="AD170" s="3"/>
      <c r="AE170" s="3" t="str">
        <f t="shared" si="13"/>
        <v/>
      </c>
      <c r="AF170" s="3" t="s">
        <v>226</v>
      </c>
      <c r="AG170" s="3" t="str">
        <f t="shared" si="25"/>
        <v/>
      </c>
      <c r="AH170" s="3"/>
      <c r="AI170" s="7"/>
      <c r="AJ170" s="4"/>
      <c r="AK170" s="7"/>
      <c r="AL170" s="7"/>
      <c r="AM170" s="7"/>
      <c r="AN170" s="7"/>
      <c r="AO170" s="7"/>
      <c r="AP170" s="7"/>
      <c r="AQ170" s="7"/>
      <c r="AR170" s="7"/>
      <c r="AS170" s="7"/>
      <c r="AT170" s="7"/>
      <c r="AU170" s="7"/>
      <c r="AV170" s="7"/>
      <c r="AW170" s="7"/>
      <c r="AX170" s="7"/>
    </row>
    <row r="171" ht="12.75" customHeight="1">
      <c r="A171" s="3">
        <v>3.0</v>
      </c>
      <c r="B171" s="3" t="s">
        <v>98</v>
      </c>
      <c r="C171" s="3" t="s">
        <v>95</v>
      </c>
      <c r="D171" s="4">
        <f>IFERROR(VLOOKUP(B171,Week2,2,FALSE),0)</f>
        <v>46.64</v>
      </c>
      <c r="E171" s="4">
        <f>IF(ISBLANK(B171),,IFERROR(VLOOKUP(B171,CurrentRank!$B$2:$C$132,2,FALSE),0))</f>
        <v>37.44</v>
      </c>
      <c r="F171" s="4">
        <f>IFERROR(VLOOKUP(B171,Week2,3,FALSE),130)</f>
        <v>23</v>
      </c>
      <c r="G171" s="4">
        <f>IF(ISBLANK(B171),,IFERROR(VLOOKUP(B171,CurrentRank!$B$2:$D$132,3,FALSE),130))</f>
        <v>42</v>
      </c>
      <c r="H171" s="4">
        <f>IFERROR(VLOOKUP(C171,Week2,2,FALSE),0)</f>
        <v>31.38</v>
      </c>
      <c r="I171" s="4">
        <f>IF(ISBLANK(B171),,IFERROR(VLOOKUP(C171,CurrentRank!$B$2:$C$132,2,FALSE),0))</f>
        <v>33.45</v>
      </c>
      <c r="J171" s="4">
        <f>IFERROR(VLOOKUP(C171,Week2,3,FALSE),130)</f>
        <v>33</v>
      </c>
      <c r="K171" s="4">
        <f>IF(ISBLANK(C171),,IFERROR(VLOOKUP(C171,CurrentRank!$B$2:$D$132,3,FALSE),130))</f>
        <v>81</v>
      </c>
      <c r="L171" s="19">
        <f t="shared" ref="L171:L172" si="100">IF(U171= "Yes", 0, IF(ISBLANK(C171),,(D171+H171)*0.015))</f>
        <v>1.1703</v>
      </c>
      <c r="M171" s="19">
        <f t="shared" ref="M171:M172" si="101">IF(U171= "Yes", 0, IF(ISBLANK(D171),,(E171+I171)*0.015))</f>
        <v>1.06335</v>
      </c>
      <c r="N171" s="24">
        <f t="shared" si="82"/>
        <v>28</v>
      </c>
      <c r="O171" s="21">
        <f t="shared" si="4"/>
        <v>7.04485</v>
      </c>
      <c r="P171" s="21">
        <f t="shared" ref="P171:P255" si="102">IF(ISBLANK(C171),,(E171-(I171+L171))/2)</f>
        <v>1.40985</v>
      </c>
      <c r="Q171" s="22">
        <f t="shared" si="6"/>
        <v>0.82477575</v>
      </c>
      <c r="R171" s="25" t="str">
        <f t="shared" si="7"/>
        <v>B-</v>
      </c>
      <c r="S171" s="19">
        <f t="shared" si="8"/>
        <v>0.81</v>
      </c>
      <c r="T171" s="19" t="str">
        <f t="shared" si="9"/>
        <v>B-</v>
      </c>
      <c r="U171" s="3" t="s">
        <v>203</v>
      </c>
      <c r="V171" s="4" t="str">
        <f>IF(ISBLANK(C171),,IFERROR(IF(VLOOKUP(B171,Standings!$A:$F, 6, 0)=VLOOKUP(C171,Standings!$A:$F, 6, 0), VLOOKUP(B171,Standings!$A:$F, 6, 0), "Non-con"), "FCS"))</f>
        <v>Non-con</v>
      </c>
      <c r="W171" s="3" t="str">
        <f t="shared" si="10"/>
        <v>Marshall</v>
      </c>
      <c r="X171" s="3" t="str">
        <f t="shared" si="11"/>
        <v>Appalachian State</v>
      </c>
      <c r="Y171" s="30">
        <f>IF(D171=0,,IF(ISBLANK(Q171),,VLOOKUP(X171,Week2,2,FALSE)/(VLOOKUP(X171,Week2,2,FALSE)+VLOOKUP(W171,Week2,2,FALSE))+0.05)*100)</f>
        <v>64.77954371</v>
      </c>
      <c r="Z171" s="3" t="s">
        <v>95</v>
      </c>
      <c r="AA171" s="3">
        <v>17.0</v>
      </c>
      <c r="AB171" s="4" t="str">
        <f t="shared" si="20"/>
        <v>Appalachian State</v>
      </c>
      <c r="AC171" s="3">
        <v>7.0</v>
      </c>
      <c r="AD171" s="3"/>
      <c r="AE171" s="3">
        <f t="shared" si="13"/>
        <v>10</v>
      </c>
      <c r="AF171" s="3"/>
      <c r="AG171" s="3">
        <f t="shared" si="25"/>
        <v>0</v>
      </c>
      <c r="AH171" s="3"/>
      <c r="AI171" s="7"/>
      <c r="AJ171" s="4"/>
      <c r="AK171" s="7"/>
      <c r="AL171" s="7"/>
      <c r="AM171" s="7"/>
      <c r="AN171" s="7"/>
      <c r="AO171" s="7"/>
      <c r="AP171" s="7"/>
      <c r="AQ171" s="7"/>
      <c r="AR171" s="7"/>
      <c r="AS171" s="7"/>
      <c r="AT171" s="7"/>
      <c r="AU171" s="7"/>
      <c r="AV171" s="7"/>
      <c r="AW171" s="7"/>
      <c r="AX171" s="7"/>
    </row>
    <row r="172" ht="12.75" hidden="1" customHeight="1">
      <c r="A172" s="3">
        <v>15.0</v>
      </c>
      <c r="B172" s="3" t="s">
        <v>33</v>
      </c>
      <c r="C172" s="3" t="s">
        <v>149</v>
      </c>
      <c r="D172" s="4">
        <f>IFERROR(VLOOKUP(B172,Week14,2,FALSE),0)</f>
        <v>73.47</v>
      </c>
      <c r="E172" s="4">
        <f>IF(ISBLANK(B172),,IFERROR(VLOOKUP(B172,CurrentRank!$B$2:$C$132,2,FALSE),0))</f>
        <v>79.21</v>
      </c>
      <c r="F172" s="4">
        <f>IFERROR(VLOOKUP(B172,Week14,3,FALSE),130)</f>
        <v>12</v>
      </c>
      <c r="G172" s="4">
        <f>IF(ISBLANK(B172),,IFERROR(VLOOKUP(B172,CurrentRank!$B$2:$D$132,3,FALSE),130))</f>
        <v>6</v>
      </c>
      <c r="H172" s="4">
        <f>IFERROR(VLOOKUP(C172,Week14,2,FALSE),0)</f>
        <v>41.37</v>
      </c>
      <c r="I172" s="4">
        <f>IF(ISBLANK(B172),,IFERROR(VLOOKUP(C172,CurrentRank!$B$2:$C$132,2,FALSE),0))</f>
        <v>36.59</v>
      </c>
      <c r="J172" s="4">
        <f>IFERROR(VLOOKUP(C172,Week14,3,FALSE),130)</f>
        <v>32</v>
      </c>
      <c r="K172" s="4">
        <f>IF(ISBLANK(C172),,IFERROR(VLOOKUP(C172,CurrentRank!$B$2:$D$132,3,FALSE),130))</f>
        <v>51</v>
      </c>
      <c r="L172" s="19">
        <f t="shared" si="100"/>
        <v>1.7226</v>
      </c>
      <c r="M172" s="19">
        <f t="shared" si="101"/>
        <v>1.737</v>
      </c>
      <c r="N172" s="24">
        <f t="shared" si="82"/>
        <v>22</v>
      </c>
      <c r="O172" s="21">
        <f t="shared" si="4"/>
        <v>15.1887</v>
      </c>
      <c r="P172" s="21">
        <f t="shared" si="102"/>
        <v>20.4487</v>
      </c>
      <c r="Q172" s="22">
        <f t="shared" si="6"/>
        <v>0.8140565</v>
      </c>
      <c r="R172" s="25" t="str">
        <f t="shared" si="7"/>
        <v>B-</v>
      </c>
      <c r="S172" s="19">
        <f t="shared" si="8"/>
        <v>0.715</v>
      </c>
      <c r="T172" s="19" t="str">
        <f t="shared" si="9"/>
        <v>C-</v>
      </c>
      <c r="U172" s="3" t="s">
        <v>203</v>
      </c>
      <c r="V172" s="4" t="str">
        <f>IF(ISBLANK(C172),,IFERROR(IF(VLOOKUP(B172,Standings!$A:$F, 6, 0)=VLOOKUP(C172,Standings!$A:$F, 6, 0), VLOOKUP(B172,Standings!$A:$F, 6, 0), "Non-con"), "FCS"))</f>
        <v>SEC</v>
      </c>
      <c r="W172" s="3" t="str">
        <f t="shared" si="10"/>
        <v>Missouri</v>
      </c>
      <c r="X172" s="3" t="str">
        <f t="shared" si="11"/>
        <v>Georgia</v>
      </c>
      <c r="Y172" s="30">
        <f>IF(D172=0,,IF(ISBLANK(Q172),,VLOOKUP(X172,Week14,2,FALSE)/(VLOOKUP(X172,Week14,2,FALSE)+VLOOKUP(W172,Week14,2,FALSE))+0.05)*100)</f>
        <v>68.97596656</v>
      </c>
      <c r="Z172" s="3" t="s">
        <v>33</v>
      </c>
      <c r="AA172" s="3">
        <v>49.0</v>
      </c>
      <c r="AB172" s="4" t="str">
        <f t="shared" si="20"/>
        <v>Missouri</v>
      </c>
      <c r="AC172" s="3">
        <v>14.0</v>
      </c>
      <c r="AD172" s="3"/>
      <c r="AE172" s="3">
        <f t="shared" si="13"/>
        <v>35</v>
      </c>
      <c r="AF172" s="3"/>
      <c r="AG172" s="3">
        <f t="shared" si="25"/>
        <v>1</v>
      </c>
      <c r="AH172" s="3"/>
      <c r="AI172" s="7"/>
      <c r="AJ172" s="4"/>
      <c r="AK172" s="7"/>
      <c r="AL172" s="7"/>
      <c r="AM172" s="7"/>
      <c r="AN172" s="7"/>
      <c r="AO172" s="7"/>
      <c r="AP172" s="7"/>
      <c r="AQ172" s="7"/>
      <c r="AR172" s="7"/>
      <c r="AS172" s="7"/>
      <c r="AT172" s="7"/>
      <c r="AU172" s="7"/>
      <c r="AV172" s="7"/>
      <c r="AW172" s="7"/>
      <c r="AX172" s="7"/>
    </row>
    <row r="173" ht="12.75" hidden="1" customHeight="1">
      <c r="A173" s="3">
        <v>13.0</v>
      </c>
      <c r="B173" s="3" t="s">
        <v>91</v>
      </c>
      <c r="C173" s="3" t="s">
        <v>74</v>
      </c>
      <c r="D173" s="4">
        <f>IFERROR(VLOOKUP(B173,Week12,2,FALSE),0)</f>
        <v>37.37</v>
      </c>
      <c r="E173" s="4">
        <f>IF(ISBLANK(B173),,IFERROR(VLOOKUP(B173,CurrentRank!$B$2:$C$132,2,FALSE),0))</f>
        <v>35.39</v>
      </c>
      <c r="F173" s="4">
        <f>IFERROR(VLOOKUP(B173,Week12,3,FALSE),130)</f>
        <v>48</v>
      </c>
      <c r="G173" s="4">
        <f>IF(ISBLANK(B173),,IFERROR(VLOOKUP(B173,CurrentRank!$B$2:$D$132,3,FALSE),130))</f>
        <v>60</v>
      </c>
      <c r="H173" s="4">
        <f>IFERROR(VLOOKUP(C173,Week12,2,FALSE),0)</f>
        <v>66.29</v>
      </c>
      <c r="I173" s="4">
        <f>IF(ISBLANK(B173),,IFERROR(VLOOKUP(C173,CurrentRank!$B$2:$C$132,2,FALSE),0))</f>
        <v>41.11</v>
      </c>
      <c r="J173" s="4">
        <f>IFERROR(VLOOKUP(C173,Week12,3,FALSE),130)</f>
        <v>19</v>
      </c>
      <c r="K173" s="4">
        <f>IF(ISBLANK(C173),,IFERROR(VLOOKUP(C173,CurrentRank!$B$2:$D$132,3,FALSE),130))</f>
        <v>32</v>
      </c>
      <c r="L173" s="19">
        <f t="shared" ref="L173:M173" si="103">IF(ISBLANK(C173),,(D173+H173)*0.015)</f>
        <v>1.5549</v>
      </c>
      <c r="M173" s="19">
        <f t="shared" si="103"/>
        <v>1.1475</v>
      </c>
      <c r="N173" s="24">
        <f t="shared" si="82"/>
        <v>33.5</v>
      </c>
      <c r="O173" s="24">
        <f t="shared" si="4"/>
        <v>-15.23745</v>
      </c>
      <c r="P173" s="24">
        <f t="shared" si="102"/>
        <v>-3.63745</v>
      </c>
      <c r="Q173" s="22">
        <f t="shared" si="6"/>
        <v>0.75631275</v>
      </c>
      <c r="R173" s="25" t="str">
        <f t="shared" si="7"/>
        <v>C</v>
      </c>
      <c r="S173" s="19" t="str">
        <f t="shared" si="8"/>
        <v/>
      </c>
      <c r="T173" s="19" t="str">
        <f t="shared" si="9"/>
        <v/>
      </c>
      <c r="U173" s="3" t="s">
        <v>203</v>
      </c>
      <c r="V173" s="4" t="str">
        <f>IF(ISBLANK(C173),,IFERROR(IF(VLOOKUP(B173,Standings!$A:$F, 6, 0)=VLOOKUP(C173,Standings!$A:$F, 6, 0), VLOOKUP(B173,Standings!$A:$F, 6, 0), "Non-con"), "FCS"))</f>
        <v>B1G</v>
      </c>
      <c r="W173" s="3" t="str">
        <f t="shared" si="10"/>
        <v>Minnesota</v>
      </c>
      <c r="X173" s="3" t="str">
        <f t="shared" si="11"/>
        <v>Wisconsin</v>
      </c>
      <c r="Y173" s="30">
        <f>IF(D173=0,,IF(ISBLANK(Q173),,VLOOKUP(X173,Week12,2,FALSE)/(VLOOKUP(X173,Week12,2,FALSE)+VLOOKUP(W173,Week12,2,FALSE))+0.05)*100)</f>
        <v>68.94945013</v>
      </c>
      <c r="Z173" s="3"/>
      <c r="AA173" s="3"/>
      <c r="AB173" s="4" t="str">
        <f t="shared" si="20"/>
        <v/>
      </c>
      <c r="AC173" s="3"/>
      <c r="AD173" s="3"/>
      <c r="AE173" s="3" t="str">
        <f t="shared" si="13"/>
        <v/>
      </c>
      <c r="AF173" s="3" t="s">
        <v>226</v>
      </c>
      <c r="AG173" s="3" t="str">
        <f t="shared" si="25"/>
        <v/>
      </c>
      <c r="AH173" s="3"/>
      <c r="AI173" s="7"/>
      <c r="AJ173" s="4"/>
      <c r="AK173" s="7"/>
      <c r="AL173" s="7"/>
      <c r="AM173" s="7"/>
      <c r="AN173" s="7"/>
      <c r="AO173" s="7"/>
      <c r="AP173" s="7"/>
      <c r="AQ173" s="7"/>
      <c r="AR173" s="7"/>
      <c r="AS173" s="7"/>
      <c r="AT173" s="7"/>
      <c r="AU173" s="7"/>
      <c r="AV173" s="7"/>
      <c r="AW173" s="7"/>
      <c r="AX173" s="7"/>
    </row>
    <row r="174" ht="12.75" hidden="1" customHeight="1">
      <c r="A174" s="3">
        <v>6.0</v>
      </c>
      <c r="B174" s="3" t="s">
        <v>122</v>
      </c>
      <c r="C174" s="3" t="s">
        <v>106</v>
      </c>
      <c r="D174" s="4">
        <f>IFERROR(VLOOKUP(B174,Week5,2,FALSE),0)</f>
        <v>25.36</v>
      </c>
      <c r="E174" s="4">
        <f>IF(ISBLANK(B174),,IFERROR(VLOOKUP(B174,CurrentRank!$B$2:$C$132,2,FALSE),0))</f>
        <v>25.95</v>
      </c>
      <c r="F174" s="4">
        <f>IFERROR(VLOOKUP(B174,Week5,3,FALSE),130)</f>
        <v>124</v>
      </c>
      <c r="G174" s="4">
        <f>IF(ISBLANK(B174),,IFERROR(VLOOKUP(B174,CurrentRank!$B$2:$D$132,3,FALSE),130))</f>
        <v>124</v>
      </c>
      <c r="H174" s="4">
        <f>IFERROR(VLOOKUP(C174,Week5,2,FALSE),0)</f>
        <v>44.97</v>
      </c>
      <c r="I174" s="4">
        <f>IF(ISBLANK(B174),,IFERROR(VLOOKUP(C174,CurrentRank!$B$2:$C$132,2,FALSE),0))</f>
        <v>65.58</v>
      </c>
      <c r="J174" s="4">
        <f>IFERROR(VLOOKUP(C174,Week5,3,FALSE),130)</f>
        <v>27</v>
      </c>
      <c r="K174" s="4">
        <f>IF(ISBLANK(C174),,IFERROR(VLOOKUP(C174,CurrentRank!$B$2:$D$132,3,FALSE),130))</f>
        <v>17</v>
      </c>
      <c r="L174" s="19">
        <f t="shared" ref="L174:L180" si="104">IF(U174= "Yes", 0, IF(ISBLANK(C174),,(D174+H174)*0.015))</f>
        <v>1.05495</v>
      </c>
      <c r="M174" s="19">
        <f t="shared" ref="M174:M180" si="105">IF(U174= "Yes", 0, IF(ISBLANK(D174),,(E174+I174)*0.015))</f>
        <v>1.37295</v>
      </c>
      <c r="N174" s="24">
        <f t="shared" si="82"/>
        <v>75.5</v>
      </c>
      <c r="O174" s="21">
        <f t="shared" si="4"/>
        <v>-10.332475</v>
      </c>
      <c r="P174" s="21">
        <f t="shared" si="102"/>
        <v>-20.342475</v>
      </c>
      <c r="Q174" s="22">
        <f t="shared" si="6"/>
        <v>0.570837625</v>
      </c>
      <c r="R174" s="25" t="str">
        <f t="shared" si="7"/>
        <v>F</v>
      </c>
      <c r="S174" s="19">
        <f t="shared" si="8"/>
        <v>0.4575</v>
      </c>
      <c r="T174" s="19" t="str">
        <f t="shared" si="9"/>
        <v>F</v>
      </c>
      <c r="U174" s="3" t="s">
        <v>203</v>
      </c>
      <c r="V174" s="4" t="str">
        <f>IF(ISBLANK(C174),,IFERROR(IF(VLOOKUP(B174,Standings!$A:$F, 6, 0)=VLOOKUP(C174,Standings!$A:$F, 6, 0), VLOOKUP(B174,Standings!$A:$F, 6, 0), "Non-con"), "FCS"))</f>
        <v>Non-con</v>
      </c>
      <c r="W174" s="3" t="str">
        <f t="shared" si="10"/>
        <v>UL-Monroe</v>
      </c>
      <c r="X174" s="3" t="str">
        <f t="shared" si="11"/>
        <v>Liberty</v>
      </c>
      <c r="Y174" s="30">
        <f>IF(D174=0,,IF(ISBLANK(Q174),,VLOOKUP(X174,Week5,2,FALSE)/(VLOOKUP(X174,Week5,2,FALSE)+VLOOKUP(W174,Week5,2,FALSE))+0.05)*100)</f>
        <v>68.94141902</v>
      </c>
      <c r="Z174" s="3" t="s">
        <v>106</v>
      </c>
      <c r="AA174" s="3">
        <v>40.0</v>
      </c>
      <c r="AB174" s="4" t="str">
        <f t="shared" si="20"/>
        <v>UL-Monroe</v>
      </c>
      <c r="AC174" s="3">
        <v>7.0</v>
      </c>
      <c r="AD174" s="3"/>
      <c r="AE174" s="3">
        <f t="shared" si="13"/>
        <v>33</v>
      </c>
      <c r="AF174" s="3"/>
      <c r="AG174" s="3">
        <f t="shared" si="25"/>
        <v>1</v>
      </c>
      <c r="AH174" s="3"/>
      <c r="AI174" s="7"/>
      <c r="AJ174" s="4"/>
      <c r="AK174" s="7"/>
      <c r="AL174" s="7"/>
      <c r="AM174" s="7"/>
      <c r="AN174" s="7"/>
      <c r="AO174" s="7"/>
      <c r="AP174" s="7"/>
      <c r="AQ174" s="7"/>
      <c r="AR174" s="7"/>
      <c r="AS174" s="7"/>
      <c r="AT174" s="7"/>
      <c r="AU174" s="7"/>
      <c r="AV174" s="7"/>
      <c r="AW174" s="7"/>
      <c r="AX174" s="7"/>
    </row>
    <row r="175" ht="12.75" hidden="1" customHeight="1">
      <c r="A175" s="3">
        <v>4.0</v>
      </c>
      <c r="B175" s="3" t="s">
        <v>200</v>
      </c>
      <c r="C175" s="3" t="s">
        <v>105</v>
      </c>
      <c r="D175" s="4">
        <f>IFERROR(VLOOKUP(B175,Week3,2,FALSE),0)</f>
        <v>26.43</v>
      </c>
      <c r="E175" s="4">
        <f>IF(ISBLANK(B175),,IFERROR(VLOOKUP(B175,CurrentRank!$B$2:$C$132,2,FALSE),0))</f>
        <v>32.76</v>
      </c>
      <c r="F175" s="4">
        <f>IFERROR(VLOOKUP(B175,Week3,3,FALSE),130)</f>
        <v>124</v>
      </c>
      <c r="G175" s="4">
        <f>IF(ISBLANK(B175),,IFERROR(VLOOKUP(B175,CurrentRank!$B$2:$D$132,3,FALSE),130))</f>
        <v>89</v>
      </c>
      <c r="H175" s="4">
        <f>IFERROR(VLOOKUP(C175,Week3,2,FALSE),0)</f>
        <v>46.47</v>
      </c>
      <c r="I175" s="4">
        <f>IF(ISBLANK(B175),,IFERROR(VLOOKUP(C175,CurrentRank!$B$2:$C$132,2,FALSE),0))</f>
        <v>32.43</v>
      </c>
      <c r="J175" s="4">
        <f>IFERROR(VLOOKUP(C175,Week3,3,FALSE),130)</f>
        <v>27</v>
      </c>
      <c r="K175" s="4">
        <f>IF(ISBLANK(C175),,IFERROR(VLOOKUP(C175,CurrentRank!$B$2:$D$132,3,FALSE),130))</f>
        <v>90</v>
      </c>
      <c r="L175" s="19">
        <f t="shared" si="104"/>
        <v>1.0935</v>
      </c>
      <c r="M175" s="19">
        <f t="shared" si="105"/>
        <v>0.97785</v>
      </c>
      <c r="N175" s="24">
        <f t="shared" si="82"/>
        <v>75.5</v>
      </c>
      <c r="O175" s="21">
        <f t="shared" si="4"/>
        <v>-10.56675</v>
      </c>
      <c r="P175" s="21">
        <f t="shared" si="102"/>
        <v>-0.38175</v>
      </c>
      <c r="Q175" s="22">
        <f t="shared" si="6"/>
        <v>0.56966625</v>
      </c>
      <c r="R175" s="25" t="str">
        <f t="shared" si="7"/>
        <v>F</v>
      </c>
      <c r="S175" s="19">
        <f t="shared" si="8"/>
        <v>0.6125</v>
      </c>
      <c r="T175" s="19" t="str">
        <f t="shared" si="9"/>
        <v>D-</v>
      </c>
      <c r="U175" s="3" t="s">
        <v>203</v>
      </c>
      <c r="V175" s="4" t="str">
        <f>IF(ISBLANK(C175),,IFERROR(IF(VLOOKUP(B175,Standings!$A:$F, 6, 0)=VLOOKUP(C175,Standings!$A:$F, 6, 0), VLOOKUP(B175,Standings!$A:$F, 6, 0), "Non-con"), "FCS"))</f>
        <v>CUSA</v>
      </c>
      <c r="W175" s="3" t="str">
        <f t="shared" si="10"/>
        <v>Middle Tennessee</v>
      </c>
      <c r="X175" s="3" t="str">
        <f t="shared" si="11"/>
        <v>Texas-San Antonio</v>
      </c>
      <c r="Y175" s="30">
        <f>IF(D175=0,,IF(ISBLANK(Q175),,VLOOKUP(X175,Week3,2,FALSE)/(VLOOKUP(X175,Week3,2,FALSE)+VLOOKUP(W175,Week3,2,FALSE))+0.05)*100)</f>
        <v>68.74485597</v>
      </c>
      <c r="Z175" s="3" t="s">
        <v>105</v>
      </c>
      <c r="AA175" s="3">
        <v>37.0</v>
      </c>
      <c r="AB175" s="4" t="str">
        <f t="shared" si="20"/>
        <v>Middle Tennessee</v>
      </c>
      <c r="AC175" s="3">
        <v>35.0</v>
      </c>
      <c r="AD175" s="3"/>
      <c r="AE175" s="3">
        <f t="shared" si="13"/>
        <v>2</v>
      </c>
      <c r="AF175" s="3"/>
      <c r="AG175" s="3">
        <f t="shared" si="25"/>
        <v>1</v>
      </c>
      <c r="AH175" s="3"/>
      <c r="AI175" s="7"/>
      <c r="AJ175" s="4"/>
      <c r="AK175" s="7"/>
      <c r="AL175" s="7"/>
      <c r="AM175" s="7"/>
      <c r="AN175" s="7"/>
      <c r="AO175" s="7"/>
      <c r="AP175" s="7"/>
      <c r="AQ175" s="7"/>
      <c r="AR175" s="7"/>
      <c r="AS175" s="7"/>
      <c r="AT175" s="7"/>
      <c r="AU175" s="7"/>
      <c r="AV175" s="7"/>
      <c r="AW175" s="7"/>
      <c r="AX175" s="7"/>
    </row>
    <row r="176" ht="12.75" hidden="1" customHeight="1">
      <c r="A176" s="3">
        <v>4.0</v>
      </c>
      <c r="B176" s="3" t="s">
        <v>117</v>
      </c>
      <c r="C176" s="3" t="s">
        <v>55</v>
      </c>
      <c r="D176" s="4">
        <f>IFERROR(VLOOKUP(B176,Week3,2,FALSE),0)</f>
        <v>36.59</v>
      </c>
      <c r="E176" s="4">
        <f>IF(ISBLANK(B176),,IFERROR(VLOOKUP(B176,CurrentRank!$B$2:$C$132,2,FALSE),0))</f>
        <v>38.08</v>
      </c>
      <c r="F176" s="4">
        <f>IFERROR(VLOOKUP(B176,Week3,3,FALSE),130)</f>
        <v>41</v>
      </c>
      <c r="G176" s="4">
        <f>IF(ISBLANK(B176),,IFERROR(VLOOKUP(B176,CurrentRank!$B$2:$D$132,3,FALSE),130))</f>
        <v>37</v>
      </c>
      <c r="H176" s="4">
        <f>IFERROR(VLOOKUP(C176,Week3,2,FALSE),0)</f>
        <v>64.06</v>
      </c>
      <c r="I176" s="4">
        <f>IF(ISBLANK(B176),,IFERROR(VLOOKUP(C176,CurrentRank!$B$2:$C$132,2,FALSE),0))</f>
        <v>59.34</v>
      </c>
      <c r="J176" s="4">
        <f>IFERROR(VLOOKUP(C176,Week3,3,FALSE),130)</f>
        <v>15</v>
      </c>
      <c r="K176" s="4">
        <f>IF(ISBLANK(C176),,IFERROR(VLOOKUP(C176,CurrentRank!$B$2:$D$132,3,FALSE),130))</f>
        <v>22</v>
      </c>
      <c r="L176" s="19">
        <f t="shared" si="104"/>
        <v>1.50975</v>
      </c>
      <c r="M176" s="19">
        <f t="shared" si="105"/>
        <v>1.4613</v>
      </c>
      <c r="N176" s="24">
        <f t="shared" si="82"/>
        <v>28</v>
      </c>
      <c r="O176" s="21">
        <f t="shared" si="4"/>
        <v>-14.489875</v>
      </c>
      <c r="P176" s="21">
        <f t="shared" si="102"/>
        <v>-11.384875</v>
      </c>
      <c r="Q176" s="22">
        <f t="shared" si="6"/>
        <v>0.787550625</v>
      </c>
      <c r="R176" s="25" t="str">
        <f t="shared" si="7"/>
        <v>C+</v>
      </c>
      <c r="S176" s="19">
        <f t="shared" si="8"/>
        <v>0.79</v>
      </c>
      <c r="T176" s="19" t="str">
        <f t="shared" si="9"/>
        <v>C+</v>
      </c>
      <c r="U176" s="3" t="s">
        <v>203</v>
      </c>
      <c r="V176" s="4" t="str">
        <f>IF(ISBLANK(C176),,IFERROR(IF(VLOOKUP(B176,Standings!$A:$F, 6, 0)=VLOOKUP(C176,Standings!$A:$F, 6, 0), VLOOKUP(B176,Standings!$A:$F, 6, 0), "Non-con"), "FCS"))</f>
        <v>BIG12</v>
      </c>
      <c r="W176" s="3" t="str">
        <f t="shared" si="10"/>
        <v>West Virginia</v>
      </c>
      <c r="X176" s="3" t="str">
        <f t="shared" si="11"/>
        <v>Oklahoma State</v>
      </c>
      <c r="Y176" s="30">
        <f>IF(D176=0,,IF(ISBLANK(Q176),,VLOOKUP(X176,Week3,2,FALSE)/(VLOOKUP(X176,Week3,2,FALSE)+VLOOKUP(W176,Week3,2,FALSE))+0.05)*100)</f>
        <v>68.64629906</v>
      </c>
      <c r="Z176" s="3" t="s">
        <v>55</v>
      </c>
      <c r="AA176" s="3">
        <v>27.0</v>
      </c>
      <c r="AB176" s="4" t="str">
        <f t="shared" si="20"/>
        <v>West Virginia</v>
      </c>
      <c r="AC176" s="3">
        <v>13.0</v>
      </c>
      <c r="AD176" s="3"/>
      <c r="AE176" s="3">
        <f t="shared" si="13"/>
        <v>14</v>
      </c>
      <c r="AF176" s="3"/>
      <c r="AG176" s="3">
        <f t="shared" si="25"/>
        <v>1</v>
      </c>
      <c r="AH176" s="3"/>
      <c r="AI176" s="7"/>
      <c r="AJ176" s="4"/>
      <c r="AK176" s="7"/>
      <c r="AL176" s="7"/>
      <c r="AM176" s="7"/>
      <c r="AN176" s="7"/>
      <c r="AO176" s="7"/>
      <c r="AP176" s="7"/>
      <c r="AQ176" s="7"/>
      <c r="AR176" s="7"/>
      <c r="AS176" s="7"/>
      <c r="AT176" s="7"/>
      <c r="AU176" s="7"/>
      <c r="AV176" s="7"/>
      <c r="AW176" s="7"/>
      <c r="AX176" s="7"/>
    </row>
    <row r="177" ht="12.75" hidden="1" customHeight="1">
      <c r="A177" s="3">
        <v>11.0</v>
      </c>
      <c r="B177" s="3" t="s">
        <v>62</v>
      </c>
      <c r="C177" s="3" t="s">
        <v>158</v>
      </c>
      <c r="D177" s="4">
        <f>IFERROR(VLOOKUP(B177,Week10,2,FALSE),0)</f>
        <v>73.92</v>
      </c>
      <c r="E177" s="4">
        <f>IF(ISBLANK(B177),,IFERROR(VLOOKUP(B177,CurrentRank!$B$2:$C$132,2,FALSE),0))</f>
        <v>37.34</v>
      </c>
      <c r="F177" s="4">
        <f>IFERROR(VLOOKUP(B177,Week10,3,FALSE),130)</f>
        <v>13</v>
      </c>
      <c r="G177" s="4">
        <f>IF(ISBLANK(B177),,IFERROR(VLOOKUP(B177,CurrentRank!$B$2:$D$132,3,FALSE),130))</f>
        <v>44</v>
      </c>
      <c r="H177" s="4">
        <f>IFERROR(VLOOKUP(C177,Week10,2,FALSE),0)</f>
        <v>42.61</v>
      </c>
      <c r="I177" s="4">
        <f>IF(ISBLANK(B177),,IFERROR(VLOOKUP(C177,CurrentRank!$B$2:$C$132,2,FALSE),0))</f>
        <v>34.21</v>
      </c>
      <c r="J177" s="4">
        <f>IFERROR(VLOOKUP(C177,Week10,3,FALSE),130)</f>
        <v>31</v>
      </c>
      <c r="K177" s="4">
        <f>IF(ISBLANK(C177),,IFERROR(VLOOKUP(C177,CurrentRank!$B$2:$D$132,3,FALSE),130))</f>
        <v>72</v>
      </c>
      <c r="L177" s="19">
        <f t="shared" si="104"/>
        <v>1.74795</v>
      </c>
      <c r="M177" s="19">
        <f t="shared" si="105"/>
        <v>1.07325</v>
      </c>
      <c r="N177" s="24">
        <f t="shared" si="82"/>
        <v>22</v>
      </c>
      <c r="O177" s="21">
        <f t="shared" si="4"/>
        <v>14.781025</v>
      </c>
      <c r="P177" s="21">
        <f t="shared" si="102"/>
        <v>0.691025</v>
      </c>
      <c r="Q177" s="22">
        <f t="shared" si="6"/>
        <v>0.816094875</v>
      </c>
      <c r="R177" s="25" t="str">
        <f t="shared" si="7"/>
        <v>B-</v>
      </c>
      <c r="S177" s="19">
        <f t="shared" si="8"/>
        <v>0.82</v>
      </c>
      <c r="T177" s="19" t="str">
        <f t="shared" si="9"/>
        <v>B-</v>
      </c>
      <c r="U177" s="3" t="s">
        <v>203</v>
      </c>
      <c r="V177" s="4" t="str">
        <f>IF(ISBLANK(C177),,IFERROR(IF(VLOOKUP(B177,Standings!$A:$F, 6, 0)=VLOOKUP(C177,Standings!$A:$F, 6, 0), VLOOKUP(B177,Standings!$A:$F, 6, 0), "Non-con"), "FCS"))</f>
        <v>PAC12</v>
      </c>
      <c r="W177" s="3" t="str">
        <f t="shared" si="10"/>
        <v>Washington State</v>
      </c>
      <c r="X177" s="3" t="str">
        <f t="shared" si="11"/>
        <v>Oregon</v>
      </c>
      <c r="Y177" s="30">
        <f>IF(D177=0,,IF(ISBLANK(Q177),,VLOOKUP(X177,Week10,2,FALSE)/(VLOOKUP(X177,Week10,2,FALSE)+VLOOKUP(W177,Week10,2,FALSE))+0.05)*100)</f>
        <v>68.43430876</v>
      </c>
      <c r="Z177" s="3" t="s">
        <v>62</v>
      </c>
      <c r="AA177" s="3">
        <v>43.0</v>
      </c>
      <c r="AB177" s="4" t="str">
        <f t="shared" si="20"/>
        <v>Washington State</v>
      </c>
      <c r="AC177" s="3">
        <v>29.0</v>
      </c>
      <c r="AD177" s="3"/>
      <c r="AE177" s="3">
        <f t="shared" si="13"/>
        <v>14</v>
      </c>
      <c r="AF177" s="3"/>
      <c r="AG177" s="3">
        <f t="shared" si="25"/>
        <v>1</v>
      </c>
      <c r="AH177" s="3"/>
      <c r="AI177" s="7"/>
      <c r="AJ177" s="4" t="s">
        <v>167</v>
      </c>
      <c r="AK177" s="7"/>
      <c r="AL177" s="7"/>
      <c r="AM177" s="7"/>
      <c r="AN177" s="7"/>
      <c r="AO177" s="7"/>
      <c r="AP177" s="7"/>
      <c r="AQ177" s="7"/>
      <c r="AR177" s="7"/>
      <c r="AS177" s="7"/>
      <c r="AT177" s="7"/>
      <c r="AU177" s="7"/>
      <c r="AV177" s="7"/>
      <c r="AW177" s="7"/>
      <c r="AX177" s="7"/>
    </row>
    <row r="178" ht="12.75" hidden="1" customHeight="1">
      <c r="A178" s="3">
        <v>7.0</v>
      </c>
      <c r="B178" s="3" t="s">
        <v>73</v>
      </c>
      <c r="C178" s="3" t="s">
        <v>196</v>
      </c>
      <c r="D178" s="4">
        <f>IFERROR(VLOOKUP(B178,Week6,2,FALSE),0)</f>
        <v>73.86</v>
      </c>
      <c r="E178" s="4">
        <f>IF(ISBLANK(B178),,IFERROR(VLOOKUP(B178,CurrentRank!$B$2:$C$132,2,FALSE),0))</f>
        <v>69.33</v>
      </c>
      <c r="F178" s="4">
        <f>IFERROR(VLOOKUP(B178,Week6,3,FALSE),130)</f>
        <v>7</v>
      </c>
      <c r="G178" s="4">
        <f>IF(ISBLANK(B178),,IFERROR(VLOOKUP(B178,CurrentRank!$B$2:$D$132,3,FALSE),130))</f>
        <v>15</v>
      </c>
      <c r="H178" s="4">
        <f>IFERROR(VLOOKUP(C178,Week6,2,FALSE),0)</f>
        <v>43.06</v>
      </c>
      <c r="I178" s="4">
        <f>IF(ISBLANK(B178),,IFERROR(VLOOKUP(C178,CurrentRank!$B$2:$C$132,2,FALSE),0))</f>
        <v>33.03</v>
      </c>
      <c r="J178" s="4">
        <f>IFERROR(VLOOKUP(C178,Week6,3,FALSE),130)</f>
        <v>31</v>
      </c>
      <c r="K178" s="4">
        <f>IF(ISBLANK(C178),,IFERROR(VLOOKUP(C178,CurrentRank!$B$2:$D$132,3,FALSE),130))</f>
        <v>86</v>
      </c>
      <c r="L178" s="19">
        <f t="shared" si="104"/>
        <v>1.7538</v>
      </c>
      <c r="M178" s="19">
        <f t="shared" si="105"/>
        <v>1.5354</v>
      </c>
      <c r="N178" s="24">
        <f t="shared" si="82"/>
        <v>19</v>
      </c>
      <c r="O178" s="21">
        <f t="shared" si="4"/>
        <v>14.5231</v>
      </c>
      <c r="P178" s="21">
        <f t="shared" si="102"/>
        <v>17.2731</v>
      </c>
      <c r="Q178" s="22">
        <f t="shared" si="6"/>
        <v>0.8323845</v>
      </c>
      <c r="R178" s="25" t="str">
        <f t="shared" si="7"/>
        <v>B</v>
      </c>
      <c r="S178" s="19">
        <f t="shared" si="8"/>
        <v>0.82</v>
      </c>
      <c r="T178" s="19" t="str">
        <f t="shared" si="9"/>
        <v>B-</v>
      </c>
      <c r="U178" s="3" t="s">
        <v>203</v>
      </c>
      <c r="V178" s="4" t="str">
        <f>IF(ISBLANK(C178),,IFERROR(IF(VLOOKUP(B178,Standings!$A:$F, 6, 0)=VLOOKUP(C178,Standings!$A:$F, 6, 0), VLOOKUP(B178,Standings!$A:$F, 6, 0), "Non-con"), "FCS"))</f>
        <v>Non-con</v>
      </c>
      <c r="W178" s="3" t="str">
        <f t="shared" si="10"/>
        <v>Houston</v>
      </c>
      <c r="X178" s="3" t="str">
        <f t="shared" si="11"/>
        <v>BYU</v>
      </c>
      <c r="Y178" s="30">
        <f>IF(D178=0,,IF(ISBLANK(Q178),,VLOOKUP(X178,Week6,2,FALSE)/(VLOOKUP(X178,Week6,2,FALSE)+VLOOKUP(W178,Week6,2,FALSE))+0.05)*100)</f>
        <v>68.17139925</v>
      </c>
      <c r="Z178" s="3" t="s">
        <v>73</v>
      </c>
      <c r="AA178" s="3">
        <v>43.0</v>
      </c>
      <c r="AB178" s="4" t="str">
        <f t="shared" si="20"/>
        <v>Houston</v>
      </c>
      <c r="AC178" s="3">
        <v>26.0</v>
      </c>
      <c r="AD178" s="3"/>
      <c r="AE178" s="3">
        <f t="shared" si="13"/>
        <v>17</v>
      </c>
      <c r="AF178" s="3"/>
      <c r="AG178" s="3">
        <f t="shared" si="25"/>
        <v>1</v>
      </c>
      <c r="AH178" s="3"/>
      <c r="AI178" s="7"/>
      <c r="AJ178" s="4"/>
      <c r="AK178" s="7"/>
      <c r="AL178" s="7"/>
      <c r="AM178" s="7"/>
      <c r="AN178" s="7"/>
      <c r="AO178" s="7"/>
      <c r="AP178" s="7"/>
      <c r="AQ178" s="7"/>
      <c r="AR178" s="7"/>
      <c r="AS178" s="7"/>
      <c r="AT178" s="7"/>
      <c r="AU178" s="7"/>
      <c r="AV178" s="7"/>
      <c r="AW178" s="7"/>
      <c r="AX178" s="7"/>
    </row>
    <row r="179" ht="12.75" customHeight="1">
      <c r="A179" s="3">
        <v>6.0</v>
      </c>
      <c r="B179" s="3" t="s">
        <v>116</v>
      </c>
      <c r="C179" s="3" t="s">
        <v>113</v>
      </c>
      <c r="D179" s="4">
        <f>IFERROR(VLOOKUP(B179,Week5,2,FALSE),0)</f>
        <v>40.63</v>
      </c>
      <c r="E179" s="4">
        <f>IF(ISBLANK(B179),,IFERROR(VLOOKUP(B179,CurrentRank!$B$2:$C$132,2,FALSE),0))</f>
        <v>31.6</v>
      </c>
      <c r="F179" s="4">
        <f>IFERROR(VLOOKUP(B179,Week5,3,FALSE),130)</f>
        <v>32</v>
      </c>
      <c r="G179" s="4">
        <f>IF(ISBLANK(B179),,IFERROR(VLOOKUP(B179,CurrentRank!$B$2:$D$132,3,FALSE),130))</f>
        <v>96</v>
      </c>
      <c r="H179" s="4">
        <f>IFERROR(VLOOKUP(C179,Week5,2,FALSE),0)</f>
        <v>40.69</v>
      </c>
      <c r="I179" s="4">
        <f>IF(ISBLANK(B179),,IFERROR(VLOOKUP(C179,CurrentRank!$B$2:$C$132,2,FALSE),0))</f>
        <v>41.9</v>
      </c>
      <c r="J179" s="4">
        <f>IFERROR(VLOOKUP(C179,Week5,3,FALSE),130)</f>
        <v>31</v>
      </c>
      <c r="K179" s="4">
        <f>IF(ISBLANK(C179),,IFERROR(VLOOKUP(C179,CurrentRank!$B$2:$D$132,3,FALSE),130))</f>
        <v>29</v>
      </c>
      <c r="L179" s="19">
        <f t="shared" si="104"/>
        <v>1.2198</v>
      </c>
      <c r="M179" s="19">
        <f t="shared" si="105"/>
        <v>1.1025</v>
      </c>
      <c r="N179" s="24">
        <f t="shared" si="82"/>
        <v>31.5</v>
      </c>
      <c r="O179" s="21">
        <f t="shared" si="4"/>
        <v>-0.6399</v>
      </c>
      <c r="P179" s="21">
        <f t="shared" si="102"/>
        <v>-5.7599</v>
      </c>
      <c r="Q179" s="22">
        <f t="shared" si="6"/>
        <v>0.8393005</v>
      </c>
      <c r="R179" s="25" t="str">
        <f t="shared" si="7"/>
        <v>B</v>
      </c>
      <c r="S179" s="19">
        <f t="shared" si="8"/>
        <v>0.8075</v>
      </c>
      <c r="T179" s="19" t="str">
        <f t="shared" si="9"/>
        <v>B-</v>
      </c>
      <c r="U179" s="3" t="s">
        <v>203</v>
      </c>
      <c r="V179" s="4" t="str">
        <f>IF(ISBLANK(C179),,IFERROR(IF(VLOOKUP(B179,Standings!$A:$F, 6, 0)=VLOOKUP(C179,Standings!$A:$F, 6, 0), VLOOKUP(B179,Standings!$A:$F, 6, 0), "Non-con"), "FCS"))</f>
        <v>BIG12</v>
      </c>
      <c r="W179" s="3" t="str">
        <f t="shared" si="10"/>
        <v>Kansas State</v>
      </c>
      <c r="X179" s="3" t="str">
        <f t="shared" si="11"/>
        <v>TCU</v>
      </c>
      <c r="Y179" s="30">
        <f>IF(D179=0,,IF(ISBLANK(Q179),,VLOOKUP(X179,Week5,2,FALSE)/(VLOOKUP(X179,Week5,2,FALSE)+VLOOKUP(W179,Week5,2,FALSE))+0.05)*100)</f>
        <v>55.03689129</v>
      </c>
      <c r="Z179" s="3" t="s">
        <v>116</v>
      </c>
      <c r="AA179" s="3">
        <v>21.0</v>
      </c>
      <c r="AB179" s="4" t="str">
        <f t="shared" si="20"/>
        <v>TCU</v>
      </c>
      <c r="AC179" s="3">
        <v>14.0</v>
      </c>
      <c r="AD179" s="3"/>
      <c r="AE179" s="3">
        <f t="shared" si="13"/>
        <v>7</v>
      </c>
      <c r="AF179" s="3"/>
      <c r="AG179" s="3">
        <f t="shared" si="25"/>
        <v>0</v>
      </c>
      <c r="AH179" s="3"/>
      <c r="AI179" s="7"/>
      <c r="AJ179" s="4" t="s">
        <v>187</v>
      </c>
      <c r="AK179" s="7"/>
      <c r="AL179" s="7"/>
      <c r="AM179" s="7"/>
      <c r="AN179" s="7"/>
      <c r="AO179" s="7"/>
      <c r="AP179" s="7"/>
      <c r="AQ179" s="7"/>
      <c r="AR179" s="7"/>
      <c r="AS179" s="7"/>
      <c r="AT179" s="7"/>
      <c r="AU179" s="7"/>
      <c r="AV179" s="7"/>
      <c r="AW179" s="7"/>
      <c r="AX179" s="7"/>
    </row>
    <row r="180" ht="12.75" hidden="1" customHeight="1">
      <c r="A180" s="3">
        <v>3.0</v>
      </c>
      <c r="B180" s="3" t="s">
        <v>128</v>
      </c>
      <c r="C180" s="3" t="s">
        <v>89</v>
      </c>
      <c r="D180" s="4">
        <f>IFERROR(VLOOKUP(B180,Week2,2,FALSE),0)</f>
        <v>18.47</v>
      </c>
      <c r="E180" s="4">
        <f>IF(ISBLANK(B180),,IFERROR(VLOOKUP(B180,CurrentRank!$B$2:$C$132,2,FALSE),0))</f>
        <v>26.74</v>
      </c>
      <c r="F180" s="4">
        <f>IFERROR(VLOOKUP(B180,Week2,3,FALSE),130)</f>
        <v>129</v>
      </c>
      <c r="G180" s="4">
        <f>IF(ISBLANK(B180),,IFERROR(VLOOKUP(B180,CurrentRank!$B$2:$D$132,3,FALSE),130))</f>
        <v>123</v>
      </c>
      <c r="H180" s="4">
        <f>IFERROR(VLOOKUP(C180,Week2,2,FALSE),0)</f>
        <v>31.38</v>
      </c>
      <c r="I180" s="4">
        <f>IF(ISBLANK(B180),,IFERROR(VLOOKUP(C180,CurrentRank!$B$2:$C$132,2,FALSE),0))</f>
        <v>35.74</v>
      </c>
      <c r="J180" s="4">
        <f>IFERROR(VLOOKUP(C180,Week2,3,FALSE),130)</f>
        <v>33</v>
      </c>
      <c r="K180" s="4">
        <f>IF(ISBLANK(C180),,IFERROR(VLOOKUP(C180,CurrentRank!$B$2:$D$132,3,FALSE),130))</f>
        <v>56</v>
      </c>
      <c r="L180" s="19">
        <f t="shared" si="104"/>
        <v>0.74775</v>
      </c>
      <c r="M180" s="19">
        <f t="shared" si="105"/>
        <v>0.9372</v>
      </c>
      <c r="N180" s="24">
        <f t="shared" si="82"/>
        <v>81</v>
      </c>
      <c r="O180" s="21">
        <f t="shared" si="4"/>
        <v>-6.828875</v>
      </c>
      <c r="P180" s="21">
        <f t="shared" si="102"/>
        <v>-4.873875</v>
      </c>
      <c r="Q180" s="22">
        <f t="shared" si="6"/>
        <v>0.560855625</v>
      </c>
      <c r="R180" s="25" t="str">
        <f t="shared" si="7"/>
        <v>F</v>
      </c>
      <c r="S180" s="19">
        <f t="shared" si="8"/>
        <v>0.54</v>
      </c>
      <c r="T180" s="19" t="str">
        <f t="shared" si="9"/>
        <v>F</v>
      </c>
      <c r="U180" s="3" t="s">
        <v>203</v>
      </c>
      <c r="V180" s="4" t="str">
        <f>IF(ISBLANK(C180),,IFERROR(IF(VLOOKUP(B180,Standings!$A:$F, 6, 0)=VLOOKUP(C180,Standings!$A:$F, 6, 0), VLOOKUP(B180,Standings!$A:$F, 6, 0), "Non-con"), "FCS"))</f>
        <v>ACC</v>
      </c>
      <c r="W180" s="3" t="str">
        <f t="shared" si="10"/>
        <v>Syracuse</v>
      </c>
      <c r="X180" s="3" t="str">
        <f t="shared" si="11"/>
        <v>Pittsburgh</v>
      </c>
      <c r="Y180" s="30">
        <f>IF(D180=0,,IF(ISBLANK(Q180),,VLOOKUP(X180,Week2,2,FALSE)/(VLOOKUP(X180,Week2,2,FALSE)+VLOOKUP(W180,Week2,2,FALSE))+0.05)*100)</f>
        <v>67.94884654</v>
      </c>
      <c r="Z180" s="3" t="s">
        <v>89</v>
      </c>
      <c r="AA180" s="3">
        <v>21.0</v>
      </c>
      <c r="AB180" s="4" t="str">
        <f t="shared" si="20"/>
        <v>Syracuse</v>
      </c>
      <c r="AC180" s="3">
        <v>10.0</v>
      </c>
      <c r="AD180" s="3"/>
      <c r="AE180" s="3">
        <f t="shared" si="13"/>
        <v>11</v>
      </c>
      <c r="AF180" s="3"/>
      <c r="AG180" s="3">
        <f t="shared" si="25"/>
        <v>1</v>
      </c>
      <c r="AH180" s="3"/>
      <c r="AI180" s="7"/>
      <c r="AJ180" s="4"/>
      <c r="AK180" s="7"/>
      <c r="AL180" s="7"/>
      <c r="AM180" s="7"/>
      <c r="AN180" s="7"/>
      <c r="AO180" s="7"/>
      <c r="AP180" s="7"/>
      <c r="AQ180" s="7"/>
      <c r="AR180" s="7"/>
      <c r="AS180" s="7"/>
      <c r="AT180" s="7"/>
      <c r="AU180" s="7"/>
      <c r="AV180" s="7"/>
      <c r="AW180" s="7"/>
      <c r="AX180" s="7"/>
    </row>
    <row r="181" ht="12.75" hidden="1" customHeight="1">
      <c r="A181" s="3">
        <v>13.0</v>
      </c>
      <c r="B181" s="3" t="s">
        <v>132</v>
      </c>
      <c r="C181" s="3" t="s">
        <v>196</v>
      </c>
      <c r="D181" s="4">
        <f>IFERROR(VLOOKUP(B181,Week12,2,FALSE),0)</f>
        <v>57.48</v>
      </c>
      <c r="E181" s="4">
        <f>IF(ISBLANK(B181),,IFERROR(VLOOKUP(B181,CurrentRank!$B$2:$C$132,2,FALSE),0))</f>
        <v>37.38</v>
      </c>
      <c r="F181" s="4">
        <f>IFERROR(VLOOKUP(B181,Week12,3,FALSE),130)</f>
        <v>22</v>
      </c>
      <c r="G181" s="4">
        <f>IF(ISBLANK(B181),,IFERROR(VLOOKUP(B181,CurrentRank!$B$2:$D$132,3,FALSE),130))</f>
        <v>43</v>
      </c>
      <c r="H181" s="4">
        <f>IFERROR(VLOOKUP(C181,Week12,2,FALSE),0)</f>
        <v>33.88</v>
      </c>
      <c r="I181" s="4">
        <f>IF(ISBLANK(B181),,IFERROR(VLOOKUP(C181,CurrentRank!$B$2:$C$132,2,FALSE),0))</f>
        <v>33.03</v>
      </c>
      <c r="J181" s="4">
        <f>IFERROR(VLOOKUP(C181,Week12,3,FALSE),130)</f>
        <v>70</v>
      </c>
      <c r="K181" s="4">
        <f>IF(ISBLANK(C181),,IFERROR(VLOOKUP(C181,CurrentRank!$B$2:$D$132,3,FALSE),130))</f>
        <v>86</v>
      </c>
      <c r="L181" s="19">
        <f t="shared" ref="L181:M181" si="106">IF(ISBLANK(C181),,(D181+H181)*0.015)</f>
        <v>1.3704</v>
      </c>
      <c r="M181" s="19">
        <f t="shared" si="106"/>
        <v>1.05615</v>
      </c>
      <c r="N181" s="24">
        <f t="shared" si="82"/>
        <v>46</v>
      </c>
      <c r="O181" s="24">
        <f t="shared" si="4"/>
        <v>11.1148</v>
      </c>
      <c r="P181" s="24">
        <f t="shared" si="102"/>
        <v>1.4898</v>
      </c>
      <c r="Q181" s="22">
        <f t="shared" si="6"/>
        <v>0.714426</v>
      </c>
      <c r="R181" s="25" t="str">
        <f t="shared" si="7"/>
        <v>C-</v>
      </c>
      <c r="S181" s="19" t="str">
        <f t="shared" si="8"/>
        <v/>
      </c>
      <c r="T181" s="19" t="str">
        <f t="shared" si="9"/>
        <v/>
      </c>
      <c r="U181" s="3" t="s">
        <v>203</v>
      </c>
      <c r="V181" s="4" t="str">
        <f>IF(ISBLANK(C181),,IFERROR(IF(VLOOKUP(B181,Standings!$A:$F, 6, 0)=VLOOKUP(C181,Standings!$A:$F, 6, 0), VLOOKUP(B181,Standings!$A:$F, 6, 0), "Non-con"), "FCS"))</f>
        <v>AAC</v>
      </c>
      <c r="W181" s="3" t="str">
        <f t="shared" si="10"/>
        <v>Houston</v>
      </c>
      <c r="X181" s="3" t="str">
        <f t="shared" si="11"/>
        <v>Tulsa</v>
      </c>
      <c r="Y181" s="30">
        <f>IF(D181=0,,IF(ISBLANK(Q181),,VLOOKUP(X181,Week12,2,FALSE)/(VLOOKUP(X181,Week12,2,FALSE)+VLOOKUP(W181,Week12,2,FALSE))+0.05)*100)</f>
        <v>67.91593695</v>
      </c>
      <c r="Z181" s="3"/>
      <c r="AA181" s="3"/>
      <c r="AB181" s="4" t="str">
        <f t="shared" si="20"/>
        <v/>
      </c>
      <c r="AC181" s="3"/>
      <c r="AD181" s="3"/>
      <c r="AE181" s="3" t="str">
        <f t="shared" si="13"/>
        <v/>
      </c>
      <c r="AF181" s="3" t="s">
        <v>228</v>
      </c>
      <c r="AG181" s="3" t="str">
        <f t="shared" si="25"/>
        <v/>
      </c>
      <c r="AH181" s="3"/>
      <c r="AI181" s="7"/>
      <c r="AJ181" s="4"/>
      <c r="AK181" s="7"/>
      <c r="AL181" s="7"/>
      <c r="AM181" s="7"/>
      <c r="AN181" s="7"/>
      <c r="AO181" s="7"/>
      <c r="AP181" s="7"/>
      <c r="AQ181" s="7"/>
      <c r="AR181" s="7"/>
      <c r="AS181" s="7"/>
      <c r="AT181" s="7"/>
      <c r="AU181" s="7"/>
      <c r="AV181" s="7"/>
      <c r="AW181" s="7"/>
      <c r="AX181" s="7"/>
    </row>
    <row r="182" ht="12.75" hidden="1" customHeight="1">
      <c r="A182" s="3">
        <v>11.0</v>
      </c>
      <c r="B182" s="3" t="s">
        <v>180</v>
      </c>
      <c r="C182" s="3" t="s">
        <v>190</v>
      </c>
      <c r="D182" s="4">
        <f>IFERROR(VLOOKUP(B182,Week10,2,FALSE),0)</f>
        <v>41.48</v>
      </c>
      <c r="E182" s="4">
        <f>IF(ISBLANK(B182),,IFERROR(VLOOKUP(B182,CurrentRank!$B$2:$C$132,2,FALSE),0))</f>
        <v>35.77</v>
      </c>
      <c r="F182" s="4">
        <f>IFERROR(VLOOKUP(B182,Week10,3,FALSE),130)</f>
        <v>34</v>
      </c>
      <c r="G182" s="4">
        <f>IF(ISBLANK(B182),,IFERROR(VLOOKUP(B182,CurrentRank!$B$2:$D$132,3,FALSE),130))</f>
        <v>55</v>
      </c>
      <c r="H182" s="4">
        <f>IFERROR(VLOOKUP(C182,Week10,2,FALSE),0)</f>
        <v>24.54</v>
      </c>
      <c r="I182" s="4">
        <f>IF(ISBLANK(B182),,IFERROR(VLOOKUP(C182,CurrentRank!$B$2:$C$132,2,FALSE),0))</f>
        <v>42.24</v>
      </c>
      <c r="J182" s="4">
        <f>IFERROR(VLOOKUP(C182,Week10,3,FALSE),130)</f>
        <v>125</v>
      </c>
      <c r="K182" s="4">
        <f>IF(ISBLANK(C182),,IFERROR(VLOOKUP(C182,CurrentRank!$B$2:$D$132,3,FALSE),130))</f>
        <v>28</v>
      </c>
      <c r="L182" s="19">
        <f t="shared" ref="L182:L183" si="107">IF(U182= "Yes", 0, IF(ISBLANK(C182),,(D182+H182)*0.015))</f>
        <v>0.9903</v>
      </c>
      <c r="M182" s="19">
        <f t="shared" ref="M182:M183" si="108">IF(U182= "Yes", 0, IF(ISBLANK(D182),,(E182+I182)*0.015))</f>
        <v>1.17015</v>
      </c>
      <c r="N182" s="24">
        <f t="shared" si="82"/>
        <v>79.5</v>
      </c>
      <c r="O182" s="21">
        <f t="shared" si="4"/>
        <v>7.97485</v>
      </c>
      <c r="P182" s="21">
        <f t="shared" si="102"/>
        <v>-3.73015</v>
      </c>
      <c r="Q182" s="22">
        <f t="shared" si="6"/>
        <v>0.56262575</v>
      </c>
      <c r="R182" s="25" t="str">
        <f t="shared" si="7"/>
        <v>F</v>
      </c>
      <c r="S182" s="19">
        <f t="shared" si="8"/>
        <v>0.5875</v>
      </c>
      <c r="T182" s="19" t="str">
        <f t="shared" si="9"/>
        <v>F</v>
      </c>
      <c r="U182" s="3" t="s">
        <v>203</v>
      </c>
      <c r="V182" s="4" t="str">
        <f>IF(ISBLANK(C182),,IFERROR(IF(VLOOKUP(B182,Standings!$A:$F, 6, 0)=VLOOKUP(C182,Standings!$A:$F, 6, 0), VLOOKUP(B182,Standings!$A:$F, 6, 0), "Non-con"), "FCS"))</f>
        <v>PAC12</v>
      </c>
      <c r="W182" s="3" t="str">
        <f t="shared" si="10"/>
        <v>Stanford</v>
      </c>
      <c r="X182" s="3" t="str">
        <f t="shared" si="11"/>
        <v>Colorado</v>
      </c>
      <c r="Y182" s="30">
        <f>IF(D182=0,,IF(ISBLANK(Q182),,VLOOKUP(X182,Week10,2,FALSE)/(VLOOKUP(X182,Week10,2,FALSE)+VLOOKUP(W182,Week10,2,FALSE))+0.05)*100)</f>
        <v>67.82944562</v>
      </c>
      <c r="Z182" s="3" t="s">
        <v>180</v>
      </c>
      <c r="AA182" s="3">
        <v>35.0</v>
      </c>
      <c r="AB182" s="4" t="str">
        <f t="shared" si="20"/>
        <v>Stanford</v>
      </c>
      <c r="AC182" s="3">
        <v>32.0</v>
      </c>
      <c r="AD182" s="3"/>
      <c r="AE182" s="3">
        <f t="shared" si="13"/>
        <v>3</v>
      </c>
      <c r="AF182" s="3"/>
      <c r="AG182" s="3">
        <f t="shared" si="25"/>
        <v>1</v>
      </c>
      <c r="AH182" s="3"/>
      <c r="AI182" s="7"/>
      <c r="AJ182" s="4" t="s">
        <v>137</v>
      </c>
      <c r="AK182" s="7"/>
      <c r="AL182" s="7"/>
      <c r="AM182" s="7"/>
      <c r="AN182" s="7"/>
      <c r="AO182" s="7"/>
      <c r="AP182" s="7"/>
      <c r="AQ182" s="7"/>
      <c r="AR182" s="7"/>
      <c r="AS182" s="7"/>
      <c r="AT182" s="7"/>
      <c r="AU182" s="7"/>
      <c r="AV182" s="7"/>
      <c r="AW182" s="7"/>
      <c r="AX182" s="7"/>
    </row>
    <row r="183" ht="12.75" hidden="1" customHeight="1">
      <c r="A183" s="3">
        <v>14.0</v>
      </c>
      <c r="B183" s="3" t="s">
        <v>192</v>
      </c>
      <c r="C183" s="3" t="s">
        <v>127</v>
      </c>
      <c r="D183" s="4">
        <f>IFERROR(VLOOKUP(B183,Week13,2,FALSE),0)</f>
        <v>19.59</v>
      </c>
      <c r="E183" s="4">
        <f>IF(ISBLANK(B183),,IFERROR(VLOOKUP(B183,CurrentRank!$B$2:$C$132,2,FALSE),0))</f>
        <v>21.55</v>
      </c>
      <c r="F183" s="4">
        <f>IFERROR(VLOOKUP(B183,Week13,3,FALSE),130)</f>
        <v>128</v>
      </c>
      <c r="G183" s="4">
        <f>IF(ISBLANK(B183),,IFERROR(VLOOKUP(B183,CurrentRank!$B$2:$D$132,3,FALSE),130))</f>
        <v>127</v>
      </c>
      <c r="H183" s="4">
        <f>IFERROR(VLOOKUP(C183,Week13,2,FALSE),0)</f>
        <v>33.08</v>
      </c>
      <c r="I183" s="4">
        <f>IF(ISBLANK(B183),,IFERROR(VLOOKUP(C183,CurrentRank!$B$2:$C$132,2,FALSE),0))</f>
        <v>35.27</v>
      </c>
      <c r="J183" s="4">
        <f>IFERROR(VLOOKUP(C183,Week13,3,FALSE),130)</f>
        <v>76</v>
      </c>
      <c r="K183" s="4">
        <f>IF(ISBLANK(C183),,IFERROR(VLOOKUP(C183,CurrentRank!$B$2:$D$132,3,FALSE),130))</f>
        <v>64</v>
      </c>
      <c r="L183" s="19">
        <f t="shared" si="107"/>
        <v>0.79005</v>
      </c>
      <c r="M183" s="19">
        <f t="shared" si="108"/>
        <v>0.8523</v>
      </c>
      <c r="N183" s="24">
        <f t="shared" si="82"/>
        <v>102</v>
      </c>
      <c r="O183" s="21">
        <f t="shared" si="4"/>
        <v>-7.140025</v>
      </c>
      <c r="P183" s="21">
        <f t="shared" si="102"/>
        <v>-7.255025</v>
      </c>
      <c r="Q183" s="22">
        <f t="shared" si="6"/>
        <v>0.454299875</v>
      </c>
      <c r="R183" s="25" t="str">
        <f t="shared" si="7"/>
        <v>F</v>
      </c>
      <c r="S183" s="19">
        <f t="shared" si="8"/>
        <v>0.475</v>
      </c>
      <c r="T183" s="19" t="str">
        <f t="shared" si="9"/>
        <v>F</v>
      </c>
      <c r="U183" s="3" t="s">
        <v>203</v>
      </c>
      <c r="V183" s="4" t="str">
        <f>IF(ISBLANK(C183),,IFERROR(IF(VLOOKUP(B183,Standings!$A:$F, 6, 0)=VLOOKUP(C183,Standings!$A:$F, 6, 0), VLOOKUP(B183,Standings!$A:$F, 6, 0), "Non-con"), "FCS"))</f>
        <v>BIG12</v>
      </c>
      <c r="W183" s="3" t="str">
        <f t="shared" si="10"/>
        <v>Kansas</v>
      </c>
      <c r="X183" s="3" t="str">
        <f t="shared" si="11"/>
        <v>Texas Tech</v>
      </c>
      <c r="Y183" s="30">
        <f>IF(D183=0,,IF(ISBLANK(Q183),,VLOOKUP(X183,Week13,2,FALSE)/(VLOOKUP(X183,Week13,2,FALSE)+VLOOKUP(W183,Week13,2,FALSE))+0.05)*100)</f>
        <v>67.80615151</v>
      </c>
      <c r="Z183" s="3" t="s">
        <v>127</v>
      </c>
      <c r="AA183" s="3">
        <v>16.0</v>
      </c>
      <c r="AB183" s="4" t="str">
        <f t="shared" si="20"/>
        <v>Kansas</v>
      </c>
      <c r="AC183" s="3">
        <v>13.0</v>
      </c>
      <c r="AD183" s="3"/>
      <c r="AE183" s="3">
        <f t="shared" si="13"/>
        <v>3</v>
      </c>
      <c r="AF183" s="3"/>
      <c r="AG183" s="3">
        <f t="shared" si="25"/>
        <v>1</v>
      </c>
      <c r="AH183" s="3"/>
      <c r="AI183" s="7"/>
      <c r="AJ183" s="4"/>
      <c r="AK183" s="7"/>
      <c r="AL183" s="7"/>
      <c r="AM183" s="7"/>
      <c r="AN183" s="7"/>
      <c r="AO183" s="7"/>
      <c r="AP183" s="7"/>
      <c r="AQ183" s="7"/>
      <c r="AR183" s="7"/>
      <c r="AS183" s="7"/>
      <c r="AT183" s="7"/>
      <c r="AU183" s="7"/>
      <c r="AV183" s="7"/>
      <c r="AW183" s="7"/>
      <c r="AX183" s="7"/>
    </row>
    <row r="184" ht="12.75" hidden="1" customHeight="1">
      <c r="A184" s="3">
        <v>14.0</v>
      </c>
      <c r="B184" s="3" t="s">
        <v>170</v>
      </c>
      <c r="C184" s="3" t="s">
        <v>43</v>
      </c>
      <c r="D184" s="4">
        <f>IFERROR(VLOOKUP(B184,Week13,2,FALSE),0)</f>
        <v>24.76</v>
      </c>
      <c r="E184" s="4">
        <f>IF(ISBLANK(B184),,IFERROR(VLOOKUP(B184,CurrentRank!$B$2:$C$132,2,FALSE),0))</f>
        <v>28.08</v>
      </c>
      <c r="F184" s="4">
        <f>IFERROR(VLOOKUP(B184,Week13,3,FALSE),130)</f>
        <v>126</v>
      </c>
      <c r="G184" s="4">
        <f>IF(ISBLANK(B184),,IFERROR(VLOOKUP(B184,CurrentRank!$B$2:$D$132,3,FALSE),130))</f>
        <v>121</v>
      </c>
      <c r="H184" s="4">
        <f>IFERROR(VLOOKUP(C184,Week13,2,FALSE),0)</f>
        <v>14.67</v>
      </c>
      <c r="I184" s="4">
        <f>IF(ISBLANK(B184),,IFERROR(VLOOKUP(C184,CurrentRank!$B$2:$C$132,2,FALSE),0))</f>
        <v>11.84</v>
      </c>
      <c r="J184" s="4">
        <f>IFERROR(VLOOKUP(C184,Week13,3,FALSE),130)</f>
        <v>129</v>
      </c>
      <c r="K184" s="4">
        <f>IF(ISBLANK(C184),,IFERROR(VLOOKUP(C184,CurrentRank!$B$2:$D$132,3,FALSE),130))</f>
        <v>130</v>
      </c>
      <c r="L184" s="19">
        <f t="shared" ref="L184:M184" si="109">IF(ISBLANK(C184),,(D184+H184)*0.015)</f>
        <v>0.59145</v>
      </c>
      <c r="M184" s="19">
        <f t="shared" si="109"/>
        <v>0.5988</v>
      </c>
      <c r="N184" s="24">
        <f t="shared" si="82"/>
        <v>127.5</v>
      </c>
      <c r="O184" s="21">
        <f t="shared" si="4"/>
        <v>4.749275</v>
      </c>
      <c r="P184" s="21">
        <f t="shared" si="102"/>
        <v>7.824275</v>
      </c>
      <c r="Q184" s="22">
        <f t="shared" si="6"/>
        <v>0.338753625</v>
      </c>
      <c r="R184" s="25" t="str">
        <f t="shared" si="7"/>
        <v>F</v>
      </c>
      <c r="S184" s="19" t="str">
        <f t="shared" si="8"/>
        <v/>
      </c>
      <c r="T184" s="19" t="str">
        <f t="shared" si="9"/>
        <v/>
      </c>
      <c r="U184" s="3" t="s">
        <v>203</v>
      </c>
      <c r="V184" s="4" t="str">
        <f>IF(ISBLANK(C184),,IFERROR(IF(VLOOKUP(B184,Standings!$A:$F, 6, 0)=VLOOKUP(C184,Standings!$A:$F, 6, 0), VLOOKUP(B184,Standings!$A:$F, 6, 0), "Non-con"), "FCS"))</f>
        <v>CUSA</v>
      </c>
      <c r="W184" s="3" t="str">
        <f t="shared" si="10"/>
        <v>UTEP</v>
      </c>
      <c r="X184" s="3" t="str">
        <f t="shared" si="11"/>
        <v>Southern Mississippi</v>
      </c>
      <c r="Y184" s="30">
        <f>IF(D184=0,,IF(ISBLANK(Q184),,VLOOKUP(X184,Week13,2,FALSE)/(VLOOKUP(X184,Week13,2,FALSE)+VLOOKUP(W184,Week13,2,FALSE))+0.05)*100)</f>
        <v>67.79482627</v>
      </c>
      <c r="Z184" s="3"/>
      <c r="AA184" s="3"/>
      <c r="AB184" s="4" t="str">
        <f t="shared" si="20"/>
        <v/>
      </c>
      <c r="AC184" s="3"/>
      <c r="AD184" s="3"/>
      <c r="AE184" s="3" t="str">
        <f t="shared" si="13"/>
        <v/>
      </c>
      <c r="AF184" s="3" t="s">
        <v>226</v>
      </c>
      <c r="AG184" s="3" t="str">
        <f t="shared" si="25"/>
        <v/>
      </c>
      <c r="AH184" s="3"/>
      <c r="AI184" s="7"/>
      <c r="AJ184" s="4"/>
      <c r="AK184" s="7"/>
      <c r="AL184" s="7"/>
      <c r="AM184" s="7"/>
      <c r="AN184" s="7"/>
      <c r="AO184" s="7"/>
      <c r="AP184" s="7"/>
      <c r="AQ184" s="7"/>
      <c r="AR184" s="7"/>
      <c r="AS184" s="7"/>
      <c r="AT184" s="7"/>
      <c r="AU184" s="7"/>
      <c r="AV184" s="7"/>
      <c r="AW184" s="7"/>
      <c r="AX184" s="7"/>
    </row>
    <row r="185" ht="12.75" customHeight="1">
      <c r="A185" s="3">
        <v>14.0</v>
      </c>
      <c r="B185" s="3" t="s">
        <v>55</v>
      </c>
      <c r="C185" s="3" t="s">
        <v>113</v>
      </c>
      <c r="D185" s="4">
        <f>IFERROR(VLOOKUP(B185,Week13,2,FALSE),0)</f>
        <v>58.38</v>
      </c>
      <c r="E185" s="4">
        <f>IF(ISBLANK(B185),,IFERROR(VLOOKUP(B185,CurrentRank!$B$2:$C$132,2,FALSE),0))</f>
        <v>59.34</v>
      </c>
      <c r="F185" s="4">
        <f>IFERROR(VLOOKUP(B185,Week13,3,FALSE),130)</f>
        <v>24</v>
      </c>
      <c r="G185" s="4">
        <f>IF(ISBLANK(B185),,IFERROR(VLOOKUP(B185,CurrentRank!$B$2:$D$132,3,FALSE),130))</f>
        <v>22</v>
      </c>
      <c r="H185" s="4">
        <f>IFERROR(VLOOKUP(C185,Week13,2,FALSE),0)</f>
        <v>38.96</v>
      </c>
      <c r="I185" s="4">
        <f>IF(ISBLANK(B185),,IFERROR(VLOOKUP(C185,CurrentRank!$B$2:$C$132,2,FALSE),0))</f>
        <v>41.9</v>
      </c>
      <c r="J185" s="4">
        <f>IFERROR(VLOOKUP(C185,Week13,3,FALSE),130)</f>
        <v>40</v>
      </c>
      <c r="K185" s="4">
        <f>IF(ISBLANK(C185),,IFERROR(VLOOKUP(C185,CurrentRank!$B$2:$D$132,3,FALSE),130))</f>
        <v>29</v>
      </c>
      <c r="L185" s="19">
        <f t="shared" ref="L185:L224" si="110">IF(U185= "Yes", 0, IF(ISBLANK(C185),,(D185+H185)*0.015))</f>
        <v>1.4601</v>
      </c>
      <c r="M185" s="19">
        <f t="shared" ref="M185:M224" si="111">IF(U185= "Yes", 0, IF(ISBLANK(D185),,(E185+I185)*0.015))</f>
        <v>1.5186</v>
      </c>
      <c r="N185" s="24">
        <f t="shared" si="82"/>
        <v>32</v>
      </c>
      <c r="O185" s="21">
        <f t="shared" si="4"/>
        <v>8.97995</v>
      </c>
      <c r="P185" s="21">
        <f t="shared" si="102"/>
        <v>7.98995</v>
      </c>
      <c r="Q185" s="22">
        <f t="shared" si="6"/>
        <v>0.79510025</v>
      </c>
      <c r="R185" s="25" t="str">
        <f t="shared" si="7"/>
        <v>B-</v>
      </c>
      <c r="S185" s="19">
        <f t="shared" si="8"/>
        <v>0.805</v>
      </c>
      <c r="T185" s="19" t="str">
        <f t="shared" si="9"/>
        <v>B-</v>
      </c>
      <c r="U185" s="3" t="s">
        <v>203</v>
      </c>
      <c r="V185" s="4" t="str">
        <f>IF(ISBLANK(C185),,IFERROR(IF(VLOOKUP(B185,Standings!$A:$F, 6, 0)=VLOOKUP(C185,Standings!$A:$F, 6, 0), VLOOKUP(B185,Standings!$A:$F, 6, 0), "Non-con"), "FCS"))</f>
        <v>BIG12</v>
      </c>
      <c r="W185" s="3" t="str">
        <f t="shared" si="10"/>
        <v>TCU</v>
      </c>
      <c r="X185" s="3" t="str">
        <f t="shared" si="11"/>
        <v>Oklahoma State</v>
      </c>
      <c r="Y185" s="30">
        <f>IF(D185=0,,IF(ISBLANK(Q185),,VLOOKUP(X185,Week13,2,FALSE)/(VLOOKUP(X185,Week13,2,FALSE)+VLOOKUP(W185,Week13,2,FALSE))+0.05)*100)</f>
        <v>64.97534415</v>
      </c>
      <c r="Z185" s="3" t="s">
        <v>113</v>
      </c>
      <c r="AA185" s="3">
        <v>29.0</v>
      </c>
      <c r="AB185" s="4" t="str">
        <f t="shared" si="20"/>
        <v>Oklahoma State</v>
      </c>
      <c r="AC185" s="3">
        <v>22.0</v>
      </c>
      <c r="AD185" s="3"/>
      <c r="AE185" s="3">
        <f t="shared" si="13"/>
        <v>7</v>
      </c>
      <c r="AF185" s="3"/>
      <c r="AG185" s="3">
        <f t="shared" si="25"/>
        <v>0</v>
      </c>
      <c r="AH185" s="3"/>
      <c r="AI185" s="7"/>
      <c r="AJ185" s="4"/>
      <c r="AK185" s="7"/>
      <c r="AL185" s="7"/>
      <c r="AM185" s="7"/>
      <c r="AN185" s="7"/>
      <c r="AO185" s="7"/>
      <c r="AP185" s="7"/>
      <c r="AQ185" s="7"/>
      <c r="AR185" s="7"/>
      <c r="AS185" s="7"/>
      <c r="AT185" s="7"/>
      <c r="AU185" s="7"/>
      <c r="AV185" s="7"/>
      <c r="AW185" s="7"/>
      <c r="AX185" s="7"/>
    </row>
    <row r="186" ht="12.75" hidden="1" customHeight="1">
      <c r="A186" s="3">
        <v>4.0</v>
      </c>
      <c r="B186" s="3" t="s">
        <v>65</v>
      </c>
      <c r="C186" s="3" t="s">
        <v>161</v>
      </c>
      <c r="D186" s="4">
        <f>IFERROR(VLOOKUP(B186,Week3,2,FALSE),0)</f>
        <v>52.25</v>
      </c>
      <c r="E186" s="4">
        <f>IF(ISBLANK(B186),,IFERROR(VLOOKUP(B186,CurrentRank!$B$2:$C$132,2,FALSE),0))</f>
        <v>34.09</v>
      </c>
      <c r="F186" s="4">
        <f>IFERROR(VLOOKUP(B186,Week3,3,FALSE),130)</f>
        <v>22</v>
      </c>
      <c r="G186" s="4">
        <f>IF(ISBLANK(B186),,IFERROR(VLOOKUP(B186,CurrentRank!$B$2:$D$132,3,FALSE),130))</f>
        <v>74</v>
      </c>
      <c r="H186" s="4">
        <f>IFERROR(VLOOKUP(C186,Week3,2,FALSE),0)</f>
        <v>31.02</v>
      </c>
      <c r="I186" s="4">
        <f>IF(ISBLANK(B186),,IFERROR(VLOOKUP(C186,CurrentRank!$B$2:$C$132,2,FALSE),0))</f>
        <v>31.11</v>
      </c>
      <c r="J186" s="4">
        <f>IFERROR(VLOOKUP(C186,Week3,3,FALSE),130)</f>
        <v>51</v>
      </c>
      <c r="K186" s="4">
        <f>IF(ISBLANK(C186),,IFERROR(VLOOKUP(C186,CurrentRank!$B$2:$D$132,3,FALSE),130))</f>
        <v>100</v>
      </c>
      <c r="L186" s="19">
        <f t="shared" si="110"/>
        <v>1.24905</v>
      </c>
      <c r="M186" s="19">
        <f t="shared" si="111"/>
        <v>0.978</v>
      </c>
      <c r="N186" s="24">
        <f t="shared" si="82"/>
        <v>36.5</v>
      </c>
      <c r="O186" s="21">
        <f t="shared" si="4"/>
        <v>9.990475</v>
      </c>
      <c r="P186" s="21">
        <f t="shared" si="102"/>
        <v>0.865475</v>
      </c>
      <c r="Q186" s="22">
        <f t="shared" si="6"/>
        <v>0.767547625</v>
      </c>
      <c r="R186" s="25" t="str">
        <f t="shared" si="7"/>
        <v>C+</v>
      </c>
      <c r="S186" s="19">
        <f t="shared" si="8"/>
        <v>0.7975</v>
      </c>
      <c r="T186" s="19" t="str">
        <f t="shared" si="9"/>
        <v>B-</v>
      </c>
      <c r="U186" s="3" t="s">
        <v>203</v>
      </c>
      <c r="V186" s="4" t="str">
        <f>IF(ISBLANK(C186),,IFERROR(IF(VLOOKUP(B186,Standings!$A:$F, 6, 0)=VLOOKUP(C186,Standings!$A:$F, 6, 0), VLOOKUP(B186,Standings!$A:$F, 6, 0), "Non-con"), "FCS"))</f>
        <v>SEC</v>
      </c>
      <c r="W186" s="3" t="str">
        <f t="shared" si="10"/>
        <v>South Carolina</v>
      </c>
      <c r="X186" s="3" t="str">
        <f t="shared" si="11"/>
        <v>Tennessee</v>
      </c>
      <c r="Y186" s="30">
        <f>IF(D186=0,,IF(ISBLANK(Q186),,VLOOKUP(X186,Week3,2,FALSE)/(VLOOKUP(X186,Week3,2,FALSE)+VLOOKUP(W186,Week3,2,FALSE))+0.05)*100)</f>
        <v>67.74768824</v>
      </c>
      <c r="Z186" s="3" t="s">
        <v>65</v>
      </c>
      <c r="AA186" s="3">
        <v>31.0</v>
      </c>
      <c r="AB186" s="4" t="str">
        <f t="shared" si="20"/>
        <v>South Carolina</v>
      </c>
      <c r="AC186" s="3">
        <v>27.0</v>
      </c>
      <c r="AD186" s="3"/>
      <c r="AE186" s="3">
        <f t="shared" si="13"/>
        <v>4</v>
      </c>
      <c r="AF186" s="3"/>
      <c r="AG186" s="3">
        <f t="shared" si="25"/>
        <v>1</v>
      </c>
      <c r="AH186" s="3"/>
      <c r="AI186" s="7"/>
      <c r="AJ186" s="4"/>
      <c r="AK186" s="7"/>
      <c r="AL186" s="7"/>
      <c r="AM186" s="7"/>
      <c r="AN186" s="7"/>
      <c r="AO186" s="7"/>
      <c r="AP186" s="7"/>
      <c r="AQ186" s="7"/>
      <c r="AR186" s="7"/>
      <c r="AS186" s="7"/>
      <c r="AT186" s="7"/>
      <c r="AU186" s="7"/>
      <c r="AV186" s="7"/>
      <c r="AW186" s="7"/>
      <c r="AX186" s="7"/>
    </row>
    <row r="187" ht="12.75" hidden="1" customHeight="1">
      <c r="A187" s="3">
        <v>17.0</v>
      </c>
      <c r="B187" s="3" t="s">
        <v>58</v>
      </c>
      <c r="C187" s="3" t="s">
        <v>105</v>
      </c>
      <c r="D187" s="4">
        <f>IFERROR(VLOOKUP(B187,Week16,2,FALSE),0)</f>
        <v>72.04</v>
      </c>
      <c r="E187" s="4">
        <f>IF(ISBLANK(B187),,IFERROR(VLOOKUP(B187,CurrentRank!$B$2:$C$132,2,FALSE),0))</f>
        <v>72.87</v>
      </c>
      <c r="F187" s="4">
        <f>IFERROR(VLOOKUP(B187,Week16,3,FALSE),130)</f>
        <v>12</v>
      </c>
      <c r="G187" s="4">
        <f>IF(ISBLANK(B187),,IFERROR(VLOOKUP(B187,CurrentRank!$B$2:$D$132,3,FALSE),130))</f>
        <v>10</v>
      </c>
      <c r="H187" s="4">
        <f>IFERROR(VLOOKUP(C187,Week16,2,FALSE),0)</f>
        <v>34.38</v>
      </c>
      <c r="I187" s="4">
        <f>IF(ISBLANK(B187),,IFERROR(VLOOKUP(C187,CurrentRank!$B$2:$C$132,2,FALSE),0))</f>
        <v>32.43</v>
      </c>
      <c r="J187" s="4">
        <f>IFERROR(VLOOKUP(C187,Week16,3,FALSE),130)</f>
        <v>78</v>
      </c>
      <c r="K187" s="4">
        <f>IF(ISBLANK(C187),,IFERROR(VLOOKUP(C187,CurrentRank!$B$2:$D$132,3,FALSE),130))</f>
        <v>90</v>
      </c>
      <c r="L187" s="19">
        <f t="shared" si="110"/>
        <v>0</v>
      </c>
      <c r="M187" s="19">
        <f t="shared" si="111"/>
        <v>0</v>
      </c>
      <c r="N187" s="24">
        <f t="shared" si="82"/>
        <v>45</v>
      </c>
      <c r="O187" s="21">
        <f t="shared" si="4"/>
        <v>18.83</v>
      </c>
      <c r="P187" s="21">
        <f t="shared" si="102"/>
        <v>20.22</v>
      </c>
      <c r="Q187" s="22">
        <f t="shared" si="6"/>
        <v>0.68085</v>
      </c>
      <c r="R187" s="25" t="str">
        <f t="shared" si="7"/>
        <v>D+</v>
      </c>
      <c r="S187" s="19">
        <f t="shared" si="8"/>
        <v>0.74</v>
      </c>
      <c r="T187" s="19" t="str">
        <f t="shared" si="9"/>
        <v>C</v>
      </c>
      <c r="U187" s="3" t="s">
        <v>223</v>
      </c>
      <c r="V187" s="4" t="str">
        <f>IF(ISBLANK(C187),,IFERROR(IF(VLOOKUP(B187,Standings!$A:$F, 6, 0)=VLOOKUP(C187,Standings!$A:$F, 6, 0), VLOOKUP(B187,Standings!$A:$F, 6, 0), "Non-con"), "FCS"))</f>
        <v>Non-con</v>
      </c>
      <c r="W187" s="3" t="str">
        <f t="shared" si="10"/>
        <v>Texas-San Antonio</v>
      </c>
      <c r="X187" s="3" t="str">
        <f t="shared" si="11"/>
        <v>UL-Lafayette</v>
      </c>
      <c r="Y187" s="30">
        <f>IF(D187=0,,IF(ISBLANK(Q187),,VLOOKUP(X187,Week16,2,FALSE)/(VLOOKUP(X187,Week16,2,FALSE)+VLOOKUP(W187,Week16,2,FALSE)))*100)</f>
        <v>67.69404247</v>
      </c>
      <c r="Z187" s="3" t="s">
        <v>58</v>
      </c>
      <c r="AA187" s="3">
        <v>31.0</v>
      </c>
      <c r="AB187" s="4" t="str">
        <f t="shared" si="20"/>
        <v>Texas-San Antonio</v>
      </c>
      <c r="AC187" s="3">
        <v>24.0</v>
      </c>
      <c r="AD187" s="3"/>
      <c r="AE187" s="3">
        <f t="shared" si="13"/>
        <v>7</v>
      </c>
      <c r="AF187" s="3" t="s">
        <v>224</v>
      </c>
      <c r="AG187" s="3">
        <f t="shared" si="25"/>
        <v>1</v>
      </c>
      <c r="AH187" s="3"/>
      <c r="AI187" s="7"/>
      <c r="AJ187" s="4" t="s">
        <v>53</v>
      </c>
      <c r="AK187" s="7"/>
      <c r="AL187" s="7"/>
      <c r="AM187" s="7"/>
      <c r="AN187" s="7"/>
      <c r="AO187" s="7"/>
      <c r="AP187" s="7"/>
      <c r="AQ187" s="7"/>
      <c r="AR187" s="7"/>
      <c r="AS187" s="7"/>
      <c r="AT187" s="7"/>
      <c r="AU187" s="7"/>
      <c r="AV187" s="7"/>
      <c r="AW187" s="7"/>
      <c r="AX187" s="7"/>
    </row>
    <row r="188" ht="12.75" hidden="1" customHeight="1">
      <c r="A188" s="3">
        <v>11.0</v>
      </c>
      <c r="B188" s="3" t="s">
        <v>102</v>
      </c>
      <c r="C188" s="3" t="s">
        <v>58</v>
      </c>
      <c r="D188" s="4">
        <f>IFERROR(VLOOKUP(B188,Week10,2,FALSE),0)</f>
        <v>31.91</v>
      </c>
      <c r="E188" s="4">
        <f>IF(ISBLANK(B188),,IFERROR(VLOOKUP(B188,CurrentRank!$B$2:$C$132,2,FALSE),0))</f>
        <v>31.07</v>
      </c>
      <c r="F188" s="4">
        <f>IFERROR(VLOOKUP(B188,Week10,3,FALSE),130)</f>
        <v>82</v>
      </c>
      <c r="G188" s="4">
        <f>IF(ISBLANK(B188),,IFERROR(VLOOKUP(B188,CurrentRank!$B$2:$D$132,3,FALSE),130))</f>
        <v>102</v>
      </c>
      <c r="H188" s="4">
        <f>IFERROR(VLOOKUP(C188,Week10,2,FALSE),0)</f>
        <v>53.59</v>
      </c>
      <c r="I188" s="4">
        <f>IF(ISBLANK(B188),,IFERROR(VLOOKUP(C188,CurrentRank!$B$2:$C$132,2,FALSE),0))</f>
        <v>72.87</v>
      </c>
      <c r="J188" s="4">
        <f>IFERROR(VLOOKUP(C188,Week10,3,FALSE),130)</f>
        <v>25</v>
      </c>
      <c r="K188" s="4">
        <f>IF(ISBLANK(C188),,IFERROR(VLOOKUP(C188,CurrentRank!$B$2:$D$132,3,FALSE),130))</f>
        <v>10</v>
      </c>
      <c r="L188" s="19">
        <f t="shared" si="110"/>
        <v>1.2825</v>
      </c>
      <c r="M188" s="19">
        <f t="shared" si="111"/>
        <v>1.5591</v>
      </c>
      <c r="N188" s="24">
        <f t="shared" si="82"/>
        <v>53.5</v>
      </c>
      <c r="O188" s="21">
        <f t="shared" si="4"/>
        <v>-11.48125</v>
      </c>
      <c r="P188" s="21">
        <f t="shared" si="102"/>
        <v>-21.54125</v>
      </c>
      <c r="Q188" s="22">
        <f t="shared" si="6"/>
        <v>0.67509375</v>
      </c>
      <c r="R188" s="25" t="str">
        <f t="shared" si="7"/>
        <v>D+</v>
      </c>
      <c r="S188" s="19">
        <f t="shared" si="8"/>
        <v>0.5925</v>
      </c>
      <c r="T188" s="19" t="str">
        <f t="shared" si="9"/>
        <v>F</v>
      </c>
      <c r="U188" s="3" t="s">
        <v>203</v>
      </c>
      <c r="V188" s="4" t="str">
        <f>IF(ISBLANK(C188),,IFERROR(IF(VLOOKUP(B188,Standings!$A:$F, 6, 0)=VLOOKUP(C188,Standings!$A:$F, 6, 0), VLOOKUP(B188,Standings!$A:$F, 6, 0), "Non-con"), "FCS"))</f>
        <v>SUN</v>
      </c>
      <c r="W188" s="3" t="str">
        <f t="shared" si="10"/>
        <v>South Alabama</v>
      </c>
      <c r="X188" s="3" t="str">
        <f t="shared" si="11"/>
        <v>UL-Lafayette</v>
      </c>
      <c r="Y188" s="30">
        <f>IF(D188=0,,IF(ISBLANK(Q188),,VLOOKUP(X188,Week10,2,FALSE)/(VLOOKUP(X188,Week10,2,FALSE)+VLOOKUP(W188,Week10,2,FALSE))+0.05)*100)</f>
        <v>67.67836257</v>
      </c>
      <c r="Z188" s="3" t="s">
        <v>58</v>
      </c>
      <c r="AA188" s="3">
        <v>38.0</v>
      </c>
      <c r="AB188" s="4" t="str">
        <f t="shared" si="20"/>
        <v>South Alabama</v>
      </c>
      <c r="AC188" s="3">
        <v>10.0</v>
      </c>
      <c r="AD188" s="3"/>
      <c r="AE188" s="3">
        <f t="shared" si="13"/>
        <v>28</v>
      </c>
      <c r="AF188" s="3"/>
      <c r="AG188" s="3">
        <f t="shared" si="25"/>
        <v>1</v>
      </c>
      <c r="AH188" s="3"/>
      <c r="AI188" s="7"/>
      <c r="AJ188" s="4"/>
      <c r="AK188" s="7"/>
      <c r="AL188" s="7"/>
      <c r="AM188" s="7"/>
      <c r="AN188" s="7"/>
      <c r="AO188" s="7"/>
      <c r="AP188" s="7"/>
      <c r="AQ188" s="7"/>
      <c r="AR188" s="7"/>
      <c r="AS188" s="7"/>
      <c r="AT188" s="7"/>
      <c r="AU188" s="7"/>
      <c r="AV188" s="7"/>
      <c r="AW188" s="7"/>
      <c r="AX188" s="7"/>
    </row>
    <row r="189" ht="12.75" customHeight="1">
      <c r="A189" s="3">
        <v>5.0</v>
      </c>
      <c r="B189" s="3" t="s">
        <v>132</v>
      </c>
      <c r="C189" s="3" t="s">
        <v>47</v>
      </c>
      <c r="D189" s="4">
        <f>IFERROR(VLOOKUP(B189,Week4,2,FALSE),0)</f>
        <v>31.88</v>
      </c>
      <c r="E189" s="4">
        <f>IF(ISBLANK(B189),,IFERROR(VLOOKUP(B189,CurrentRank!$B$2:$C$132,2,FALSE),0))</f>
        <v>37.38</v>
      </c>
      <c r="F189" s="4">
        <f>IFERROR(VLOOKUP(B189,Week4,3,FALSE),130)</f>
        <v>55</v>
      </c>
      <c r="G189" s="4">
        <f>IF(ISBLANK(B189),,IFERROR(VLOOKUP(B189,CurrentRank!$B$2:$D$132,3,FALSE),130))</f>
        <v>43</v>
      </c>
      <c r="H189" s="4">
        <f>IFERROR(VLOOKUP(C189,Week4,2,FALSE),0)</f>
        <v>77.93</v>
      </c>
      <c r="I189" s="4">
        <f>IF(ISBLANK(B189),,IFERROR(VLOOKUP(C189,CurrentRank!$B$2:$C$132,2,FALSE),0))</f>
        <v>41.86</v>
      </c>
      <c r="J189" s="4">
        <f>IFERROR(VLOOKUP(C189,Week4,3,FALSE),130)</f>
        <v>8</v>
      </c>
      <c r="K189" s="4">
        <f>IF(ISBLANK(C189),,IFERROR(VLOOKUP(C189,CurrentRank!$B$2:$D$132,3,FALSE),130))</f>
        <v>30</v>
      </c>
      <c r="L189" s="19">
        <f t="shared" si="110"/>
        <v>1.64715</v>
      </c>
      <c r="M189" s="19">
        <f t="shared" si="111"/>
        <v>1.1886</v>
      </c>
      <c r="N189" s="24">
        <f t="shared" si="82"/>
        <v>31.5</v>
      </c>
      <c r="O189" s="21">
        <f t="shared" si="4"/>
        <v>-23.848575</v>
      </c>
      <c r="P189" s="21">
        <f t="shared" si="102"/>
        <v>-3.063575</v>
      </c>
      <c r="Q189" s="22">
        <f t="shared" si="6"/>
        <v>0.723257125</v>
      </c>
      <c r="R189" s="25" t="str">
        <f t="shared" si="7"/>
        <v>C-</v>
      </c>
      <c r="S189" s="19">
        <f t="shared" si="8"/>
        <v>0.8025</v>
      </c>
      <c r="T189" s="19" t="str">
        <f t="shared" si="9"/>
        <v>B-</v>
      </c>
      <c r="U189" s="3" t="s">
        <v>203</v>
      </c>
      <c r="V189" s="4" t="str">
        <f>IF(ISBLANK(C189),,IFERROR(IF(VLOOKUP(B189,Standings!$A:$F, 6, 0)=VLOOKUP(C189,Standings!$A:$F, 6, 0), VLOOKUP(B189,Standings!$A:$F, 6, 0), "Non-con"), "FCS"))</f>
        <v>AAC</v>
      </c>
      <c r="W189" s="3" t="str">
        <f t="shared" si="10"/>
        <v>Tulsa</v>
      </c>
      <c r="X189" s="3" t="str">
        <f t="shared" si="11"/>
        <v>Central Florida</v>
      </c>
      <c r="Y189" s="30">
        <f>IF(D189=0,,IF(ISBLANK(Q189),,VLOOKUP(X189,Week4,2,FALSE)/(VLOOKUP(X189,Week4,2,FALSE)+VLOOKUP(W189,Week4,2,FALSE))+0.05)*100)</f>
        <v>75.9680357</v>
      </c>
      <c r="Z189" s="3" t="s">
        <v>132</v>
      </c>
      <c r="AA189" s="3">
        <v>34.0</v>
      </c>
      <c r="AB189" s="4" t="str">
        <f t="shared" si="20"/>
        <v>Central Florida</v>
      </c>
      <c r="AC189" s="3">
        <v>26.0</v>
      </c>
      <c r="AD189" s="3"/>
      <c r="AE189" s="3">
        <f t="shared" si="13"/>
        <v>8</v>
      </c>
      <c r="AF189" s="3"/>
      <c r="AG189" s="3">
        <f t="shared" si="25"/>
        <v>0</v>
      </c>
      <c r="AH189" s="3"/>
      <c r="AI189" s="7"/>
      <c r="AJ189" s="4"/>
      <c r="AK189" s="7"/>
      <c r="AL189" s="7"/>
      <c r="AM189" s="7"/>
      <c r="AN189" s="7"/>
      <c r="AO189" s="7"/>
      <c r="AP189" s="7"/>
      <c r="AQ189" s="7"/>
      <c r="AR189" s="7"/>
      <c r="AS189" s="7"/>
      <c r="AT189" s="7"/>
      <c r="AU189" s="7"/>
      <c r="AV189" s="7"/>
      <c r="AW189" s="7"/>
      <c r="AX189" s="7"/>
    </row>
    <row r="190" ht="12.75" customHeight="1">
      <c r="A190" s="3">
        <v>16.0</v>
      </c>
      <c r="B190" s="3" t="s">
        <v>134</v>
      </c>
      <c r="C190" s="3" t="s">
        <v>162</v>
      </c>
      <c r="D190" s="4">
        <f>IFERROR(VLOOKUP(B190,Week15,2,FALSE),0)</f>
        <v>40.98</v>
      </c>
      <c r="E190" s="4">
        <f>IF(ISBLANK(B190),,IFERROR(VLOOKUP(B190,CurrentRank!$B$2:$C$132,2,FALSE),0))</f>
        <v>60.69</v>
      </c>
      <c r="F190" s="4">
        <f>IFERROR(VLOOKUP(B190,Week15,3,FALSE),130)</f>
        <v>34</v>
      </c>
      <c r="G190" s="4">
        <f>IF(ISBLANK(B190),,IFERROR(VLOOKUP(B190,CurrentRank!$B$2:$D$132,3,FALSE),130))</f>
        <v>21</v>
      </c>
      <c r="H190" s="4">
        <f>IFERROR(VLOOKUP(C190,Week15,2,FALSE),0)</f>
        <v>53.19</v>
      </c>
      <c r="I190" s="4">
        <f>IF(ISBLANK(B190),,IFERROR(VLOOKUP(C190,CurrentRank!$B$2:$C$132,2,FALSE),0))</f>
        <v>51.75</v>
      </c>
      <c r="J190" s="4">
        <f>IFERROR(VLOOKUP(C190,Week15,3,FALSE),130)</f>
        <v>25</v>
      </c>
      <c r="K190" s="4">
        <f>IF(ISBLANK(C190),,IFERROR(VLOOKUP(C190,CurrentRank!$B$2:$D$132,3,FALSE),130))</f>
        <v>24</v>
      </c>
      <c r="L190" s="19">
        <f t="shared" si="110"/>
        <v>0</v>
      </c>
      <c r="M190" s="19">
        <f t="shared" si="111"/>
        <v>0</v>
      </c>
      <c r="N190" s="24">
        <f t="shared" si="82"/>
        <v>29.5</v>
      </c>
      <c r="O190" s="21">
        <f t="shared" si="4"/>
        <v>-6.105</v>
      </c>
      <c r="P190" s="21">
        <f t="shared" si="102"/>
        <v>4.47</v>
      </c>
      <c r="Q190" s="22">
        <f t="shared" si="6"/>
        <v>0.821975</v>
      </c>
      <c r="R190" s="25" t="str">
        <f t="shared" si="7"/>
        <v>B-</v>
      </c>
      <c r="S190" s="19">
        <f t="shared" si="8"/>
        <v>0.8025</v>
      </c>
      <c r="T190" s="19" t="str">
        <f t="shared" si="9"/>
        <v>B-</v>
      </c>
      <c r="U190" s="3" t="s">
        <v>223</v>
      </c>
      <c r="V190" s="4" t="str">
        <f>IF(ISBLANK(C190),,IFERROR(IF(VLOOKUP(B190,Standings!$A:$F, 6, 0)=VLOOKUP(C190,Standings!$A:$F, 6, 0), VLOOKUP(B190,Standings!$A:$F, 6, 0), "Non-con"), "FCS"))</f>
        <v>MAC</v>
      </c>
      <c r="W190" s="3" t="str">
        <f t="shared" si="10"/>
        <v>Ball State</v>
      </c>
      <c r="X190" s="3" t="str">
        <f t="shared" si="11"/>
        <v>Buffalo</v>
      </c>
      <c r="Y190" s="30">
        <f>IF(D190=0,,IF(ISBLANK(Q190),,VLOOKUP(X190,Week15,2,FALSE)/(VLOOKUP(X190,Week15,2,FALSE)+VLOOKUP(W190,Week15,2,FALSE))+0.05)*100)</f>
        <v>61.48295636</v>
      </c>
      <c r="Z190" s="3" t="s">
        <v>134</v>
      </c>
      <c r="AA190" s="3">
        <v>38.0</v>
      </c>
      <c r="AB190" s="4" t="str">
        <f t="shared" si="20"/>
        <v>Buffalo</v>
      </c>
      <c r="AC190" s="3">
        <v>28.0</v>
      </c>
      <c r="AD190" s="3"/>
      <c r="AE190" s="3">
        <f t="shared" si="13"/>
        <v>10</v>
      </c>
      <c r="AF190" s="3" t="s">
        <v>233</v>
      </c>
      <c r="AG190" s="3">
        <f t="shared" si="25"/>
        <v>0</v>
      </c>
      <c r="AH190" s="3"/>
      <c r="AI190" s="7"/>
      <c r="AJ190" s="4"/>
      <c r="AK190" s="7"/>
      <c r="AL190" s="7"/>
      <c r="AM190" s="7"/>
      <c r="AN190" s="7"/>
      <c r="AO190" s="7"/>
      <c r="AP190" s="7"/>
      <c r="AQ190" s="7"/>
      <c r="AR190" s="7"/>
      <c r="AS190" s="7"/>
      <c r="AT190" s="7"/>
      <c r="AU190" s="7"/>
      <c r="AV190" s="7"/>
      <c r="AW190" s="7"/>
      <c r="AX190" s="7"/>
    </row>
    <row r="191" ht="12.75" hidden="1" customHeight="1">
      <c r="A191" s="3">
        <v>14.0</v>
      </c>
      <c r="B191" s="3" t="s">
        <v>158</v>
      </c>
      <c r="C191" s="3" t="s">
        <v>90</v>
      </c>
      <c r="D191" s="4">
        <f>IFERROR(VLOOKUP(B191,Week13,2,FALSE),0)</f>
        <v>40.63</v>
      </c>
      <c r="E191" s="4">
        <f>IF(ISBLANK(B191),,IFERROR(VLOOKUP(B191,CurrentRank!$B$2:$C$132,2,FALSE),0))</f>
        <v>34.21</v>
      </c>
      <c r="F191" s="4">
        <f>IFERROR(VLOOKUP(B191,Week13,3,FALSE),130)</f>
        <v>35</v>
      </c>
      <c r="G191" s="4">
        <f>IF(ISBLANK(B191),,IFERROR(VLOOKUP(B191,CurrentRank!$B$2:$D$132,3,FALSE),130))</f>
        <v>72</v>
      </c>
      <c r="H191" s="4">
        <f>IFERROR(VLOOKUP(C191,Week13,2,FALSE),0)</f>
        <v>68.01</v>
      </c>
      <c r="I191" s="4">
        <f>IF(ISBLANK(B191),,IFERROR(VLOOKUP(C191,CurrentRank!$B$2:$C$132,2,FALSE),0))</f>
        <v>62.48</v>
      </c>
      <c r="J191" s="4">
        <f>IFERROR(VLOOKUP(C191,Week13,3,FALSE),130)</f>
        <v>17</v>
      </c>
      <c r="K191" s="4">
        <f>IF(ISBLANK(C191),,IFERROR(VLOOKUP(C191,CurrentRank!$B$2:$D$132,3,FALSE),130))</f>
        <v>19</v>
      </c>
      <c r="L191" s="19">
        <f t="shared" si="110"/>
        <v>1.6296</v>
      </c>
      <c r="M191" s="19">
        <f t="shared" si="111"/>
        <v>1.45035</v>
      </c>
      <c r="N191" s="24">
        <f t="shared" si="82"/>
        <v>26</v>
      </c>
      <c r="O191" s="21">
        <f t="shared" si="4"/>
        <v>-14.5048</v>
      </c>
      <c r="P191" s="21">
        <f t="shared" si="102"/>
        <v>-14.9498</v>
      </c>
      <c r="Q191" s="22">
        <f t="shared" si="6"/>
        <v>0.797476</v>
      </c>
      <c r="R191" s="25" t="str">
        <f t="shared" si="7"/>
        <v>B-</v>
      </c>
      <c r="S191" s="19">
        <f t="shared" si="8"/>
        <v>0.745</v>
      </c>
      <c r="T191" s="19" t="str">
        <f t="shared" si="9"/>
        <v>C</v>
      </c>
      <c r="U191" s="3" t="s">
        <v>203</v>
      </c>
      <c r="V191" s="4" t="str">
        <f>IF(ISBLANK(C191),,IFERROR(IF(VLOOKUP(B191,Standings!$A:$F, 6, 0)=VLOOKUP(C191,Standings!$A:$F, 6, 0), VLOOKUP(B191,Standings!$A:$F, 6, 0), "Non-con"), "FCS"))</f>
        <v>PAC12</v>
      </c>
      <c r="W191" s="3" t="str">
        <f t="shared" si="10"/>
        <v>Washington State</v>
      </c>
      <c r="X191" s="3" t="str">
        <f t="shared" si="11"/>
        <v>Southern Cal</v>
      </c>
      <c r="Y191" s="30">
        <f>IF(D191=0,,IF(ISBLANK(Q191),,VLOOKUP(X191,Week13,2,FALSE)/(VLOOKUP(X191,Week13,2,FALSE)+VLOOKUP(W191,Week13,2,FALSE))+0.05)*100)</f>
        <v>67.60125184</v>
      </c>
      <c r="Z191" s="3" t="s">
        <v>90</v>
      </c>
      <c r="AA191" s="3">
        <v>38.0</v>
      </c>
      <c r="AB191" s="4" t="str">
        <f t="shared" si="20"/>
        <v>Washington State</v>
      </c>
      <c r="AC191" s="3">
        <v>13.0</v>
      </c>
      <c r="AD191" s="3"/>
      <c r="AE191" s="3">
        <f t="shared" si="13"/>
        <v>25</v>
      </c>
      <c r="AF191" s="3"/>
      <c r="AG191" s="3">
        <f t="shared" si="25"/>
        <v>1</v>
      </c>
      <c r="AH191" s="3"/>
      <c r="AI191" s="7"/>
      <c r="AJ191" s="4"/>
      <c r="AK191" s="7"/>
      <c r="AL191" s="7"/>
      <c r="AM191" s="7"/>
      <c r="AN191" s="7"/>
      <c r="AO191" s="7"/>
      <c r="AP191" s="7"/>
      <c r="AQ191" s="7"/>
      <c r="AR191" s="7"/>
      <c r="AS191" s="7"/>
      <c r="AT191" s="7"/>
      <c r="AU191" s="7"/>
      <c r="AV191" s="7"/>
      <c r="AW191" s="7"/>
      <c r="AX191" s="7"/>
    </row>
    <row r="192" ht="12.75" customHeight="1">
      <c r="A192" s="3">
        <v>5.0</v>
      </c>
      <c r="B192" s="3" t="s">
        <v>51</v>
      </c>
      <c r="C192" s="3" t="s">
        <v>92</v>
      </c>
      <c r="D192" s="4">
        <f>IFERROR(VLOOKUP(B192,Week4,2,FALSE),0)</f>
        <v>47.36</v>
      </c>
      <c r="E192" s="4">
        <f>IF(ISBLANK(B192),,IFERROR(VLOOKUP(B192,CurrentRank!$B$2:$C$132,2,FALSE),0))</f>
        <v>81.57</v>
      </c>
      <c r="F192" s="4">
        <f>IFERROR(VLOOKUP(B192,Week4,3,FALSE),130)</f>
        <v>28</v>
      </c>
      <c r="G192" s="4">
        <f>IF(ISBLANK(B192),,IFERROR(VLOOKUP(B192,CurrentRank!$B$2:$D$132,3,FALSE),130))</f>
        <v>5</v>
      </c>
      <c r="H192" s="4">
        <f>IFERROR(VLOOKUP(C192,Week4,2,FALSE),0)</f>
        <v>37.87</v>
      </c>
      <c r="I192" s="4">
        <f>IF(ISBLANK(B192),,IFERROR(VLOOKUP(C192,CurrentRank!$B$2:$C$132,2,FALSE),0))</f>
        <v>73.64</v>
      </c>
      <c r="J192" s="4">
        <f>IFERROR(VLOOKUP(C192,Week4,3,FALSE),130)</f>
        <v>39</v>
      </c>
      <c r="K192" s="4">
        <f>IF(ISBLANK(C192),,IFERROR(VLOOKUP(C192,CurrentRank!$B$2:$D$132,3,FALSE),130))</f>
        <v>8</v>
      </c>
      <c r="L192" s="19">
        <f t="shared" si="110"/>
        <v>1.27845</v>
      </c>
      <c r="M192" s="19">
        <f t="shared" si="111"/>
        <v>2.32815</v>
      </c>
      <c r="N192" s="24">
        <f t="shared" si="82"/>
        <v>33.5</v>
      </c>
      <c r="O192" s="21">
        <f t="shared" si="4"/>
        <v>4.105775</v>
      </c>
      <c r="P192" s="21">
        <f t="shared" si="102"/>
        <v>3.325775</v>
      </c>
      <c r="Q192" s="22">
        <f t="shared" si="6"/>
        <v>0.811971125</v>
      </c>
      <c r="R192" s="25" t="str">
        <f t="shared" si="7"/>
        <v>B-</v>
      </c>
      <c r="S192" s="19">
        <f t="shared" si="8"/>
        <v>0.7975</v>
      </c>
      <c r="T192" s="19" t="str">
        <f t="shared" si="9"/>
        <v>B-</v>
      </c>
      <c r="U192" s="3" t="s">
        <v>203</v>
      </c>
      <c r="V192" s="4" t="str">
        <f>IF(ISBLANK(C192),,IFERROR(IF(VLOOKUP(B192,Standings!$A:$F, 6, 0)=VLOOKUP(C192,Standings!$A:$F, 6, 0), VLOOKUP(B192,Standings!$A:$F, 6, 0), "Non-con"), "FCS"))</f>
        <v>BIG12</v>
      </c>
      <c r="W192" s="3" t="str">
        <f t="shared" si="10"/>
        <v>Iowa State</v>
      </c>
      <c r="X192" s="3" t="str">
        <f t="shared" si="11"/>
        <v>Oklahoma</v>
      </c>
      <c r="Y192" s="30">
        <f>IF(D192=0,,IF(ISBLANK(Q192),,VLOOKUP(X192,Week4,2,FALSE)/(VLOOKUP(X192,Week4,2,FALSE)+VLOOKUP(W192,Week4,2,FALSE))+0.05)*100)</f>
        <v>60.56728851</v>
      </c>
      <c r="Z192" s="3" t="s">
        <v>92</v>
      </c>
      <c r="AA192" s="3">
        <v>37.0</v>
      </c>
      <c r="AB192" s="4" t="str">
        <f t="shared" si="20"/>
        <v>Oklahoma</v>
      </c>
      <c r="AC192" s="3">
        <v>30.0</v>
      </c>
      <c r="AD192" s="3"/>
      <c r="AE192" s="3">
        <f t="shared" si="13"/>
        <v>7</v>
      </c>
      <c r="AF192" s="3"/>
      <c r="AG192" s="3">
        <f t="shared" si="25"/>
        <v>0</v>
      </c>
      <c r="AH192" s="3"/>
      <c r="AI192" s="7"/>
      <c r="AJ192" s="4"/>
      <c r="AM192" s="7"/>
      <c r="AN192" s="7"/>
      <c r="AO192" s="7"/>
      <c r="AP192" s="7"/>
      <c r="AQ192" s="7"/>
      <c r="AR192" s="7"/>
      <c r="AS192" s="7"/>
      <c r="AT192" s="7"/>
      <c r="AU192" s="7"/>
      <c r="AV192" s="7"/>
      <c r="AW192" s="7"/>
      <c r="AX192" s="7"/>
    </row>
    <row r="193" ht="12.75" customHeight="1">
      <c r="A193" s="3">
        <v>9.0</v>
      </c>
      <c r="B193" s="3" t="s">
        <v>46</v>
      </c>
      <c r="C193" s="3" t="s">
        <v>55</v>
      </c>
      <c r="D193" s="4">
        <f>IFERROR(VLOOKUP(B193,Week8,2,FALSE),0)</f>
        <v>34.56</v>
      </c>
      <c r="E193" s="4">
        <f>IF(ISBLANK(B193),,IFERROR(VLOOKUP(B193,CurrentRank!$B$2:$C$132,2,FALSE),0))</f>
        <v>62.29</v>
      </c>
      <c r="F193" s="4">
        <f>IFERROR(VLOOKUP(B193,Week8,3,FALSE),130)</f>
        <v>63</v>
      </c>
      <c r="G193" s="4">
        <f>IF(ISBLANK(B193),,IFERROR(VLOOKUP(B193,CurrentRank!$B$2:$D$132,3,FALSE),130))</f>
        <v>20</v>
      </c>
      <c r="H193" s="4">
        <f>IFERROR(VLOOKUP(C193,Week8,2,FALSE),0)</f>
        <v>83.92</v>
      </c>
      <c r="I193" s="4">
        <f>IF(ISBLANK(B193),,IFERROR(VLOOKUP(C193,CurrentRank!$B$2:$C$132,2,FALSE),0))</f>
        <v>59.34</v>
      </c>
      <c r="J193" s="4">
        <f>IFERROR(VLOOKUP(C193,Week8,3,FALSE),130)</f>
        <v>5</v>
      </c>
      <c r="K193" s="4">
        <f>IF(ISBLANK(C193),,IFERROR(VLOOKUP(C193,CurrentRank!$B$2:$D$132,3,FALSE),130))</f>
        <v>22</v>
      </c>
      <c r="L193" s="19">
        <f t="shared" si="110"/>
        <v>1.7772</v>
      </c>
      <c r="M193" s="19">
        <f t="shared" si="111"/>
        <v>1.82445</v>
      </c>
      <c r="N193" s="24">
        <f t="shared" si="82"/>
        <v>34</v>
      </c>
      <c r="O193" s="21">
        <f t="shared" si="4"/>
        <v>-25.5686</v>
      </c>
      <c r="P193" s="21">
        <f t="shared" si="102"/>
        <v>0.5864</v>
      </c>
      <c r="Q193" s="22">
        <f t="shared" si="6"/>
        <v>0.702157</v>
      </c>
      <c r="R193" s="25" t="str">
        <f t="shared" si="7"/>
        <v>C-</v>
      </c>
      <c r="S193" s="19">
        <f t="shared" si="8"/>
        <v>0.795</v>
      </c>
      <c r="T193" s="19" t="str">
        <f t="shared" si="9"/>
        <v>B-</v>
      </c>
      <c r="U193" s="3" t="s">
        <v>203</v>
      </c>
      <c r="V193" s="4" t="str">
        <f>IF(ISBLANK(C193),,IFERROR(IF(VLOOKUP(B193,Standings!$A:$F, 6, 0)=VLOOKUP(C193,Standings!$A:$F, 6, 0), VLOOKUP(B193,Standings!$A:$F, 6, 0), "Non-con"), "FCS"))</f>
        <v>BIG12</v>
      </c>
      <c r="W193" s="3" t="str">
        <f t="shared" si="10"/>
        <v>Texas</v>
      </c>
      <c r="X193" s="3" t="str">
        <f t="shared" si="11"/>
        <v>Oklahoma State</v>
      </c>
      <c r="Y193" s="30">
        <f>IF(D193=0,,IF(ISBLANK(Q193),,VLOOKUP(X193,Week8,2,FALSE)/(VLOOKUP(X193,Week8,2,FALSE)+VLOOKUP(W193,Week8,2,FALSE))+0.05)*100)</f>
        <v>75.83051992</v>
      </c>
      <c r="Z193" s="3" t="s">
        <v>46</v>
      </c>
      <c r="AA193" s="3">
        <v>41.0</v>
      </c>
      <c r="AB193" s="4" t="str">
        <f t="shared" si="20"/>
        <v>Oklahoma State</v>
      </c>
      <c r="AC193" s="3">
        <v>34.0</v>
      </c>
      <c r="AD193" s="3"/>
      <c r="AE193" s="3">
        <f t="shared" si="13"/>
        <v>7</v>
      </c>
      <c r="AF193" s="3"/>
      <c r="AG193" s="3">
        <f t="shared" si="25"/>
        <v>0</v>
      </c>
      <c r="AH193" s="3"/>
      <c r="AI193" s="7"/>
      <c r="AJ193" s="4" t="s">
        <v>33</v>
      </c>
      <c r="AK193" s="7"/>
      <c r="AL193" s="7"/>
      <c r="AM193" s="7"/>
      <c r="AN193" s="7"/>
      <c r="AO193" s="7"/>
      <c r="AP193" s="7"/>
      <c r="AQ193" s="7"/>
      <c r="AR193" s="7"/>
      <c r="AS193" s="7"/>
      <c r="AT193" s="7"/>
      <c r="AU193" s="7"/>
      <c r="AV193" s="7"/>
      <c r="AW193" s="7"/>
      <c r="AX193" s="7"/>
    </row>
    <row r="194" ht="12.75" hidden="1" customHeight="1">
      <c r="A194" s="3">
        <v>9.0</v>
      </c>
      <c r="B194" s="3" t="s">
        <v>26</v>
      </c>
      <c r="C194" s="3" t="s">
        <v>57</v>
      </c>
      <c r="D194" s="4">
        <f>IFERROR(VLOOKUP(B194,Week8,2,FALSE),0)</f>
        <v>83.94</v>
      </c>
      <c r="E194" s="4">
        <f>IF(ISBLANK(B194),,IFERROR(VLOOKUP(B194,CurrentRank!$B$2:$C$132,2,FALSE),0))</f>
        <v>87.05</v>
      </c>
      <c r="F194" s="4">
        <f>IFERROR(VLOOKUP(B194,Week8,3,FALSE),130)</f>
        <v>4</v>
      </c>
      <c r="G194" s="4">
        <f>IF(ISBLANK(B194),,IFERROR(VLOOKUP(B194,CurrentRank!$B$2:$D$132,3,FALSE),130))</f>
        <v>2</v>
      </c>
      <c r="H194" s="4">
        <f>IFERROR(VLOOKUP(C194,Week8,2,FALSE),0)</f>
        <v>50.78</v>
      </c>
      <c r="I194" s="4">
        <f>IF(ISBLANK(B194),,IFERROR(VLOOKUP(C194,CurrentRank!$B$2:$C$132,2,FALSE),0))</f>
        <v>40.05</v>
      </c>
      <c r="J194" s="4">
        <f>IFERROR(VLOOKUP(C194,Week8,3,FALSE),130)</f>
        <v>23</v>
      </c>
      <c r="K194" s="4">
        <f>IF(ISBLANK(C194),,IFERROR(VLOOKUP(C194,CurrentRank!$B$2:$D$132,3,FALSE),130))</f>
        <v>34</v>
      </c>
      <c r="L194" s="19">
        <f t="shared" si="110"/>
        <v>2.0208</v>
      </c>
      <c r="M194" s="19">
        <f t="shared" si="111"/>
        <v>1.9065</v>
      </c>
      <c r="N194" s="24">
        <f t="shared" si="82"/>
        <v>13.5</v>
      </c>
      <c r="O194" s="21">
        <f t="shared" si="4"/>
        <v>15.5696</v>
      </c>
      <c r="P194" s="21">
        <f t="shared" si="102"/>
        <v>22.4896</v>
      </c>
      <c r="Q194" s="22">
        <f t="shared" si="6"/>
        <v>0.854652</v>
      </c>
      <c r="R194" s="25" t="str">
        <f t="shared" si="7"/>
        <v>B</v>
      </c>
      <c r="S194" s="19">
        <f t="shared" si="8"/>
        <v>0.8675</v>
      </c>
      <c r="T194" s="19" t="str">
        <f t="shared" si="9"/>
        <v>B+</v>
      </c>
      <c r="U194" s="3" t="s">
        <v>203</v>
      </c>
      <c r="V194" s="4" t="str">
        <f>IF(ISBLANK(C194),,IFERROR(IF(VLOOKUP(B194,Standings!$A:$F, 6, 0)=VLOOKUP(C194,Standings!$A:$F, 6, 0), VLOOKUP(B194,Standings!$A:$F, 6, 0), "Non-con"), "FCS"))</f>
        <v>B1G</v>
      </c>
      <c r="W194" s="3" t="str">
        <f t="shared" si="10"/>
        <v>Penn State</v>
      </c>
      <c r="X194" s="3" t="str">
        <f t="shared" si="11"/>
        <v>Ohio State</v>
      </c>
      <c r="Y194" s="30">
        <f>IF(D194=0,,IF(ISBLANK(Q194),,VLOOKUP(X194,Week8,2,FALSE)/(VLOOKUP(X194,Week8,2,FALSE)+VLOOKUP(W194,Week8,2,FALSE))+0.05)*100)</f>
        <v>67.30700713</v>
      </c>
      <c r="Z194" s="3" t="s">
        <v>26</v>
      </c>
      <c r="AA194" s="3">
        <v>38.0</v>
      </c>
      <c r="AB194" s="4" t="str">
        <f t="shared" si="20"/>
        <v>Penn State</v>
      </c>
      <c r="AC194" s="3">
        <v>25.0</v>
      </c>
      <c r="AD194" s="3"/>
      <c r="AE194" s="3">
        <f t="shared" si="13"/>
        <v>13</v>
      </c>
      <c r="AF194" s="3"/>
      <c r="AG194" s="3">
        <f t="shared" si="25"/>
        <v>1</v>
      </c>
      <c r="AH194" s="3"/>
      <c r="AI194" s="7"/>
      <c r="AJ194" s="4"/>
      <c r="AK194" s="3" t="s">
        <v>226</v>
      </c>
      <c r="AL194" s="44" t="s">
        <v>253</v>
      </c>
      <c r="AM194" s="7"/>
      <c r="AN194" s="7"/>
      <c r="AO194" s="7"/>
      <c r="AP194" s="7"/>
      <c r="AQ194" s="7"/>
      <c r="AR194" s="7"/>
      <c r="AS194" s="7"/>
      <c r="AT194" s="7"/>
      <c r="AU194" s="7"/>
      <c r="AV194" s="7"/>
      <c r="AW194" s="7"/>
      <c r="AX194" s="7"/>
    </row>
    <row r="195" ht="12.75" hidden="1" customHeight="1">
      <c r="A195" s="3">
        <v>13.0</v>
      </c>
      <c r="B195" s="3" t="s">
        <v>127</v>
      </c>
      <c r="C195" s="3" t="s">
        <v>55</v>
      </c>
      <c r="D195" s="4">
        <f>IFERROR(VLOOKUP(B195,Week12,2,FALSE),0)</f>
        <v>33.49</v>
      </c>
      <c r="E195" s="4">
        <f>IF(ISBLANK(B195),,IFERROR(VLOOKUP(B195,CurrentRank!$B$2:$C$132,2,FALSE),0))</f>
        <v>35.27</v>
      </c>
      <c r="F195" s="4">
        <f>IFERROR(VLOOKUP(B195,Week12,3,FALSE),130)</f>
        <v>74</v>
      </c>
      <c r="G195" s="4">
        <f>IF(ISBLANK(B195),,IFERROR(VLOOKUP(B195,CurrentRank!$B$2:$D$132,3,FALSE),130))</f>
        <v>64</v>
      </c>
      <c r="H195" s="4">
        <f>IFERROR(VLOOKUP(C195,Week12,2,FALSE),0)</f>
        <v>55.34</v>
      </c>
      <c r="I195" s="4">
        <f>IF(ISBLANK(B195),,IFERROR(VLOOKUP(C195,CurrentRank!$B$2:$C$132,2,FALSE),0))</f>
        <v>59.34</v>
      </c>
      <c r="J195" s="4">
        <f>IFERROR(VLOOKUP(C195,Week12,3,FALSE),130)</f>
        <v>24</v>
      </c>
      <c r="K195" s="4">
        <f>IF(ISBLANK(C195),,IFERROR(VLOOKUP(C195,CurrentRank!$B$2:$D$132,3,FALSE),130))</f>
        <v>22</v>
      </c>
      <c r="L195" s="19">
        <f t="shared" si="110"/>
        <v>1.33245</v>
      </c>
      <c r="M195" s="19">
        <f t="shared" si="111"/>
        <v>1.41915</v>
      </c>
      <c r="N195" s="24">
        <f t="shared" si="82"/>
        <v>49</v>
      </c>
      <c r="O195" s="21">
        <f t="shared" si="4"/>
        <v>-11.591225</v>
      </c>
      <c r="P195" s="21">
        <f t="shared" si="102"/>
        <v>-12.701225</v>
      </c>
      <c r="Q195" s="22">
        <f t="shared" si="6"/>
        <v>0.697043875</v>
      </c>
      <c r="R195" s="25" t="str">
        <f t="shared" si="7"/>
        <v>C-</v>
      </c>
      <c r="S195" s="19">
        <f t="shared" si="8"/>
        <v>0.725</v>
      </c>
      <c r="T195" s="19" t="str">
        <f t="shared" si="9"/>
        <v>C</v>
      </c>
      <c r="U195" s="3" t="s">
        <v>203</v>
      </c>
      <c r="V195" s="4" t="str">
        <f>IF(ISBLANK(C195),,IFERROR(IF(VLOOKUP(B195,Standings!$A:$F, 6, 0)=VLOOKUP(C195,Standings!$A:$F, 6, 0), VLOOKUP(B195,Standings!$A:$F, 6, 0), "Non-con"), "FCS"))</f>
        <v>BIG12</v>
      </c>
      <c r="W195" s="3" t="str">
        <f t="shared" si="10"/>
        <v>Texas Tech</v>
      </c>
      <c r="X195" s="3" t="str">
        <f t="shared" si="11"/>
        <v>Oklahoma State</v>
      </c>
      <c r="Y195" s="30">
        <f>IF(D195=0,,IF(ISBLANK(Q195),,VLOOKUP(X195,Week12,2,FALSE)/(VLOOKUP(X195,Week12,2,FALSE)+VLOOKUP(W195,Week12,2,FALSE))+0.05)*100)</f>
        <v>67.29877294</v>
      </c>
      <c r="Z195" s="3" t="s">
        <v>55</v>
      </c>
      <c r="AA195" s="3">
        <v>50.0</v>
      </c>
      <c r="AB195" s="4" t="str">
        <f t="shared" si="20"/>
        <v>Texas Tech</v>
      </c>
      <c r="AC195" s="3">
        <v>44.0</v>
      </c>
      <c r="AD195" s="3"/>
      <c r="AE195" s="3">
        <f t="shared" si="13"/>
        <v>6</v>
      </c>
      <c r="AF195" s="3"/>
      <c r="AG195" s="3">
        <f t="shared" si="25"/>
        <v>1</v>
      </c>
      <c r="AH195" s="3"/>
      <c r="AI195" s="7"/>
      <c r="AJ195" s="4"/>
      <c r="AK195" s="7"/>
      <c r="AL195" s="7"/>
      <c r="AM195" s="7"/>
      <c r="AN195" s="7"/>
      <c r="AO195" s="7"/>
      <c r="AP195" s="7"/>
      <c r="AQ195" s="7"/>
      <c r="AR195" s="7"/>
      <c r="AS195" s="7"/>
      <c r="AT195" s="7"/>
      <c r="AU195" s="7"/>
      <c r="AV195" s="7"/>
      <c r="AW195" s="7"/>
      <c r="AX195" s="7"/>
    </row>
    <row r="196" ht="12.75" hidden="1" customHeight="1">
      <c r="A196" s="3">
        <v>10.0</v>
      </c>
      <c r="B196" s="3" t="s">
        <v>194</v>
      </c>
      <c r="C196" s="3" t="s">
        <v>90</v>
      </c>
      <c r="D196" s="4">
        <f>IFERROR(VLOOKUP(B196,Week9,2,FALSE),0)</f>
        <v>30.61</v>
      </c>
      <c r="E196" s="4">
        <f>IF(ISBLANK(B196),,IFERROR(VLOOKUP(B196,CurrentRank!$B$2:$C$132,2,FALSE),0))</f>
        <v>44.06</v>
      </c>
      <c r="F196" s="4">
        <f>IFERROR(VLOOKUP(B196,Week9,3,FALSE),130)</f>
        <v>83</v>
      </c>
      <c r="G196" s="4">
        <f>IF(ISBLANK(B196),,IFERROR(VLOOKUP(B196,CurrentRank!$B$2:$D$132,3,FALSE),130))</f>
        <v>26</v>
      </c>
      <c r="H196" s="4">
        <f>IFERROR(VLOOKUP(C196,Week9,2,FALSE),0)</f>
        <v>50.58</v>
      </c>
      <c r="I196" s="4">
        <f>IF(ISBLANK(B196),,IFERROR(VLOOKUP(C196,CurrentRank!$B$2:$C$132,2,FALSE),0))</f>
        <v>62.48</v>
      </c>
      <c r="J196" s="4">
        <f>IFERROR(VLOOKUP(C196,Week9,3,FALSE),130)</f>
        <v>24</v>
      </c>
      <c r="K196" s="4">
        <f>IF(ISBLANK(C196),,IFERROR(VLOOKUP(C196,CurrentRank!$B$2:$D$132,3,FALSE),130))</f>
        <v>19</v>
      </c>
      <c r="L196" s="19">
        <f t="shared" si="110"/>
        <v>1.21785</v>
      </c>
      <c r="M196" s="19">
        <f t="shared" si="111"/>
        <v>1.5981</v>
      </c>
      <c r="N196" s="24">
        <f t="shared" si="82"/>
        <v>53.5</v>
      </c>
      <c r="O196" s="21">
        <f t="shared" si="4"/>
        <v>-10.593925</v>
      </c>
      <c r="P196" s="21">
        <f t="shared" si="102"/>
        <v>-9.818925</v>
      </c>
      <c r="Q196" s="22">
        <f t="shared" si="6"/>
        <v>0.679530375</v>
      </c>
      <c r="R196" s="25" t="str">
        <f t="shared" si="7"/>
        <v>D+</v>
      </c>
      <c r="S196" s="19">
        <f t="shared" si="8"/>
        <v>0.7275</v>
      </c>
      <c r="T196" s="19" t="str">
        <f t="shared" si="9"/>
        <v>C</v>
      </c>
      <c r="U196" s="3" t="s">
        <v>203</v>
      </c>
      <c r="V196" s="4" t="str">
        <f>IF(ISBLANK(C196),,IFERROR(IF(VLOOKUP(B196,Standings!$A:$F, 6, 0)=VLOOKUP(C196,Standings!$A:$F, 6, 0), VLOOKUP(B196,Standings!$A:$F, 6, 0), "Non-con"), "FCS"))</f>
        <v>PAC12</v>
      </c>
      <c r="W196" s="3" t="str">
        <f t="shared" si="10"/>
        <v>Arizona State</v>
      </c>
      <c r="X196" s="3" t="str">
        <f t="shared" si="11"/>
        <v>Southern Cal</v>
      </c>
      <c r="Y196" s="30">
        <f>IF(D196=0,,IF(ISBLANK(Q196),,VLOOKUP(X196,Week9,2,FALSE)/(VLOOKUP(X196,Week9,2,FALSE)+VLOOKUP(W196,Week9,2,FALSE))+0.05)*100)</f>
        <v>67.2983126</v>
      </c>
      <c r="Z196" s="3" t="s">
        <v>90</v>
      </c>
      <c r="AA196" s="3">
        <v>28.0</v>
      </c>
      <c r="AB196" s="4" t="str">
        <f t="shared" si="20"/>
        <v>Arizona State</v>
      </c>
      <c r="AC196" s="3">
        <v>27.0</v>
      </c>
      <c r="AD196" s="3"/>
      <c r="AE196" s="3">
        <f t="shared" si="13"/>
        <v>1</v>
      </c>
      <c r="AF196" s="3"/>
      <c r="AG196" s="3">
        <f t="shared" si="25"/>
        <v>1</v>
      </c>
      <c r="AH196" s="3"/>
      <c r="AI196" s="7"/>
      <c r="AJ196" s="4"/>
      <c r="AK196" s="7"/>
      <c r="AL196" s="7"/>
      <c r="AM196" s="7"/>
      <c r="AN196" s="7"/>
      <c r="AO196" s="7"/>
      <c r="AP196" s="7"/>
      <c r="AQ196" s="7"/>
      <c r="AR196" s="7"/>
      <c r="AS196" s="7"/>
      <c r="AT196" s="7"/>
      <c r="AU196" s="7"/>
      <c r="AV196" s="7"/>
      <c r="AW196" s="7"/>
      <c r="AX196" s="7"/>
    </row>
    <row r="197" ht="12.75" hidden="1" customHeight="1">
      <c r="A197" s="3">
        <v>15.0</v>
      </c>
      <c r="B197" s="3" t="s">
        <v>184</v>
      </c>
      <c r="C197" s="3" t="s">
        <v>162</v>
      </c>
      <c r="D197" s="4">
        <f>IFERROR(VLOOKUP(B197,Week14,2,FALSE),0)</f>
        <v>32.04</v>
      </c>
      <c r="E197" s="4">
        <f>IF(ISBLANK(B197),,IFERROR(VLOOKUP(B197,CurrentRank!$B$2:$C$132,2,FALSE),0))</f>
        <v>28.91</v>
      </c>
      <c r="F197" s="4">
        <f>IFERROR(VLOOKUP(B197,Week14,3,FALSE),130)</f>
        <v>96</v>
      </c>
      <c r="G197" s="4">
        <f>IF(ISBLANK(B197),,IFERROR(VLOOKUP(B197,CurrentRank!$B$2:$D$132,3,FALSE),130))</f>
        <v>118</v>
      </c>
      <c r="H197" s="4">
        <f>IFERROR(VLOOKUP(C197,Week14,2,FALSE),0)</f>
        <v>52.92</v>
      </c>
      <c r="I197" s="4">
        <f>IF(ISBLANK(B197),,IFERROR(VLOOKUP(C197,CurrentRank!$B$2:$C$132,2,FALSE),0))</f>
        <v>51.75</v>
      </c>
      <c r="J197" s="4">
        <f>IFERROR(VLOOKUP(C197,Week14,3,FALSE),130)</f>
        <v>25</v>
      </c>
      <c r="K197" s="4">
        <f>IF(ISBLANK(C197),,IFERROR(VLOOKUP(C197,CurrentRank!$B$2:$D$132,3,FALSE),130))</f>
        <v>24</v>
      </c>
      <c r="L197" s="19">
        <f t="shared" si="110"/>
        <v>1.2744</v>
      </c>
      <c r="M197" s="19">
        <f t="shared" si="111"/>
        <v>1.2099</v>
      </c>
      <c r="N197" s="24">
        <f t="shared" si="82"/>
        <v>60.5</v>
      </c>
      <c r="O197" s="21">
        <f t="shared" si="4"/>
        <v>-11.0772</v>
      </c>
      <c r="P197" s="21">
        <f t="shared" si="102"/>
        <v>-12.0572</v>
      </c>
      <c r="Q197" s="22">
        <f t="shared" si="6"/>
        <v>0.642114</v>
      </c>
      <c r="R197" s="25" t="str">
        <f t="shared" si="7"/>
        <v>D</v>
      </c>
      <c r="S197" s="19">
        <f t="shared" si="8"/>
        <v>0.4525</v>
      </c>
      <c r="T197" s="19" t="str">
        <f t="shared" si="9"/>
        <v>F</v>
      </c>
      <c r="U197" s="3" t="s">
        <v>203</v>
      </c>
      <c r="V197" s="4" t="str">
        <f>IF(ISBLANK(C197),,IFERROR(IF(VLOOKUP(B197,Standings!$A:$F, 6, 0)=VLOOKUP(C197,Standings!$A:$F, 6, 0), VLOOKUP(B197,Standings!$A:$F, 6, 0), "Non-con"), "FCS"))</f>
        <v>MAC</v>
      </c>
      <c r="W197" s="3" t="str">
        <f t="shared" si="10"/>
        <v>Akron</v>
      </c>
      <c r="X197" s="3" t="str">
        <f t="shared" si="11"/>
        <v>Buffalo</v>
      </c>
      <c r="Y197" s="30">
        <f>IF(D197=0,,IF(ISBLANK(Q197),,VLOOKUP(X197,Week14,2,FALSE)/(VLOOKUP(X197,Week14,2,FALSE)+VLOOKUP(W197,Week14,2,FALSE))+0.05)*100)</f>
        <v>67.28813559</v>
      </c>
      <c r="Z197" s="3" t="s">
        <v>162</v>
      </c>
      <c r="AA197" s="3">
        <v>56.0</v>
      </c>
      <c r="AB197" s="4" t="str">
        <f t="shared" si="20"/>
        <v>Akron</v>
      </c>
      <c r="AC197" s="3">
        <v>7.0</v>
      </c>
      <c r="AD197" s="3"/>
      <c r="AE197" s="3">
        <f t="shared" si="13"/>
        <v>49</v>
      </c>
      <c r="AF197" s="3"/>
      <c r="AG197" s="3">
        <f t="shared" si="25"/>
        <v>1</v>
      </c>
      <c r="AH197" s="3"/>
      <c r="AI197" s="7"/>
      <c r="AJ197" s="4"/>
      <c r="AK197" s="7"/>
      <c r="AL197" s="7"/>
      <c r="AM197" s="7"/>
      <c r="AN197" s="7"/>
      <c r="AO197" s="7"/>
      <c r="AP197" s="7"/>
      <c r="AQ197" s="7"/>
      <c r="AR197" s="7"/>
      <c r="AS197" s="7"/>
      <c r="AT197" s="7"/>
      <c r="AU197" s="7"/>
      <c r="AV197" s="7"/>
      <c r="AW197" s="7"/>
      <c r="AX197" s="7"/>
    </row>
    <row r="198" ht="12.75" customHeight="1">
      <c r="A198" s="3">
        <v>17.0</v>
      </c>
      <c r="B198" s="3" t="s">
        <v>109</v>
      </c>
      <c r="C198" s="3" t="s">
        <v>99</v>
      </c>
      <c r="D198" s="4">
        <f>IFERROR(VLOOKUP(B198,Week16,2,FALSE),0)</f>
        <v>59.43</v>
      </c>
      <c r="E198" s="4">
        <f>IF(ISBLANK(B198),,IFERROR(VLOOKUP(B198,CurrentRank!$B$2:$C$132,2,FALSE),0))</f>
        <v>37.82</v>
      </c>
      <c r="F198" s="4">
        <f>IFERROR(VLOOKUP(B198,Week16,3,FALSE),130)</f>
        <v>22</v>
      </c>
      <c r="G198" s="4">
        <f>IF(ISBLANK(B198),,IFERROR(VLOOKUP(B198,CurrentRank!$B$2:$D$132,3,FALSE),130))</f>
        <v>40</v>
      </c>
      <c r="H198" s="4">
        <f>IFERROR(VLOOKUP(C198,Week16,2,FALSE),0)</f>
        <v>36.15</v>
      </c>
      <c r="I198" s="4">
        <f>IF(ISBLANK(B198),,IFERROR(VLOOKUP(C198,CurrentRank!$B$2:$C$132,2,FALSE),0))</f>
        <v>36.94</v>
      </c>
      <c r="J198" s="4">
        <f>IFERROR(VLOOKUP(C198,Week16,3,FALSE),130)</f>
        <v>56</v>
      </c>
      <c r="K198" s="4">
        <f>IF(ISBLANK(C198),,IFERROR(VLOOKUP(C198,CurrentRank!$B$2:$D$132,3,FALSE),130))</f>
        <v>47</v>
      </c>
      <c r="L198" s="19">
        <f t="shared" si="110"/>
        <v>0</v>
      </c>
      <c r="M198" s="19">
        <f t="shared" si="111"/>
        <v>0</v>
      </c>
      <c r="N198" s="24">
        <f t="shared" si="82"/>
        <v>39</v>
      </c>
      <c r="O198" s="21">
        <f t="shared" si="4"/>
        <v>11.64</v>
      </c>
      <c r="P198" s="21">
        <f t="shared" si="102"/>
        <v>0.44</v>
      </c>
      <c r="Q198" s="22">
        <f t="shared" si="6"/>
        <v>0.7468</v>
      </c>
      <c r="R198" s="25" t="str">
        <f t="shared" si="7"/>
        <v>C</v>
      </c>
      <c r="S198" s="19">
        <f t="shared" si="8"/>
        <v>0.795</v>
      </c>
      <c r="T198" s="19" t="str">
        <f t="shared" si="9"/>
        <v>B-</v>
      </c>
      <c r="U198" s="3" t="s">
        <v>223</v>
      </c>
      <c r="V198" s="4" t="str">
        <f>IF(ISBLANK(C198),,IFERROR(IF(VLOOKUP(B198,Standings!$A:$F, 6, 0)=VLOOKUP(C198,Standings!$A:$F, 6, 0), VLOOKUP(B198,Standings!$A:$F, 6, 0), "Non-con"), "FCS"))</f>
        <v>Non-con</v>
      </c>
      <c r="W198" s="3" t="str">
        <f t="shared" si="10"/>
        <v>Kentucky</v>
      </c>
      <c r="X198" s="3" t="str">
        <f t="shared" si="11"/>
        <v>North Carolina State</v>
      </c>
      <c r="Y198" s="30">
        <f>IF(D198=0,,IF(ISBLANK(Q198),,VLOOKUP(X198,Week16,2,FALSE)/(VLOOKUP(X198,Week16,2,FALSE)+VLOOKUP(W198,Week16,2,FALSE)))*100)</f>
        <v>62.17827997</v>
      </c>
      <c r="Z198" s="3" t="s">
        <v>99</v>
      </c>
      <c r="AA198" s="3">
        <v>23.0</v>
      </c>
      <c r="AB198" s="4" t="str">
        <f t="shared" si="20"/>
        <v>North Carolina State</v>
      </c>
      <c r="AC198" s="3">
        <v>21.0</v>
      </c>
      <c r="AD198" s="3"/>
      <c r="AE198" s="3">
        <f t="shared" si="13"/>
        <v>2</v>
      </c>
      <c r="AF198" s="3" t="s">
        <v>224</v>
      </c>
      <c r="AG198" s="3">
        <f t="shared" si="25"/>
        <v>0</v>
      </c>
      <c r="AH198" s="3"/>
      <c r="AI198" s="7"/>
      <c r="AJ198" s="4" t="s">
        <v>112</v>
      </c>
      <c r="AK198" s="7"/>
      <c r="AL198" s="7"/>
      <c r="AM198" s="7"/>
      <c r="AN198" s="7"/>
      <c r="AO198" s="7"/>
      <c r="AP198" s="7"/>
      <c r="AQ198" s="7"/>
      <c r="AR198" s="7"/>
      <c r="AS198" s="7"/>
      <c r="AT198" s="7"/>
      <c r="AU198" s="7"/>
      <c r="AV198" s="7"/>
      <c r="AW198" s="7"/>
      <c r="AX198" s="7"/>
    </row>
    <row r="199" ht="12.75" hidden="1" customHeight="1">
      <c r="A199" s="3">
        <v>6.0</v>
      </c>
      <c r="B199" s="3" t="s">
        <v>118</v>
      </c>
      <c r="C199" s="3" t="s">
        <v>64</v>
      </c>
      <c r="D199" s="4">
        <f>IFERROR(VLOOKUP(B199,Week5,2,FALSE),0)</f>
        <v>40.51</v>
      </c>
      <c r="E199" s="4">
        <f>IF(ISBLANK(B199),,IFERROR(VLOOKUP(B199,CurrentRank!$B$2:$C$132,2,FALSE),0))</f>
        <v>35.17</v>
      </c>
      <c r="F199" s="4">
        <f>IFERROR(VLOOKUP(B199,Week5,3,FALSE),130)</f>
        <v>33</v>
      </c>
      <c r="G199" s="4">
        <f>IF(ISBLANK(B199),,IFERROR(VLOOKUP(B199,CurrentRank!$B$2:$D$132,3,FALSE),130))</f>
        <v>65</v>
      </c>
      <c r="H199" s="4">
        <f>IFERROR(VLOOKUP(C199,Week5,2,FALSE),0)</f>
        <v>65.79</v>
      </c>
      <c r="I199" s="4">
        <f>IF(ISBLANK(B199),,IFERROR(VLOOKUP(C199,CurrentRank!$B$2:$C$132,2,FALSE),0))</f>
        <v>39.11</v>
      </c>
      <c r="J199" s="4">
        <f>IFERROR(VLOOKUP(C199,Week5,3,FALSE),130)</f>
        <v>15</v>
      </c>
      <c r="K199" s="4">
        <f>IF(ISBLANK(C199),,IFERROR(VLOOKUP(C199,CurrentRank!$B$2:$D$132,3,FALSE),130))</f>
        <v>36</v>
      </c>
      <c r="L199" s="19">
        <f t="shared" si="110"/>
        <v>1.5945</v>
      </c>
      <c r="M199" s="19">
        <f t="shared" si="111"/>
        <v>1.1142</v>
      </c>
      <c r="N199" s="24">
        <f t="shared" si="82"/>
        <v>24</v>
      </c>
      <c r="O199" s="21">
        <f t="shared" si="4"/>
        <v>-13.43725</v>
      </c>
      <c r="P199" s="21">
        <f t="shared" si="102"/>
        <v>-2.76725</v>
      </c>
      <c r="Q199" s="22">
        <f t="shared" si="6"/>
        <v>0.81281375</v>
      </c>
      <c r="R199" s="25" t="str">
        <f t="shared" si="7"/>
        <v>B-</v>
      </c>
      <c r="S199" s="19">
        <f t="shared" si="8"/>
        <v>0.87</v>
      </c>
      <c r="T199" s="19" t="str">
        <f t="shared" si="9"/>
        <v>B+</v>
      </c>
      <c r="U199" s="3" t="s">
        <v>203</v>
      </c>
      <c r="V199" s="4" t="str">
        <f>IF(ISBLANK(C199),,IFERROR(IF(VLOOKUP(B199,Standings!$A:$F, 6, 0)=VLOOKUP(C199,Standings!$A:$F, 6, 0), VLOOKUP(B199,Standings!$A:$F, 6, 0), "Non-con"), "FCS"))</f>
        <v>SEC</v>
      </c>
      <c r="W199" s="3" t="str">
        <f t="shared" si="10"/>
        <v>Arkansas</v>
      </c>
      <c r="X199" s="3" t="str">
        <f t="shared" si="11"/>
        <v>Auburn</v>
      </c>
      <c r="Y199" s="30">
        <f>IF(D199=0,,IF(ISBLANK(Q199),,VLOOKUP(X199,Week5,2,FALSE)/(VLOOKUP(X199,Week5,2,FALSE)+VLOOKUP(W199,Week5,2,FALSE))+0.05)*100)</f>
        <v>66.89087488</v>
      </c>
      <c r="Z199" s="3" t="s">
        <v>64</v>
      </c>
      <c r="AA199" s="3">
        <v>30.0</v>
      </c>
      <c r="AB199" s="4" t="str">
        <f t="shared" si="20"/>
        <v>Arkansas</v>
      </c>
      <c r="AC199" s="3">
        <v>28.0</v>
      </c>
      <c r="AD199" s="3"/>
      <c r="AE199" s="3">
        <f t="shared" si="13"/>
        <v>2</v>
      </c>
      <c r="AF199" s="3"/>
      <c r="AG199" s="3">
        <f t="shared" si="25"/>
        <v>1</v>
      </c>
      <c r="AH199" s="3"/>
      <c r="AI199" s="7"/>
      <c r="AJ199" s="4"/>
      <c r="AK199" s="7"/>
      <c r="AL199" s="7"/>
      <c r="AM199" s="7"/>
      <c r="AN199" s="7"/>
      <c r="AO199" s="7"/>
      <c r="AP199" s="7"/>
      <c r="AQ199" s="7"/>
      <c r="AR199" s="7"/>
      <c r="AS199" s="7"/>
      <c r="AT199" s="7"/>
      <c r="AU199" s="7"/>
      <c r="AV199" s="7"/>
      <c r="AW199" s="7"/>
      <c r="AX199" s="7"/>
    </row>
    <row r="200" ht="12.75" hidden="1" customHeight="1">
      <c r="A200" s="3">
        <v>13.0</v>
      </c>
      <c r="B200" s="3" t="s">
        <v>28</v>
      </c>
      <c r="C200" s="3" t="s">
        <v>38</v>
      </c>
      <c r="D200" s="4">
        <f>IFERROR(VLOOKUP(B200,Week12,2,FALSE),0)</f>
        <v>89.43</v>
      </c>
      <c r="E200" s="4">
        <f>IF(ISBLANK(B200),,IFERROR(VLOOKUP(B200,CurrentRank!$B$2:$C$132,2,FALSE),0))</f>
        <v>78.79</v>
      </c>
      <c r="F200" s="4">
        <f>IFERROR(VLOOKUP(B200,Week12,3,FALSE),130)</f>
        <v>2</v>
      </c>
      <c r="G200" s="4">
        <f>IF(ISBLANK(B200),,IFERROR(VLOOKUP(B200,CurrentRank!$B$2:$D$132,3,FALSE),130))</f>
        <v>7</v>
      </c>
      <c r="H200" s="4">
        <f>IFERROR(VLOOKUP(C200,Week12,2,FALSE),0)</f>
        <v>55.23</v>
      </c>
      <c r="I200" s="4">
        <f>IF(ISBLANK(B200),,IFERROR(VLOOKUP(C200,CurrentRank!$B$2:$C$132,2,FALSE),0))</f>
        <v>63.1</v>
      </c>
      <c r="J200" s="4">
        <f>IFERROR(VLOOKUP(C200,Week12,3,FALSE),130)</f>
        <v>25</v>
      </c>
      <c r="K200" s="4">
        <f>IF(ISBLANK(C200),,IFERROR(VLOOKUP(C200,CurrentRank!$B$2:$D$132,3,FALSE),130))</f>
        <v>18</v>
      </c>
      <c r="L200" s="19">
        <f t="shared" si="110"/>
        <v>2.1699</v>
      </c>
      <c r="M200" s="19">
        <f t="shared" si="111"/>
        <v>2.12835</v>
      </c>
      <c r="N200" s="24">
        <f t="shared" si="82"/>
        <v>13.5</v>
      </c>
      <c r="O200" s="21">
        <f t="shared" si="4"/>
        <v>16.01505</v>
      </c>
      <c r="P200" s="21">
        <f t="shared" si="102"/>
        <v>6.76005</v>
      </c>
      <c r="Q200" s="22">
        <f t="shared" si="6"/>
        <v>0.85242475</v>
      </c>
      <c r="R200" s="25" t="str">
        <f t="shared" si="7"/>
        <v>B</v>
      </c>
      <c r="S200" s="19">
        <f t="shared" si="8"/>
        <v>0.8625</v>
      </c>
      <c r="T200" s="19" t="str">
        <f t="shared" si="9"/>
        <v>B</v>
      </c>
      <c r="U200" s="3" t="s">
        <v>203</v>
      </c>
      <c r="V200" s="4" t="str">
        <f>IF(ISBLANK(C200),,IFERROR(IF(VLOOKUP(B200,Standings!$A:$F, 6, 0)=VLOOKUP(C200,Standings!$A:$F, 6, 0), VLOOKUP(B200,Standings!$A:$F, 6, 0), "Non-con"), "FCS"))</f>
        <v>ACC</v>
      </c>
      <c r="W200" s="3" t="str">
        <f t="shared" si="10"/>
        <v>North Carolina</v>
      </c>
      <c r="X200" s="3" t="str">
        <f t="shared" si="11"/>
        <v>Notre Dame</v>
      </c>
      <c r="Y200" s="30">
        <f>IF(D200=0,,IF(ISBLANK(Q200),,VLOOKUP(X200,Week12,2,FALSE)/(VLOOKUP(X200,Week12,2,FALSE)+VLOOKUP(W200,Week12,2,FALSE))+0.05)*100)</f>
        <v>66.82082124</v>
      </c>
      <c r="Z200" s="3" t="s">
        <v>28</v>
      </c>
      <c r="AA200" s="3">
        <v>31.0</v>
      </c>
      <c r="AB200" s="4" t="str">
        <f t="shared" si="20"/>
        <v>North Carolina</v>
      </c>
      <c r="AC200" s="3">
        <v>17.0</v>
      </c>
      <c r="AD200" s="3"/>
      <c r="AE200" s="3">
        <f t="shared" si="13"/>
        <v>14</v>
      </c>
      <c r="AF200" s="3"/>
      <c r="AG200" s="3">
        <f t="shared" si="25"/>
        <v>1</v>
      </c>
      <c r="AH200" s="3"/>
      <c r="AI200" s="7"/>
      <c r="AJ200" s="4"/>
      <c r="AK200" s="7"/>
      <c r="AL200" s="7"/>
      <c r="AM200" s="7"/>
      <c r="AN200" s="7"/>
      <c r="AO200" s="7"/>
      <c r="AP200" s="7"/>
      <c r="AQ200" s="7"/>
      <c r="AR200" s="7"/>
      <c r="AS200" s="7"/>
      <c r="AT200" s="7"/>
      <c r="AU200" s="7"/>
      <c r="AV200" s="7"/>
      <c r="AW200" s="7"/>
      <c r="AX200" s="7"/>
    </row>
    <row r="201" ht="12.75" customHeight="1">
      <c r="A201" s="3">
        <v>12.0</v>
      </c>
      <c r="B201" s="3" t="s">
        <v>151</v>
      </c>
      <c r="C201" s="3" t="s">
        <v>157</v>
      </c>
      <c r="D201" s="4">
        <f>IFERROR(VLOOKUP(B201,Week11,2,FALSE),0)</f>
        <v>43.19</v>
      </c>
      <c r="E201" s="4">
        <f>IF(ISBLANK(B201),,IFERROR(VLOOKUP(B201,CurrentRank!$B$2:$C$132,2,FALSE),0))</f>
        <v>34.83</v>
      </c>
      <c r="F201" s="4">
        <f>IFERROR(VLOOKUP(B201,Week11,3,FALSE),130)</f>
        <v>34</v>
      </c>
      <c r="G201" s="4">
        <f>IF(ISBLANK(B201),,IFERROR(VLOOKUP(B201,CurrentRank!$B$2:$D$132,3,FALSE),130))</f>
        <v>67</v>
      </c>
      <c r="H201" s="4">
        <f>IFERROR(VLOOKUP(C201,Week11,2,FALSE),0)</f>
        <v>43.61</v>
      </c>
      <c r="I201" s="4">
        <f>IF(ISBLANK(B201),,IFERROR(VLOOKUP(C201,CurrentRank!$B$2:$C$132,2,FALSE),0))</f>
        <v>33.69</v>
      </c>
      <c r="J201" s="4">
        <f>IFERROR(VLOOKUP(C201,Week11,3,FALSE),130)</f>
        <v>32</v>
      </c>
      <c r="K201" s="4">
        <f>IF(ISBLANK(C201),,IFERROR(VLOOKUP(C201,CurrentRank!$B$2:$D$132,3,FALSE),130))</f>
        <v>77</v>
      </c>
      <c r="L201" s="19">
        <f t="shared" si="110"/>
        <v>1.302</v>
      </c>
      <c r="M201" s="19">
        <f t="shared" si="111"/>
        <v>1.0278</v>
      </c>
      <c r="N201" s="24">
        <f t="shared" si="82"/>
        <v>33</v>
      </c>
      <c r="O201" s="21">
        <f t="shared" si="4"/>
        <v>-0.861</v>
      </c>
      <c r="P201" s="21">
        <f t="shared" si="102"/>
        <v>-0.081</v>
      </c>
      <c r="Q201" s="22">
        <f t="shared" si="6"/>
        <v>0.830695</v>
      </c>
      <c r="R201" s="25" t="str">
        <f t="shared" si="7"/>
        <v>B</v>
      </c>
      <c r="S201" s="19">
        <f t="shared" si="8"/>
        <v>0.795</v>
      </c>
      <c r="T201" s="19" t="str">
        <f t="shared" si="9"/>
        <v>B-</v>
      </c>
      <c r="U201" s="3" t="s">
        <v>203</v>
      </c>
      <c r="V201" s="4" t="str">
        <f>IF(ISBLANK(C201),,IFERROR(IF(VLOOKUP(B201,Standings!$A:$F, 6, 0)=VLOOKUP(C201,Standings!$A:$F, 6, 0), VLOOKUP(B201,Standings!$A:$F, 6, 0), "Non-con"), "FCS"))</f>
        <v>MAC</v>
      </c>
      <c r="W201" s="3" t="str">
        <f t="shared" si="10"/>
        <v>Western Michigan</v>
      </c>
      <c r="X201" s="3" t="str">
        <f t="shared" si="11"/>
        <v>Central Michigan</v>
      </c>
      <c r="Y201" s="30">
        <f>IF(D201=0,,IF(ISBLANK(Q201),,VLOOKUP(X201,Week11,2,FALSE)/(VLOOKUP(X201,Week11,2,FALSE)+VLOOKUP(W201,Week11,2,FALSE))+0.05)*100)</f>
        <v>55.24193548</v>
      </c>
      <c r="Z201" s="3" t="s">
        <v>151</v>
      </c>
      <c r="AA201" s="3">
        <v>52.0</v>
      </c>
      <c r="AB201" s="4" t="str">
        <f t="shared" si="20"/>
        <v>Central Michigan</v>
      </c>
      <c r="AC201" s="3">
        <v>44.0</v>
      </c>
      <c r="AD201" s="3"/>
      <c r="AE201" s="3">
        <f t="shared" si="13"/>
        <v>8</v>
      </c>
      <c r="AF201" s="3"/>
      <c r="AG201" s="3">
        <f t="shared" si="25"/>
        <v>0</v>
      </c>
      <c r="AH201" s="3"/>
      <c r="AI201" s="7"/>
      <c r="AJ201" s="4"/>
      <c r="AK201" s="7"/>
      <c r="AL201" s="7"/>
      <c r="AM201" s="7"/>
      <c r="AN201" s="7"/>
      <c r="AO201" s="7"/>
      <c r="AP201" s="7"/>
      <c r="AQ201" s="7"/>
      <c r="AR201" s="7"/>
      <c r="AS201" s="7"/>
      <c r="AT201" s="7"/>
      <c r="AU201" s="7"/>
      <c r="AV201" s="7"/>
      <c r="AW201" s="7"/>
      <c r="AX201" s="7"/>
    </row>
    <row r="202" ht="12.75" hidden="1" customHeight="1">
      <c r="A202" s="3">
        <v>9.0</v>
      </c>
      <c r="B202" s="3" t="s">
        <v>189</v>
      </c>
      <c r="C202" s="3" t="s">
        <v>97</v>
      </c>
      <c r="D202" s="4">
        <f>IFERROR(VLOOKUP(B202,Week8,2,FALSE),0)</f>
        <v>47.64</v>
      </c>
      <c r="E202" s="4">
        <f>IF(ISBLANK(B202),,IFERROR(VLOOKUP(B202,CurrentRank!$B$2:$C$132,2,FALSE),0))</f>
        <v>72.23</v>
      </c>
      <c r="F202" s="4">
        <f>IFERROR(VLOOKUP(B202,Week8,3,FALSE),130)</f>
        <v>27</v>
      </c>
      <c r="G202" s="4">
        <f>IF(ISBLANK(B202),,IFERROR(VLOOKUP(B202,CurrentRank!$B$2:$D$132,3,FALSE),130))</f>
        <v>11</v>
      </c>
      <c r="H202" s="4">
        <f>IFERROR(VLOOKUP(C202,Week8,2,FALSE),0)</f>
        <v>29.66</v>
      </c>
      <c r="I202" s="4">
        <f>IF(ISBLANK(B202),,IFERROR(VLOOKUP(C202,CurrentRank!$B$2:$C$132,2,FALSE),0))</f>
        <v>71.81</v>
      </c>
      <c r="J202" s="4">
        <f>IFERROR(VLOOKUP(C202,Week8,3,FALSE),130)</f>
        <v>108</v>
      </c>
      <c r="K202" s="4">
        <f>IF(ISBLANK(C202),,IFERROR(VLOOKUP(C202,CurrentRank!$B$2:$D$132,3,FALSE),130))</f>
        <v>12</v>
      </c>
      <c r="L202" s="19">
        <f t="shared" si="110"/>
        <v>1.1595</v>
      </c>
      <c r="M202" s="19">
        <f t="shared" si="111"/>
        <v>2.1606</v>
      </c>
      <c r="N202" s="24">
        <f t="shared" si="82"/>
        <v>67.5</v>
      </c>
      <c r="O202" s="21">
        <f t="shared" si="4"/>
        <v>8.41025</v>
      </c>
      <c r="P202" s="21">
        <f t="shared" si="102"/>
        <v>-0.36975</v>
      </c>
      <c r="Q202" s="22">
        <f t="shared" si="6"/>
        <v>0.62044875</v>
      </c>
      <c r="R202" s="25" t="str">
        <f t="shared" si="7"/>
        <v>D-</v>
      </c>
      <c r="S202" s="19">
        <f t="shared" si="8"/>
        <v>0.6575</v>
      </c>
      <c r="T202" s="19" t="str">
        <f t="shared" si="9"/>
        <v>D</v>
      </c>
      <c r="U202" s="3" t="s">
        <v>203</v>
      </c>
      <c r="V202" s="4" t="str">
        <f>IF(ISBLANK(C202),,IFERROR(IF(VLOOKUP(B202,Standings!$A:$F, 6, 0)=VLOOKUP(C202,Standings!$A:$F, 6, 0), VLOOKUP(B202,Standings!$A:$F, 6, 0), "Non-con"), "FCS"))</f>
        <v>B1G</v>
      </c>
      <c r="W202" s="3" t="str">
        <f t="shared" si="10"/>
        <v>Iowa</v>
      </c>
      <c r="X202" s="3" t="str">
        <f t="shared" si="11"/>
        <v>Northwestern</v>
      </c>
      <c r="Y202" s="30">
        <f>IF(D202=0,,IF(ISBLANK(Q202),,VLOOKUP(X202,Week8,2,FALSE)/(VLOOKUP(X202,Week8,2,FALSE)+VLOOKUP(W202,Week8,2,FALSE))+0.05)*100)</f>
        <v>66.63001294</v>
      </c>
      <c r="Z202" s="3" t="s">
        <v>189</v>
      </c>
      <c r="AA202" s="3">
        <v>21.0</v>
      </c>
      <c r="AB202" s="4" t="str">
        <f t="shared" si="20"/>
        <v>Iowa</v>
      </c>
      <c r="AC202" s="3">
        <v>20.0</v>
      </c>
      <c r="AD202" s="3"/>
      <c r="AE202" s="3">
        <f t="shared" si="13"/>
        <v>1</v>
      </c>
      <c r="AF202" s="3"/>
      <c r="AG202" s="3">
        <f t="shared" si="25"/>
        <v>1</v>
      </c>
      <c r="AH202" s="3"/>
      <c r="AI202" s="7"/>
      <c r="AJ202" s="4"/>
      <c r="AK202" s="7"/>
      <c r="AL202" s="7"/>
      <c r="AM202" s="7"/>
      <c r="AN202" s="7"/>
      <c r="AO202" s="7"/>
      <c r="AP202" s="7"/>
      <c r="AQ202" s="7"/>
      <c r="AR202" s="7"/>
      <c r="AS202" s="7"/>
      <c r="AT202" s="7"/>
      <c r="AU202" s="7"/>
      <c r="AV202" s="7"/>
      <c r="AW202" s="7"/>
      <c r="AX202" s="7"/>
    </row>
    <row r="203" ht="12.75" hidden="1" customHeight="1">
      <c r="A203" s="3">
        <v>15.0</v>
      </c>
      <c r="B203" s="3" t="s">
        <v>90</v>
      </c>
      <c r="C203" s="3" t="s">
        <v>125</v>
      </c>
      <c r="D203" s="4">
        <f>IFERROR(VLOOKUP(B203,Week14,2,FALSE),0)</f>
        <v>69.93</v>
      </c>
      <c r="E203" s="4">
        <f>IF(ISBLANK(B203),,IFERROR(VLOOKUP(B203,CurrentRank!$B$2:$C$132,2,FALSE),0))</f>
        <v>62.48</v>
      </c>
      <c r="F203" s="4">
        <f>IFERROR(VLOOKUP(B203,Week14,3,FALSE),130)</f>
        <v>15</v>
      </c>
      <c r="G203" s="4">
        <f>IF(ISBLANK(B203),,IFERROR(VLOOKUP(B203,CurrentRank!$B$2:$D$132,3,FALSE),130))</f>
        <v>19</v>
      </c>
      <c r="H203" s="4">
        <f>IFERROR(VLOOKUP(C203,Week14,2,FALSE),0)</f>
        <v>43.67</v>
      </c>
      <c r="I203" s="4">
        <f>IF(ISBLANK(B203),,IFERROR(VLOOKUP(C203,CurrentRank!$B$2:$C$132,2,FALSE),0))</f>
        <v>41.14</v>
      </c>
      <c r="J203" s="4">
        <f>IFERROR(VLOOKUP(C203,Week14,3,FALSE),130)</f>
        <v>27</v>
      </c>
      <c r="K203" s="4">
        <f>IF(ISBLANK(C203),,IFERROR(VLOOKUP(C203,CurrentRank!$B$2:$D$132,3,FALSE),130))</f>
        <v>31</v>
      </c>
      <c r="L203" s="19">
        <f t="shared" si="110"/>
        <v>1.704</v>
      </c>
      <c r="M203" s="19">
        <f t="shared" si="111"/>
        <v>1.5543</v>
      </c>
      <c r="N203" s="24">
        <f t="shared" si="82"/>
        <v>21</v>
      </c>
      <c r="O203" s="21">
        <f t="shared" si="4"/>
        <v>12.278</v>
      </c>
      <c r="P203" s="21">
        <f t="shared" si="102"/>
        <v>9.818</v>
      </c>
      <c r="Q203" s="22">
        <f t="shared" si="6"/>
        <v>0.83361</v>
      </c>
      <c r="R203" s="25" t="str">
        <f t="shared" si="7"/>
        <v>B</v>
      </c>
      <c r="S203" s="19">
        <f t="shared" si="8"/>
        <v>0.87</v>
      </c>
      <c r="T203" s="19" t="str">
        <f t="shared" si="9"/>
        <v>B+</v>
      </c>
      <c r="U203" s="3" t="s">
        <v>203</v>
      </c>
      <c r="V203" s="4" t="str">
        <f>IF(ISBLANK(C203),,IFERROR(IF(VLOOKUP(B203,Standings!$A:$F, 6, 0)=VLOOKUP(C203,Standings!$A:$F, 6, 0), VLOOKUP(B203,Standings!$A:$F, 6, 0), "Non-con"), "FCS"))</f>
        <v>PAC12</v>
      </c>
      <c r="W203" s="3" t="str">
        <f t="shared" si="10"/>
        <v>UCLA</v>
      </c>
      <c r="X203" s="3" t="str">
        <f t="shared" si="11"/>
        <v>Southern Cal</v>
      </c>
      <c r="Y203" s="30">
        <f>IF(D203=0,,IF(ISBLANK(Q203),,VLOOKUP(X203,Week14,2,FALSE)/(VLOOKUP(X203,Week14,2,FALSE)+VLOOKUP(W203,Week14,2,FALSE))+0.05)*100)</f>
        <v>66.55809859</v>
      </c>
      <c r="Z203" s="3" t="s">
        <v>90</v>
      </c>
      <c r="AA203" s="3">
        <v>43.0</v>
      </c>
      <c r="AB203" s="4" t="str">
        <f t="shared" si="20"/>
        <v>UCLA</v>
      </c>
      <c r="AC203" s="3">
        <v>38.0</v>
      </c>
      <c r="AD203" s="3"/>
      <c r="AE203" s="3">
        <f t="shared" si="13"/>
        <v>5</v>
      </c>
      <c r="AF203" s="3"/>
      <c r="AG203" s="3">
        <f t="shared" si="25"/>
        <v>1</v>
      </c>
      <c r="AH203" s="3"/>
      <c r="AI203" s="7"/>
      <c r="AJ203" s="4"/>
      <c r="AK203" s="7"/>
      <c r="AL203" s="7"/>
      <c r="AM203" s="7"/>
      <c r="AN203" s="7"/>
      <c r="AO203" s="7"/>
      <c r="AP203" s="7"/>
      <c r="AQ203" s="7"/>
      <c r="AR203" s="7"/>
      <c r="AS203" s="7"/>
      <c r="AT203" s="7"/>
      <c r="AU203" s="7"/>
      <c r="AV203" s="7"/>
      <c r="AW203" s="7"/>
      <c r="AX203" s="7"/>
    </row>
    <row r="204" ht="12.75" hidden="1" customHeight="1">
      <c r="A204" s="3">
        <v>5.0</v>
      </c>
      <c r="B204" s="3" t="s">
        <v>53</v>
      </c>
      <c r="C204" s="3" t="s">
        <v>181</v>
      </c>
      <c r="D204" s="4">
        <f>IFERROR(VLOOKUP(B204,Week4,2,FALSE),0)</f>
        <v>47.08</v>
      </c>
      <c r="E204" s="4">
        <f>IF(ISBLANK(B204),,IFERROR(VLOOKUP(B204,CurrentRank!$B$2:$C$132,2,FALSE),0))</f>
        <v>37.27</v>
      </c>
      <c r="F204" s="4">
        <f>IFERROR(VLOOKUP(B204,Week4,3,FALSE),130)</f>
        <v>29</v>
      </c>
      <c r="G204" s="4">
        <f>IF(ISBLANK(B204),,IFERROR(VLOOKUP(B204,CurrentRank!$B$2:$D$132,3,FALSE),130))</f>
        <v>45</v>
      </c>
      <c r="H204" s="4">
        <f>IFERROR(VLOOKUP(C204,Week4,2,FALSE),0)</f>
        <v>29.42</v>
      </c>
      <c r="I204" s="4">
        <f>IF(ISBLANK(B204),,IFERROR(VLOOKUP(C204,CurrentRank!$B$2:$C$132,2,FALSE),0))</f>
        <v>25.47</v>
      </c>
      <c r="J204" s="4">
        <f>IFERROR(VLOOKUP(C204,Week4,3,FALSE),130)</f>
        <v>114</v>
      </c>
      <c r="K204" s="4">
        <f>IF(ISBLANK(C204),,IFERROR(VLOOKUP(C204,CurrentRank!$B$2:$D$132,3,FALSE),130))</f>
        <v>125</v>
      </c>
      <c r="L204" s="19">
        <f t="shared" si="110"/>
        <v>1.1475</v>
      </c>
      <c r="M204" s="19">
        <f t="shared" si="111"/>
        <v>0.9411</v>
      </c>
      <c r="N204" s="24">
        <f t="shared" si="82"/>
        <v>71.5</v>
      </c>
      <c r="O204" s="21">
        <f t="shared" si="4"/>
        <v>8.25625</v>
      </c>
      <c r="P204" s="21">
        <f t="shared" si="102"/>
        <v>5.32625</v>
      </c>
      <c r="Q204" s="22">
        <f t="shared" si="6"/>
        <v>0.60121875</v>
      </c>
      <c r="R204" s="25" t="str">
        <f t="shared" si="7"/>
        <v>D-</v>
      </c>
      <c r="S204" s="19">
        <f t="shared" si="8"/>
        <v>0.4725</v>
      </c>
      <c r="T204" s="19" t="str">
        <f t="shared" si="9"/>
        <v>F</v>
      </c>
      <c r="U204" s="3" t="s">
        <v>203</v>
      </c>
      <c r="V204" s="4" t="str">
        <f>IF(ISBLANK(C204),,IFERROR(IF(VLOOKUP(B204,Standings!$A:$F, 6, 0)=VLOOKUP(C204,Standings!$A:$F, 6, 0), VLOOKUP(B204,Standings!$A:$F, 6, 0), "Non-con"), "FCS"))</f>
        <v>SEC</v>
      </c>
      <c r="W204" s="3" t="str">
        <f t="shared" si="10"/>
        <v>Vanderbilt</v>
      </c>
      <c r="X204" s="3" t="str">
        <f t="shared" si="11"/>
        <v>LSU</v>
      </c>
      <c r="Y204" s="30">
        <f>IF(D204=0,,IF(ISBLANK(Q204),,VLOOKUP(X204,Week4,2,FALSE)/(VLOOKUP(X204,Week4,2,FALSE)+VLOOKUP(W204,Week4,2,FALSE))+0.05)*100)</f>
        <v>66.54248366</v>
      </c>
      <c r="Z204" s="3" t="s">
        <v>53</v>
      </c>
      <c r="AA204" s="3">
        <v>41.0</v>
      </c>
      <c r="AB204" s="4" t="str">
        <f t="shared" si="20"/>
        <v>Vanderbilt</v>
      </c>
      <c r="AC204" s="3">
        <v>7.0</v>
      </c>
      <c r="AD204" s="3"/>
      <c r="AE204" s="3">
        <f t="shared" si="13"/>
        <v>34</v>
      </c>
      <c r="AF204" s="3"/>
      <c r="AG204" s="3">
        <f t="shared" si="25"/>
        <v>1</v>
      </c>
      <c r="AH204" s="3"/>
      <c r="AI204" s="7"/>
      <c r="AJ204" s="4"/>
      <c r="AK204" s="7"/>
      <c r="AL204" s="7"/>
      <c r="AM204" s="7"/>
      <c r="AN204" s="7"/>
      <c r="AO204" s="7"/>
      <c r="AP204" s="7"/>
      <c r="AQ204" s="7"/>
      <c r="AR204" s="7"/>
      <c r="AS204" s="7"/>
      <c r="AT204" s="7"/>
      <c r="AU204" s="7"/>
      <c r="AV204" s="7"/>
      <c r="AW204" s="7"/>
      <c r="AX204" s="7"/>
    </row>
    <row r="205" ht="12.75" hidden="1" customHeight="1">
      <c r="A205" s="3">
        <v>13.0</v>
      </c>
      <c r="B205" s="3" t="s">
        <v>64</v>
      </c>
      <c r="C205" s="3" t="s">
        <v>23</v>
      </c>
      <c r="D205" s="4">
        <f>IFERROR(VLOOKUP(B205,Week12,2,FALSE),0)</f>
        <v>59.73</v>
      </c>
      <c r="E205" s="4">
        <f>IF(ISBLANK(B205),,IFERROR(VLOOKUP(B205,CurrentRank!$B$2:$C$132,2,FALSE),0))</f>
        <v>39.11</v>
      </c>
      <c r="F205" s="4">
        <f>IFERROR(VLOOKUP(B205,Week12,3,FALSE),130)</f>
        <v>21</v>
      </c>
      <c r="G205" s="4">
        <f>IF(ISBLANK(B205),,IFERROR(VLOOKUP(B205,CurrentRank!$B$2:$D$132,3,FALSE),130))</f>
        <v>36</v>
      </c>
      <c r="H205" s="4">
        <f>IFERROR(VLOOKUP(C205,Week12,2,FALSE),0)</f>
        <v>94.37</v>
      </c>
      <c r="I205" s="4">
        <f>IF(ISBLANK(B205),,IFERROR(VLOOKUP(C205,CurrentRank!$B$2:$C$132,2,FALSE),0))</f>
        <v>96.59</v>
      </c>
      <c r="J205" s="4">
        <f>IFERROR(VLOOKUP(C205,Week12,3,FALSE),130)</f>
        <v>1</v>
      </c>
      <c r="K205" s="4">
        <f>IF(ISBLANK(C205),,IFERROR(VLOOKUP(C205,CurrentRank!$B$2:$D$132,3,FALSE),130))</f>
        <v>1</v>
      </c>
      <c r="L205" s="19">
        <f t="shared" si="110"/>
        <v>2.3115</v>
      </c>
      <c r="M205" s="19">
        <f t="shared" si="111"/>
        <v>2.0355</v>
      </c>
      <c r="N205" s="24">
        <f t="shared" si="82"/>
        <v>11</v>
      </c>
      <c r="O205" s="21">
        <f t="shared" si="4"/>
        <v>-18.47575</v>
      </c>
      <c r="P205" s="21">
        <f t="shared" si="102"/>
        <v>-29.89575</v>
      </c>
      <c r="Q205" s="22">
        <f t="shared" si="6"/>
        <v>0.85262125</v>
      </c>
      <c r="R205" s="25" t="str">
        <f t="shared" si="7"/>
        <v>B</v>
      </c>
      <c r="S205" s="19">
        <f t="shared" si="8"/>
        <v>0.8</v>
      </c>
      <c r="T205" s="19" t="str">
        <f t="shared" si="9"/>
        <v>B-</v>
      </c>
      <c r="U205" s="3" t="s">
        <v>203</v>
      </c>
      <c r="V205" s="4" t="str">
        <f>IF(ISBLANK(C205),,IFERROR(IF(VLOOKUP(B205,Standings!$A:$F, 6, 0)=VLOOKUP(C205,Standings!$A:$F, 6, 0), VLOOKUP(B205,Standings!$A:$F, 6, 0), "Non-con"), "FCS"))</f>
        <v>SEC</v>
      </c>
      <c r="W205" s="3" t="str">
        <f t="shared" si="10"/>
        <v>Auburn</v>
      </c>
      <c r="X205" s="3" t="str">
        <f t="shared" si="11"/>
        <v>Alabama</v>
      </c>
      <c r="Y205" s="30">
        <f>IF(D205=0,,IF(ISBLANK(Q205),,VLOOKUP(X205,Week12,2,FALSE)/(VLOOKUP(X205,Week12,2,FALSE)+VLOOKUP(W205,Week12,2,FALSE))+0.05)*100)</f>
        <v>66.2394549</v>
      </c>
      <c r="Z205" s="3" t="s">
        <v>23</v>
      </c>
      <c r="AA205" s="3">
        <v>42.0</v>
      </c>
      <c r="AB205" s="4" t="str">
        <f t="shared" si="20"/>
        <v>Auburn</v>
      </c>
      <c r="AC205" s="3">
        <v>13.0</v>
      </c>
      <c r="AD205" s="3"/>
      <c r="AE205" s="3">
        <f t="shared" si="13"/>
        <v>29</v>
      </c>
      <c r="AF205" s="3"/>
      <c r="AG205" s="3">
        <f t="shared" si="25"/>
        <v>1</v>
      </c>
      <c r="AH205" s="3"/>
      <c r="AI205" s="7"/>
      <c r="AJ205" s="4"/>
      <c r="AK205" s="7"/>
      <c r="AL205" s="7"/>
      <c r="AM205" s="7"/>
      <c r="AN205" s="7"/>
      <c r="AO205" s="7"/>
      <c r="AP205" s="7"/>
      <c r="AQ205" s="7"/>
      <c r="AR205" s="7"/>
      <c r="AS205" s="7"/>
      <c r="AT205" s="7"/>
      <c r="AU205" s="7"/>
      <c r="AV205" s="7"/>
      <c r="AW205" s="7"/>
      <c r="AX205" s="7"/>
    </row>
    <row r="206" ht="12.75" hidden="1" customHeight="1">
      <c r="A206" s="3">
        <v>17.0</v>
      </c>
      <c r="B206" s="3" t="s">
        <v>97</v>
      </c>
      <c r="C206" s="3" t="s">
        <v>149</v>
      </c>
      <c r="D206" s="4">
        <f>IFERROR(VLOOKUP(B206,Week16,2,FALSE),0)</f>
        <v>71.61</v>
      </c>
      <c r="E206" s="4">
        <f>IF(ISBLANK(B206),,IFERROR(VLOOKUP(B206,CurrentRank!$B$2:$C$132,2,FALSE),0))</f>
        <v>71.81</v>
      </c>
      <c r="F206" s="4">
        <f>IFERROR(VLOOKUP(B206,Week16,3,FALSE),130)</f>
        <v>13</v>
      </c>
      <c r="G206" s="4">
        <f>IF(ISBLANK(B206),,IFERROR(VLOOKUP(B206,CurrentRank!$B$2:$D$132,3,FALSE),130))</f>
        <v>12</v>
      </c>
      <c r="H206" s="4">
        <f>IFERROR(VLOOKUP(C206,Week16,2,FALSE),0)</f>
        <v>36.51</v>
      </c>
      <c r="I206" s="4">
        <f>IF(ISBLANK(B206),,IFERROR(VLOOKUP(C206,CurrentRank!$B$2:$C$132,2,FALSE),0))</f>
        <v>36.59</v>
      </c>
      <c r="J206" s="4">
        <f>IFERROR(VLOOKUP(C206,Week16,3,FALSE),130)</f>
        <v>55</v>
      </c>
      <c r="K206" s="4">
        <f>IF(ISBLANK(C206),,IFERROR(VLOOKUP(C206,CurrentRank!$B$2:$D$132,3,FALSE),130))</f>
        <v>51</v>
      </c>
      <c r="L206" s="19">
        <f t="shared" si="110"/>
        <v>0</v>
      </c>
      <c r="M206" s="19">
        <f t="shared" si="111"/>
        <v>0</v>
      </c>
      <c r="N206" s="24">
        <f t="shared" si="82"/>
        <v>34</v>
      </c>
      <c r="O206" s="21">
        <f t="shared" si="4"/>
        <v>17.55</v>
      </c>
      <c r="P206" s="21">
        <f t="shared" si="102"/>
        <v>17.61</v>
      </c>
      <c r="Q206" s="22">
        <f t="shared" si="6"/>
        <v>0.74225</v>
      </c>
      <c r="R206" s="25" t="str">
        <f t="shared" si="7"/>
        <v>C</v>
      </c>
      <c r="S206" s="19" t="str">
        <f t="shared" si="8"/>
        <v/>
      </c>
      <c r="T206" s="19" t="str">
        <f t="shared" si="9"/>
        <v/>
      </c>
      <c r="U206" s="3" t="s">
        <v>223</v>
      </c>
      <c r="V206" s="4" t="str">
        <f>IF(ISBLANK(C206),,IFERROR(IF(VLOOKUP(B206,Standings!$A:$F, 6, 0)=VLOOKUP(C206,Standings!$A:$F, 6, 0), VLOOKUP(B206,Standings!$A:$F, 6, 0), "Non-con"), "FCS"))</f>
        <v>Non-con</v>
      </c>
      <c r="W206" s="3" t="str">
        <f t="shared" si="10"/>
        <v>Missouri</v>
      </c>
      <c r="X206" s="3" t="str">
        <f t="shared" si="11"/>
        <v>Iowa</v>
      </c>
      <c r="Y206" s="30">
        <f>IF(D206=0,,IF(ISBLANK(Q206),,VLOOKUP(X206,Week16,2,FALSE)/(VLOOKUP(X206,Week16,2,FALSE)+VLOOKUP(W206,Week16,2,FALSE)))*100)</f>
        <v>66.23196448</v>
      </c>
      <c r="Z206" s="4"/>
      <c r="AA206" s="3"/>
      <c r="AB206" s="4" t="str">
        <f t="shared" si="20"/>
        <v/>
      </c>
      <c r="AC206" s="3"/>
      <c r="AD206" s="3"/>
      <c r="AE206" s="3" t="str">
        <f t="shared" si="13"/>
        <v/>
      </c>
      <c r="AF206" s="3" t="s">
        <v>226</v>
      </c>
      <c r="AG206" s="3" t="str">
        <f t="shared" si="25"/>
        <v/>
      </c>
      <c r="AH206" s="3"/>
      <c r="AI206" s="7"/>
      <c r="AJ206" s="4" t="s">
        <v>65</v>
      </c>
      <c r="AK206" s="7"/>
      <c r="AL206" s="7"/>
      <c r="AM206" s="7"/>
      <c r="AN206" s="7"/>
      <c r="AO206" s="7"/>
      <c r="AP206" s="7"/>
      <c r="AQ206" s="7"/>
      <c r="AR206" s="7"/>
      <c r="AS206" s="7"/>
      <c r="AT206" s="7"/>
      <c r="AU206" s="7"/>
      <c r="AV206" s="7"/>
      <c r="AW206" s="7"/>
      <c r="AX206" s="7"/>
    </row>
    <row r="207" ht="12.75" hidden="1" customHeight="1">
      <c r="A207" s="3">
        <v>13.0</v>
      </c>
      <c r="B207" s="3" t="s">
        <v>109</v>
      </c>
      <c r="C207" s="3" t="s">
        <v>128</v>
      </c>
      <c r="D207" s="4">
        <f>IFERROR(VLOOKUP(B207,Week12,2,FALSE),0)</f>
        <v>39.11</v>
      </c>
      <c r="E207" s="4">
        <f>IF(ISBLANK(B207),,IFERROR(VLOOKUP(B207,CurrentRank!$B$2:$C$132,2,FALSE),0))</f>
        <v>37.82</v>
      </c>
      <c r="F207" s="4">
        <f>IFERROR(VLOOKUP(B207,Week12,3,FALSE),130)</f>
        <v>43</v>
      </c>
      <c r="G207" s="4">
        <f>IF(ISBLANK(B207),,IFERROR(VLOOKUP(B207,CurrentRank!$B$2:$D$132,3,FALSE),130))</f>
        <v>40</v>
      </c>
      <c r="H207" s="4">
        <f>IFERROR(VLOOKUP(C207,Week12,2,FALSE),0)</f>
        <v>24.93</v>
      </c>
      <c r="I207" s="4">
        <f>IF(ISBLANK(B207),,IFERROR(VLOOKUP(C207,CurrentRank!$B$2:$C$132,2,FALSE),0))</f>
        <v>26.74</v>
      </c>
      <c r="J207" s="4">
        <f>IFERROR(VLOOKUP(C207,Week12,3,FALSE),130)</f>
        <v>126</v>
      </c>
      <c r="K207" s="4">
        <f>IF(ISBLANK(C207),,IFERROR(VLOOKUP(C207,CurrentRank!$B$2:$D$132,3,FALSE),130))</f>
        <v>123</v>
      </c>
      <c r="L207" s="19">
        <f t="shared" si="110"/>
        <v>0.9606</v>
      </c>
      <c r="M207" s="19">
        <f t="shared" si="111"/>
        <v>0.9684</v>
      </c>
      <c r="N207" s="24">
        <f t="shared" si="82"/>
        <v>84.5</v>
      </c>
      <c r="O207" s="21">
        <f t="shared" si="4"/>
        <v>6.6097</v>
      </c>
      <c r="P207" s="21">
        <f t="shared" si="102"/>
        <v>5.0597</v>
      </c>
      <c r="Q207" s="22">
        <f t="shared" si="6"/>
        <v>0.5444515</v>
      </c>
      <c r="R207" s="25" t="str">
        <f t="shared" si="7"/>
        <v>F</v>
      </c>
      <c r="S207" s="19">
        <f t="shared" si="8"/>
        <v>0.5425</v>
      </c>
      <c r="T207" s="19" t="str">
        <f t="shared" si="9"/>
        <v>F</v>
      </c>
      <c r="U207" s="3" t="s">
        <v>203</v>
      </c>
      <c r="V207" s="4" t="str">
        <f>IF(ISBLANK(C207),,IFERROR(IF(VLOOKUP(B207,Standings!$A:$F, 6, 0)=VLOOKUP(C207,Standings!$A:$F, 6, 0), VLOOKUP(B207,Standings!$A:$F, 6, 0), "Non-con"), "FCS"))</f>
        <v>ACC</v>
      </c>
      <c r="W207" s="3" t="str">
        <f t="shared" si="10"/>
        <v>Syracuse</v>
      </c>
      <c r="X207" s="3" t="str">
        <f t="shared" si="11"/>
        <v>North Carolina State</v>
      </c>
      <c r="Y207" s="30">
        <f>IF(D207=0,,IF(ISBLANK(Q207),,VLOOKUP(X207,Week12,2,FALSE)/(VLOOKUP(X207,Week12,2,FALSE)+VLOOKUP(W207,Week12,2,FALSE))+0.05)*100)</f>
        <v>66.0712055</v>
      </c>
      <c r="Z207" s="3" t="s">
        <v>109</v>
      </c>
      <c r="AA207" s="3">
        <v>36.0</v>
      </c>
      <c r="AB207" s="4" t="str">
        <f t="shared" si="20"/>
        <v>Syracuse</v>
      </c>
      <c r="AC207" s="3">
        <v>29.0</v>
      </c>
      <c r="AD207" s="3"/>
      <c r="AE207" s="3">
        <f t="shared" si="13"/>
        <v>7</v>
      </c>
      <c r="AF207" s="3"/>
      <c r="AG207" s="3">
        <f t="shared" si="25"/>
        <v>1</v>
      </c>
      <c r="AH207" s="3"/>
      <c r="AI207" s="7"/>
      <c r="AJ207" s="4"/>
      <c r="AK207" s="7"/>
      <c r="AL207" s="7"/>
      <c r="AM207" s="7"/>
      <c r="AN207" s="7"/>
      <c r="AO207" s="7"/>
      <c r="AP207" s="7"/>
      <c r="AQ207" s="7"/>
      <c r="AR207" s="7"/>
      <c r="AS207" s="7"/>
      <c r="AT207" s="7"/>
      <c r="AU207" s="7"/>
      <c r="AV207" s="7"/>
      <c r="AW207" s="7"/>
      <c r="AX207" s="7"/>
    </row>
    <row r="208" ht="12.75" customHeight="1">
      <c r="A208" s="3">
        <v>14.0</v>
      </c>
      <c r="B208" s="3" t="s">
        <v>190</v>
      </c>
      <c r="C208" s="3" t="s">
        <v>138</v>
      </c>
      <c r="D208" s="4">
        <f>IFERROR(VLOOKUP(B208,Week13,2,FALSE),0)</f>
        <v>36.13</v>
      </c>
      <c r="E208" s="4">
        <f>IF(ISBLANK(B208),,IFERROR(VLOOKUP(B208,CurrentRank!$B$2:$C$132,2,FALSE),0))</f>
        <v>42.24</v>
      </c>
      <c r="F208" s="4">
        <f>IFERROR(VLOOKUP(B208,Week13,3,FALSE),130)</f>
        <v>52</v>
      </c>
      <c r="G208" s="4">
        <f>IF(ISBLANK(B208),,IFERROR(VLOOKUP(B208,CurrentRank!$B$2:$D$132,3,FALSE),130))</f>
        <v>28</v>
      </c>
      <c r="H208" s="4">
        <f>IFERROR(VLOOKUP(C208,Week13,2,FALSE),0)</f>
        <v>61.93</v>
      </c>
      <c r="I208" s="4">
        <f>IF(ISBLANK(B208),,IFERROR(VLOOKUP(C208,CurrentRank!$B$2:$C$132,2,FALSE),0))</f>
        <v>40.47</v>
      </c>
      <c r="J208" s="4">
        <f>IFERROR(VLOOKUP(C208,Week13,3,FALSE),130)</f>
        <v>22</v>
      </c>
      <c r="K208" s="4">
        <f>IF(ISBLANK(C208),,IFERROR(VLOOKUP(C208,CurrentRank!$B$2:$D$132,3,FALSE),130))</f>
        <v>33</v>
      </c>
      <c r="L208" s="19">
        <f t="shared" si="110"/>
        <v>1.4709</v>
      </c>
      <c r="M208" s="19">
        <f t="shared" si="111"/>
        <v>1.24065</v>
      </c>
      <c r="N208" s="24">
        <f t="shared" si="82"/>
        <v>37</v>
      </c>
      <c r="O208" s="21">
        <f t="shared" si="4"/>
        <v>-13.63545</v>
      </c>
      <c r="P208" s="21">
        <f t="shared" si="102"/>
        <v>0.14955</v>
      </c>
      <c r="Q208" s="22">
        <f t="shared" si="6"/>
        <v>0.74682275</v>
      </c>
      <c r="R208" s="25" t="str">
        <f t="shared" si="7"/>
        <v>C</v>
      </c>
      <c r="S208" s="19">
        <f t="shared" si="8"/>
        <v>0.79</v>
      </c>
      <c r="T208" s="19" t="str">
        <f t="shared" si="9"/>
        <v>C+</v>
      </c>
      <c r="U208" s="3" t="s">
        <v>203</v>
      </c>
      <c r="V208" s="4" t="str">
        <f>IF(ISBLANK(C208),,IFERROR(IF(VLOOKUP(B208,Standings!$A:$F, 6, 0)=VLOOKUP(C208,Standings!$A:$F, 6, 0), VLOOKUP(B208,Standings!$A:$F, 6, 0), "Non-con"), "FCS"))</f>
        <v>PAC12</v>
      </c>
      <c r="W208" s="3" t="str">
        <f t="shared" si="10"/>
        <v>Stanford</v>
      </c>
      <c r="X208" s="3" t="str">
        <f t="shared" si="11"/>
        <v>Washington</v>
      </c>
      <c r="Y208" s="30">
        <f>IF(D208=0,,IF(ISBLANK(Q208),,VLOOKUP(X208,Week13,2,FALSE)/(VLOOKUP(X208,Week13,2,FALSE)+VLOOKUP(W208,Week13,2,FALSE))+0.05)*100)</f>
        <v>68.1552111</v>
      </c>
      <c r="Z208" s="3" t="s">
        <v>190</v>
      </c>
      <c r="AA208" s="3">
        <v>31.0</v>
      </c>
      <c r="AB208" s="4" t="str">
        <f t="shared" si="20"/>
        <v>Washington</v>
      </c>
      <c r="AC208" s="3">
        <v>26.0</v>
      </c>
      <c r="AD208" s="3"/>
      <c r="AE208" s="3">
        <f t="shared" si="13"/>
        <v>5</v>
      </c>
      <c r="AF208" s="3"/>
      <c r="AG208" s="3">
        <f t="shared" si="25"/>
        <v>0</v>
      </c>
      <c r="AH208" s="3"/>
      <c r="AI208" s="7"/>
      <c r="AJ208" s="4"/>
      <c r="AK208" s="7"/>
      <c r="AL208" s="7"/>
      <c r="AM208" s="7"/>
      <c r="AN208" s="7"/>
      <c r="AO208" s="7"/>
      <c r="AP208" s="7"/>
      <c r="AQ208" s="7"/>
      <c r="AR208" s="7"/>
      <c r="AS208" s="7"/>
      <c r="AT208" s="7"/>
      <c r="AU208" s="7"/>
      <c r="AV208" s="7"/>
      <c r="AW208" s="7"/>
      <c r="AX208" s="7"/>
    </row>
    <row r="209" ht="12.75" customHeight="1">
      <c r="A209" s="3">
        <v>4.0</v>
      </c>
      <c r="B209" s="3" t="s">
        <v>81</v>
      </c>
      <c r="C209" s="3" t="s">
        <v>53</v>
      </c>
      <c r="D209" s="4">
        <f>IFERROR(VLOOKUP(B209,Week3,2,FALSE),0)</f>
        <v>31.02</v>
      </c>
      <c r="E209" s="4">
        <f>IF(ISBLANK(B209),,IFERROR(VLOOKUP(B209,CurrentRank!$B$2:$C$132,2,FALSE),0))</f>
        <v>33.91</v>
      </c>
      <c r="F209" s="4">
        <f>IFERROR(VLOOKUP(B209,Week3,3,FALSE),130)</f>
        <v>51</v>
      </c>
      <c r="G209" s="4">
        <f>IF(ISBLANK(B209),,IFERROR(VLOOKUP(B209,CurrentRank!$B$2:$D$132,3,FALSE),130))</f>
        <v>75</v>
      </c>
      <c r="H209" s="4">
        <f>IFERROR(VLOOKUP(C209,Week3,2,FALSE),0)</f>
        <v>65.26</v>
      </c>
      <c r="I209" s="4">
        <f>IF(ISBLANK(B209),,IFERROR(VLOOKUP(C209,CurrentRank!$B$2:$C$132,2,FALSE),0))</f>
        <v>37.27</v>
      </c>
      <c r="J209" s="4">
        <f>IFERROR(VLOOKUP(C209,Week3,3,FALSE),130)</f>
        <v>13</v>
      </c>
      <c r="K209" s="4">
        <f>IF(ISBLANK(C209),,IFERROR(VLOOKUP(C209,CurrentRank!$B$2:$D$132,3,FALSE),130))</f>
        <v>45</v>
      </c>
      <c r="L209" s="19">
        <f t="shared" si="110"/>
        <v>1.4442</v>
      </c>
      <c r="M209" s="19">
        <f t="shared" si="111"/>
        <v>1.0677</v>
      </c>
      <c r="N209" s="24">
        <f t="shared" si="82"/>
        <v>32</v>
      </c>
      <c r="O209" s="21">
        <f t="shared" si="4"/>
        <v>-17.8421</v>
      </c>
      <c r="P209" s="21">
        <f t="shared" si="102"/>
        <v>-2.4021</v>
      </c>
      <c r="Q209" s="22">
        <f t="shared" si="6"/>
        <v>0.7507895</v>
      </c>
      <c r="R209" s="25" t="str">
        <f t="shared" si="7"/>
        <v>C</v>
      </c>
      <c r="S209" s="19">
        <f t="shared" si="8"/>
        <v>0.79</v>
      </c>
      <c r="T209" s="19" t="str">
        <f t="shared" si="9"/>
        <v>C+</v>
      </c>
      <c r="U209" s="3" t="s">
        <v>203</v>
      </c>
      <c r="V209" s="4" t="str">
        <f>IF(ISBLANK(C209),,IFERROR(IF(VLOOKUP(B209,Standings!$A:$F, 6, 0)=VLOOKUP(C209,Standings!$A:$F, 6, 0), VLOOKUP(B209,Standings!$A:$F, 6, 0), "Non-con"), "FCS"))</f>
        <v>SEC</v>
      </c>
      <c r="W209" s="3" t="str">
        <f t="shared" si="10"/>
        <v>Mississippi State</v>
      </c>
      <c r="X209" s="3" t="str">
        <f t="shared" si="11"/>
        <v>LSU</v>
      </c>
      <c r="Y209" s="30">
        <f>IF(D209=0,,IF(ISBLANK(Q209),,VLOOKUP(X209,Week3,2,FALSE)/(VLOOKUP(X209,Week3,2,FALSE)+VLOOKUP(W209,Week3,2,FALSE))+0.05)*100)</f>
        <v>72.78147071</v>
      </c>
      <c r="Z209" s="3" t="s">
        <v>81</v>
      </c>
      <c r="AA209" s="3">
        <v>44.0</v>
      </c>
      <c r="AB209" s="4" t="str">
        <f t="shared" si="20"/>
        <v>LSU</v>
      </c>
      <c r="AC209" s="3">
        <v>34.0</v>
      </c>
      <c r="AD209" s="3"/>
      <c r="AE209" s="3">
        <f t="shared" si="13"/>
        <v>10</v>
      </c>
      <c r="AF209" s="3"/>
      <c r="AG209" s="3">
        <f t="shared" si="25"/>
        <v>0</v>
      </c>
      <c r="AH209" s="3"/>
      <c r="AI209" s="7"/>
      <c r="AJ209" s="4" t="s">
        <v>107</v>
      </c>
      <c r="AK209" s="7"/>
      <c r="AL209" s="7"/>
      <c r="AM209" s="7"/>
      <c r="AN209" s="7"/>
      <c r="AO209" s="7"/>
      <c r="AP209" s="7"/>
      <c r="AQ209" s="7"/>
      <c r="AR209" s="7"/>
      <c r="AS209" s="7"/>
      <c r="AT209" s="7"/>
      <c r="AU209" s="7"/>
      <c r="AV209" s="7"/>
      <c r="AW209" s="7"/>
      <c r="AX209" s="7"/>
    </row>
    <row r="210" ht="12.75" hidden="1" customHeight="1">
      <c r="A210" s="3">
        <v>8.0</v>
      </c>
      <c r="B210" s="3" t="s">
        <v>170</v>
      </c>
      <c r="C210" s="3" t="s">
        <v>106</v>
      </c>
      <c r="D210" s="4">
        <f>IFERROR(VLOOKUP(B210,Week7,2,FALSE),0)</f>
        <v>32.91</v>
      </c>
      <c r="E210" s="4">
        <f>IF(ISBLANK(B210),,IFERROR(VLOOKUP(B210,CurrentRank!$B$2:$C$132,2,FALSE),0))</f>
        <v>28.08</v>
      </c>
      <c r="F210" s="4">
        <f>IFERROR(VLOOKUP(B210,Week7,3,FALSE),130)</f>
        <v>62</v>
      </c>
      <c r="G210" s="4">
        <f>IF(ISBLANK(B210),,IFERROR(VLOOKUP(B210,CurrentRank!$B$2:$D$132,3,FALSE),130))</f>
        <v>121</v>
      </c>
      <c r="H210" s="4">
        <f>IFERROR(VLOOKUP(C210,Week7,2,FALSE),0)</f>
        <v>51.04</v>
      </c>
      <c r="I210" s="4">
        <f>IF(ISBLANK(B210),,IFERROR(VLOOKUP(C210,CurrentRank!$B$2:$C$132,2,FALSE),0))</f>
        <v>65.58</v>
      </c>
      <c r="J210" s="4">
        <f>IFERROR(VLOOKUP(C210,Week7,3,FALSE),130)</f>
        <v>24</v>
      </c>
      <c r="K210" s="4">
        <f>IF(ISBLANK(C210),,IFERROR(VLOOKUP(C210,CurrentRank!$B$2:$D$132,3,FALSE),130))</f>
        <v>17</v>
      </c>
      <c r="L210" s="19">
        <f t="shared" si="110"/>
        <v>1.25925</v>
      </c>
      <c r="M210" s="19">
        <f t="shared" si="111"/>
        <v>1.4049</v>
      </c>
      <c r="N210" s="24">
        <f t="shared" si="82"/>
        <v>43</v>
      </c>
      <c r="O210" s="21">
        <f t="shared" si="4"/>
        <v>-9.694625</v>
      </c>
      <c r="P210" s="21">
        <f t="shared" si="102"/>
        <v>-19.379625</v>
      </c>
      <c r="Q210" s="22">
        <f t="shared" si="6"/>
        <v>0.736526875</v>
      </c>
      <c r="R210" s="25" t="str">
        <f t="shared" si="7"/>
        <v>C</v>
      </c>
      <c r="S210" s="19">
        <f t="shared" si="8"/>
        <v>0.68</v>
      </c>
      <c r="T210" s="19" t="str">
        <f t="shared" si="9"/>
        <v>D+</v>
      </c>
      <c r="U210" s="3" t="s">
        <v>203</v>
      </c>
      <c r="V210" s="4" t="str">
        <f>IF(ISBLANK(C210),,IFERROR(IF(VLOOKUP(B210,Standings!$A:$F, 6, 0)=VLOOKUP(C210,Standings!$A:$F, 6, 0), VLOOKUP(B210,Standings!$A:$F, 6, 0), "Non-con"), "FCS"))</f>
        <v>Non-con</v>
      </c>
      <c r="W210" s="3" t="str">
        <f t="shared" si="10"/>
        <v>Southern Mississippi</v>
      </c>
      <c r="X210" s="3" t="str">
        <f t="shared" si="11"/>
        <v>Liberty</v>
      </c>
      <c r="Y210" s="30">
        <f>IF(D210=0,,IF(ISBLANK(Q210),,VLOOKUP(X210,Week7,2,FALSE)/(VLOOKUP(X210,Week7,2,FALSE)+VLOOKUP(W210,Week7,2,FALSE))+0.05)*100)</f>
        <v>65.7980941</v>
      </c>
      <c r="Z210" s="3" t="s">
        <v>106</v>
      </c>
      <c r="AA210" s="3">
        <v>56.0</v>
      </c>
      <c r="AB210" s="4" t="str">
        <f t="shared" si="20"/>
        <v>Southern Mississippi</v>
      </c>
      <c r="AC210" s="3">
        <v>35.0</v>
      </c>
      <c r="AD210" s="3"/>
      <c r="AE210" s="3">
        <f t="shared" si="13"/>
        <v>21</v>
      </c>
      <c r="AF210" s="3"/>
      <c r="AG210" s="3">
        <f t="shared" si="25"/>
        <v>1</v>
      </c>
      <c r="AH210" s="3"/>
      <c r="AI210" s="7"/>
      <c r="AJ210" s="4"/>
      <c r="AK210" s="7"/>
      <c r="AL210" s="7"/>
      <c r="AM210" s="7"/>
      <c r="AN210" s="7"/>
      <c r="AO210" s="7"/>
      <c r="AP210" s="7"/>
      <c r="AQ210" s="7"/>
      <c r="AR210" s="7"/>
      <c r="AS210" s="7"/>
      <c r="AT210" s="7"/>
      <c r="AU210" s="7"/>
      <c r="AV210" s="7"/>
      <c r="AW210" s="7"/>
      <c r="AX210" s="7"/>
    </row>
    <row r="211" ht="12.75" hidden="1" customHeight="1">
      <c r="A211" s="3">
        <v>4.0</v>
      </c>
      <c r="B211" s="3" t="s">
        <v>99</v>
      </c>
      <c r="C211" s="3" t="s">
        <v>64</v>
      </c>
      <c r="D211" s="4">
        <f>IFERROR(VLOOKUP(B211,Week3,2,FALSE),0)</f>
        <v>39.88</v>
      </c>
      <c r="E211" s="4">
        <f>IF(ISBLANK(B211),,IFERROR(VLOOKUP(B211,CurrentRank!$B$2:$C$132,2,FALSE),0))</f>
        <v>36.94</v>
      </c>
      <c r="F211" s="4">
        <f>IFERROR(VLOOKUP(B211,Week3,3,FALSE),130)</f>
        <v>38</v>
      </c>
      <c r="G211" s="4">
        <f>IF(ISBLANK(B211),,IFERROR(VLOOKUP(B211,CurrentRank!$B$2:$D$132,3,FALSE),130))</f>
        <v>47</v>
      </c>
      <c r="H211" s="4">
        <f>IFERROR(VLOOKUP(C211,Week3,2,FALSE),0)</f>
        <v>61.83</v>
      </c>
      <c r="I211" s="4">
        <f>IF(ISBLANK(B211),,IFERROR(VLOOKUP(C211,CurrentRank!$B$2:$C$132,2,FALSE),0))</f>
        <v>39.11</v>
      </c>
      <c r="J211" s="4">
        <f>IFERROR(VLOOKUP(C211,Week3,3,FALSE),130)</f>
        <v>16</v>
      </c>
      <c r="K211" s="4">
        <f>IF(ISBLANK(C211),,IFERROR(VLOOKUP(C211,CurrentRank!$B$2:$D$132,3,FALSE),130))</f>
        <v>36</v>
      </c>
      <c r="L211" s="19">
        <f t="shared" si="110"/>
        <v>1.52565</v>
      </c>
      <c r="M211" s="19">
        <f t="shared" si="111"/>
        <v>1.14075</v>
      </c>
      <c r="N211" s="24">
        <f t="shared" si="82"/>
        <v>27</v>
      </c>
      <c r="O211" s="21">
        <f t="shared" si="4"/>
        <v>-11.737825</v>
      </c>
      <c r="P211" s="21">
        <f t="shared" si="102"/>
        <v>-1.847825</v>
      </c>
      <c r="Q211" s="22">
        <f t="shared" si="6"/>
        <v>0.806310875</v>
      </c>
      <c r="R211" s="25" t="str">
        <f t="shared" si="7"/>
        <v>B-</v>
      </c>
      <c r="S211" s="19">
        <f t="shared" si="8"/>
        <v>0.785</v>
      </c>
      <c r="T211" s="19" t="str">
        <f t="shared" si="9"/>
        <v>C+</v>
      </c>
      <c r="U211" s="3" t="s">
        <v>203</v>
      </c>
      <c r="V211" s="4" t="str">
        <f>IF(ISBLANK(C211),,IFERROR(IF(VLOOKUP(B211,Standings!$A:$F, 6, 0)=VLOOKUP(C211,Standings!$A:$F, 6, 0), VLOOKUP(B211,Standings!$A:$F, 6, 0), "Non-con"), "FCS"))</f>
        <v>SEC</v>
      </c>
      <c r="W211" s="3" t="str">
        <f t="shared" si="10"/>
        <v>Kentucky</v>
      </c>
      <c r="X211" s="3" t="str">
        <f t="shared" si="11"/>
        <v>Auburn</v>
      </c>
      <c r="Y211" s="30">
        <f>IF(D211=0,,IF(ISBLANK(Q211),,VLOOKUP(X211,Week3,2,FALSE)/(VLOOKUP(X211,Week3,2,FALSE)+VLOOKUP(W211,Week3,2,FALSE))+0.05)*100)</f>
        <v>65.79048275</v>
      </c>
      <c r="Z211" s="3" t="s">
        <v>64</v>
      </c>
      <c r="AA211" s="3">
        <v>29.0</v>
      </c>
      <c r="AB211" s="4" t="str">
        <f t="shared" si="20"/>
        <v>Kentucky</v>
      </c>
      <c r="AC211" s="3">
        <v>13.0</v>
      </c>
      <c r="AD211" s="3"/>
      <c r="AE211" s="3">
        <f t="shared" si="13"/>
        <v>16</v>
      </c>
      <c r="AF211" s="3"/>
      <c r="AG211" s="3">
        <f t="shared" si="25"/>
        <v>1</v>
      </c>
      <c r="AH211" s="3"/>
      <c r="AI211" s="7"/>
      <c r="AJ211" s="4"/>
      <c r="AK211" s="7"/>
      <c r="AL211" s="7"/>
      <c r="AM211" s="7"/>
      <c r="AN211" s="7"/>
      <c r="AO211" s="7"/>
      <c r="AP211" s="7"/>
      <c r="AQ211" s="7"/>
      <c r="AR211" s="7"/>
      <c r="AS211" s="7"/>
      <c r="AT211" s="7"/>
      <c r="AU211" s="7"/>
      <c r="AV211" s="7"/>
      <c r="AW211" s="7"/>
      <c r="AX211" s="7"/>
    </row>
    <row r="212" ht="12.75" hidden="1" customHeight="1">
      <c r="A212" s="3">
        <v>14.0</v>
      </c>
      <c r="B212" s="3" t="s">
        <v>180</v>
      </c>
      <c r="C212" s="3" t="s">
        <v>168</v>
      </c>
      <c r="D212" s="4">
        <f>IFERROR(VLOOKUP(B212,Week13,2,FALSE),0)</f>
        <v>46.65</v>
      </c>
      <c r="E212" s="4">
        <f>IF(ISBLANK(B212),,IFERROR(VLOOKUP(B212,CurrentRank!$B$2:$C$132,2,FALSE),0))</f>
        <v>35.77</v>
      </c>
      <c r="F212" s="4">
        <f>IFERROR(VLOOKUP(B212,Week13,3,FALSE),130)</f>
        <v>26</v>
      </c>
      <c r="G212" s="4">
        <f>IF(ISBLANK(B212),,IFERROR(VLOOKUP(B212,CurrentRank!$B$2:$D$132,3,FALSE),130))</f>
        <v>55</v>
      </c>
      <c r="H212" s="4">
        <f>IFERROR(VLOOKUP(C212,Week13,2,FALSE),0)</f>
        <v>30.26</v>
      </c>
      <c r="I212" s="4">
        <f>IF(ISBLANK(B212),,IFERROR(VLOOKUP(C212,CurrentRank!$B$2:$C$132,2,FALSE),0))</f>
        <v>27.16</v>
      </c>
      <c r="J212" s="4">
        <f>IFERROR(VLOOKUP(C212,Week13,3,FALSE),130)</f>
        <v>108</v>
      </c>
      <c r="K212" s="4">
        <f>IF(ISBLANK(C212),,IFERROR(VLOOKUP(C212,CurrentRank!$B$2:$D$132,3,FALSE),130))</f>
        <v>122</v>
      </c>
      <c r="L212" s="19">
        <f t="shared" si="110"/>
        <v>1.15365</v>
      </c>
      <c r="M212" s="19">
        <f t="shared" si="111"/>
        <v>0.94395</v>
      </c>
      <c r="N212" s="24">
        <f t="shared" si="82"/>
        <v>67</v>
      </c>
      <c r="O212" s="21">
        <f t="shared" si="4"/>
        <v>7.618175</v>
      </c>
      <c r="P212" s="21">
        <f t="shared" si="102"/>
        <v>3.728175</v>
      </c>
      <c r="Q212" s="22">
        <f t="shared" si="6"/>
        <v>0.626909125</v>
      </c>
      <c r="R212" s="25" t="str">
        <f t="shared" si="7"/>
        <v>D</v>
      </c>
      <c r="S212" s="19">
        <f t="shared" si="8"/>
        <v>0.61</v>
      </c>
      <c r="T212" s="19" t="str">
        <f t="shared" si="9"/>
        <v>D-</v>
      </c>
      <c r="U212" s="3" t="s">
        <v>203</v>
      </c>
      <c r="V212" s="4" t="str">
        <f>IF(ISBLANK(C212),,IFERROR(IF(VLOOKUP(B212,Standings!$A:$F, 6, 0)=VLOOKUP(C212,Standings!$A:$F, 6, 0), VLOOKUP(B212,Standings!$A:$F, 6, 0), "Non-con"), "FCS"))</f>
        <v>PAC12</v>
      </c>
      <c r="W212" s="3" t="str">
        <f t="shared" si="10"/>
        <v>Arizona</v>
      </c>
      <c r="X212" s="3" t="str">
        <f t="shared" si="11"/>
        <v>Colorado</v>
      </c>
      <c r="Y212" s="30">
        <f>IF(D212=0,,IF(ISBLANK(Q212),,VLOOKUP(X212,Week13,2,FALSE)/(VLOOKUP(X212,Week13,2,FALSE)+VLOOKUP(W212,Week13,2,FALSE))+0.05)*100)</f>
        <v>65.6553114</v>
      </c>
      <c r="Z212" s="3" t="s">
        <v>180</v>
      </c>
      <c r="AA212" s="3">
        <v>24.0</v>
      </c>
      <c r="AB212" s="4" t="str">
        <f t="shared" si="20"/>
        <v>Arizona</v>
      </c>
      <c r="AC212" s="3">
        <v>13.0</v>
      </c>
      <c r="AD212" s="3"/>
      <c r="AE212" s="3">
        <f t="shared" si="13"/>
        <v>11</v>
      </c>
      <c r="AF212" s="3"/>
      <c r="AG212" s="3">
        <f t="shared" si="25"/>
        <v>1</v>
      </c>
      <c r="AH212" s="3"/>
      <c r="AI212" s="7"/>
      <c r="AJ212" s="4"/>
      <c r="AK212" s="7"/>
      <c r="AL212" s="7"/>
      <c r="AM212" s="7"/>
      <c r="AN212" s="7"/>
      <c r="AO212" s="7"/>
      <c r="AP212" s="7"/>
      <c r="AQ212" s="7"/>
      <c r="AR212" s="7"/>
      <c r="AS212" s="7"/>
      <c r="AT212" s="7"/>
      <c r="AU212" s="7"/>
      <c r="AV212" s="7"/>
      <c r="AW212" s="7"/>
      <c r="AX212" s="7"/>
    </row>
    <row r="213" ht="12.75" hidden="1" customHeight="1">
      <c r="A213" s="3">
        <v>9.0</v>
      </c>
      <c r="B213" s="3" t="s">
        <v>51</v>
      </c>
      <c r="C213" s="3" t="s">
        <v>127</v>
      </c>
      <c r="D213" s="4">
        <f>IFERROR(VLOOKUP(B213,Week8,2,FALSE),0)</f>
        <v>53.32</v>
      </c>
      <c r="E213" s="4">
        <f>IF(ISBLANK(B213),,IFERROR(VLOOKUP(B213,CurrentRank!$B$2:$C$132,2,FALSE),0))</f>
        <v>81.57</v>
      </c>
      <c r="F213" s="4">
        <f>IFERROR(VLOOKUP(B213,Week8,3,FALSE),130)</f>
        <v>22</v>
      </c>
      <c r="G213" s="4">
        <f>IF(ISBLANK(B213),,IFERROR(VLOOKUP(B213,CurrentRank!$B$2:$D$132,3,FALSE),130))</f>
        <v>5</v>
      </c>
      <c r="H213" s="4">
        <f>IFERROR(VLOOKUP(C213,Week8,2,FALSE),0)</f>
        <v>34.61</v>
      </c>
      <c r="I213" s="4">
        <f>IF(ISBLANK(B213),,IFERROR(VLOOKUP(C213,CurrentRank!$B$2:$C$132,2,FALSE),0))</f>
        <v>35.27</v>
      </c>
      <c r="J213" s="4">
        <f>IFERROR(VLOOKUP(C213,Week8,3,FALSE),130)</f>
        <v>62</v>
      </c>
      <c r="K213" s="4">
        <f>IF(ISBLANK(C213),,IFERROR(VLOOKUP(C213,CurrentRank!$B$2:$D$132,3,FALSE),130))</f>
        <v>64</v>
      </c>
      <c r="L213" s="19">
        <f t="shared" si="110"/>
        <v>1.31895</v>
      </c>
      <c r="M213" s="19">
        <f t="shared" si="111"/>
        <v>1.7526</v>
      </c>
      <c r="N213" s="24">
        <f t="shared" si="82"/>
        <v>42</v>
      </c>
      <c r="O213" s="21">
        <f t="shared" si="4"/>
        <v>8.695525</v>
      </c>
      <c r="P213" s="21">
        <f t="shared" si="102"/>
        <v>22.490525</v>
      </c>
      <c r="Q213" s="22">
        <f t="shared" si="6"/>
        <v>0.746522375</v>
      </c>
      <c r="R213" s="25" t="str">
        <f t="shared" si="7"/>
        <v>C</v>
      </c>
      <c r="S213" s="19">
        <f t="shared" si="8"/>
        <v>0.62</v>
      </c>
      <c r="T213" s="19" t="str">
        <f t="shared" si="9"/>
        <v>D-</v>
      </c>
      <c r="U213" s="3" t="s">
        <v>203</v>
      </c>
      <c r="V213" s="4" t="str">
        <f>IF(ISBLANK(C213),,IFERROR(IF(VLOOKUP(B213,Standings!$A:$F, 6, 0)=VLOOKUP(C213,Standings!$A:$F, 6, 0), VLOOKUP(B213,Standings!$A:$F, 6, 0), "Non-con"), "FCS"))</f>
        <v>BIG12</v>
      </c>
      <c r="W213" s="3" t="str">
        <f t="shared" si="10"/>
        <v>Texas Tech</v>
      </c>
      <c r="X213" s="3" t="str">
        <f t="shared" si="11"/>
        <v>Oklahoma</v>
      </c>
      <c r="Y213" s="30">
        <f>IF(D213=0,,IF(ISBLANK(Q213),,VLOOKUP(X213,Week8,2,FALSE)/(VLOOKUP(X213,Week8,2,FALSE)+VLOOKUP(W213,Week8,2,FALSE))+0.05)*100)</f>
        <v>65.63914477</v>
      </c>
      <c r="Z213" s="3" t="s">
        <v>51</v>
      </c>
      <c r="AA213" s="3">
        <v>62.0</v>
      </c>
      <c r="AB213" s="4" t="str">
        <f t="shared" si="20"/>
        <v>Texas Tech</v>
      </c>
      <c r="AC213" s="3">
        <v>28.0</v>
      </c>
      <c r="AD213" s="3"/>
      <c r="AE213" s="3">
        <f t="shared" si="13"/>
        <v>34</v>
      </c>
      <c r="AF213" s="3"/>
      <c r="AG213" s="3">
        <f t="shared" si="25"/>
        <v>1</v>
      </c>
      <c r="AH213" s="3"/>
      <c r="AI213" s="7"/>
      <c r="AJ213" s="4"/>
      <c r="AK213" s="7"/>
      <c r="AL213" s="7"/>
      <c r="AM213" s="7"/>
      <c r="AN213" s="7"/>
      <c r="AO213" s="7"/>
      <c r="AP213" s="7"/>
      <c r="AQ213" s="7"/>
      <c r="AR213" s="7"/>
      <c r="AS213" s="7"/>
      <c r="AT213" s="7"/>
      <c r="AU213" s="7"/>
      <c r="AV213" s="7"/>
      <c r="AW213" s="7"/>
      <c r="AX213" s="7"/>
    </row>
    <row r="214" ht="12.75" customHeight="1">
      <c r="A214" s="3">
        <v>7.0</v>
      </c>
      <c r="B214" s="3" t="s">
        <v>47</v>
      </c>
      <c r="C214" s="3" t="s">
        <v>60</v>
      </c>
      <c r="D214" s="4">
        <f>IFERROR(VLOOKUP(B214,Week6,2,FALSE),0)</f>
        <v>42.39</v>
      </c>
      <c r="E214" s="4">
        <f>IF(ISBLANK(B214),,IFERROR(VLOOKUP(B214,CurrentRank!$B$2:$C$132,2,FALSE),0))</f>
        <v>41.86</v>
      </c>
      <c r="F214" s="4">
        <f>IFERROR(VLOOKUP(B214,Week6,3,FALSE),130)</f>
        <v>33</v>
      </c>
      <c r="G214" s="4">
        <f>IF(ISBLANK(B214),,IFERROR(VLOOKUP(B214,CurrentRank!$B$2:$D$132,3,FALSE),130))</f>
        <v>30</v>
      </c>
      <c r="H214" s="4">
        <f>IFERROR(VLOOKUP(C214,Week6,2,FALSE),0)</f>
        <v>36.29</v>
      </c>
      <c r="I214" s="4">
        <f>IF(ISBLANK(B214),,IFERROR(VLOOKUP(C214,CurrentRank!$B$2:$C$132,2,FALSE),0))</f>
        <v>35.34</v>
      </c>
      <c r="J214" s="4">
        <f>IFERROR(VLOOKUP(C214,Week6,3,FALSE),130)</f>
        <v>50</v>
      </c>
      <c r="K214" s="4">
        <f>IF(ISBLANK(C214),,IFERROR(VLOOKUP(C214,CurrentRank!$B$2:$D$132,3,FALSE),130))</f>
        <v>61</v>
      </c>
      <c r="L214" s="19">
        <f t="shared" si="110"/>
        <v>1.1802</v>
      </c>
      <c r="M214" s="19">
        <f t="shared" si="111"/>
        <v>1.158</v>
      </c>
      <c r="N214" s="24">
        <f t="shared" si="82"/>
        <v>41.5</v>
      </c>
      <c r="O214" s="21">
        <f t="shared" si="4"/>
        <v>2.4599</v>
      </c>
      <c r="P214" s="21">
        <f t="shared" si="102"/>
        <v>2.6699</v>
      </c>
      <c r="Q214" s="22">
        <f t="shared" si="6"/>
        <v>0.7802005</v>
      </c>
      <c r="R214" s="25" t="str">
        <f t="shared" si="7"/>
        <v>C+</v>
      </c>
      <c r="S214" s="19">
        <f t="shared" si="8"/>
        <v>0.7875</v>
      </c>
      <c r="T214" s="19" t="str">
        <f t="shared" si="9"/>
        <v>C+</v>
      </c>
      <c r="U214" s="3" t="s">
        <v>203</v>
      </c>
      <c r="V214" s="4" t="str">
        <f>IF(ISBLANK(C214),,IFERROR(IF(VLOOKUP(B214,Standings!$A:$F, 6, 0)=VLOOKUP(C214,Standings!$A:$F, 6, 0), VLOOKUP(B214,Standings!$A:$F, 6, 0), "Non-con"), "FCS"))</f>
        <v>AAC</v>
      </c>
      <c r="W214" s="3" t="str">
        <f t="shared" si="10"/>
        <v>Memphis</v>
      </c>
      <c r="X214" s="3" t="str">
        <f t="shared" si="11"/>
        <v>Central Florida</v>
      </c>
      <c r="Y214" s="30">
        <f>IF(D214=0,,IF(ISBLANK(Q214),,VLOOKUP(X214,Week6,2,FALSE)/(VLOOKUP(X214,Week6,2,FALSE)+VLOOKUP(W214,Week6,2,FALSE))+0.05)*100)</f>
        <v>58.87646162</v>
      </c>
      <c r="Z214" s="3" t="s">
        <v>60</v>
      </c>
      <c r="AA214" s="3">
        <v>50.0</v>
      </c>
      <c r="AB214" s="4" t="str">
        <f t="shared" si="20"/>
        <v>Central Florida</v>
      </c>
      <c r="AC214" s="3">
        <v>49.0</v>
      </c>
      <c r="AD214" s="3"/>
      <c r="AE214" s="3">
        <f t="shared" si="13"/>
        <v>1</v>
      </c>
      <c r="AF214" s="3"/>
      <c r="AG214" s="3">
        <f t="shared" si="25"/>
        <v>0</v>
      </c>
      <c r="AH214" s="3"/>
      <c r="AI214" s="7"/>
      <c r="AJ214" s="4" t="s">
        <v>193</v>
      </c>
      <c r="AK214" s="7"/>
      <c r="AL214" s="7"/>
      <c r="AM214" s="7"/>
      <c r="AN214" s="7"/>
      <c r="AO214" s="7"/>
      <c r="AP214" s="7"/>
      <c r="AQ214" s="7"/>
      <c r="AR214" s="7"/>
      <c r="AS214" s="7"/>
      <c r="AT214" s="7"/>
      <c r="AU214" s="7"/>
      <c r="AV214" s="7"/>
      <c r="AW214" s="7"/>
      <c r="AX214" s="7"/>
    </row>
    <row r="215" ht="12.75" hidden="1" customHeight="1">
      <c r="A215" s="3">
        <v>5.0</v>
      </c>
      <c r="B215" s="3" t="s">
        <v>110</v>
      </c>
      <c r="C215" s="3" t="s">
        <v>73</v>
      </c>
      <c r="D215" s="4">
        <f>IFERROR(VLOOKUP(B215,Week4,2,FALSE),0)</f>
        <v>43.79</v>
      </c>
      <c r="E215" s="4">
        <f>IF(ISBLANK(B215),,IFERROR(VLOOKUP(B215,CurrentRank!$B$2:$C$132,2,FALSE),0))</f>
        <v>20.47</v>
      </c>
      <c r="F215" s="4">
        <f>IFERROR(VLOOKUP(B215,Week4,3,FALSE),130)</f>
        <v>34</v>
      </c>
      <c r="G215" s="4">
        <f>IF(ISBLANK(B215),,IFERROR(VLOOKUP(B215,CurrentRank!$B$2:$D$132,3,FALSE),130))</f>
        <v>128</v>
      </c>
      <c r="H215" s="4">
        <f>IFERROR(VLOOKUP(C215,Week4,2,FALSE),0)</f>
        <v>67.35</v>
      </c>
      <c r="I215" s="4">
        <f>IF(ISBLANK(B215),,IFERROR(VLOOKUP(C215,CurrentRank!$B$2:$C$132,2,FALSE),0))</f>
        <v>69.33</v>
      </c>
      <c r="J215" s="4">
        <f>IFERROR(VLOOKUP(C215,Week4,3,FALSE),130)</f>
        <v>14</v>
      </c>
      <c r="K215" s="4">
        <f>IF(ISBLANK(C215),,IFERROR(VLOOKUP(C215,CurrentRank!$B$2:$D$132,3,FALSE),130))</f>
        <v>15</v>
      </c>
      <c r="L215" s="19">
        <f t="shared" si="110"/>
        <v>1.6671</v>
      </c>
      <c r="M215" s="19">
        <f t="shared" si="111"/>
        <v>1.347</v>
      </c>
      <c r="N215" s="24">
        <f t="shared" si="82"/>
        <v>24</v>
      </c>
      <c r="O215" s="21">
        <f t="shared" si="4"/>
        <v>-12.61355</v>
      </c>
      <c r="P215" s="21">
        <f t="shared" si="102"/>
        <v>-25.26355</v>
      </c>
      <c r="Q215" s="22">
        <f t="shared" si="6"/>
        <v>0.81693225</v>
      </c>
      <c r="R215" s="25" t="str">
        <f t="shared" si="7"/>
        <v>B-</v>
      </c>
      <c r="S215" s="19">
        <f t="shared" si="8"/>
        <v>0.725</v>
      </c>
      <c r="T215" s="19" t="str">
        <f t="shared" si="9"/>
        <v>C</v>
      </c>
      <c r="U215" s="3" t="s">
        <v>203</v>
      </c>
      <c r="V215" s="4" t="str">
        <f>IF(ISBLANK(C215),,IFERROR(IF(VLOOKUP(B215,Standings!$A:$F, 6, 0)=VLOOKUP(C215,Standings!$A:$F, 6, 0), VLOOKUP(B215,Standings!$A:$F, 6, 0), "Non-con"), "FCS"))</f>
        <v>Non-con</v>
      </c>
      <c r="W215" s="3" t="str">
        <f t="shared" si="10"/>
        <v>Louisiana Tech</v>
      </c>
      <c r="X215" s="3" t="str">
        <f t="shared" si="11"/>
        <v>BYU</v>
      </c>
      <c r="Y215" s="30">
        <f>IF(D215=0,,IF(ISBLANK(Q215),,VLOOKUP(X215,Week4,2,FALSE)/(VLOOKUP(X215,Week4,2,FALSE)+VLOOKUP(W215,Week4,2,FALSE))+0.05)*100)</f>
        <v>65.5992442</v>
      </c>
      <c r="Z215" s="3" t="s">
        <v>73</v>
      </c>
      <c r="AA215" s="3">
        <v>45.0</v>
      </c>
      <c r="AB215" s="4" t="str">
        <f t="shared" si="20"/>
        <v>Louisiana Tech</v>
      </c>
      <c r="AC215" s="3">
        <v>14.0</v>
      </c>
      <c r="AD215" s="3"/>
      <c r="AE215" s="3">
        <f t="shared" si="13"/>
        <v>31</v>
      </c>
      <c r="AF215" s="3"/>
      <c r="AG215" s="3">
        <f t="shared" si="25"/>
        <v>1</v>
      </c>
      <c r="AH215" s="3"/>
      <c r="AI215" s="7"/>
      <c r="AJ215" s="4" t="s">
        <v>103</v>
      </c>
      <c r="AK215" s="7"/>
      <c r="AL215" s="7"/>
      <c r="AM215" s="7"/>
      <c r="AN215" s="7"/>
      <c r="AO215" s="7"/>
      <c r="AP215" s="7"/>
      <c r="AQ215" s="7"/>
      <c r="AR215" s="7"/>
      <c r="AS215" s="7"/>
      <c r="AT215" s="7"/>
      <c r="AU215" s="7"/>
      <c r="AV215" s="7"/>
      <c r="AW215" s="7"/>
      <c r="AX215" s="7"/>
    </row>
    <row r="216" ht="12.75" hidden="1" customHeight="1">
      <c r="A216" s="3">
        <v>3.0</v>
      </c>
      <c r="B216" s="3" t="s">
        <v>110</v>
      </c>
      <c r="C216" s="3" t="s">
        <v>170</v>
      </c>
      <c r="D216" s="4">
        <f>IFERROR(VLOOKUP(B216,Week2,2,FALSE),0)</f>
        <v>37.11</v>
      </c>
      <c r="E216" s="4">
        <f>IF(ISBLANK(B216),,IFERROR(VLOOKUP(B216,CurrentRank!$B$2:$C$132,2,FALSE),0))</f>
        <v>20.47</v>
      </c>
      <c r="F216" s="4">
        <f>IFERROR(VLOOKUP(B216,Week2,3,FALSE),130)</f>
        <v>30</v>
      </c>
      <c r="G216" s="4">
        <f>IF(ISBLANK(B216),,IFERROR(VLOOKUP(B216,CurrentRank!$B$2:$D$132,3,FALSE),130))</f>
        <v>128</v>
      </c>
      <c r="H216" s="4">
        <f>IFERROR(VLOOKUP(C216,Week2,2,FALSE),0)</f>
        <v>24.16</v>
      </c>
      <c r="I216" s="4">
        <f>IF(ISBLANK(B216),,IFERROR(VLOOKUP(C216,CurrentRank!$B$2:$C$132,2,FALSE),0))</f>
        <v>28.08</v>
      </c>
      <c r="J216" s="4">
        <f>IFERROR(VLOOKUP(C216,Week2,3,FALSE),130)</f>
        <v>119</v>
      </c>
      <c r="K216" s="4">
        <f>IF(ISBLANK(C216),,IFERROR(VLOOKUP(C216,CurrentRank!$B$2:$D$132,3,FALSE),130))</f>
        <v>121</v>
      </c>
      <c r="L216" s="19">
        <f t="shared" si="110"/>
        <v>0.91905</v>
      </c>
      <c r="M216" s="19">
        <f t="shared" si="111"/>
        <v>0.72825</v>
      </c>
      <c r="N216" s="24">
        <f t="shared" si="82"/>
        <v>74.5</v>
      </c>
      <c r="O216" s="21">
        <f t="shared" si="4"/>
        <v>6.015475</v>
      </c>
      <c r="P216" s="21">
        <f t="shared" si="102"/>
        <v>-4.264525</v>
      </c>
      <c r="Q216" s="22">
        <f t="shared" si="6"/>
        <v>0.597422625</v>
      </c>
      <c r="R216" s="25" t="str">
        <f t="shared" si="7"/>
        <v>D-</v>
      </c>
      <c r="S216" s="19">
        <f t="shared" si="8"/>
        <v>0.6225</v>
      </c>
      <c r="T216" s="19" t="str">
        <f t="shared" si="9"/>
        <v>D-</v>
      </c>
      <c r="U216" s="3" t="s">
        <v>203</v>
      </c>
      <c r="V216" s="4" t="str">
        <f>IF(ISBLANK(C216),,IFERROR(IF(VLOOKUP(B216,Standings!$A:$F, 6, 0)=VLOOKUP(C216,Standings!$A:$F, 6, 0), VLOOKUP(B216,Standings!$A:$F, 6, 0), "Non-con"), "FCS"))</f>
        <v>CUSA</v>
      </c>
      <c r="W216" s="3" t="str">
        <f t="shared" si="10"/>
        <v>Southern Mississippi</v>
      </c>
      <c r="X216" s="3" t="str">
        <f t="shared" si="11"/>
        <v>Louisiana Tech</v>
      </c>
      <c r="Y216" s="30">
        <f>IF(D216=0,,IF(ISBLANK(Q216),,VLOOKUP(X216,Week2,2,FALSE)/(VLOOKUP(X216,Week2,2,FALSE)+VLOOKUP(W216,Week2,2,FALSE))+0.05)*100)</f>
        <v>65.5679778</v>
      </c>
      <c r="Z216" s="3" t="s">
        <v>110</v>
      </c>
      <c r="AA216" s="3">
        <v>31.0</v>
      </c>
      <c r="AB216" s="4" t="str">
        <f t="shared" si="20"/>
        <v>Southern Mississippi</v>
      </c>
      <c r="AC216" s="3">
        <v>30.0</v>
      </c>
      <c r="AD216" s="3"/>
      <c r="AE216" s="3">
        <f t="shared" si="13"/>
        <v>1</v>
      </c>
      <c r="AF216" s="3"/>
      <c r="AG216" s="3">
        <f t="shared" si="25"/>
        <v>1</v>
      </c>
      <c r="AH216" s="3"/>
      <c r="AI216" s="7"/>
      <c r="AJ216" s="4"/>
      <c r="AK216" s="7"/>
      <c r="AL216" s="7"/>
      <c r="AM216" s="7"/>
      <c r="AN216" s="7"/>
      <c r="AO216" s="7"/>
      <c r="AP216" s="7"/>
      <c r="AQ216" s="7"/>
      <c r="AR216" s="7"/>
      <c r="AS216" s="7"/>
      <c r="AT216" s="7"/>
      <c r="AU216" s="7"/>
      <c r="AV216" s="7"/>
      <c r="AW216" s="7"/>
      <c r="AX216" s="7"/>
    </row>
    <row r="217" ht="12.75" hidden="1" customHeight="1">
      <c r="A217" s="3">
        <v>16.0</v>
      </c>
      <c r="B217" s="3" t="s">
        <v>176</v>
      </c>
      <c r="C217" s="3" t="s">
        <v>182</v>
      </c>
      <c r="D217" s="4">
        <f>IFERROR(VLOOKUP(B217,Week15,2,FALSE),0)</f>
        <v>40.27</v>
      </c>
      <c r="E217" s="4">
        <f>IF(ISBLANK(B217),,IFERROR(VLOOKUP(B217,CurrentRank!$B$2:$C$132,2,FALSE),0))</f>
        <v>38.02</v>
      </c>
      <c r="F217" s="4">
        <f>IFERROR(VLOOKUP(B217,Week15,3,FALSE),130)</f>
        <v>36</v>
      </c>
      <c r="G217" s="4">
        <f>IF(ISBLANK(B217),,IFERROR(VLOOKUP(B217,CurrentRank!$B$2:$D$132,3,FALSE),130))</f>
        <v>38</v>
      </c>
      <c r="H217" s="4">
        <f>IFERROR(VLOOKUP(C217,Week15,2,FALSE),0)</f>
        <v>61.73</v>
      </c>
      <c r="I217" s="4">
        <f>IF(ISBLANK(B217),,IFERROR(VLOOKUP(C217,CurrentRank!$B$2:$C$132,2,FALSE),0))</f>
        <v>51.02</v>
      </c>
      <c r="J217" s="4">
        <f>IFERROR(VLOOKUP(C217,Week15,3,FALSE),130)</f>
        <v>21</v>
      </c>
      <c r="K217" s="4">
        <f>IF(ISBLANK(C217),,IFERROR(VLOOKUP(C217,CurrentRank!$B$2:$D$132,3,FALSE),130))</f>
        <v>25</v>
      </c>
      <c r="L217" s="19">
        <f t="shared" si="110"/>
        <v>0</v>
      </c>
      <c r="M217" s="19">
        <f t="shared" si="111"/>
        <v>0</v>
      </c>
      <c r="N217" s="24">
        <f t="shared" si="82"/>
        <v>28.5</v>
      </c>
      <c r="O217" s="21">
        <f t="shared" si="4"/>
        <v>-10.73</v>
      </c>
      <c r="P217" s="21">
        <f t="shared" si="102"/>
        <v>-6.5</v>
      </c>
      <c r="Q217" s="22">
        <f t="shared" si="6"/>
        <v>0.80385</v>
      </c>
      <c r="R217" s="25" t="str">
        <f t="shared" si="7"/>
        <v>B-</v>
      </c>
      <c r="S217" s="19">
        <f t="shared" si="8"/>
        <v>0.7875</v>
      </c>
      <c r="T217" s="19" t="str">
        <f t="shared" si="9"/>
        <v>C+</v>
      </c>
      <c r="U217" s="3" t="s">
        <v>223</v>
      </c>
      <c r="V217" s="4" t="str">
        <f>IF(ISBLANK(C217),,IFERROR(IF(VLOOKUP(B217,Standings!$A:$F, 6, 0)=VLOOKUP(C217,Standings!$A:$F, 6, 0), VLOOKUP(B217,Standings!$A:$F, 6, 0), "Non-con"), "FCS"))</f>
        <v>MWC</v>
      </c>
      <c r="W217" s="3" t="str">
        <f t="shared" si="10"/>
        <v>Boise State</v>
      </c>
      <c r="X217" s="3" t="str">
        <f t="shared" si="11"/>
        <v>San Jose State</v>
      </c>
      <c r="Y217" s="30">
        <f>IF(D217=0,,IF(ISBLANK(Q217),,VLOOKUP(X217,Week15,2,FALSE)/(VLOOKUP(X217,Week15,2,FALSE)+VLOOKUP(W217,Week15,2,FALSE))+0.05)*100)</f>
        <v>65.51960784</v>
      </c>
      <c r="Z217" s="3" t="s">
        <v>182</v>
      </c>
      <c r="AA217" s="3">
        <v>34.0</v>
      </c>
      <c r="AB217" s="4" t="str">
        <f t="shared" si="20"/>
        <v>Boise State</v>
      </c>
      <c r="AC217" s="3">
        <v>20.0</v>
      </c>
      <c r="AD217" s="3"/>
      <c r="AE217" s="3">
        <f t="shared" si="13"/>
        <v>14</v>
      </c>
      <c r="AF217" s="3" t="s">
        <v>233</v>
      </c>
      <c r="AG217" s="3">
        <f t="shared" si="25"/>
        <v>1</v>
      </c>
      <c r="AH217" s="3"/>
      <c r="AI217" s="7"/>
      <c r="AJ217" s="4" t="s">
        <v>82</v>
      </c>
      <c r="AK217" s="7"/>
      <c r="AL217" s="7"/>
      <c r="AM217" s="7"/>
      <c r="AN217" s="7"/>
      <c r="AO217" s="7"/>
      <c r="AP217" s="7"/>
      <c r="AQ217" s="7"/>
      <c r="AR217" s="7"/>
      <c r="AS217" s="7"/>
      <c r="AT217" s="7"/>
      <c r="AU217" s="7"/>
      <c r="AV217" s="7"/>
      <c r="AW217" s="7"/>
      <c r="AX217" s="7"/>
    </row>
    <row r="218" ht="12.75" hidden="1" customHeight="1">
      <c r="A218" s="3">
        <v>9.0</v>
      </c>
      <c r="B218" s="3" t="s">
        <v>173</v>
      </c>
      <c r="C218" s="3" t="s">
        <v>156</v>
      </c>
      <c r="D218" s="4">
        <f>IFERROR(VLOOKUP(B218,Week8,2,FALSE),0)</f>
        <v>44.26</v>
      </c>
      <c r="E218" s="4">
        <f>IF(ISBLANK(B218),,IFERROR(VLOOKUP(B218,CurrentRank!$B$2:$C$132,2,FALSE),0))</f>
        <v>34.13</v>
      </c>
      <c r="F218" s="4">
        <f>IFERROR(VLOOKUP(B218,Week8,3,FALSE),130)</f>
        <v>29</v>
      </c>
      <c r="G218" s="4">
        <f>IF(ISBLANK(B218),,IFERROR(VLOOKUP(B218,CurrentRank!$B$2:$D$132,3,FALSE),130))</f>
        <v>73</v>
      </c>
      <c r="H218" s="4">
        <f>IFERROR(VLOOKUP(C218,Week8,2,FALSE),0)</f>
        <v>28.95</v>
      </c>
      <c r="I218" s="4">
        <f>IF(ISBLANK(B218),,IFERROR(VLOOKUP(C218,CurrentRank!$B$2:$C$132,2,FALSE),0))</f>
        <v>32.81</v>
      </c>
      <c r="J218" s="4">
        <f>IFERROR(VLOOKUP(C218,Week8,3,FALSE),130)</f>
        <v>115</v>
      </c>
      <c r="K218" s="4">
        <f>IF(ISBLANK(C218),,IFERROR(VLOOKUP(C218,CurrentRank!$B$2:$D$132,3,FALSE),130))</f>
        <v>88</v>
      </c>
      <c r="L218" s="19">
        <f t="shared" si="110"/>
        <v>1.09815</v>
      </c>
      <c r="M218" s="19">
        <f t="shared" si="111"/>
        <v>1.0041</v>
      </c>
      <c r="N218" s="24">
        <f t="shared" si="82"/>
        <v>72</v>
      </c>
      <c r="O218" s="21">
        <f t="shared" si="4"/>
        <v>7.105925</v>
      </c>
      <c r="P218" s="21">
        <f t="shared" si="102"/>
        <v>0.110925</v>
      </c>
      <c r="Q218" s="22">
        <f t="shared" si="6"/>
        <v>0.604470375</v>
      </c>
      <c r="R218" s="25" t="str">
        <f t="shared" si="7"/>
        <v>D-</v>
      </c>
      <c r="S218" s="19">
        <f t="shared" si="8"/>
        <v>0.485</v>
      </c>
      <c r="T218" s="19" t="str">
        <f t="shared" si="9"/>
        <v>F</v>
      </c>
      <c r="U218" s="3" t="s">
        <v>203</v>
      </c>
      <c r="V218" s="4" t="str">
        <f>IF(ISBLANK(C218),,IFERROR(IF(VLOOKUP(B218,Standings!$A:$F, 6, 0)=VLOOKUP(C218,Standings!$A:$F, 6, 0), VLOOKUP(B218,Standings!$A:$F, 6, 0), "Non-con"), "FCS"))</f>
        <v>MWC</v>
      </c>
      <c r="W218" s="3" t="str">
        <f t="shared" si="10"/>
        <v>Utah State</v>
      </c>
      <c r="X218" s="3" t="str">
        <f t="shared" si="11"/>
        <v>San Diego State</v>
      </c>
      <c r="Y218" s="30">
        <f>IF(D218=0,,IF(ISBLANK(Q218),,VLOOKUP(X218,Week8,2,FALSE)/(VLOOKUP(X218,Week8,2,FALSE)+VLOOKUP(W218,Week8,2,FALSE))+0.05)*100)</f>
        <v>65.45622183</v>
      </c>
      <c r="Z218" s="3" t="s">
        <v>173</v>
      </c>
      <c r="AA218" s="3">
        <v>38.0</v>
      </c>
      <c r="AB218" s="4" t="str">
        <f t="shared" si="20"/>
        <v>Utah State</v>
      </c>
      <c r="AC218" s="3">
        <v>7.0</v>
      </c>
      <c r="AD218" s="3"/>
      <c r="AE218" s="3">
        <f t="shared" si="13"/>
        <v>31</v>
      </c>
      <c r="AF218" s="3"/>
      <c r="AG218" s="3">
        <f t="shared" si="25"/>
        <v>1</v>
      </c>
      <c r="AH218" s="3"/>
      <c r="AI218" s="7"/>
      <c r="AJ218" s="4" t="s">
        <v>126</v>
      </c>
      <c r="AK218" s="7"/>
      <c r="AL218" s="7"/>
      <c r="AM218" s="7"/>
      <c r="AN218" s="7"/>
      <c r="AO218" s="7"/>
      <c r="AP218" s="7"/>
      <c r="AQ218" s="7"/>
      <c r="AR218" s="7"/>
      <c r="AS218" s="7"/>
      <c r="AT218" s="7"/>
      <c r="AU218" s="7"/>
      <c r="AV218" s="7"/>
      <c r="AW218" s="7"/>
      <c r="AX218" s="7"/>
    </row>
    <row r="219" ht="12.75" hidden="1" customHeight="1">
      <c r="A219" s="3">
        <v>4.0</v>
      </c>
      <c r="B219" s="3" t="s">
        <v>111</v>
      </c>
      <c r="C219" s="3" t="s">
        <v>73</v>
      </c>
      <c r="D219" s="4">
        <f>IFERROR(VLOOKUP(B219,Week3,2,FALSE),0)</f>
        <v>43.55</v>
      </c>
      <c r="E219" s="4">
        <f>IF(ISBLANK(B219),,IFERROR(VLOOKUP(B219,CurrentRank!$B$2:$C$132,2,FALSE),0))</f>
        <v>29.75</v>
      </c>
      <c r="F219" s="4">
        <f>IFERROR(VLOOKUP(B219,Week3,3,FALSE),130)</f>
        <v>31</v>
      </c>
      <c r="G219" s="4">
        <f>IF(ISBLANK(B219),,IFERROR(VLOOKUP(B219,CurrentRank!$B$2:$D$132,3,FALSE),130))</f>
        <v>112</v>
      </c>
      <c r="H219" s="4">
        <f>IFERROR(VLOOKUP(C219,Week3,2,FALSE),0)</f>
        <v>66.13</v>
      </c>
      <c r="I219" s="4">
        <f>IF(ISBLANK(B219),,IFERROR(VLOOKUP(C219,CurrentRank!$B$2:$C$132,2,FALSE),0))</f>
        <v>69.33</v>
      </c>
      <c r="J219" s="4">
        <f>IFERROR(VLOOKUP(C219,Week3,3,FALSE),130)</f>
        <v>12</v>
      </c>
      <c r="K219" s="4">
        <f>IF(ISBLANK(C219),,IFERROR(VLOOKUP(C219,CurrentRank!$B$2:$D$132,3,FALSE),130))</f>
        <v>15</v>
      </c>
      <c r="L219" s="19">
        <f t="shared" si="110"/>
        <v>1.6452</v>
      </c>
      <c r="M219" s="19">
        <f t="shared" si="111"/>
        <v>1.4862</v>
      </c>
      <c r="N219" s="24">
        <f t="shared" si="82"/>
        <v>21.5</v>
      </c>
      <c r="O219" s="21">
        <f t="shared" si="4"/>
        <v>-12.1126</v>
      </c>
      <c r="P219" s="21">
        <f t="shared" si="102"/>
        <v>-20.6126</v>
      </c>
      <c r="Q219" s="22">
        <f t="shared" si="6"/>
        <v>0.831937</v>
      </c>
      <c r="R219" s="25" t="str">
        <f t="shared" si="7"/>
        <v>B</v>
      </c>
      <c r="S219" s="19">
        <f t="shared" si="8"/>
        <v>0.6875</v>
      </c>
      <c r="T219" s="19" t="str">
        <f t="shared" si="9"/>
        <v>D+</v>
      </c>
      <c r="U219" s="3" t="s">
        <v>203</v>
      </c>
      <c r="V219" s="4" t="str">
        <f>IF(ISBLANK(C219),,IFERROR(IF(VLOOKUP(B219,Standings!$A:$F, 6, 0)=VLOOKUP(C219,Standings!$A:$F, 6, 0), VLOOKUP(B219,Standings!$A:$F, 6, 0), "Non-con"), "FCS"))</f>
        <v>Non-con</v>
      </c>
      <c r="W219" s="3" t="str">
        <f t="shared" si="10"/>
        <v>Troy</v>
      </c>
      <c r="X219" s="3" t="str">
        <f t="shared" si="11"/>
        <v>BYU</v>
      </c>
      <c r="Y219" s="30">
        <f>IF(D219=0,,IF(ISBLANK(Q219),,VLOOKUP(X219,Week3,2,FALSE)/(VLOOKUP(X219,Week3,2,FALSE)+VLOOKUP(W219,Week3,2,FALSE))+0.05)*100)</f>
        <v>65.29358133</v>
      </c>
      <c r="Z219" s="3" t="s">
        <v>73</v>
      </c>
      <c r="AA219" s="3">
        <v>48.0</v>
      </c>
      <c r="AB219" s="4" t="str">
        <f t="shared" si="20"/>
        <v>Troy</v>
      </c>
      <c r="AC219" s="3">
        <v>7.0</v>
      </c>
      <c r="AD219" s="3"/>
      <c r="AE219" s="3">
        <f t="shared" si="13"/>
        <v>41</v>
      </c>
      <c r="AF219" s="3"/>
      <c r="AG219" s="3">
        <f t="shared" si="25"/>
        <v>1</v>
      </c>
      <c r="AH219" s="3"/>
      <c r="AI219" s="7"/>
      <c r="AJ219" s="4"/>
      <c r="AK219" s="7"/>
      <c r="AL219" s="7"/>
      <c r="AM219" s="7"/>
      <c r="AN219" s="7"/>
      <c r="AO219" s="7"/>
      <c r="AP219" s="7"/>
      <c r="AQ219" s="7"/>
      <c r="AR219" s="7"/>
      <c r="AS219" s="7"/>
      <c r="AT219" s="7"/>
      <c r="AU219" s="7"/>
      <c r="AV219" s="7"/>
      <c r="AW219" s="7"/>
      <c r="AX219" s="7"/>
    </row>
    <row r="220" ht="12.75" hidden="1" customHeight="1">
      <c r="A220" s="3">
        <v>5.0</v>
      </c>
      <c r="B220" s="3" t="s">
        <v>38</v>
      </c>
      <c r="C220" s="3" t="s">
        <v>101</v>
      </c>
      <c r="D220" s="4">
        <f>IFERROR(VLOOKUP(B220,Week4,2,FALSE),0)</f>
        <v>75.92</v>
      </c>
      <c r="E220" s="4">
        <f>IF(ISBLANK(B220),,IFERROR(VLOOKUP(B220,CurrentRank!$B$2:$C$132,2,FALSE),0))</f>
        <v>63.1</v>
      </c>
      <c r="F220" s="4">
        <f>IFERROR(VLOOKUP(B220,Week4,3,FALSE),130)</f>
        <v>10</v>
      </c>
      <c r="G220" s="4">
        <f>IF(ISBLANK(B220),,IFERROR(VLOOKUP(B220,CurrentRank!$B$2:$D$132,3,FALSE),130))</f>
        <v>18</v>
      </c>
      <c r="H220" s="4">
        <f>IFERROR(VLOOKUP(C220,Week4,2,FALSE),0)</f>
        <v>50.08</v>
      </c>
      <c r="I220" s="4">
        <f>IF(ISBLANK(B220),,IFERROR(VLOOKUP(C220,CurrentRank!$B$2:$C$132,2,FALSE),0))</f>
        <v>36.62</v>
      </c>
      <c r="J220" s="4">
        <f>IFERROR(VLOOKUP(C220,Week4,3,FALSE),130)</f>
        <v>24</v>
      </c>
      <c r="K220" s="4">
        <f>IF(ISBLANK(C220),,IFERROR(VLOOKUP(C220,CurrentRank!$B$2:$D$132,3,FALSE),130))</f>
        <v>50</v>
      </c>
      <c r="L220" s="19">
        <f t="shared" si="110"/>
        <v>1.89</v>
      </c>
      <c r="M220" s="19">
        <f t="shared" si="111"/>
        <v>1.4958</v>
      </c>
      <c r="N220" s="24">
        <f t="shared" si="82"/>
        <v>17</v>
      </c>
      <c r="O220" s="21">
        <f t="shared" si="4"/>
        <v>11.975</v>
      </c>
      <c r="P220" s="21">
        <f t="shared" si="102"/>
        <v>12.295</v>
      </c>
      <c r="Q220" s="22">
        <f t="shared" si="6"/>
        <v>0.855125</v>
      </c>
      <c r="R220" s="25" t="str">
        <f t="shared" si="7"/>
        <v>B</v>
      </c>
      <c r="S220" s="19">
        <f t="shared" si="8"/>
        <v>0.895</v>
      </c>
      <c r="T220" s="19" t="str">
        <f t="shared" si="9"/>
        <v>A-</v>
      </c>
      <c r="U220" s="3" t="s">
        <v>203</v>
      </c>
      <c r="V220" s="4" t="str">
        <f>IF(ISBLANK(C220),,IFERROR(IF(VLOOKUP(B220,Standings!$A:$F, 6, 0)=VLOOKUP(C220,Standings!$A:$F, 6, 0), VLOOKUP(B220,Standings!$A:$F, 6, 0), "Non-con"), "FCS"))</f>
        <v>ACC</v>
      </c>
      <c r="W220" s="3" t="str">
        <f t="shared" si="10"/>
        <v>Boston College</v>
      </c>
      <c r="X220" s="3" t="str">
        <f t="shared" si="11"/>
        <v>North Carolina</v>
      </c>
      <c r="Y220" s="30">
        <f>IF(D220=0,,IF(ISBLANK(Q220),,VLOOKUP(X220,Week4,2,FALSE)/(VLOOKUP(X220,Week4,2,FALSE)+VLOOKUP(W220,Week4,2,FALSE))+0.05)*100)</f>
        <v>65.25396825</v>
      </c>
      <c r="Z220" s="3" t="s">
        <v>38</v>
      </c>
      <c r="AA220" s="3">
        <v>26.0</v>
      </c>
      <c r="AB220" s="4" t="str">
        <f t="shared" si="20"/>
        <v>Boston College</v>
      </c>
      <c r="AC220" s="3">
        <v>22.0</v>
      </c>
      <c r="AD220" s="3"/>
      <c r="AE220" s="3">
        <f t="shared" si="13"/>
        <v>4</v>
      </c>
      <c r="AF220" s="3"/>
      <c r="AG220" s="3">
        <f t="shared" si="25"/>
        <v>1</v>
      </c>
      <c r="AH220" s="3"/>
      <c r="AI220" s="7"/>
      <c r="AJ220" s="4" t="s">
        <v>188</v>
      </c>
      <c r="AM220" s="7"/>
      <c r="AN220" s="7"/>
      <c r="AO220" s="7"/>
      <c r="AP220" s="7"/>
      <c r="AQ220" s="7"/>
      <c r="AR220" s="7"/>
      <c r="AS220" s="7"/>
      <c r="AT220" s="7"/>
      <c r="AU220" s="7"/>
      <c r="AV220" s="7"/>
      <c r="AW220" s="7"/>
      <c r="AX220" s="7"/>
    </row>
    <row r="221" ht="12.75" hidden="1" customHeight="1">
      <c r="A221" s="3">
        <v>9.0</v>
      </c>
      <c r="B221" s="3" t="s">
        <v>58</v>
      </c>
      <c r="C221" s="3" t="s">
        <v>139</v>
      </c>
      <c r="D221" s="4">
        <f>IFERROR(VLOOKUP(B221,Week8,2,FALSE),0)</f>
        <v>43.98</v>
      </c>
      <c r="E221" s="4">
        <f>IF(ISBLANK(B221),,IFERROR(VLOOKUP(B221,CurrentRank!$B$2:$C$132,2,FALSE),0))</f>
        <v>72.87</v>
      </c>
      <c r="F221" s="4">
        <f>IFERROR(VLOOKUP(B221,Week8,3,FALSE),130)</f>
        <v>30</v>
      </c>
      <c r="G221" s="4">
        <f>IF(ISBLANK(B221),,IFERROR(VLOOKUP(B221,CurrentRank!$B$2:$D$132,3,FALSE),130))</f>
        <v>10</v>
      </c>
      <c r="H221" s="4">
        <f>IFERROR(VLOOKUP(C221,Week8,2,FALSE),0)</f>
        <v>29.03</v>
      </c>
      <c r="I221" s="4">
        <f>IF(ISBLANK(B221),,IFERROR(VLOOKUP(C221,CurrentRank!$B$2:$C$132,2,FALSE),0))</f>
        <v>28.86</v>
      </c>
      <c r="J221" s="4">
        <f>IFERROR(VLOOKUP(C221,Week8,3,FALSE),130)</f>
        <v>113</v>
      </c>
      <c r="K221" s="4">
        <f>IF(ISBLANK(C221),,IFERROR(VLOOKUP(C221,CurrentRank!$B$2:$D$132,3,FALSE),130))</f>
        <v>119</v>
      </c>
      <c r="L221" s="19">
        <f t="shared" si="110"/>
        <v>1.09515</v>
      </c>
      <c r="M221" s="19">
        <f t="shared" si="111"/>
        <v>1.52595</v>
      </c>
      <c r="N221" s="24">
        <f t="shared" si="82"/>
        <v>71.5</v>
      </c>
      <c r="O221" s="21">
        <f t="shared" si="4"/>
        <v>6.927425</v>
      </c>
      <c r="P221" s="21">
        <f t="shared" si="102"/>
        <v>21.457425</v>
      </c>
      <c r="Q221" s="22">
        <f t="shared" si="6"/>
        <v>0.607862875</v>
      </c>
      <c r="R221" s="25" t="str">
        <f t="shared" si="7"/>
        <v>D-</v>
      </c>
      <c r="S221" s="19">
        <f t="shared" si="8"/>
        <v>0.5925</v>
      </c>
      <c r="T221" s="19" t="str">
        <f t="shared" si="9"/>
        <v>F</v>
      </c>
      <c r="U221" s="3" t="s">
        <v>203</v>
      </c>
      <c r="V221" s="4" t="str">
        <f>IF(ISBLANK(C221),,IFERROR(IF(VLOOKUP(B221,Standings!$A:$F, 6, 0)=VLOOKUP(C221,Standings!$A:$F, 6, 0), VLOOKUP(B221,Standings!$A:$F, 6, 0), "Non-con"), "FCS"))</f>
        <v>SUN</v>
      </c>
      <c r="W221" s="3" t="str">
        <f t="shared" si="10"/>
        <v>Texas State</v>
      </c>
      <c r="X221" s="3" t="str">
        <f t="shared" si="11"/>
        <v>UL-Lafayette</v>
      </c>
      <c r="Y221" s="30">
        <f>IF(D221=0,,IF(ISBLANK(Q221),,VLOOKUP(X221,Week8,2,FALSE)/(VLOOKUP(X221,Week8,2,FALSE)+VLOOKUP(W221,Week8,2,FALSE))+0.05)*100)</f>
        <v>65.23832352</v>
      </c>
      <c r="Z221" s="3" t="s">
        <v>58</v>
      </c>
      <c r="AA221" s="3">
        <v>44.0</v>
      </c>
      <c r="AB221" s="4" t="str">
        <f t="shared" si="20"/>
        <v>Texas State</v>
      </c>
      <c r="AC221" s="3">
        <v>34.0</v>
      </c>
      <c r="AD221" s="3"/>
      <c r="AE221" s="3">
        <f t="shared" si="13"/>
        <v>10</v>
      </c>
      <c r="AF221" s="3"/>
      <c r="AG221" s="3">
        <f t="shared" si="25"/>
        <v>1</v>
      </c>
      <c r="AH221" s="3"/>
      <c r="AI221" s="7"/>
      <c r="AJ221" s="4"/>
      <c r="AK221" s="7"/>
      <c r="AL221" s="7"/>
      <c r="AM221" s="7"/>
      <c r="AN221" s="7"/>
      <c r="AO221" s="7"/>
      <c r="AP221" s="7"/>
      <c r="AQ221" s="7"/>
      <c r="AR221" s="7"/>
      <c r="AS221" s="7"/>
      <c r="AT221" s="7"/>
      <c r="AU221" s="7"/>
      <c r="AV221" s="7"/>
      <c r="AW221" s="7"/>
      <c r="AX221" s="7"/>
    </row>
    <row r="222" ht="12.75" hidden="1" customHeight="1">
      <c r="A222" s="3">
        <v>13.0</v>
      </c>
      <c r="B222" s="3" t="s">
        <v>96</v>
      </c>
      <c r="C222" s="3" t="s">
        <v>138</v>
      </c>
      <c r="D222" s="4">
        <f>IFERROR(VLOOKUP(B222,Week12,2,FALSE),0)</f>
        <v>30.12</v>
      </c>
      <c r="E222" s="4">
        <f>IF(ISBLANK(B222),,IFERROR(VLOOKUP(B222,CurrentRank!$B$2:$C$132,2,FALSE),0))</f>
        <v>43.66</v>
      </c>
      <c r="F222" s="4">
        <f>IFERROR(VLOOKUP(B222,Week12,3,FALSE),130)</f>
        <v>106</v>
      </c>
      <c r="G222" s="4">
        <f>IF(ISBLANK(B222),,IFERROR(VLOOKUP(B222,CurrentRank!$B$2:$D$132,3,FALSE),130))</f>
        <v>27</v>
      </c>
      <c r="H222" s="4">
        <f>IFERROR(VLOOKUP(C222,Week12,2,FALSE),0)</f>
        <v>45.49</v>
      </c>
      <c r="I222" s="4">
        <f>IF(ISBLANK(B222),,IFERROR(VLOOKUP(C222,CurrentRank!$B$2:$C$132,2,FALSE),0))</f>
        <v>40.47</v>
      </c>
      <c r="J222" s="4">
        <f>IFERROR(VLOOKUP(C222,Week12,3,FALSE),130)</f>
        <v>26</v>
      </c>
      <c r="K222" s="4">
        <f>IF(ISBLANK(C222),,IFERROR(VLOOKUP(C222,CurrentRank!$B$2:$D$132,3,FALSE),130))</f>
        <v>33</v>
      </c>
      <c r="L222" s="19">
        <f t="shared" si="110"/>
        <v>1.13415</v>
      </c>
      <c r="M222" s="19">
        <f t="shared" si="111"/>
        <v>1.26195</v>
      </c>
      <c r="N222" s="24">
        <f t="shared" si="82"/>
        <v>66</v>
      </c>
      <c r="O222" s="21">
        <f t="shared" si="4"/>
        <v>-8.252075</v>
      </c>
      <c r="P222" s="21">
        <f t="shared" si="102"/>
        <v>1.027925</v>
      </c>
      <c r="Q222" s="22">
        <f t="shared" si="6"/>
        <v>0.628739625</v>
      </c>
      <c r="R222" s="25" t="str">
        <f t="shared" si="7"/>
        <v>D</v>
      </c>
      <c r="S222" s="19">
        <f t="shared" si="8"/>
        <v>0.655</v>
      </c>
      <c r="T222" s="19" t="str">
        <f t="shared" si="9"/>
        <v>D</v>
      </c>
      <c r="U222" s="3" t="s">
        <v>203</v>
      </c>
      <c r="V222" s="4" t="str">
        <f>IF(ISBLANK(C222),,IFERROR(IF(VLOOKUP(B222,Standings!$A:$F, 6, 0)=VLOOKUP(C222,Standings!$A:$F, 6, 0), VLOOKUP(B222,Standings!$A:$F, 6, 0), "Non-con"), "FCS"))</f>
        <v>PAC12</v>
      </c>
      <c r="W222" s="3" t="str">
        <f t="shared" si="10"/>
        <v>Utah</v>
      </c>
      <c r="X222" s="3" t="str">
        <f t="shared" si="11"/>
        <v>Washington</v>
      </c>
      <c r="Y222" s="30">
        <f>IF(D222=0,,IF(ISBLANK(Q222),,VLOOKUP(X222,Week12,2,FALSE)/(VLOOKUP(X222,Week12,2,FALSE)+VLOOKUP(W222,Week12,2,FALSE))+0.05)*100)</f>
        <v>65.16399947</v>
      </c>
      <c r="Z222" s="3" t="s">
        <v>138</v>
      </c>
      <c r="AA222" s="3">
        <v>24.0</v>
      </c>
      <c r="AB222" s="4" t="str">
        <f t="shared" si="20"/>
        <v>Utah</v>
      </c>
      <c r="AC222" s="3">
        <v>21.0</v>
      </c>
      <c r="AD222" s="3"/>
      <c r="AE222" s="3">
        <f t="shared" si="13"/>
        <v>3</v>
      </c>
      <c r="AF222" s="3"/>
      <c r="AG222" s="3">
        <f t="shared" si="25"/>
        <v>1</v>
      </c>
      <c r="AH222" s="3"/>
      <c r="AI222" s="7"/>
      <c r="AJ222" s="4"/>
      <c r="AK222" s="7"/>
      <c r="AL222" s="7"/>
      <c r="AM222" s="7"/>
      <c r="AN222" s="7"/>
      <c r="AO222" s="7"/>
      <c r="AP222" s="7"/>
      <c r="AQ222" s="7"/>
      <c r="AR222" s="7"/>
      <c r="AS222" s="7"/>
      <c r="AT222" s="7"/>
      <c r="AU222" s="7"/>
      <c r="AV222" s="7"/>
      <c r="AW222" s="7"/>
      <c r="AX222" s="7"/>
    </row>
    <row r="223" ht="12.75" hidden="1" customHeight="1">
      <c r="A223" s="3">
        <v>6.0</v>
      </c>
      <c r="B223" s="3" t="s">
        <v>148</v>
      </c>
      <c r="C223" s="3" t="s">
        <v>123</v>
      </c>
      <c r="D223" s="4">
        <f>IFERROR(VLOOKUP(B223,Week5,2,FALSE),0)</f>
        <v>28.57</v>
      </c>
      <c r="E223" s="4">
        <f>IF(ISBLANK(B223),,IFERROR(VLOOKUP(B223,CurrentRank!$B$2:$C$132,2,FALSE),0))</f>
        <v>32.94</v>
      </c>
      <c r="F223" s="4">
        <f>IFERROR(VLOOKUP(B223,Week5,3,FALSE),130)</f>
        <v>117</v>
      </c>
      <c r="G223" s="4">
        <f>IF(ISBLANK(B223),,IFERROR(VLOOKUP(B223,CurrentRank!$B$2:$D$132,3,FALSE),130))</f>
        <v>87</v>
      </c>
      <c r="H223" s="4">
        <f>IFERROR(VLOOKUP(C223,Week5,2,FALSE),0)</f>
        <v>19.01</v>
      </c>
      <c r="I223" s="4">
        <f>IF(ISBLANK(B223),,IFERROR(VLOOKUP(C223,CurrentRank!$B$2:$C$132,2,FALSE),0))</f>
        <v>13.91</v>
      </c>
      <c r="J223" s="4">
        <f>IFERROR(VLOOKUP(C223,Week5,3,FALSE),130)</f>
        <v>130</v>
      </c>
      <c r="K223" s="4">
        <f>IF(ISBLANK(C223),,IFERROR(VLOOKUP(C223,CurrentRank!$B$2:$D$132,3,FALSE),130))</f>
        <v>129</v>
      </c>
      <c r="L223" s="19">
        <f t="shared" si="110"/>
        <v>0.7137</v>
      </c>
      <c r="M223" s="19">
        <f t="shared" si="111"/>
        <v>0.70275</v>
      </c>
      <c r="N223" s="24">
        <f t="shared" si="82"/>
        <v>123.5</v>
      </c>
      <c r="O223" s="21">
        <f t="shared" si="4"/>
        <v>4.42315</v>
      </c>
      <c r="P223" s="21">
        <f t="shared" si="102"/>
        <v>9.15815</v>
      </c>
      <c r="Q223" s="22">
        <f t="shared" si="6"/>
        <v>0.36038425</v>
      </c>
      <c r="R223" s="25" t="str">
        <f t="shared" si="7"/>
        <v>F</v>
      </c>
      <c r="S223" s="19">
        <f t="shared" si="8"/>
        <v>0.2825</v>
      </c>
      <c r="T223" s="19" t="str">
        <f t="shared" si="9"/>
        <v>F</v>
      </c>
      <c r="U223" s="3" t="s">
        <v>203</v>
      </c>
      <c r="V223" s="4" t="str">
        <f>IF(ISBLANK(C223),,IFERROR(IF(VLOOKUP(B223,Standings!$A:$F, 6, 0)=VLOOKUP(C223,Standings!$A:$F, 6, 0), VLOOKUP(B223,Standings!$A:$F, 6, 0), "Non-con"), "FCS"))</f>
        <v>AAC</v>
      </c>
      <c r="W223" s="3" t="str">
        <f t="shared" si="10"/>
        <v>South Florida</v>
      </c>
      <c r="X223" s="3" t="str">
        <f t="shared" si="11"/>
        <v>East Carolina</v>
      </c>
      <c r="Y223" s="30">
        <f>IF(D223=0,,IF(ISBLANK(Q223),,VLOOKUP(X223,Week5,2,FALSE)/(VLOOKUP(X223,Week5,2,FALSE)+VLOOKUP(W223,Week5,2,FALSE))+0.05)*100)</f>
        <v>65.04623792</v>
      </c>
      <c r="Z223" s="3" t="s">
        <v>148</v>
      </c>
      <c r="AA223" s="3">
        <v>44.0</v>
      </c>
      <c r="AB223" s="4" t="str">
        <f t="shared" si="20"/>
        <v>South Florida</v>
      </c>
      <c r="AC223" s="3">
        <v>24.0</v>
      </c>
      <c r="AD223" s="3"/>
      <c r="AE223" s="3">
        <f t="shared" si="13"/>
        <v>20</v>
      </c>
      <c r="AF223" s="3"/>
      <c r="AG223" s="3">
        <f t="shared" si="25"/>
        <v>1</v>
      </c>
      <c r="AH223" s="3"/>
      <c r="AI223" s="7"/>
      <c r="AJ223" s="4"/>
      <c r="AK223" s="7"/>
      <c r="AL223" s="7"/>
      <c r="AM223" s="7"/>
      <c r="AN223" s="7"/>
      <c r="AO223" s="7"/>
      <c r="AP223" s="7"/>
      <c r="AQ223" s="7"/>
      <c r="AR223" s="7"/>
      <c r="AS223" s="7"/>
      <c r="AT223" s="7"/>
      <c r="AU223" s="7"/>
      <c r="AV223" s="7"/>
      <c r="AW223" s="7"/>
      <c r="AX223" s="7"/>
    </row>
    <row r="224" ht="12.75" customHeight="1">
      <c r="A224" s="3">
        <v>9.0</v>
      </c>
      <c r="B224" s="3" t="s">
        <v>38</v>
      </c>
      <c r="C224" s="3" t="s">
        <v>112</v>
      </c>
      <c r="D224" s="4">
        <f>IFERROR(VLOOKUP(B224,Week8,2,FALSE),0)</f>
        <v>69.38</v>
      </c>
      <c r="E224" s="4">
        <f>IF(ISBLANK(B224),,IFERROR(VLOOKUP(B224,CurrentRank!$B$2:$C$132,2,FALSE),0))</f>
        <v>63.1</v>
      </c>
      <c r="F224" s="4">
        <f>IFERROR(VLOOKUP(B224,Week8,3,FALSE),130)</f>
        <v>16</v>
      </c>
      <c r="G224" s="4">
        <f>IF(ISBLANK(B224),,IFERROR(VLOOKUP(B224,CurrentRank!$B$2:$D$132,3,FALSE),130))</f>
        <v>18</v>
      </c>
      <c r="H224" s="4">
        <f>IFERROR(VLOOKUP(C224,Week8,2,FALSE),0)</f>
        <v>33.73</v>
      </c>
      <c r="I224" s="4">
        <f>IF(ISBLANK(B224),,IFERROR(VLOOKUP(C224,CurrentRank!$B$2:$C$132,2,FALSE),0))</f>
        <v>36.98</v>
      </c>
      <c r="J224" s="4">
        <f>IFERROR(VLOOKUP(C224,Week8,3,FALSE),130)</f>
        <v>65</v>
      </c>
      <c r="K224" s="4">
        <f>IF(ISBLANK(C224),,IFERROR(VLOOKUP(C224,CurrentRank!$B$2:$D$132,3,FALSE),130))</f>
        <v>46</v>
      </c>
      <c r="L224" s="19">
        <f t="shared" si="110"/>
        <v>1.54665</v>
      </c>
      <c r="M224" s="19">
        <f t="shared" si="111"/>
        <v>1.5012</v>
      </c>
      <c r="N224" s="24">
        <f t="shared" si="82"/>
        <v>40.5</v>
      </c>
      <c r="O224" s="21">
        <f t="shared" si="4"/>
        <v>17.051675</v>
      </c>
      <c r="P224" s="21">
        <f t="shared" si="102"/>
        <v>12.286675</v>
      </c>
      <c r="Q224" s="22">
        <f t="shared" si="6"/>
        <v>0.712241625</v>
      </c>
      <c r="R224" s="25" t="str">
        <f t="shared" si="7"/>
        <v>C-</v>
      </c>
      <c r="S224" s="19">
        <f t="shared" si="8"/>
        <v>0.7825</v>
      </c>
      <c r="T224" s="19" t="str">
        <f t="shared" si="9"/>
        <v>C+</v>
      </c>
      <c r="U224" s="3" t="s">
        <v>203</v>
      </c>
      <c r="V224" s="4" t="str">
        <f>IF(ISBLANK(C224),,IFERROR(IF(VLOOKUP(B224,Standings!$A:$F, 6, 0)=VLOOKUP(C224,Standings!$A:$F, 6, 0), VLOOKUP(B224,Standings!$A:$F, 6, 0), "Non-con"), "FCS"))</f>
        <v>ACC</v>
      </c>
      <c r="W224" s="3" t="str">
        <f t="shared" si="10"/>
        <v>Virginia</v>
      </c>
      <c r="X224" s="3" t="str">
        <f t="shared" si="11"/>
        <v>North Carolina</v>
      </c>
      <c r="Y224" s="30">
        <f>IF(D224=0,,IF(ISBLANK(Q224),,VLOOKUP(X224,Week8,2,FALSE)/(VLOOKUP(X224,Week8,2,FALSE)+VLOOKUP(W224,Week8,2,FALSE))+0.05)*100)</f>
        <v>72.28736301</v>
      </c>
      <c r="Z224" s="3" t="s">
        <v>112</v>
      </c>
      <c r="AA224" s="3">
        <v>44.0</v>
      </c>
      <c r="AB224" s="4" t="str">
        <f t="shared" si="20"/>
        <v>North Carolina</v>
      </c>
      <c r="AC224" s="3">
        <v>41.0</v>
      </c>
      <c r="AD224" s="3"/>
      <c r="AE224" s="3">
        <f t="shared" si="13"/>
        <v>3</v>
      </c>
      <c r="AF224" s="3"/>
      <c r="AG224" s="3">
        <f t="shared" si="25"/>
        <v>0</v>
      </c>
      <c r="AH224" s="3"/>
      <c r="AI224" s="7"/>
      <c r="AJ224" s="4"/>
      <c r="AK224" s="7"/>
      <c r="AL224" s="7"/>
      <c r="AM224" s="7"/>
      <c r="AN224" s="7"/>
      <c r="AO224" s="7"/>
      <c r="AP224" s="7"/>
      <c r="AQ224" s="7"/>
      <c r="AR224" s="7"/>
      <c r="AS224" s="7"/>
      <c r="AT224" s="7"/>
      <c r="AU224" s="7"/>
      <c r="AV224" s="7"/>
      <c r="AW224" s="7"/>
      <c r="AX224" s="7"/>
    </row>
    <row r="225" ht="12.75" hidden="1" customHeight="1">
      <c r="A225" s="3">
        <v>15.0</v>
      </c>
      <c r="B225" s="3" t="s">
        <v>140</v>
      </c>
      <c r="C225" s="3" t="s">
        <v>95</v>
      </c>
      <c r="D225" s="4">
        <f>IFERROR(VLOOKUP(B225,Week14,2,FALSE),0)</f>
        <v>25.45</v>
      </c>
      <c r="E225" s="4">
        <f>IF(ISBLANK(B225),,IFERROR(VLOOKUP(B225,CurrentRank!$B$2:$C$132,2,FALSE),0))</f>
        <v>22.5</v>
      </c>
      <c r="F225" s="4">
        <f>IFERROR(VLOOKUP(B225,Week14,3,FALSE),130)</f>
        <v>127</v>
      </c>
      <c r="G225" s="4">
        <f>IF(ISBLANK(B225),,IFERROR(VLOOKUP(B225,CurrentRank!$B$2:$D$132,3,FALSE),130))</f>
        <v>126</v>
      </c>
      <c r="H225" s="4">
        <f>IFERROR(VLOOKUP(C225,Week14,2,FALSE),0)</f>
        <v>38.04</v>
      </c>
      <c r="I225" s="4">
        <f>IF(ISBLANK(B225),,IFERROR(VLOOKUP(C225,CurrentRank!$B$2:$C$132,2,FALSE),0))</f>
        <v>33.45</v>
      </c>
      <c r="J225" s="4">
        <f>IFERROR(VLOOKUP(C225,Week14,3,FALSE),130)</f>
        <v>43</v>
      </c>
      <c r="K225" s="4">
        <f>IF(ISBLANK(C225),,IFERROR(VLOOKUP(C225,CurrentRank!$B$2:$D$132,3,FALSE),130))</f>
        <v>81</v>
      </c>
      <c r="L225" s="19">
        <f t="shared" ref="L225:M225" si="112">IF(ISBLANK(C225),,(D225+H225)*0.015)</f>
        <v>0.95235</v>
      </c>
      <c r="M225" s="19">
        <f t="shared" si="112"/>
        <v>0.83925</v>
      </c>
      <c r="N225" s="24">
        <f t="shared" si="82"/>
        <v>85</v>
      </c>
      <c r="O225" s="21">
        <f t="shared" si="4"/>
        <v>-6.771175</v>
      </c>
      <c r="P225" s="21">
        <f t="shared" si="102"/>
        <v>-5.951175</v>
      </c>
      <c r="Q225" s="22">
        <f t="shared" si="6"/>
        <v>0.541144125</v>
      </c>
      <c r="R225" s="25" t="str">
        <f t="shared" si="7"/>
        <v>F</v>
      </c>
      <c r="S225" s="19" t="str">
        <f t="shared" si="8"/>
        <v/>
      </c>
      <c r="T225" s="19" t="str">
        <f t="shared" si="9"/>
        <v/>
      </c>
      <c r="U225" s="3" t="s">
        <v>203</v>
      </c>
      <c r="V225" s="4" t="str">
        <f>IF(ISBLANK(C225),,IFERROR(IF(VLOOKUP(B225,Standings!$A:$F, 6, 0)=VLOOKUP(C225,Standings!$A:$F, 6, 0), VLOOKUP(B225,Standings!$A:$F, 6, 0), "Non-con"), "FCS"))</f>
        <v>CUSA</v>
      </c>
      <c r="W225" s="3" t="str">
        <f t="shared" si="10"/>
        <v>Charlotte</v>
      </c>
      <c r="X225" s="3" t="str">
        <f t="shared" si="11"/>
        <v>Marshall</v>
      </c>
      <c r="Y225" s="30">
        <f>IF(D225=0,,IF(ISBLANK(Q225),,VLOOKUP(X225,Week14,2,FALSE)/(VLOOKUP(X225,Week14,2,FALSE)+VLOOKUP(W225,Week14,2,FALSE))+0.05)*100)</f>
        <v>64.91494724</v>
      </c>
      <c r="Z225" s="3"/>
      <c r="AA225" s="3"/>
      <c r="AB225" s="4" t="str">
        <f t="shared" si="20"/>
        <v/>
      </c>
      <c r="AC225" s="3"/>
      <c r="AD225" s="3"/>
      <c r="AE225" s="3" t="str">
        <f t="shared" si="13"/>
        <v/>
      </c>
      <c r="AF225" s="3" t="s">
        <v>226</v>
      </c>
      <c r="AG225" s="3" t="str">
        <f t="shared" si="25"/>
        <v/>
      </c>
      <c r="AH225" s="3"/>
      <c r="AI225" s="7"/>
      <c r="AJ225" s="4"/>
      <c r="AK225" s="7"/>
      <c r="AL225" s="7"/>
      <c r="AM225" s="7"/>
      <c r="AN225" s="7"/>
      <c r="AO225" s="7"/>
      <c r="AP225" s="7"/>
      <c r="AQ225" s="7"/>
      <c r="AR225" s="7"/>
      <c r="AS225" s="7"/>
      <c r="AT225" s="7"/>
      <c r="AU225" s="7"/>
      <c r="AV225" s="7"/>
      <c r="AW225" s="7"/>
      <c r="AX225" s="7"/>
    </row>
    <row r="226" ht="12.75" hidden="1" customHeight="1">
      <c r="A226" s="3">
        <v>8.0</v>
      </c>
      <c r="B226" s="3" t="s">
        <v>124</v>
      </c>
      <c r="C226" s="3" t="s">
        <v>95</v>
      </c>
      <c r="D226" s="4">
        <f>IFERROR(VLOOKUP(B226,Week7,2,FALSE),0)</f>
        <v>42.32</v>
      </c>
      <c r="E226" s="4">
        <f>IF(ISBLANK(B226),,IFERROR(VLOOKUP(B226,CurrentRank!$B$2:$C$132,2,FALSE),0))</f>
        <v>33.33</v>
      </c>
      <c r="F226" s="4">
        <f>IFERROR(VLOOKUP(B226,Week7,3,FALSE),130)</f>
        <v>31</v>
      </c>
      <c r="G226" s="4">
        <f>IF(ISBLANK(B226),,IFERROR(VLOOKUP(B226,CurrentRank!$B$2:$D$132,3,FALSE),130))</f>
        <v>83</v>
      </c>
      <c r="H226" s="4">
        <f>IFERROR(VLOOKUP(C226,Week7,2,FALSE),0)</f>
        <v>63.22</v>
      </c>
      <c r="I226" s="4">
        <f>IF(ISBLANK(B226),,IFERROR(VLOOKUP(C226,CurrentRank!$B$2:$C$132,2,FALSE),0))</f>
        <v>33.45</v>
      </c>
      <c r="J226" s="4">
        <f>IFERROR(VLOOKUP(C226,Week7,3,FALSE),130)</f>
        <v>18</v>
      </c>
      <c r="K226" s="4">
        <f>IF(ISBLANK(C226),,IFERROR(VLOOKUP(C226,CurrentRank!$B$2:$D$132,3,FALSE),130))</f>
        <v>81</v>
      </c>
      <c r="L226" s="19">
        <f t="shared" ref="L226:L227" si="113">IF(U226= "Yes", 0, IF(ISBLANK(C226),,(D226+H226)*0.015))</f>
        <v>1.5831</v>
      </c>
      <c r="M226" s="19">
        <f t="shared" ref="M226:M227" si="114">IF(U226= "Yes", 0, IF(ISBLANK(D226),,(E226+I226)*0.015))</f>
        <v>1.0017</v>
      </c>
      <c r="N226" s="24">
        <f t="shared" si="82"/>
        <v>24.5</v>
      </c>
      <c r="O226" s="21">
        <f t="shared" si="4"/>
        <v>-11.24155</v>
      </c>
      <c r="P226" s="21">
        <f t="shared" si="102"/>
        <v>-0.85155</v>
      </c>
      <c r="Q226" s="22">
        <f t="shared" si="6"/>
        <v>0.82129225</v>
      </c>
      <c r="R226" s="25" t="str">
        <f t="shared" si="7"/>
        <v>B-</v>
      </c>
      <c r="S226" s="19">
        <f t="shared" si="8"/>
        <v>0.8225</v>
      </c>
      <c r="T226" s="19" t="str">
        <f t="shared" si="9"/>
        <v>B-</v>
      </c>
      <c r="U226" s="3" t="s">
        <v>203</v>
      </c>
      <c r="V226" s="4" t="str">
        <f>IF(ISBLANK(C226),,IFERROR(IF(VLOOKUP(B226,Standings!$A:$F, 6, 0)=VLOOKUP(C226,Standings!$A:$F, 6, 0), VLOOKUP(B226,Standings!$A:$F, 6, 0), "Non-con"), "FCS"))</f>
        <v>CUSA</v>
      </c>
      <c r="W226" s="3" t="str">
        <f t="shared" si="10"/>
        <v>Florida Atlantic</v>
      </c>
      <c r="X226" s="3" t="str">
        <f t="shared" si="11"/>
        <v>Marshall</v>
      </c>
      <c r="Y226" s="30">
        <f>IF(D226=0,,IF(ISBLANK(Q226),,VLOOKUP(X226,Week7,2,FALSE)/(VLOOKUP(X226,Week7,2,FALSE)+VLOOKUP(W226,Week7,2,FALSE))+0.05)*100)</f>
        <v>64.90145916</v>
      </c>
      <c r="Z226" s="3" t="s">
        <v>95</v>
      </c>
      <c r="AA226" s="3">
        <v>20.0</v>
      </c>
      <c r="AB226" s="4" t="str">
        <f t="shared" si="20"/>
        <v>Florida Atlantic</v>
      </c>
      <c r="AC226" s="3">
        <v>9.0</v>
      </c>
      <c r="AD226" s="3"/>
      <c r="AE226" s="3">
        <f t="shared" si="13"/>
        <v>11</v>
      </c>
      <c r="AF226" s="3"/>
      <c r="AG226" s="3">
        <f t="shared" si="25"/>
        <v>1</v>
      </c>
      <c r="AH226" s="3"/>
      <c r="AI226" s="7"/>
      <c r="AJ226" s="4" t="s">
        <v>117</v>
      </c>
      <c r="AK226" s="7"/>
      <c r="AL226" s="7"/>
      <c r="AM226" s="7"/>
      <c r="AN226" s="7"/>
      <c r="AO226" s="7"/>
      <c r="AP226" s="7"/>
      <c r="AQ226" s="7"/>
      <c r="AR226" s="7"/>
      <c r="AS226" s="7"/>
      <c r="AT226" s="7"/>
      <c r="AU226" s="7"/>
      <c r="AV226" s="7"/>
      <c r="AW226" s="7"/>
      <c r="AX226" s="7"/>
    </row>
    <row r="227" ht="12.75" hidden="1" customHeight="1">
      <c r="A227" s="3">
        <v>7.0</v>
      </c>
      <c r="B227" s="3" t="s">
        <v>106</v>
      </c>
      <c r="C227" s="3" t="s">
        <v>128</v>
      </c>
      <c r="D227" s="4">
        <f>IFERROR(VLOOKUP(B227,Week6,2,FALSE),0)</f>
        <v>45.02</v>
      </c>
      <c r="E227" s="4">
        <f>IF(ISBLANK(B227),,IFERROR(VLOOKUP(B227,CurrentRank!$B$2:$C$132,2,FALSE),0))</f>
        <v>65.58</v>
      </c>
      <c r="F227" s="4">
        <f>IFERROR(VLOOKUP(B227,Week6,3,FALSE),130)</f>
        <v>27</v>
      </c>
      <c r="G227" s="4">
        <f>IF(ISBLANK(B227),,IFERROR(VLOOKUP(B227,CurrentRank!$B$2:$D$132,3,FALSE),130))</f>
        <v>17</v>
      </c>
      <c r="H227" s="4">
        <f>IFERROR(VLOOKUP(C227,Week6,2,FALSE),0)</f>
        <v>30.14</v>
      </c>
      <c r="I227" s="4">
        <f>IF(ISBLANK(B227),,IFERROR(VLOOKUP(C227,CurrentRank!$B$2:$C$132,2,FALSE),0))</f>
        <v>26.74</v>
      </c>
      <c r="J227" s="4">
        <f>IFERROR(VLOOKUP(C227,Week6,3,FALSE),130)</f>
        <v>120</v>
      </c>
      <c r="K227" s="4">
        <f>IF(ISBLANK(C227),,IFERROR(VLOOKUP(C227,CurrentRank!$B$2:$D$132,3,FALSE),130))</f>
        <v>123</v>
      </c>
      <c r="L227" s="19">
        <f t="shared" si="113"/>
        <v>1.1274</v>
      </c>
      <c r="M227" s="19">
        <f t="shared" si="114"/>
        <v>1.3848</v>
      </c>
      <c r="N227" s="24">
        <f t="shared" si="82"/>
        <v>73.5</v>
      </c>
      <c r="O227" s="21">
        <f t="shared" si="4"/>
        <v>6.8763</v>
      </c>
      <c r="P227" s="21">
        <f t="shared" si="102"/>
        <v>18.8563</v>
      </c>
      <c r="Q227" s="22">
        <f t="shared" si="6"/>
        <v>0.5981185</v>
      </c>
      <c r="R227" s="25" t="str">
        <f t="shared" si="7"/>
        <v>D-</v>
      </c>
      <c r="S227" s="19">
        <f t="shared" si="8"/>
        <v>0.5475</v>
      </c>
      <c r="T227" s="19" t="str">
        <f t="shared" si="9"/>
        <v>F</v>
      </c>
      <c r="U227" s="3" t="s">
        <v>203</v>
      </c>
      <c r="V227" s="4" t="str">
        <f>IF(ISBLANK(C227),,IFERROR(IF(VLOOKUP(B227,Standings!$A:$F, 6, 0)=VLOOKUP(C227,Standings!$A:$F, 6, 0), VLOOKUP(B227,Standings!$A:$F, 6, 0), "Non-con"), "FCS"))</f>
        <v>Non-con</v>
      </c>
      <c r="W227" s="3" t="str">
        <f t="shared" si="10"/>
        <v>Syracuse</v>
      </c>
      <c r="X227" s="3" t="str">
        <f t="shared" si="11"/>
        <v>Liberty</v>
      </c>
      <c r="Y227" s="30">
        <f>IF(D227=0,,IF(ISBLANK(Q227),,VLOOKUP(X227,Week6,2,FALSE)/(VLOOKUP(X227,Week6,2,FALSE)+VLOOKUP(W227,Week6,2,FALSE))+0.05)*100)</f>
        <v>64.89888238</v>
      </c>
      <c r="Z227" s="3" t="s">
        <v>106</v>
      </c>
      <c r="AA227" s="3">
        <v>38.0</v>
      </c>
      <c r="AB227" s="4" t="str">
        <f t="shared" si="20"/>
        <v>Syracuse</v>
      </c>
      <c r="AC227" s="3">
        <v>21.0</v>
      </c>
      <c r="AD227" s="3"/>
      <c r="AE227" s="3">
        <f t="shared" si="13"/>
        <v>17</v>
      </c>
      <c r="AF227" s="3"/>
      <c r="AG227" s="3">
        <f t="shared" si="25"/>
        <v>1</v>
      </c>
      <c r="AH227" s="3"/>
      <c r="AI227" s="7"/>
      <c r="AJ227" s="4"/>
      <c r="AK227" s="7"/>
      <c r="AL227" s="7"/>
      <c r="AM227" s="7"/>
      <c r="AN227" s="7"/>
      <c r="AO227" s="7"/>
      <c r="AP227" s="7"/>
      <c r="AQ227" s="7"/>
      <c r="AR227" s="7"/>
      <c r="AS227" s="7"/>
      <c r="AT227" s="7"/>
      <c r="AU227" s="7"/>
      <c r="AV227" s="7"/>
      <c r="AW227" s="7"/>
      <c r="AX227" s="7"/>
    </row>
    <row r="228" ht="12.75" hidden="1" customHeight="1">
      <c r="A228" s="3">
        <v>13.0</v>
      </c>
      <c r="B228" s="3" t="s">
        <v>180</v>
      </c>
      <c r="C228" s="3" t="s">
        <v>90</v>
      </c>
      <c r="D228" s="4">
        <f>IFERROR(VLOOKUP(B228,Week12,2,FALSE),0)</f>
        <v>44.96</v>
      </c>
      <c r="E228" s="4">
        <f>IF(ISBLANK(B228),,IFERROR(VLOOKUP(B228,CurrentRank!$B$2:$C$132,2,FALSE),0))</f>
        <v>35.77</v>
      </c>
      <c r="F228" s="4">
        <f>IFERROR(VLOOKUP(B228,Week12,3,FALSE),130)</f>
        <v>28</v>
      </c>
      <c r="G228" s="4">
        <f>IF(ISBLANK(B228),,IFERROR(VLOOKUP(B228,CurrentRank!$B$2:$D$132,3,FALSE),130))</f>
        <v>55</v>
      </c>
      <c r="H228" s="4">
        <f>IFERROR(VLOOKUP(C228,Week12,2,FALSE),0)</f>
        <v>67.02</v>
      </c>
      <c r="I228" s="4">
        <f>IF(ISBLANK(B228),,IFERROR(VLOOKUP(C228,CurrentRank!$B$2:$C$132,2,FALSE),0))</f>
        <v>62.48</v>
      </c>
      <c r="J228" s="4">
        <f>IFERROR(VLOOKUP(C228,Week12,3,FALSE),130)</f>
        <v>18</v>
      </c>
      <c r="K228" s="4">
        <f>IF(ISBLANK(C228),,IFERROR(VLOOKUP(C228,CurrentRank!$B$2:$D$132,3,FALSE),130))</f>
        <v>19</v>
      </c>
      <c r="L228" s="19">
        <f t="shared" ref="L228:M228" si="115">IF(ISBLANK(C228),,(D228+H228)*0.015)</f>
        <v>1.6797</v>
      </c>
      <c r="M228" s="19">
        <f t="shared" si="115"/>
        <v>1.47375</v>
      </c>
      <c r="N228" s="24">
        <f t="shared" si="82"/>
        <v>23</v>
      </c>
      <c r="O228" s="24">
        <f t="shared" si="4"/>
        <v>-11.86985</v>
      </c>
      <c r="P228" s="24">
        <f t="shared" si="102"/>
        <v>-14.19485</v>
      </c>
      <c r="Q228" s="22">
        <f t="shared" si="6"/>
        <v>0.82565075</v>
      </c>
      <c r="R228" s="25" t="str">
        <f t="shared" si="7"/>
        <v>B</v>
      </c>
      <c r="S228" s="19" t="str">
        <f t="shared" si="8"/>
        <v/>
      </c>
      <c r="T228" s="19" t="str">
        <f t="shared" si="9"/>
        <v/>
      </c>
      <c r="U228" s="3" t="s">
        <v>203</v>
      </c>
      <c r="V228" s="4" t="str">
        <f>IF(ISBLANK(C228),,IFERROR(IF(VLOOKUP(B228,Standings!$A:$F, 6, 0)=VLOOKUP(C228,Standings!$A:$F, 6, 0), VLOOKUP(B228,Standings!$A:$F, 6, 0), "Non-con"), "FCS"))</f>
        <v>PAC12</v>
      </c>
      <c r="W228" s="3" t="str">
        <f t="shared" si="10"/>
        <v>Colorado</v>
      </c>
      <c r="X228" s="3" t="str">
        <f t="shared" si="11"/>
        <v>Southern Cal</v>
      </c>
      <c r="Y228" s="30">
        <f>IF(D228=0,,IF(ISBLANK(Q228),,VLOOKUP(X228,Week12,2,FALSE)/(VLOOKUP(X228,Week12,2,FALSE)+VLOOKUP(W228,Week12,2,FALSE))+0.05)*100)</f>
        <v>64.84997321</v>
      </c>
      <c r="Z228" s="3"/>
      <c r="AA228" s="3"/>
      <c r="AB228" s="4" t="str">
        <f t="shared" si="20"/>
        <v/>
      </c>
      <c r="AC228" s="3"/>
      <c r="AD228" s="3"/>
      <c r="AE228" s="3" t="str">
        <f t="shared" si="13"/>
        <v/>
      </c>
      <c r="AF228" s="3" t="s">
        <v>226</v>
      </c>
      <c r="AG228" s="3" t="str">
        <f t="shared" si="25"/>
        <v/>
      </c>
      <c r="AH228" s="3"/>
      <c r="AI228" s="7"/>
      <c r="AJ228" s="4" t="s">
        <v>254</v>
      </c>
      <c r="AK228" s="7"/>
      <c r="AL228" s="7"/>
      <c r="AM228" s="7"/>
      <c r="AN228" s="7"/>
      <c r="AO228" s="7"/>
      <c r="AP228" s="7"/>
      <c r="AQ228" s="7"/>
      <c r="AR228" s="7"/>
      <c r="AS228" s="7"/>
      <c r="AT228" s="7"/>
      <c r="AU228" s="7"/>
      <c r="AV228" s="7"/>
      <c r="AW228" s="7"/>
      <c r="AX228" s="7"/>
    </row>
    <row r="229" ht="12.75" hidden="1" customHeight="1">
      <c r="A229" s="3">
        <v>9.0</v>
      </c>
      <c r="B229" s="3" t="s">
        <v>93</v>
      </c>
      <c r="C229" s="3" t="s">
        <v>128</v>
      </c>
      <c r="D229" s="4">
        <f>IFERROR(VLOOKUP(B229,Week8,2,FALSE),0)</f>
        <v>41.05</v>
      </c>
      <c r="E229" s="4">
        <f>IF(ISBLANK(B229),,IFERROR(VLOOKUP(B229,CurrentRank!$B$2:$C$132,2,FALSE),0))</f>
        <v>36.48</v>
      </c>
      <c r="F229" s="4">
        <f>IFERROR(VLOOKUP(B229,Week8,3,FALSE),130)</f>
        <v>32</v>
      </c>
      <c r="G229" s="4">
        <f>IF(ISBLANK(B229),,IFERROR(VLOOKUP(B229,CurrentRank!$B$2:$D$132,3,FALSE),130))</f>
        <v>52</v>
      </c>
      <c r="H229" s="4">
        <f>IFERROR(VLOOKUP(C229,Week8,2,FALSE),0)</f>
        <v>27.58</v>
      </c>
      <c r="I229" s="4">
        <f>IF(ISBLANK(B229),,IFERROR(VLOOKUP(C229,CurrentRank!$B$2:$C$132,2,FALSE),0))</f>
        <v>26.74</v>
      </c>
      <c r="J229" s="4">
        <f>IFERROR(VLOOKUP(C229,Week8,3,FALSE),130)</f>
        <v>119</v>
      </c>
      <c r="K229" s="4">
        <f>IF(ISBLANK(C229),,IFERROR(VLOOKUP(C229,CurrentRank!$B$2:$D$132,3,FALSE),130))</f>
        <v>123</v>
      </c>
      <c r="L229" s="19">
        <f t="shared" ref="L229:L246" si="116">IF(U229= "Yes", 0, IF(ISBLANK(C229),,(D229+H229)*0.015))</f>
        <v>1.02945</v>
      </c>
      <c r="M229" s="19">
        <f t="shared" ref="M229:M246" si="117">IF(U229= "Yes", 0, IF(ISBLANK(D229),,(E229+I229)*0.015))</f>
        <v>0.9483</v>
      </c>
      <c r="N229" s="24">
        <f t="shared" si="82"/>
        <v>75.5</v>
      </c>
      <c r="O229" s="21">
        <f t="shared" si="4"/>
        <v>6.220275</v>
      </c>
      <c r="P229" s="21">
        <f t="shared" si="102"/>
        <v>4.355275</v>
      </c>
      <c r="Q229" s="22">
        <f t="shared" si="6"/>
        <v>0.591398625</v>
      </c>
      <c r="R229" s="25" t="str">
        <f t="shared" si="7"/>
        <v>F</v>
      </c>
      <c r="S229" s="19">
        <f t="shared" si="8"/>
        <v>0.5025</v>
      </c>
      <c r="T229" s="19" t="str">
        <f t="shared" si="9"/>
        <v>F</v>
      </c>
      <c r="U229" s="3" t="s">
        <v>203</v>
      </c>
      <c r="V229" s="4" t="str">
        <f>IF(ISBLANK(C229),,IFERROR(IF(VLOOKUP(B229,Standings!$A:$F, 6, 0)=VLOOKUP(C229,Standings!$A:$F, 6, 0), VLOOKUP(B229,Standings!$A:$F, 6, 0), "Non-con"), "FCS"))</f>
        <v>ACC</v>
      </c>
      <c r="W229" s="3" t="str">
        <f t="shared" si="10"/>
        <v>Syracuse</v>
      </c>
      <c r="X229" s="3" t="str">
        <f t="shared" si="11"/>
        <v>Wake Forest</v>
      </c>
      <c r="Y229" s="30">
        <f>IF(D229=0,,IF(ISBLANK(Q229),,VLOOKUP(X229,Week8,2,FALSE)/(VLOOKUP(X229,Week8,2,FALSE)+VLOOKUP(W229,Week8,2,FALSE))+0.05)*100)</f>
        <v>64.81349264</v>
      </c>
      <c r="Z229" s="3" t="s">
        <v>93</v>
      </c>
      <c r="AA229" s="3">
        <v>38.0</v>
      </c>
      <c r="AB229" s="4" t="str">
        <f t="shared" si="20"/>
        <v>Syracuse</v>
      </c>
      <c r="AC229" s="3">
        <v>14.0</v>
      </c>
      <c r="AD229" s="3"/>
      <c r="AE229" s="3">
        <f t="shared" si="13"/>
        <v>24</v>
      </c>
      <c r="AF229" s="3"/>
      <c r="AG229" s="3">
        <f t="shared" si="25"/>
        <v>1</v>
      </c>
      <c r="AH229" s="3"/>
      <c r="AI229" s="7"/>
      <c r="AJ229" s="4" t="s">
        <v>160</v>
      </c>
      <c r="AK229" s="7"/>
      <c r="AL229" s="7"/>
      <c r="AM229" s="7"/>
      <c r="AN229" s="7"/>
      <c r="AO229" s="7"/>
      <c r="AP229" s="7"/>
      <c r="AQ229" s="7"/>
      <c r="AR229" s="7"/>
      <c r="AS229" s="7"/>
      <c r="AT229" s="7"/>
      <c r="AU229" s="7"/>
      <c r="AV229" s="7"/>
      <c r="AW229" s="7"/>
      <c r="AX229" s="7"/>
    </row>
    <row r="230" ht="12.75" hidden="1" customHeight="1">
      <c r="A230" s="3">
        <v>13.0</v>
      </c>
      <c r="B230" s="56" t="s">
        <v>181</v>
      </c>
      <c r="C230" s="3" t="s">
        <v>149</v>
      </c>
      <c r="D230" s="4">
        <f>IFERROR(VLOOKUP(B230,Week12,2,FALSE),0)</f>
        <v>25.68</v>
      </c>
      <c r="E230" s="4">
        <f>IF(ISBLANK(B230),,IFERROR(VLOOKUP(B230,CurrentRank!$B$2:$C$132,2,FALSE),0))</f>
        <v>25.47</v>
      </c>
      <c r="F230" s="4">
        <f>IFERROR(VLOOKUP(B230,Week12,3,FALSE),130)</f>
        <v>124</v>
      </c>
      <c r="G230" s="4">
        <f>IF(ISBLANK(B230),,IFERROR(VLOOKUP(B230,CurrentRank!$B$2:$D$132,3,FALSE),130))</f>
        <v>125</v>
      </c>
      <c r="H230" s="4">
        <f>IFERROR(VLOOKUP(C230,Week12,2,FALSE),0)</f>
        <v>38.22</v>
      </c>
      <c r="I230" s="4">
        <f>IF(ISBLANK(B230),,IFERROR(VLOOKUP(C230,CurrentRank!$B$2:$C$132,2,FALSE),0))</f>
        <v>36.59</v>
      </c>
      <c r="J230" s="4">
        <f>IFERROR(VLOOKUP(C230,Week12,3,FALSE),130)</f>
        <v>45</v>
      </c>
      <c r="K230" s="4">
        <f>IF(ISBLANK(C230),,IFERROR(VLOOKUP(C230,CurrentRank!$B$2:$D$132,3,FALSE),130))</f>
        <v>51</v>
      </c>
      <c r="L230" s="19">
        <f t="shared" si="116"/>
        <v>0.9585</v>
      </c>
      <c r="M230" s="19">
        <f t="shared" si="117"/>
        <v>0.9309</v>
      </c>
      <c r="N230" s="24">
        <f t="shared" si="82"/>
        <v>84.5</v>
      </c>
      <c r="O230" s="21">
        <f t="shared" si="4"/>
        <v>-6.74925</v>
      </c>
      <c r="P230" s="21">
        <f t="shared" si="102"/>
        <v>-6.03925</v>
      </c>
      <c r="Q230" s="22">
        <f t="shared" si="6"/>
        <v>0.54375375</v>
      </c>
      <c r="R230" s="25" t="str">
        <f t="shared" si="7"/>
        <v>F</v>
      </c>
      <c r="S230" s="19">
        <f t="shared" si="8"/>
        <v>0.3725</v>
      </c>
      <c r="T230" s="19" t="str">
        <f t="shared" si="9"/>
        <v>F</v>
      </c>
      <c r="U230" s="3" t="s">
        <v>203</v>
      </c>
      <c r="V230" s="4" t="str">
        <f>IF(ISBLANK(C230),,IFERROR(IF(VLOOKUP(B230,Standings!$A:$F, 6, 0)=VLOOKUP(C230,Standings!$A:$F, 6, 0), VLOOKUP(B230,Standings!$A:$F, 6, 0), "Non-con"), "FCS"))</f>
        <v>SEC</v>
      </c>
      <c r="W230" s="3" t="str">
        <f t="shared" si="10"/>
        <v>Vanderbilt</v>
      </c>
      <c r="X230" s="3" t="str">
        <f t="shared" si="11"/>
        <v>Missouri</v>
      </c>
      <c r="Y230" s="30">
        <f>IF(D230=0,,IF(ISBLANK(Q230),,VLOOKUP(X230,Week12,2,FALSE)/(VLOOKUP(X230,Week12,2,FALSE)+VLOOKUP(W230,Week12,2,FALSE))+0.05)*100)</f>
        <v>64.81220657</v>
      </c>
      <c r="Z230" s="3" t="s">
        <v>149</v>
      </c>
      <c r="AA230" s="3">
        <v>41.0</v>
      </c>
      <c r="AB230" s="4" t="str">
        <f t="shared" si="20"/>
        <v>Vanderbilt</v>
      </c>
      <c r="AC230" s="3">
        <v>0.0</v>
      </c>
      <c r="AD230" s="3"/>
      <c r="AE230" s="3">
        <f t="shared" si="13"/>
        <v>41</v>
      </c>
      <c r="AF230" s="3"/>
      <c r="AG230" s="3">
        <f t="shared" si="25"/>
        <v>1</v>
      </c>
      <c r="AH230" s="3"/>
      <c r="AI230" s="7"/>
      <c r="AJ230" s="4" t="s">
        <v>192</v>
      </c>
      <c r="AK230" s="7"/>
      <c r="AL230" s="7"/>
      <c r="AM230" s="7"/>
      <c r="AN230" s="7"/>
      <c r="AO230" s="7"/>
      <c r="AP230" s="7"/>
      <c r="AQ230" s="7"/>
      <c r="AR230" s="7"/>
      <c r="AS230" s="7"/>
      <c r="AT230" s="7"/>
      <c r="AU230" s="7"/>
      <c r="AV230" s="7"/>
      <c r="AW230" s="7"/>
      <c r="AX230" s="7"/>
    </row>
    <row r="231" ht="12.75" customHeight="1">
      <c r="A231" s="3">
        <v>5.0</v>
      </c>
      <c r="B231" s="3" t="s">
        <v>105</v>
      </c>
      <c r="C231" s="3" t="s">
        <v>119</v>
      </c>
      <c r="D231" s="4">
        <f>IFERROR(VLOOKUP(B231,Week4,2,FALSE),0)</f>
        <v>46.03</v>
      </c>
      <c r="E231" s="4">
        <f>IF(ISBLANK(B231),,IFERROR(VLOOKUP(B231,CurrentRank!$B$2:$C$132,2,FALSE),0))</f>
        <v>32.43</v>
      </c>
      <c r="F231" s="4">
        <f>IFERROR(VLOOKUP(B231,Week4,3,FALSE),130)</f>
        <v>32</v>
      </c>
      <c r="G231" s="4">
        <f>IF(ISBLANK(B231),,IFERROR(VLOOKUP(B231,CurrentRank!$B$2:$D$132,3,FALSE),130))</f>
        <v>90</v>
      </c>
      <c r="H231" s="4">
        <f>IFERROR(VLOOKUP(C231,Week4,2,FALSE),0)</f>
        <v>35.74</v>
      </c>
      <c r="I231" s="4">
        <f>IF(ISBLANK(B231),,IFERROR(VLOOKUP(C231,CurrentRank!$B$2:$C$132,2,FALSE),0))</f>
        <v>31.96</v>
      </c>
      <c r="J231" s="4">
        <f>IFERROR(VLOOKUP(C231,Week4,3,FALSE),130)</f>
        <v>42</v>
      </c>
      <c r="K231" s="4">
        <f>IF(ISBLANK(C231),,IFERROR(VLOOKUP(C231,CurrentRank!$B$2:$D$132,3,FALSE),130))</f>
        <v>94</v>
      </c>
      <c r="L231" s="19">
        <f t="shared" si="116"/>
        <v>1.22655</v>
      </c>
      <c r="M231" s="19">
        <f t="shared" si="117"/>
        <v>0.96585</v>
      </c>
      <c r="N231" s="24">
        <f t="shared" si="82"/>
        <v>37</v>
      </c>
      <c r="O231" s="21">
        <f t="shared" si="4"/>
        <v>4.531725</v>
      </c>
      <c r="P231" s="21">
        <f t="shared" si="102"/>
        <v>-0.378275</v>
      </c>
      <c r="Q231" s="22">
        <f t="shared" si="6"/>
        <v>0.792341375</v>
      </c>
      <c r="R231" s="25" t="str">
        <f t="shared" si="7"/>
        <v>C+</v>
      </c>
      <c r="S231" s="19">
        <f t="shared" si="8"/>
        <v>0.775</v>
      </c>
      <c r="T231" s="19" t="str">
        <f t="shared" si="9"/>
        <v>C+</v>
      </c>
      <c r="U231" s="3" t="s">
        <v>203</v>
      </c>
      <c r="V231" s="4" t="str">
        <f>IF(ISBLANK(C231),,IFERROR(IF(VLOOKUP(B231,Standings!$A:$F, 6, 0)=VLOOKUP(C231,Standings!$A:$F, 6, 0), VLOOKUP(B231,Standings!$A:$F, 6, 0), "Non-con"), "FCS"))</f>
        <v>CUSA</v>
      </c>
      <c r="W231" s="3" t="str">
        <f t="shared" si="10"/>
        <v>UAB</v>
      </c>
      <c r="X231" s="3" t="str">
        <f t="shared" si="11"/>
        <v>Texas-San Antonio</v>
      </c>
      <c r="Y231" s="30">
        <f>IF(D231=0,,IF(ISBLANK(Q231),,VLOOKUP(X231,Week4,2,FALSE)/(VLOOKUP(X231,Week4,2,FALSE)+VLOOKUP(W231,Week4,2,FALSE))+0.05)*100)</f>
        <v>61.29203864</v>
      </c>
      <c r="Z231" s="3" t="s">
        <v>119</v>
      </c>
      <c r="AA231" s="3">
        <v>21.0</v>
      </c>
      <c r="AB231" s="4" t="str">
        <f t="shared" si="20"/>
        <v>Texas-San Antonio</v>
      </c>
      <c r="AC231" s="3">
        <v>13.0</v>
      </c>
      <c r="AD231" s="3"/>
      <c r="AE231" s="3">
        <f t="shared" si="13"/>
        <v>8</v>
      </c>
      <c r="AF231" s="3"/>
      <c r="AG231" s="3">
        <f t="shared" si="25"/>
        <v>0</v>
      </c>
      <c r="AH231" s="3"/>
      <c r="AI231" s="7"/>
      <c r="AJ231" s="4"/>
      <c r="AK231" s="7"/>
      <c r="AL231" s="7"/>
      <c r="AM231" s="7"/>
      <c r="AN231" s="7"/>
      <c r="AO231" s="7"/>
      <c r="AP231" s="7"/>
      <c r="AQ231" s="7"/>
      <c r="AR231" s="7"/>
      <c r="AS231" s="7"/>
      <c r="AT231" s="7"/>
      <c r="AU231" s="7"/>
      <c r="AV231" s="7"/>
      <c r="AW231" s="7"/>
      <c r="AX231" s="7"/>
    </row>
    <row r="232" ht="12.75" hidden="1" customHeight="1">
      <c r="A232" s="3">
        <v>11.0</v>
      </c>
      <c r="B232" s="3" t="s">
        <v>189</v>
      </c>
      <c r="C232" s="3" t="s">
        <v>152</v>
      </c>
      <c r="D232" s="4">
        <f>IFERROR(VLOOKUP(B232,Week10,2,FALSE),0)</f>
        <v>66.24</v>
      </c>
      <c r="E232" s="4">
        <f>IF(ISBLANK(B232),,IFERROR(VLOOKUP(B232,CurrentRank!$B$2:$C$132,2,FALSE),0))</f>
        <v>72.23</v>
      </c>
      <c r="F232" s="4">
        <f>IFERROR(VLOOKUP(B232,Week10,3,FALSE),130)</f>
        <v>18</v>
      </c>
      <c r="G232" s="4">
        <f>IF(ISBLANK(B232),,IFERROR(VLOOKUP(B232,CurrentRank!$B$2:$D$132,3,FALSE),130))</f>
        <v>11</v>
      </c>
      <c r="H232" s="4">
        <f>IFERROR(VLOOKUP(C232,Week10,2,FALSE),0)</f>
        <v>44.63</v>
      </c>
      <c r="I232" s="4">
        <f>IF(ISBLANK(B232),,IFERROR(VLOOKUP(C232,CurrentRank!$B$2:$C$132,2,FALSE),0))</f>
        <v>32.23</v>
      </c>
      <c r="J232" s="4">
        <f>IFERROR(VLOOKUP(C232,Week10,3,FALSE),130)</f>
        <v>27</v>
      </c>
      <c r="K232" s="4">
        <f>IF(ISBLANK(C232),,IFERROR(VLOOKUP(C232,CurrentRank!$B$2:$D$132,3,FALSE),130))</f>
        <v>92</v>
      </c>
      <c r="L232" s="19">
        <f t="shared" si="116"/>
        <v>1.66305</v>
      </c>
      <c r="M232" s="19">
        <f t="shared" si="117"/>
        <v>1.5669</v>
      </c>
      <c r="N232" s="24">
        <f t="shared" si="82"/>
        <v>22.5</v>
      </c>
      <c r="O232" s="21">
        <f t="shared" si="4"/>
        <v>9.973475</v>
      </c>
      <c r="P232" s="21">
        <f t="shared" si="102"/>
        <v>19.168475</v>
      </c>
      <c r="Q232" s="22">
        <f t="shared" si="6"/>
        <v>0.837632625</v>
      </c>
      <c r="R232" s="25" t="str">
        <f t="shared" si="7"/>
        <v>B</v>
      </c>
      <c r="S232" s="19">
        <f t="shared" si="8"/>
        <v>0.8525</v>
      </c>
      <c r="T232" s="19" t="str">
        <f t="shared" si="9"/>
        <v>B</v>
      </c>
      <c r="U232" s="3" t="s">
        <v>203</v>
      </c>
      <c r="V232" s="4" t="str">
        <f>IF(ISBLANK(C232),,IFERROR(IF(VLOOKUP(B232,Standings!$A:$F, 6, 0)=VLOOKUP(C232,Standings!$A:$F, 6, 0), VLOOKUP(B232,Standings!$A:$F, 6, 0), "Non-con"), "FCS"))</f>
        <v>B1G</v>
      </c>
      <c r="W232" s="3" t="str">
        <f t="shared" si="10"/>
        <v>Purdue</v>
      </c>
      <c r="X232" s="3" t="str">
        <f t="shared" si="11"/>
        <v>Northwestern</v>
      </c>
      <c r="Y232" s="30">
        <f>IF(D232=0,,IF(ISBLANK(Q232),,VLOOKUP(X232,Week10,2,FALSE)/(VLOOKUP(X232,Week10,2,FALSE)+VLOOKUP(W232,Week10,2,FALSE))+0.05)*100)</f>
        <v>64.74564806</v>
      </c>
      <c r="Z232" s="3" t="s">
        <v>189</v>
      </c>
      <c r="AA232" s="3">
        <v>27.0</v>
      </c>
      <c r="AB232" s="4" t="str">
        <f t="shared" si="20"/>
        <v>Purdue</v>
      </c>
      <c r="AC232" s="3">
        <v>20.0</v>
      </c>
      <c r="AD232" s="3"/>
      <c r="AE232" s="3">
        <f t="shared" si="13"/>
        <v>7</v>
      </c>
      <c r="AF232" s="3"/>
      <c r="AG232" s="3">
        <f t="shared" si="25"/>
        <v>1</v>
      </c>
      <c r="AH232" s="3"/>
      <c r="AI232" s="7"/>
      <c r="AJ232" s="4" t="s">
        <v>119</v>
      </c>
      <c r="AK232" s="7"/>
      <c r="AL232" s="7"/>
      <c r="AM232" s="7"/>
      <c r="AN232" s="7"/>
      <c r="AO232" s="7"/>
      <c r="AP232" s="7"/>
      <c r="AQ232" s="7"/>
      <c r="AR232" s="7"/>
      <c r="AS232" s="7"/>
      <c r="AT232" s="7"/>
      <c r="AU232" s="7"/>
      <c r="AV232" s="7"/>
      <c r="AW232" s="7"/>
      <c r="AX232" s="7"/>
    </row>
    <row r="233" ht="12.75" hidden="1" customHeight="1">
      <c r="A233" s="3">
        <v>12.0</v>
      </c>
      <c r="B233" s="3" t="s">
        <v>97</v>
      </c>
      <c r="C233" s="3" t="s">
        <v>57</v>
      </c>
      <c r="D233" s="4">
        <f>IFERROR(VLOOKUP(B233,Week11,2,FALSE),0)</f>
        <v>43.79</v>
      </c>
      <c r="E233" s="4">
        <f>IF(ISBLANK(B233),,IFERROR(VLOOKUP(B233,CurrentRank!$B$2:$C$132,2,FALSE),0))</f>
        <v>71.81</v>
      </c>
      <c r="F233" s="4">
        <f>IFERROR(VLOOKUP(B233,Week11,3,FALSE),130)</f>
        <v>30</v>
      </c>
      <c r="G233" s="4">
        <f>IF(ISBLANK(B233),,IFERROR(VLOOKUP(B233,CurrentRank!$B$2:$D$132,3,FALSE),130))</f>
        <v>12</v>
      </c>
      <c r="H233" s="4">
        <f>IFERROR(VLOOKUP(C233,Week11,2,FALSE),0)</f>
        <v>29.62</v>
      </c>
      <c r="I233" s="4">
        <f>IF(ISBLANK(B233),,IFERROR(VLOOKUP(C233,CurrentRank!$B$2:$C$132,2,FALSE),0))</f>
        <v>40.05</v>
      </c>
      <c r="J233" s="4">
        <f>IFERROR(VLOOKUP(C233,Week11,3,FALSE),130)</f>
        <v>109</v>
      </c>
      <c r="K233" s="4">
        <f>IF(ISBLANK(C233),,IFERROR(VLOOKUP(C233,CurrentRank!$B$2:$D$132,3,FALSE),130))</f>
        <v>34</v>
      </c>
      <c r="L233" s="19">
        <f t="shared" si="116"/>
        <v>1.10115</v>
      </c>
      <c r="M233" s="19">
        <f t="shared" si="117"/>
        <v>1.6779</v>
      </c>
      <c r="N233" s="24">
        <f t="shared" si="82"/>
        <v>69.5</v>
      </c>
      <c r="O233" s="21">
        <f t="shared" si="4"/>
        <v>6.534425</v>
      </c>
      <c r="P233" s="21">
        <f t="shared" si="102"/>
        <v>15.329425</v>
      </c>
      <c r="Q233" s="22">
        <f t="shared" si="6"/>
        <v>0.619827875</v>
      </c>
      <c r="R233" s="25" t="str">
        <f t="shared" si="7"/>
        <v>D-</v>
      </c>
      <c r="S233" s="19">
        <f t="shared" si="8"/>
        <v>0.5525</v>
      </c>
      <c r="T233" s="19" t="str">
        <f t="shared" si="9"/>
        <v>F</v>
      </c>
      <c r="U233" s="3" t="s">
        <v>203</v>
      </c>
      <c r="V233" s="4" t="str">
        <f>IF(ISBLANK(C233),,IFERROR(IF(VLOOKUP(B233,Standings!$A:$F, 6, 0)=VLOOKUP(C233,Standings!$A:$F, 6, 0), VLOOKUP(B233,Standings!$A:$F, 6, 0), "Non-con"), "FCS"))</f>
        <v>B1G</v>
      </c>
      <c r="W233" s="3" t="str">
        <f t="shared" si="10"/>
        <v>Penn State</v>
      </c>
      <c r="X233" s="3" t="str">
        <f t="shared" si="11"/>
        <v>Iowa</v>
      </c>
      <c r="Y233" s="30">
        <f>IF(D233=0,,IF(ISBLANK(Q233),,VLOOKUP(X233,Week11,2,FALSE)/(VLOOKUP(X233,Week11,2,FALSE)+VLOOKUP(W233,Week11,2,FALSE))+0.05)*100)</f>
        <v>64.65127367</v>
      </c>
      <c r="Z233" s="3" t="s">
        <v>97</v>
      </c>
      <c r="AA233" s="3">
        <v>41.0</v>
      </c>
      <c r="AB233" s="4" t="str">
        <f t="shared" si="20"/>
        <v>Penn State</v>
      </c>
      <c r="AC233" s="3">
        <v>21.0</v>
      </c>
      <c r="AD233" s="3"/>
      <c r="AE233" s="3">
        <f t="shared" si="13"/>
        <v>20</v>
      </c>
      <c r="AF233" s="3"/>
      <c r="AG233" s="3">
        <f t="shared" si="25"/>
        <v>1</v>
      </c>
      <c r="AH233" s="3"/>
      <c r="AI233" s="7"/>
      <c r="AJ233" s="4"/>
      <c r="AK233" s="7"/>
      <c r="AL233" s="7"/>
      <c r="AM233" s="7"/>
      <c r="AN233" s="7"/>
      <c r="AO233" s="7"/>
      <c r="AP233" s="7"/>
      <c r="AQ233" s="7"/>
      <c r="AR233" s="7"/>
      <c r="AS233" s="7"/>
      <c r="AT233" s="7"/>
      <c r="AU233" s="7"/>
      <c r="AV233" s="7"/>
      <c r="AW233" s="7"/>
      <c r="AX233" s="7"/>
    </row>
    <row r="234" ht="12.75" hidden="1" customHeight="1">
      <c r="A234" s="3">
        <v>13.0</v>
      </c>
      <c r="B234" s="3" t="s">
        <v>153</v>
      </c>
      <c r="C234" s="3" t="s">
        <v>97</v>
      </c>
      <c r="D234" s="4">
        <f>IFERROR(VLOOKUP(B234,Week12,2,FALSE),0)</f>
        <v>30.82</v>
      </c>
      <c r="E234" s="4">
        <f>IF(ISBLANK(B234),,IFERROR(VLOOKUP(B234,CurrentRank!$B$2:$C$132,2,FALSE),0))</f>
        <v>35.51</v>
      </c>
      <c r="F234" s="4">
        <f>IFERROR(VLOOKUP(B234,Week12,3,FALSE),130)</f>
        <v>98</v>
      </c>
      <c r="G234" s="4">
        <f>IF(ISBLANK(B234),,IFERROR(VLOOKUP(B234,CurrentRank!$B$2:$D$132,3,FALSE),130))</f>
        <v>58</v>
      </c>
      <c r="H234" s="4">
        <f>IFERROR(VLOOKUP(C234,Week12,2,FALSE),0)</f>
        <v>45.46</v>
      </c>
      <c r="I234" s="4">
        <f>IF(ISBLANK(B234),,IFERROR(VLOOKUP(C234,CurrentRank!$B$2:$C$132,2,FALSE),0))</f>
        <v>71.81</v>
      </c>
      <c r="J234" s="4">
        <f>IFERROR(VLOOKUP(C234,Week12,3,FALSE),130)</f>
        <v>27</v>
      </c>
      <c r="K234" s="4">
        <f>IF(ISBLANK(C234),,IFERROR(VLOOKUP(C234,CurrentRank!$B$2:$D$132,3,FALSE),130))</f>
        <v>12</v>
      </c>
      <c r="L234" s="19">
        <f t="shared" si="116"/>
        <v>1.1442</v>
      </c>
      <c r="M234" s="19">
        <f t="shared" si="117"/>
        <v>1.6098</v>
      </c>
      <c r="N234" s="24">
        <f t="shared" si="82"/>
        <v>62.5</v>
      </c>
      <c r="O234" s="21">
        <f t="shared" si="4"/>
        <v>-7.8921</v>
      </c>
      <c r="P234" s="21">
        <f t="shared" si="102"/>
        <v>-18.7221</v>
      </c>
      <c r="Q234" s="22">
        <f t="shared" si="6"/>
        <v>0.6480395</v>
      </c>
      <c r="R234" s="25" t="str">
        <f t="shared" si="7"/>
        <v>D</v>
      </c>
      <c r="S234" s="19">
        <f t="shared" si="8"/>
        <v>0.6575</v>
      </c>
      <c r="T234" s="19" t="str">
        <f t="shared" si="9"/>
        <v>D</v>
      </c>
      <c r="U234" s="3" t="s">
        <v>203</v>
      </c>
      <c r="V234" s="4" t="str">
        <f>IF(ISBLANK(C234),,IFERROR(IF(VLOOKUP(B234,Standings!$A:$F, 6, 0)=VLOOKUP(C234,Standings!$A:$F, 6, 0), VLOOKUP(B234,Standings!$A:$F, 6, 0), "Non-con"), "FCS"))</f>
        <v>B1G</v>
      </c>
      <c r="W234" s="3" t="str">
        <f t="shared" si="10"/>
        <v>Nebraska</v>
      </c>
      <c r="X234" s="3" t="str">
        <f t="shared" si="11"/>
        <v>Iowa</v>
      </c>
      <c r="Y234" s="30">
        <f>IF(D234=0,,IF(ISBLANK(Q234),,VLOOKUP(X234,Week12,2,FALSE)/(VLOOKUP(X234,Week12,2,FALSE)+VLOOKUP(W234,Week12,2,FALSE))+0.05)*100)</f>
        <v>64.59622444</v>
      </c>
      <c r="Z234" s="3" t="s">
        <v>97</v>
      </c>
      <c r="AA234" s="3">
        <v>26.0</v>
      </c>
      <c r="AB234" s="4" t="str">
        <f t="shared" si="20"/>
        <v>Nebraska</v>
      </c>
      <c r="AC234" s="3">
        <v>20.0</v>
      </c>
      <c r="AD234" s="3"/>
      <c r="AE234" s="3">
        <f t="shared" si="13"/>
        <v>6</v>
      </c>
      <c r="AF234" s="3"/>
      <c r="AG234" s="3">
        <f t="shared" si="25"/>
        <v>1</v>
      </c>
      <c r="AH234" s="3"/>
      <c r="AI234" s="7"/>
      <c r="AJ234" s="4"/>
      <c r="AK234" s="7"/>
      <c r="AL234" s="7"/>
      <c r="AM234" s="7"/>
      <c r="AN234" s="7"/>
      <c r="AO234" s="7"/>
      <c r="AP234" s="7"/>
      <c r="AQ234" s="7"/>
      <c r="AR234" s="7"/>
      <c r="AS234" s="7"/>
      <c r="AT234" s="7"/>
      <c r="AU234" s="7"/>
      <c r="AV234" s="7"/>
      <c r="AW234" s="7"/>
      <c r="AX234" s="7"/>
    </row>
    <row r="235" ht="12.75" customHeight="1">
      <c r="A235" s="3">
        <v>10.0</v>
      </c>
      <c r="B235" s="3" t="s">
        <v>182</v>
      </c>
      <c r="C235" s="3" t="s">
        <v>173</v>
      </c>
      <c r="D235" s="4">
        <f>IFERROR(VLOOKUP(B235,Week9,2,FALSE),0)</f>
        <v>41.65</v>
      </c>
      <c r="E235" s="4">
        <f>IF(ISBLANK(B235),,IFERROR(VLOOKUP(B235,CurrentRank!$B$2:$C$132,2,FALSE),0))</f>
        <v>51.02</v>
      </c>
      <c r="F235" s="4">
        <f>IFERROR(VLOOKUP(B235,Week9,3,FALSE),130)</f>
        <v>35</v>
      </c>
      <c r="G235" s="4">
        <f>IF(ISBLANK(B235),,IFERROR(VLOOKUP(B235,CurrentRank!$B$2:$D$132,3,FALSE),130))</f>
        <v>25</v>
      </c>
      <c r="H235" s="4">
        <f>IFERROR(VLOOKUP(C235,Week9,2,FALSE),0)</f>
        <v>42.15</v>
      </c>
      <c r="I235" s="4">
        <f>IF(ISBLANK(B235),,IFERROR(VLOOKUP(C235,CurrentRank!$B$2:$C$132,2,FALSE),0))</f>
        <v>34.13</v>
      </c>
      <c r="J235" s="4">
        <f>IFERROR(VLOOKUP(C235,Week9,3,FALSE),130)</f>
        <v>33</v>
      </c>
      <c r="K235" s="4">
        <f>IF(ISBLANK(C235),,IFERROR(VLOOKUP(C235,CurrentRank!$B$2:$D$132,3,FALSE),130))</f>
        <v>73</v>
      </c>
      <c r="L235" s="19">
        <f t="shared" si="116"/>
        <v>1.257</v>
      </c>
      <c r="M235" s="19">
        <f t="shared" si="117"/>
        <v>1.27725</v>
      </c>
      <c r="N235" s="24">
        <f t="shared" si="82"/>
        <v>34</v>
      </c>
      <c r="O235" s="21">
        <f t="shared" si="4"/>
        <v>-0.8785</v>
      </c>
      <c r="P235" s="21">
        <f t="shared" si="102"/>
        <v>7.8165</v>
      </c>
      <c r="Q235" s="22">
        <f t="shared" si="6"/>
        <v>0.8256075</v>
      </c>
      <c r="R235" s="25" t="str">
        <f t="shared" si="7"/>
        <v>B</v>
      </c>
      <c r="S235" s="19">
        <f t="shared" si="8"/>
        <v>0.775</v>
      </c>
      <c r="T235" s="19" t="str">
        <f t="shared" si="9"/>
        <v>C+</v>
      </c>
      <c r="U235" s="3" t="s">
        <v>203</v>
      </c>
      <c r="V235" s="4" t="str">
        <f>IF(ISBLANK(C235),,IFERROR(IF(VLOOKUP(B235,Standings!$A:$F, 6, 0)=VLOOKUP(C235,Standings!$A:$F, 6, 0), VLOOKUP(B235,Standings!$A:$F, 6, 0), "Non-con"), "FCS"))</f>
        <v>MWC</v>
      </c>
      <c r="W235" s="3" t="str">
        <f t="shared" si="10"/>
        <v>San Jose State</v>
      </c>
      <c r="X235" s="3" t="str">
        <f t="shared" si="11"/>
        <v>San Diego State</v>
      </c>
      <c r="Y235" s="30">
        <f>IF(D235=0,,IF(ISBLANK(Q235),,VLOOKUP(X235,Week9,2,FALSE)/(VLOOKUP(X235,Week9,2,FALSE)+VLOOKUP(W235,Week9,2,FALSE))+0.05)*100)</f>
        <v>55.29832936</v>
      </c>
      <c r="Z235" s="3" t="s">
        <v>182</v>
      </c>
      <c r="AA235" s="3">
        <v>28.0</v>
      </c>
      <c r="AB235" s="4" t="str">
        <f t="shared" si="20"/>
        <v>San Diego State</v>
      </c>
      <c r="AC235" s="3">
        <v>17.0</v>
      </c>
      <c r="AD235" s="3"/>
      <c r="AE235" s="3">
        <f t="shared" si="13"/>
        <v>11</v>
      </c>
      <c r="AF235" s="3"/>
      <c r="AG235" s="3">
        <f t="shared" si="25"/>
        <v>0</v>
      </c>
      <c r="AH235" s="3"/>
      <c r="AI235" s="7"/>
      <c r="AJ235" s="4"/>
      <c r="AK235" s="7"/>
      <c r="AL235" s="7"/>
      <c r="AM235" s="7"/>
      <c r="AN235" s="7"/>
      <c r="AO235" s="7"/>
      <c r="AP235" s="7"/>
      <c r="AQ235" s="7"/>
      <c r="AR235" s="7"/>
      <c r="AS235" s="7"/>
      <c r="AT235" s="7"/>
      <c r="AU235" s="7"/>
      <c r="AV235" s="7"/>
      <c r="AW235" s="7"/>
      <c r="AX235" s="7"/>
    </row>
    <row r="236" ht="12.75" hidden="1" customHeight="1">
      <c r="A236" s="3">
        <v>9.0</v>
      </c>
      <c r="B236" s="3" t="s">
        <v>98</v>
      </c>
      <c r="C236" s="3" t="s">
        <v>122</v>
      </c>
      <c r="D236" s="4">
        <f>IFERROR(VLOOKUP(B236,Week8,2,FALSE),0)</f>
        <v>37.8</v>
      </c>
      <c r="E236" s="4">
        <f>IF(ISBLANK(B236),,IFERROR(VLOOKUP(B236,CurrentRank!$B$2:$C$132,2,FALSE),0))</f>
        <v>37.44</v>
      </c>
      <c r="F236" s="4">
        <f>IFERROR(VLOOKUP(B236,Week8,3,FALSE),130)</f>
        <v>45</v>
      </c>
      <c r="G236" s="4">
        <f>IF(ISBLANK(B236),,IFERROR(VLOOKUP(B236,CurrentRank!$B$2:$D$132,3,FALSE),130))</f>
        <v>42</v>
      </c>
      <c r="H236" s="4">
        <f>IFERROR(VLOOKUP(C236,Week8,2,FALSE),0)</f>
        <v>25.65</v>
      </c>
      <c r="I236" s="4">
        <f>IF(ISBLANK(B236),,IFERROR(VLOOKUP(C236,CurrentRank!$B$2:$C$132,2,FALSE),0))</f>
        <v>25.95</v>
      </c>
      <c r="J236" s="4">
        <f>IFERROR(VLOOKUP(C236,Week8,3,FALSE),130)</f>
        <v>122</v>
      </c>
      <c r="K236" s="4">
        <f>IF(ISBLANK(C236),,IFERROR(VLOOKUP(C236,CurrentRank!$B$2:$D$132,3,FALSE),130))</f>
        <v>124</v>
      </c>
      <c r="L236" s="19">
        <f t="shared" si="116"/>
        <v>0.95175</v>
      </c>
      <c r="M236" s="19">
        <f t="shared" si="117"/>
        <v>0.95085</v>
      </c>
      <c r="N236" s="24">
        <f t="shared" si="82"/>
        <v>83.5</v>
      </c>
      <c r="O236" s="21">
        <f t="shared" si="4"/>
        <v>5.599125</v>
      </c>
      <c r="P236" s="21">
        <f t="shared" si="102"/>
        <v>5.269125</v>
      </c>
      <c r="Q236" s="22">
        <f t="shared" si="6"/>
        <v>0.554504375</v>
      </c>
      <c r="R236" s="25" t="str">
        <f t="shared" si="7"/>
        <v>F</v>
      </c>
      <c r="S236" s="19">
        <f t="shared" si="8"/>
        <v>0.4925</v>
      </c>
      <c r="T236" s="19" t="str">
        <f t="shared" si="9"/>
        <v>F</v>
      </c>
      <c r="U236" s="3" t="s">
        <v>203</v>
      </c>
      <c r="V236" s="4" t="str">
        <f>IF(ISBLANK(C236),,IFERROR(IF(VLOOKUP(B236,Standings!$A:$F, 6, 0)=VLOOKUP(C236,Standings!$A:$F, 6, 0), VLOOKUP(B236,Standings!$A:$F, 6, 0), "Non-con"), "FCS"))</f>
        <v>SUN</v>
      </c>
      <c r="W236" s="3" t="str">
        <f t="shared" si="10"/>
        <v>UL-Monroe</v>
      </c>
      <c r="X236" s="3" t="str">
        <f t="shared" si="11"/>
        <v>Appalachian State</v>
      </c>
      <c r="Y236" s="30">
        <f>IF(D236=0,,IF(ISBLANK(Q236),,VLOOKUP(X236,Week8,2,FALSE)/(VLOOKUP(X236,Week8,2,FALSE)+VLOOKUP(W236,Week8,2,FALSE))+0.05)*100)</f>
        <v>64.57446809</v>
      </c>
      <c r="Z236" s="3" t="s">
        <v>98</v>
      </c>
      <c r="AA236" s="3">
        <v>31.0</v>
      </c>
      <c r="AB236" s="4" t="str">
        <f t="shared" si="20"/>
        <v>UL-Monroe</v>
      </c>
      <c r="AC236" s="3">
        <v>13.0</v>
      </c>
      <c r="AD236" s="3"/>
      <c r="AE236" s="3">
        <f t="shared" si="13"/>
        <v>18</v>
      </c>
      <c r="AF236" s="3"/>
      <c r="AG236" s="3">
        <f t="shared" si="25"/>
        <v>1</v>
      </c>
      <c r="AH236" s="3"/>
      <c r="AI236" s="7"/>
      <c r="AJ236" s="4"/>
      <c r="AK236" s="7"/>
      <c r="AL236" s="7"/>
      <c r="AM236" s="7"/>
      <c r="AN236" s="7"/>
      <c r="AO236" s="7"/>
      <c r="AP236" s="7"/>
      <c r="AQ236" s="7"/>
      <c r="AR236" s="7"/>
      <c r="AS236" s="7"/>
      <c r="AT236" s="7"/>
      <c r="AU236" s="7"/>
      <c r="AV236" s="7"/>
      <c r="AW236" s="7"/>
      <c r="AX236" s="7"/>
    </row>
    <row r="237" ht="12.75" hidden="1" customHeight="1">
      <c r="A237" s="3">
        <v>10.0</v>
      </c>
      <c r="B237" s="3" t="s">
        <v>106</v>
      </c>
      <c r="C237" s="3" t="s">
        <v>82</v>
      </c>
      <c r="D237" s="4">
        <f>IFERROR(VLOOKUP(B237,Week9,2,FALSE),0)</f>
        <v>57.96</v>
      </c>
      <c r="E237" s="4">
        <f>IF(ISBLANK(B237),,IFERROR(VLOOKUP(B237,CurrentRank!$B$2:$C$132,2,FALSE),0))</f>
        <v>65.58</v>
      </c>
      <c r="F237" s="4">
        <f>IFERROR(VLOOKUP(B237,Week9,3,FALSE),130)</f>
        <v>20</v>
      </c>
      <c r="G237" s="4">
        <f>IF(ISBLANK(B237),,IFERROR(VLOOKUP(B237,CurrentRank!$B$2:$D$132,3,FALSE),130))</f>
        <v>17</v>
      </c>
      <c r="H237" s="4">
        <f>IFERROR(VLOOKUP(C237,Week9,2,FALSE),0)</f>
        <v>39.77</v>
      </c>
      <c r="I237" s="4">
        <f>IF(ISBLANK(B237),,IFERROR(VLOOKUP(C237,CurrentRank!$B$2:$C$132,2,FALSE),0))</f>
        <v>36.12</v>
      </c>
      <c r="J237" s="4">
        <f>IFERROR(VLOOKUP(C237,Week9,3,FALSE),130)</f>
        <v>38</v>
      </c>
      <c r="K237" s="4">
        <f>IF(ISBLANK(C237),,IFERROR(VLOOKUP(C237,CurrentRank!$B$2:$D$132,3,FALSE),130))</f>
        <v>54</v>
      </c>
      <c r="L237" s="19">
        <f t="shared" si="116"/>
        <v>1.46595</v>
      </c>
      <c r="M237" s="19">
        <f t="shared" si="117"/>
        <v>1.5255</v>
      </c>
      <c r="N237" s="24">
        <f t="shared" si="82"/>
        <v>29</v>
      </c>
      <c r="O237" s="21">
        <f t="shared" si="4"/>
        <v>8.362025</v>
      </c>
      <c r="P237" s="21">
        <f t="shared" si="102"/>
        <v>13.997025</v>
      </c>
      <c r="Q237" s="22">
        <f t="shared" si="6"/>
        <v>0.813189875</v>
      </c>
      <c r="R237" s="25" t="str">
        <f t="shared" si="7"/>
        <v>B-</v>
      </c>
      <c r="S237" s="19">
        <f t="shared" si="8"/>
        <v>0.84</v>
      </c>
      <c r="T237" s="19" t="str">
        <f t="shared" si="9"/>
        <v>B</v>
      </c>
      <c r="U237" s="3" t="s">
        <v>203</v>
      </c>
      <c r="V237" s="4" t="str">
        <f>IF(ISBLANK(C237),,IFERROR(IF(VLOOKUP(B237,Standings!$A:$F, 6, 0)=VLOOKUP(C237,Standings!$A:$F, 6, 0), VLOOKUP(B237,Standings!$A:$F, 6, 0), "Non-con"), "FCS"))</f>
        <v>Non-con</v>
      </c>
      <c r="W237" s="3" t="str">
        <f t="shared" si="10"/>
        <v>Virginia Tech</v>
      </c>
      <c r="X237" s="3" t="str">
        <f t="shared" si="11"/>
        <v>Liberty</v>
      </c>
      <c r="Y237" s="30">
        <f>IF(D237=0,,IF(ISBLANK(Q237),,VLOOKUP(X237,Week9,2,FALSE)/(VLOOKUP(X237,Week9,2,FALSE)+VLOOKUP(W237,Week9,2,FALSE))+0.05)*100)</f>
        <v>64.30625192</v>
      </c>
      <c r="Z237" s="3" t="s">
        <v>106</v>
      </c>
      <c r="AA237" s="3">
        <v>38.0</v>
      </c>
      <c r="AB237" s="4" t="str">
        <f t="shared" si="20"/>
        <v>Virginia Tech</v>
      </c>
      <c r="AC237" s="3">
        <v>35.0</v>
      </c>
      <c r="AD237" s="3"/>
      <c r="AE237" s="3">
        <f t="shared" si="13"/>
        <v>3</v>
      </c>
      <c r="AF237" s="3"/>
      <c r="AG237" s="3">
        <f t="shared" si="25"/>
        <v>1</v>
      </c>
      <c r="AH237" s="3"/>
      <c r="AI237" s="7"/>
      <c r="AJ237" s="4" t="s">
        <v>189</v>
      </c>
      <c r="AK237" s="7"/>
      <c r="AL237" s="7"/>
      <c r="AM237" s="7"/>
      <c r="AN237" s="7"/>
      <c r="AO237" s="7"/>
      <c r="AP237" s="7"/>
      <c r="AQ237" s="7"/>
      <c r="AR237" s="7"/>
      <c r="AS237" s="7"/>
      <c r="AT237" s="7"/>
      <c r="AU237" s="7"/>
      <c r="AV237" s="7"/>
      <c r="AW237" s="7"/>
      <c r="AX237" s="7"/>
    </row>
    <row r="238" ht="12.75" customHeight="1">
      <c r="A238" s="3">
        <v>11.0</v>
      </c>
      <c r="B238" s="3" t="s">
        <v>93</v>
      </c>
      <c r="C238" s="3" t="s">
        <v>38</v>
      </c>
      <c r="D238" s="4">
        <f>IFERROR(VLOOKUP(B238,Week10,2,FALSE),0)</f>
        <v>43.24</v>
      </c>
      <c r="E238" s="4">
        <f>IF(ISBLANK(B238),,IFERROR(VLOOKUP(B238,CurrentRank!$B$2:$C$132,2,FALSE),0))</f>
        <v>36.48</v>
      </c>
      <c r="F238" s="4">
        <f>IFERROR(VLOOKUP(B238,Week10,3,FALSE),130)</f>
        <v>30</v>
      </c>
      <c r="G238" s="4">
        <f>IF(ISBLANK(B238),,IFERROR(VLOOKUP(B238,CurrentRank!$B$2:$D$132,3,FALSE),130))</f>
        <v>52</v>
      </c>
      <c r="H238" s="4">
        <f>IFERROR(VLOOKUP(C238,Week10,2,FALSE),0)</f>
        <v>38.45</v>
      </c>
      <c r="I238" s="4">
        <f>IF(ISBLANK(B238),,IFERROR(VLOOKUP(C238,CurrentRank!$B$2:$C$132,2,FALSE),0))</f>
        <v>63.1</v>
      </c>
      <c r="J238" s="4">
        <f>IFERROR(VLOOKUP(C238,Week10,3,FALSE),130)</f>
        <v>49</v>
      </c>
      <c r="K238" s="4">
        <f>IF(ISBLANK(C238),,IFERROR(VLOOKUP(C238,CurrentRank!$B$2:$D$132,3,FALSE),130))</f>
        <v>18</v>
      </c>
      <c r="L238" s="19">
        <f t="shared" si="116"/>
        <v>1.22535</v>
      </c>
      <c r="M238" s="19">
        <f t="shared" si="117"/>
        <v>1.4937</v>
      </c>
      <c r="N238" s="24">
        <f t="shared" si="82"/>
        <v>39.5</v>
      </c>
      <c r="O238" s="21">
        <f t="shared" si="4"/>
        <v>1.782325</v>
      </c>
      <c r="P238" s="21">
        <f t="shared" si="102"/>
        <v>-13.922675</v>
      </c>
      <c r="Q238" s="22">
        <f t="shared" si="6"/>
        <v>0.793588375</v>
      </c>
      <c r="R238" s="25" t="str">
        <f t="shared" si="7"/>
        <v>C+</v>
      </c>
      <c r="S238" s="19">
        <f t="shared" si="8"/>
        <v>0.7725</v>
      </c>
      <c r="T238" s="19" t="str">
        <f t="shared" si="9"/>
        <v>C+</v>
      </c>
      <c r="U238" s="3" t="s">
        <v>203</v>
      </c>
      <c r="V238" s="4" t="str">
        <f>IF(ISBLANK(C238),,IFERROR(IF(VLOOKUP(B238,Standings!$A:$F, 6, 0)=VLOOKUP(C238,Standings!$A:$F, 6, 0), VLOOKUP(B238,Standings!$A:$F, 6, 0), "Non-con"), "FCS"))</f>
        <v>ACC</v>
      </c>
      <c r="W238" s="3" t="str">
        <f t="shared" si="10"/>
        <v>North Carolina</v>
      </c>
      <c r="X238" s="3" t="str">
        <f t="shared" si="11"/>
        <v>Wake Forest</v>
      </c>
      <c r="Y238" s="30">
        <f>IF(D238=0,,IF(ISBLANK(Q238),,VLOOKUP(X238,Week10,2,FALSE)/(VLOOKUP(X238,Week10,2,FALSE)+VLOOKUP(W238,Week10,2,FALSE))+0.05)*100)</f>
        <v>57.9318154</v>
      </c>
      <c r="Z238" s="3" t="s">
        <v>38</v>
      </c>
      <c r="AA238" s="3">
        <v>59.0</v>
      </c>
      <c r="AB238" s="4" t="str">
        <f t="shared" si="20"/>
        <v>Wake Forest</v>
      </c>
      <c r="AC238" s="3">
        <v>53.0</v>
      </c>
      <c r="AD238" s="3"/>
      <c r="AE238" s="3">
        <f t="shared" si="13"/>
        <v>6</v>
      </c>
      <c r="AF238" s="3"/>
      <c r="AG238" s="3">
        <f t="shared" si="25"/>
        <v>0</v>
      </c>
      <c r="AH238" s="3"/>
      <c r="AI238" s="7"/>
      <c r="AJ238" s="4"/>
      <c r="AK238" s="7"/>
      <c r="AL238" s="7"/>
      <c r="AM238" s="7"/>
      <c r="AN238" s="7"/>
      <c r="AO238" s="7"/>
      <c r="AP238" s="7"/>
      <c r="AQ238" s="7"/>
      <c r="AR238" s="7"/>
      <c r="AS238" s="7"/>
      <c r="AT238" s="7"/>
      <c r="AU238" s="7"/>
      <c r="AV238" s="7"/>
      <c r="AW238" s="7"/>
      <c r="AX238" s="7"/>
    </row>
    <row r="239" ht="12.75" hidden="1" customHeight="1">
      <c r="A239" s="3">
        <v>6.0</v>
      </c>
      <c r="B239" s="3" t="s">
        <v>43</v>
      </c>
      <c r="C239" s="3" t="s">
        <v>110</v>
      </c>
      <c r="D239" s="4">
        <f>IFERROR(VLOOKUP(B239,Week5,2,FALSE),0)</f>
        <v>24.01</v>
      </c>
      <c r="E239" s="4">
        <f>IF(ISBLANK(B239),,IFERROR(VLOOKUP(B239,CurrentRank!$B$2:$C$132,2,FALSE),0))</f>
        <v>11.84</v>
      </c>
      <c r="F239" s="4">
        <f>IFERROR(VLOOKUP(B239,Week5,3,FALSE),130)</f>
        <v>128</v>
      </c>
      <c r="G239" s="4">
        <f>IF(ISBLANK(B239),,IFERROR(VLOOKUP(B239,CurrentRank!$B$2:$D$132,3,FALSE),130))</f>
        <v>130</v>
      </c>
      <c r="H239" s="4">
        <f>IFERROR(VLOOKUP(C239,Week5,2,FALSE),0)</f>
        <v>34.6</v>
      </c>
      <c r="I239" s="4">
        <f>IF(ISBLANK(B239),,IFERROR(VLOOKUP(C239,CurrentRank!$B$2:$C$132,2,FALSE),0))</f>
        <v>20.47</v>
      </c>
      <c r="J239" s="4">
        <f>IFERROR(VLOOKUP(C239,Week5,3,FALSE),130)</f>
        <v>51</v>
      </c>
      <c r="K239" s="4">
        <f>IF(ISBLANK(C239),,IFERROR(VLOOKUP(C239,CurrentRank!$B$2:$D$132,3,FALSE),130))</f>
        <v>128</v>
      </c>
      <c r="L239" s="19">
        <f t="shared" si="116"/>
        <v>0.87915</v>
      </c>
      <c r="M239" s="19">
        <f t="shared" si="117"/>
        <v>0.48465</v>
      </c>
      <c r="N239" s="24">
        <f t="shared" si="82"/>
        <v>89.5</v>
      </c>
      <c r="O239" s="21">
        <f t="shared" si="4"/>
        <v>-5.734575</v>
      </c>
      <c r="P239" s="21">
        <f t="shared" si="102"/>
        <v>-4.754575</v>
      </c>
      <c r="Q239" s="22">
        <f t="shared" si="6"/>
        <v>0.523827125</v>
      </c>
      <c r="R239" s="25" t="str">
        <f t="shared" si="7"/>
        <v>F</v>
      </c>
      <c r="S239" s="19">
        <f t="shared" si="8"/>
        <v>0.5325</v>
      </c>
      <c r="T239" s="19" t="str">
        <f t="shared" si="9"/>
        <v>F</v>
      </c>
      <c r="U239" s="3" t="s">
        <v>203</v>
      </c>
      <c r="V239" s="4" t="str">
        <f>IF(ISBLANK(C239),,IFERROR(IF(VLOOKUP(B239,Standings!$A:$F, 6, 0)=VLOOKUP(C239,Standings!$A:$F, 6, 0), VLOOKUP(B239,Standings!$A:$F, 6, 0), "Non-con"), "FCS"))</f>
        <v>CUSA</v>
      </c>
      <c r="W239" s="3" t="str">
        <f t="shared" si="10"/>
        <v>UTEP</v>
      </c>
      <c r="X239" s="3" t="str">
        <f t="shared" si="11"/>
        <v>Louisiana Tech</v>
      </c>
      <c r="Y239" s="30">
        <f>IF(D239=0,,IF(ISBLANK(Q239),,VLOOKUP(X239,Week5,2,FALSE)/(VLOOKUP(X239,Week5,2,FALSE)+VLOOKUP(W239,Week5,2,FALSE))+0.05)*100)</f>
        <v>64.03429449</v>
      </c>
      <c r="Z239" s="3" t="s">
        <v>110</v>
      </c>
      <c r="AA239" s="3">
        <v>21.0</v>
      </c>
      <c r="AB239" s="4" t="str">
        <f t="shared" si="20"/>
        <v>UTEP</v>
      </c>
      <c r="AC239" s="3">
        <v>17.0</v>
      </c>
      <c r="AD239" s="3"/>
      <c r="AE239" s="3">
        <f t="shared" si="13"/>
        <v>4</v>
      </c>
      <c r="AF239" s="3"/>
      <c r="AG239" s="3">
        <f t="shared" si="25"/>
        <v>1</v>
      </c>
      <c r="AH239" s="3"/>
      <c r="AI239" s="7"/>
      <c r="AJ239" s="4"/>
      <c r="AK239" s="7"/>
      <c r="AL239" s="7"/>
      <c r="AM239" s="7"/>
      <c r="AN239" s="7"/>
      <c r="AO239" s="7"/>
      <c r="AP239" s="7"/>
      <c r="AQ239" s="7"/>
      <c r="AR239" s="7"/>
      <c r="AS239" s="7"/>
      <c r="AT239" s="7"/>
      <c r="AU239" s="7"/>
      <c r="AV239" s="7"/>
      <c r="AW239" s="7"/>
      <c r="AX239" s="7"/>
    </row>
    <row r="240" ht="12.75" hidden="1" customHeight="1">
      <c r="A240" s="3">
        <v>10.0</v>
      </c>
      <c r="B240" s="3" t="s">
        <v>101</v>
      </c>
      <c r="C240" s="3" t="s">
        <v>128</v>
      </c>
      <c r="D240" s="4">
        <f>IFERROR(VLOOKUP(B240,Week9,2,FALSE),0)</f>
        <v>38.07</v>
      </c>
      <c r="E240" s="4">
        <f>IF(ISBLANK(B240),,IFERROR(VLOOKUP(B240,CurrentRank!$B$2:$C$132,2,FALSE),0))</f>
        <v>36.62</v>
      </c>
      <c r="F240" s="4">
        <f>IFERROR(VLOOKUP(B240,Week9,3,FALSE),130)</f>
        <v>46</v>
      </c>
      <c r="G240" s="4">
        <f>IF(ISBLANK(B240),,IFERROR(VLOOKUP(B240,CurrentRank!$B$2:$D$132,3,FALSE),130))</f>
        <v>50</v>
      </c>
      <c r="H240" s="4">
        <f>IFERROR(VLOOKUP(C240,Week9,2,FALSE),0)</f>
        <v>26.5</v>
      </c>
      <c r="I240" s="4">
        <f>IF(ISBLANK(B240),,IFERROR(VLOOKUP(C240,CurrentRank!$B$2:$C$132,2,FALSE),0))</f>
        <v>26.74</v>
      </c>
      <c r="J240" s="4">
        <f>IFERROR(VLOOKUP(C240,Week9,3,FALSE),130)</f>
        <v>123</v>
      </c>
      <c r="K240" s="4">
        <f>IF(ISBLANK(C240),,IFERROR(VLOOKUP(C240,CurrentRank!$B$2:$D$132,3,FALSE),130))</f>
        <v>123</v>
      </c>
      <c r="L240" s="19">
        <f t="shared" si="116"/>
        <v>0.96855</v>
      </c>
      <c r="M240" s="19">
        <f t="shared" si="117"/>
        <v>0.9504</v>
      </c>
      <c r="N240" s="24">
        <f t="shared" si="82"/>
        <v>84.5</v>
      </c>
      <c r="O240" s="21">
        <f t="shared" si="4"/>
        <v>5.300725</v>
      </c>
      <c r="P240" s="21">
        <f t="shared" si="102"/>
        <v>4.455725</v>
      </c>
      <c r="Q240" s="22">
        <f t="shared" si="6"/>
        <v>0.550996375</v>
      </c>
      <c r="R240" s="25" t="str">
        <f t="shared" si="7"/>
        <v>F</v>
      </c>
      <c r="S240" s="19">
        <f t="shared" si="8"/>
        <v>0.5625</v>
      </c>
      <c r="T240" s="19" t="str">
        <f t="shared" si="9"/>
        <v>F</v>
      </c>
      <c r="U240" s="3" t="s">
        <v>203</v>
      </c>
      <c r="V240" s="4" t="str">
        <f>IF(ISBLANK(C240),,IFERROR(IF(VLOOKUP(B240,Standings!$A:$F, 6, 0)=VLOOKUP(C240,Standings!$A:$F, 6, 0), VLOOKUP(B240,Standings!$A:$F, 6, 0), "Non-con"), "FCS"))</f>
        <v>ACC</v>
      </c>
      <c r="W240" s="3" t="str">
        <f t="shared" si="10"/>
        <v>Syracuse</v>
      </c>
      <c r="X240" s="3" t="str">
        <f t="shared" si="11"/>
        <v>Boston College</v>
      </c>
      <c r="Y240" s="30">
        <f>IF(D240=0,,IF(ISBLANK(Q240),,VLOOKUP(X240,Week9,2,FALSE)/(VLOOKUP(X240,Week9,2,FALSE)+VLOOKUP(W240,Week9,2,FALSE))+0.05)*100)</f>
        <v>63.95926901</v>
      </c>
      <c r="Z240" s="3" t="s">
        <v>101</v>
      </c>
      <c r="AA240" s="3">
        <v>16.0</v>
      </c>
      <c r="AB240" s="4" t="str">
        <f t="shared" si="20"/>
        <v>Syracuse</v>
      </c>
      <c r="AC240" s="3">
        <v>13.0</v>
      </c>
      <c r="AD240" s="3"/>
      <c r="AE240" s="3">
        <f t="shared" si="13"/>
        <v>3</v>
      </c>
      <c r="AF240" s="3"/>
      <c r="AG240" s="3">
        <f t="shared" si="25"/>
        <v>1</v>
      </c>
      <c r="AH240" s="3"/>
      <c r="AI240" s="7"/>
      <c r="AJ240" s="4" t="s">
        <v>255</v>
      </c>
      <c r="AK240" s="3" t="s">
        <v>54</v>
      </c>
      <c r="AL240" s="44" t="s">
        <v>256</v>
      </c>
      <c r="AM240" s="7"/>
      <c r="AN240" s="7"/>
      <c r="AO240" s="7"/>
      <c r="AP240" s="7"/>
      <c r="AQ240" s="7"/>
      <c r="AR240" s="7"/>
      <c r="AS240" s="7"/>
      <c r="AT240" s="7"/>
      <c r="AU240" s="7"/>
      <c r="AV240" s="7"/>
      <c r="AW240" s="7"/>
      <c r="AX240" s="7"/>
    </row>
    <row r="241" ht="12.75" customHeight="1">
      <c r="A241" s="3">
        <v>8.0</v>
      </c>
      <c r="B241" s="3" t="s">
        <v>99</v>
      </c>
      <c r="C241" s="3" t="s">
        <v>149</v>
      </c>
      <c r="D241" s="4">
        <f>IFERROR(VLOOKUP(B241,Week7,2,FALSE),0)</f>
        <v>44.03</v>
      </c>
      <c r="E241" s="4">
        <f>IF(ISBLANK(B241),,IFERROR(VLOOKUP(B241,CurrentRank!$B$2:$C$132,2,FALSE),0))</f>
        <v>36.94</v>
      </c>
      <c r="F241" s="4">
        <f>IFERROR(VLOOKUP(B241,Week7,3,FALSE),130)</f>
        <v>28</v>
      </c>
      <c r="G241" s="4">
        <f>IF(ISBLANK(B241),,IFERROR(VLOOKUP(B241,CurrentRank!$B$2:$D$132,3,FALSE),130))</f>
        <v>47</v>
      </c>
      <c r="H241" s="4">
        <f>IFERROR(VLOOKUP(C241,Week7,2,FALSE),0)</f>
        <v>37.67</v>
      </c>
      <c r="I241" s="4">
        <f>IF(ISBLANK(B241),,IFERROR(VLOOKUP(C241,CurrentRank!$B$2:$C$132,2,FALSE),0))</f>
        <v>36.59</v>
      </c>
      <c r="J241" s="4">
        <f>IFERROR(VLOOKUP(C241,Week7,3,FALSE),130)</f>
        <v>44</v>
      </c>
      <c r="K241" s="4">
        <f>IF(ISBLANK(C241),,IFERROR(VLOOKUP(C241,CurrentRank!$B$2:$D$132,3,FALSE),130))</f>
        <v>51</v>
      </c>
      <c r="L241" s="19">
        <f t="shared" si="116"/>
        <v>1.2255</v>
      </c>
      <c r="M241" s="19">
        <f t="shared" si="117"/>
        <v>1.10295</v>
      </c>
      <c r="N241" s="24">
        <f t="shared" si="82"/>
        <v>36</v>
      </c>
      <c r="O241" s="21">
        <f t="shared" si="4"/>
        <v>2.56725</v>
      </c>
      <c r="P241" s="21">
        <f t="shared" si="102"/>
        <v>-0.43775</v>
      </c>
      <c r="Q241" s="22">
        <f t="shared" si="6"/>
        <v>0.80716375</v>
      </c>
      <c r="R241" s="25" t="str">
        <f t="shared" si="7"/>
        <v>B-</v>
      </c>
      <c r="S241" s="19">
        <f t="shared" si="8"/>
        <v>0.77</v>
      </c>
      <c r="T241" s="19" t="str">
        <f t="shared" si="9"/>
        <v>C+</v>
      </c>
      <c r="U241" s="3" t="s">
        <v>203</v>
      </c>
      <c r="V241" s="4" t="str">
        <f>IF(ISBLANK(C241),,IFERROR(IF(VLOOKUP(B241,Standings!$A:$F, 6, 0)=VLOOKUP(C241,Standings!$A:$F, 6, 0), VLOOKUP(B241,Standings!$A:$F, 6, 0), "Non-con"), "FCS"))</f>
        <v>SEC</v>
      </c>
      <c r="W241" s="3" t="str">
        <f t="shared" si="10"/>
        <v>Missouri</v>
      </c>
      <c r="X241" s="3" t="str">
        <f t="shared" si="11"/>
        <v>Kentucky</v>
      </c>
      <c r="Y241" s="30">
        <f>IF(D241=0,,IF(ISBLANK(Q241),,VLOOKUP(X241,Week7,2,FALSE)/(VLOOKUP(X241,Week7,2,FALSE)+VLOOKUP(W241,Week7,2,FALSE))+0.05)*100)</f>
        <v>58.89228886</v>
      </c>
      <c r="Z241" s="3" t="s">
        <v>149</v>
      </c>
      <c r="AA241" s="3">
        <v>20.0</v>
      </c>
      <c r="AB241" s="4" t="str">
        <f t="shared" si="20"/>
        <v>Kentucky</v>
      </c>
      <c r="AC241" s="3">
        <v>10.0</v>
      </c>
      <c r="AD241" s="3"/>
      <c r="AE241" s="3">
        <f t="shared" si="13"/>
        <v>10</v>
      </c>
      <c r="AF241" s="3"/>
      <c r="AG241" s="3">
        <f t="shared" si="25"/>
        <v>0</v>
      </c>
      <c r="AH241" s="3"/>
      <c r="AI241" s="7"/>
      <c r="AJ241" s="4"/>
      <c r="AK241" s="7"/>
      <c r="AL241" s="7"/>
      <c r="AM241" s="7"/>
      <c r="AN241" s="7"/>
      <c r="AO241" s="7"/>
      <c r="AP241" s="7"/>
      <c r="AQ241" s="7"/>
      <c r="AR241" s="7"/>
      <c r="AS241" s="7"/>
      <c r="AT241" s="7"/>
      <c r="AU241" s="7"/>
      <c r="AV241" s="7"/>
      <c r="AW241" s="7"/>
      <c r="AX241" s="7"/>
    </row>
    <row r="242" ht="12.75" hidden="1" customHeight="1">
      <c r="A242" s="3">
        <v>12.0</v>
      </c>
      <c r="B242" s="3" t="s">
        <v>162</v>
      </c>
      <c r="C242" s="3" t="s">
        <v>177</v>
      </c>
      <c r="D242" s="4">
        <f>IFERROR(VLOOKUP(B242,Week11,2,FALSE),0)</f>
        <v>44.31</v>
      </c>
      <c r="E242" s="4">
        <f>IF(ISBLANK(B242),,IFERROR(VLOOKUP(B242,CurrentRank!$B$2:$C$132,2,FALSE),0))</f>
        <v>51.75</v>
      </c>
      <c r="F242" s="4">
        <f>IFERROR(VLOOKUP(B242,Week11,3,FALSE),130)</f>
        <v>29</v>
      </c>
      <c r="G242" s="4">
        <f>IF(ISBLANK(B242),,IFERROR(VLOOKUP(B242,CurrentRank!$B$2:$D$132,3,FALSE),130))</f>
        <v>24</v>
      </c>
      <c r="H242" s="4">
        <f>IFERROR(VLOOKUP(C242,Week11,2,FALSE),0)</f>
        <v>31.11</v>
      </c>
      <c r="I242" s="4">
        <f>IF(ISBLANK(B242),,IFERROR(VLOOKUP(C242,CurrentRank!$B$2:$C$132,2,FALSE),0))</f>
        <v>29.15</v>
      </c>
      <c r="J242" s="4">
        <f>IFERROR(VLOOKUP(C242,Week11,3,FALSE),130)</f>
        <v>94</v>
      </c>
      <c r="K242" s="4">
        <f>IF(ISBLANK(C242),,IFERROR(VLOOKUP(C242,CurrentRank!$B$2:$D$132,3,FALSE),130))</f>
        <v>117</v>
      </c>
      <c r="L242" s="19">
        <f t="shared" si="116"/>
        <v>1.1313</v>
      </c>
      <c r="M242" s="19">
        <f t="shared" si="117"/>
        <v>1.2135</v>
      </c>
      <c r="N242" s="24">
        <f t="shared" si="82"/>
        <v>61.5</v>
      </c>
      <c r="O242" s="21">
        <f t="shared" si="4"/>
        <v>6.03435</v>
      </c>
      <c r="P242" s="21">
        <f t="shared" si="102"/>
        <v>10.73435</v>
      </c>
      <c r="Q242" s="22">
        <f t="shared" si="6"/>
        <v>0.66232825</v>
      </c>
      <c r="R242" s="25" t="str">
        <f t="shared" si="7"/>
        <v>D</v>
      </c>
      <c r="S242" s="19">
        <f t="shared" si="8"/>
        <v>0.5675</v>
      </c>
      <c r="T242" s="19" t="str">
        <f t="shared" si="9"/>
        <v>F</v>
      </c>
      <c r="U242" s="3" t="s">
        <v>203</v>
      </c>
      <c r="V242" s="4" t="str">
        <f>IF(ISBLANK(C242),,IFERROR(IF(VLOOKUP(B242,Standings!$A:$F, 6, 0)=VLOOKUP(C242,Standings!$A:$F, 6, 0), VLOOKUP(B242,Standings!$A:$F, 6, 0), "Non-con"), "FCS"))</f>
        <v>MAC</v>
      </c>
      <c r="W242" s="3" t="str">
        <f t="shared" si="10"/>
        <v>Bowling Green</v>
      </c>
      <c r="X242" s="3" t="str">
        <f t="shared" si="11"/>
        <v>Buffalo</v>
      </c>
      <c r="Y242" s="30">
        <f>IF(D242=0,,IF(ISBLANK(Q242),,VLOOKUP(X242,Week11,2,FALSE)/(VLOOKUP(X242,Week11,2,FALSE)+VLOOKUP(W242,Week11,2,FALSE))+0.05)*100)</f>
        <v>63.75099443</v>
      </c>
      <c r="Z242" s="3" t="s">
        <v>162</v>
      </c>
      <c r="AA242" s="3">
        <v>42.0</v>
      </c>
      <c r="AB242" s="4" t="str">
        <f t="shared" si="20"/>
        <v>Bowling Green</v>
      </c>
      <c r="AC242" s="3">
        <v>17.0</v>
      </c>
      <c r="AD242" s="3"/>
      <c r="AE242" s="3">
        <f t="shared" si="13"/>
        <v>25</v>
      </c>
      <c r="AF242" s="3"/>
      <c r="AG242" s="3">
        <f t="shared" si="25"/>
        <v>1</v>
      </c>
      <c r="AH242" s="3"/>
      <c r="AI242" s="7"/>
      <c r="AJ242" s="4" t="s">
        <v>154</v>
      </c>
      <c r="AK242" s="7"/>
      <c r="AL242" s="7"/>
      <c r="AM242" s="7"/>
      <c r="AN242" s="7"/>
      <c r="AO242" s="7"/>
      <c r="AP242" s="7"/>
      <c r="AQ242" s="7"/>
      <c r="AR242" s="7"/>
      <c r="AS242" s="7"/>
      <c r="AT242" s="7"/>
      <c r="AU242" s="7"/>
      <c r="AV242" s="7"/>
      <c r="AW242" s="7"/>
      <c r="AX242" s="7"/>
    </row>
    <row r="243" ht="12.75" hidden="1" customHeight="1">
      <c r="A243" s="3">
        <v>13.0</v>
      </c>
      <c r="B243" s="3" t="s">
        <v>143</v>
      </c>
      <c r="C243" s="3" t="s">
        <v>151</v>
      </c>
      <c r="D243" s="4">
        <f>IFERROR(VLOOKUP(B243,Week12,2,FALSE),0)</f>
        <v>31.39</v>
      </c>
      <c r="E243" s="4">
        <f>IF(ISBLANK(B243),,IFERROR(VLOOKUP(B243,CurrentRank!$B$2:$C$132,2,FALSE),0))</f>
        <v>30.67</v>
      </c>
      <c r="F243" s="4">
        <f>IFERROR(VLOOKUP(B243,Week12,3,FALSE),130)</f>
        <v>91</v>
      </c>
      <c r="G243" s="4">
        <f>IF(ISBLANK(B243),,IFERROR(VLOOKUP(B243,CurrentRank!$B$2:$D$132,3,FALSE),130))</f>
        <v>108</v>
      </c>
      <c r="H243" s="4">
        <f>IFERROR(VLOOKUP(C243,Week12,2,FALSE),0)</f>
        <v>44.57</v>
      </c>
      <c r="I243" s="4">
        <f>IF(ISBLANK(B243),,IFERROR(VLOOKUP(C243,CurrentRank!$B$2:$C$132,2,FALSE),0))</f>
        <v>34.83</v>
      </c>
      <c r="J243" s="4">
        <f>IFERROR(VLOOKUP(C243,Week12,3,FALSE),130)</f>
        <v>29</v>
      </c>
      <c r="K243" s="4">
        <f>IF(ISBLANK(C243),,IFERROR(VLOOKUP(C243,CurrentRank!$B$2:$D$132,3,FALSE),130))</f>
        <v>67</v>
      </c>
      <c r="L243" s="19">
        <f t="shared" si="116"/>
        <v>1.1394</v>
      </c>
      <c r="M243" s="19">
        <f t="shared" si="117"/>
        <v>0.9825</v>
      </c>
      <c r="N243" s="24">
        <f t="shared" si="82"/>
        <v>60</v>
      </c>
      <c r="O243" s="21">
        <f t="shared" si="4"/>
        <v>-7.1597</v>
      </c>
      <c r="P243" s="21">
        <f t="shared" si="102"/>
        <v>-2.6497</v>
      </c>
      <c r="Q243" s="22">
        <f t="shared" si="6"/>
        <v>0.6642015</v>
      </c>
      <c r="R243" s="25" t="str">
        <f t="shared" si="7"/>
        <v>D</v>
      </c>
      <c r="S243" s="19">
        <f t="shared" si="8"/>
        <v>0.685</v>
      </c>
      <c r="T243" s="19" t="str">
        <f t="shared" si="9"/>
        <v>D+</v>
      </c>
      <c r="U243" s="3" t="s">
        <v>203</v>
      </c>
      <c r="V243" s="4" t="str">
        <f>IF(ISBLANK(C243),,IFERROR(IF(VLOOKUP(B243,Standings!$A:$F, 6, 0)=VLOOKUP(C243,Standings!$A:$F, 6, 0), VLOOKUP(B243,Standings!$A:$F, 6, 0), "Non-con"), "FCS"))</f>
        <v>MAC</v>
      </c>
      <c r="W243" s="3" t="str">
        <f t="shared" si="10"/>
        <v>Northern Illinois</v>
      </c>
      <c r="X243" s="3" t="str">
        <f t="shared" si="11"/>
        <v>Western Michigan</v>
      </c>
      <c r="Y243" s="30">
        <f>IF(D243=0,,IF(ISBLANK(Q243),,VLOOKUP(X243,Week12,2,FALSE)/(VLOOKUP(X243,Week12,2,FALSE)+VLOOKUP(W243,Week12,2,FALSE))+0.05)*100)</f>
        <v>63.67561875</v>
      </c>
      <c r="Z243" s="3" t="s">
        <v>151</v>
      </c>
      <c r="AA243" s="3">
        <v>30.0</v>
      </c>
      <c r="AB243" s="4" t="str">
        <f t="shared" si="20"/>
        <v>Northern Illinois</v>
      </c>
      <c r="AC243" s="3">
        <v>27.0</v>
      </c>
      <c r="AD243" s="3"/>
      <c r="AE243" s="3">
        <f t="shared" si="13"/>
        <v>3</v>
      </c>
      <c r="AF243" s="3"/>
      <c r="AG243" s="3">
        <f t="shared" si="25"/>
        <v>1</v>
      </c>
      <c r="AH243" s="3"/>
      <c r="AI243" s="7"/>
      <c r="AJ243" s="3" t="s">
        <v>257</v>
      </c>
      <c r="AM243" s="7"/>
      <c r="AN243" s="7"/>
      <c r="AO243" s="7"/>
      <c r="AP243" s="7"/>
      <c r="AQ243" s="7"/>
      <c r="AR243" s="7"/>
      <c r="AS243" s="7"/>
      <c r="AT243" s="7"/>
      <c r="AU243" s="7"/>
      <c r="AV243" s="7"/>
      <c r="AW243" s="7"/>
      <c r="AX243" s="7"/>
    </row>
    <row r="244" ht="12.75" customHeight="1">
      <c r="A244" s="3">
        <v>17.0</v>
      </c>
      <c r="B244" s="3" t="s">
        <v>134</v>
      </c>
      <c r="C244" s="3" t="s">
        <v>182</v>
      </c>
      <c r="D244" s="4">
        <f>IFERROR(VLOOKUP(B244,Week16,2,FALSE),0)</f>
        <v>42.43</v>
      </c>
      <c r="E244" s="4">
        <f>IF(ISBLANK(B244),,IFERROR(VLOOKUP(B244,CurrentRank!$B$2:$C$132,2,FALSE),0))</f>
        <v>60.69</v>
      </c>
      <c r="F244" s="4">
        <f>IFERROR(VLOOKUP(B244,Week16,3,FALSE),130)</f>
        <v>30</v>
      </c>
      <c r="G244" s="4">
        <f>IF(ISBLANK(B244),,IFERROR(VLOOKUP(B244,CurrentRank!$B$2:$D$132,3,FALSE),130))</f>
        <v>21</v>
      </c>
      <c r="H244" s="4">
        <f>IFERROR(VLOOKUP(C244,Week16,2,FALSE),0)</f>
        <v>61.63</v>
      </c>
      <c r="I244" s="4">
        <f>IF(ISBLANK(B244),,IFERROR(VLOOKUP(C244,CurrentRank!$B$2:$C$132,2,FALSE),0))</f>
        <v>51.02</v>
      </c>
      <c r="J244" s="4">
        <f>IFERROR(VLOOKUP(C244,Week16,3,FALSE),130)</f>
        <v>20</v>
      </c>
      <c r="K244" s="4">
        <f>IF(ISBLANK(C244),,IFERROR(VLOOKUP(C244,CurrentRank!$B$2:$D$132,3,FALSE),130))</f>
        <v>25</v>
      </c>
      <c r="L244" s="19">
        <f t="shared" si="116"/>
        <v>0</v>
      </c>
      <c r="M244" s="19">
        <f t="shared" si="117"/>
        <v>0</v>
      </c>
      <c r="N244" s="24">
        <f t="shared" si="82"/>
        <v>25</v>
      </c>
      <c r="O244" s="21">
        <f t="shared" si="4"/>
        <v>-9.6</v>
      </c>
      <c r="P244" s="21">
        <f t="shared" si="102"/>
        <v>4.835</v>
      </c>
      <c r="Q244" s="22">
        <f t="shared" si="6"/>
        <v>0.827</v>
      </c>
      <c r="R244" s="25" t="str">
        <f t="shared" si="7"/>
        <v>B</v>
      </c>
      <c r="S244" s="19">
        <f t="shared" si="8"/>
        <v>0.77</v>
      </c>
      <c r="T244" s="19" t="str">
        <f t="shared" si="9"/>
        <v>C+</v>
      </c>
      <c r="U244" s="3" t="s">
        <v>223</v>
      </c>
      <c r="V244" s="4" t="str">
        <f>IF(ISBLANK(C244),,IFERROR(IF(VLOOKUP(B244,Standings!$A:$F, 6, 0)=VLOOKUP(C244,Standings!$A:$F, 6, 0), VLOOKUP(B244,Standings!$A:$F, 6, 0), "Non-con"), "FCS"))</f>
        <v>Non-con</v>
      </c>
      <c r="W244" s="3" t="str">
        <f t="shared" si="10"/>
        <v>Ball State</v>
      </c>
      <c r="X244" s="3" t="str">
        <f t="shared" si="11"/>
        <v>San Jose State</v>
      </c>
      <c r="Y244" s="30">
        <f>IF(D244=0,,IF(ISBLANK(Q244),,VLOOKUP(X244,Week16,2,FALSE)/(VLOOKUP(X244,Week16,2,FALSE)+VLOOKUP(W244,Week16,2,FALSE)))*100)</f>
        <v>59.22544686</v>
      </c>
      <c r="Z244" s="3" t="s">
        <v>134</v>
      </c>
      <c r="AA244" s="3">
        <v>34.0</v>
      </c>
      <c r="AB244" s="4" t="str">
        <f t="shared" si="20"/>
        <v>San Jose State</v>
      </c>
      <c r="AC244" s="3">
        <v>13.0</v>
      </c>
      <c r="AD244" s="3"/>
      <c r="AE244" s="3">
        <f t="shared" si="13"/>
        <v>21</v>
      </c>
      <c r="AF244" s="3" t="s">
        <v>224</v>
      </c>
      <c r="AG244" s="3">
        <f t="shared" si="25"/>
        <v>0</v>
      </c>
      <c r="AH244" s="3"/>
      <c r="AI244" s="7"/>
      <c r="AJ244" s="4"/>
      <c r="AK244" s="7"/>
      <c r="AL244" s="7"/>
      <c r="AM244" s="7"/>
      <c r="AN244" s="7"/>
      <c r="AO244" s="7"/>
      <c r="AP244" s="7"/>
      <c r="AQ244" s="7"/>
      <c r="AR244" s="7"/>
      <c r="AS244" s="7"/>
      <c r="AT244" s="7"/>
      <c r="AU244" s="7"/>
      <c r="AV244" s="7"/>
      <c r="AW244" s="7"/>
      <c r="AX244" s="7"/>
    </row>
    <row r="245" ht="12.75" hidden="1" customHeight="1">
      <c r="A245" s="3">
        <v>11.0</v>
      </c>
      <c r="B245" s="3" t="s">
        <v>181</v>
      </c>
      <c r="C245" s="3" t="s">
        <v>99</v>
      </c>
      <c r="D245" s="4">
        <f>IFERROR(VLOOKUP(B245,Week10,2,FALSE),0)</f>
        <v>25.53</v>
      </c>
      <c r="E245" s="4">
        <f>IF(ISBLANK(B245),,IFERROR(VLOOKUP(B245,CurrentRank!$B$2:$C$132,2,FALSE),0))</f>
        <v>25.47</v>
      </c>
      <c r="F245" s="4">
        <f>IFERROR(VLOOKUP(B245,Week10,3,FALSE),130)</f>
        <v>124</v>
      </c>
      <c r="G245" s="4">
        <f>IF(ISBLANK(B245),,IFERROR(VLOOKUP(B245,CurrentRank!$B$2:$D$132,3,FALSE),130))</f>
        <v>125</v>
      </c>
      <c r="H245" s="4">
        <f>IFERROR(VLOOKUP(C245,Week10,2,FALSE),0)</f>
        <v>36.22</v>
      </c>
      <c r="I245" s="4">
        <f>IF(ISBLANK(B245),,IFERROR(VLOOKUP(C245,CurrentRank!$B$2:$C$132,2,FALSE),0))</f>
        <v>36.94</v>
      </c>
      <c r="J245" s="4">
        <f>IFERROR(VLOOKUP(C245,Week10,3,FALSE),130)</f>
        <v>62</v>
      </c>
      <c r="K245" s="4">
        <f>IF(ISBLANK(C245),,IFERROR(VLOOKUP(C245,CurrentRank!$B$2:$D$132,3,FALSE),130))</f>
        <v>47</v>
      </c>
      <c r="L245" s="19">
        <f t="shared" si="116"/>
        <v>0.92625</v>
      </c>
      <c r="M245" s="19">
        <f t="shared" si="117"/>
        <v>0.93615</v>
      </c>
      <c r="N245" s="24">
        <f t="shared" si="82"/>
        <v>93</v>
      </c>
      <c r="O245" s="21">
        <f t="shared" si="4"/>
        <v>-5.808125</v>
      </c>
      <c r="P245" s="21">
        <f t="shared" si="102"/>
        <v>-6.198125</v>
      </c>
      <c r="Q245" s="22">
        <f t="shared" si="6"/>
        <v>0.505959375</v>
      </c>
      <c r="R245" s="25" t="str">
        <f t="shared" si="7"/>
        <v>F</v>
      </c>
      <c r="S245" s="19">
        <f t="shared" si="8"/>
        <v>0.52</v>
      </c>
      <c r="T245" s="19" t="str">
        <f t="shared" si="9"/>
        <v>F</v>
      </c>
      <c r="U245" s="3" t="s">
        <v>203</v>
      </c>
      <c r="V245" s="4" t="str">
        <f>IF(ISBLANK(C245),,IFERROR(IF(VLOOKUP(B245,Standings!$A:$F, 6, 0)=VLOOKUP(C245,Standings!$A:$F, 6, 0), VLOOKUP(B245,Standings!$A:$F, 6, 0), "Non-con"), "FCS"))</f>
        <v>SEC</v>
      </c>
      <c r="W245" s="3" t="str">
        <f t="shared" si="10"/>
        <v>Vanderbilt</v>
      </c>
      <c r="X245" s="3" t="str">
        <f t="shared" si="11"/>
        <v>Kentucky</v>
      </c>
      <c r="Y245" s="30">
        <f>IF(D245=0,,IF(ISBLANK(Q245),,VLOOKUP(X245,Week10,2,FALSE)/(VLOOKUP(X245,Week10,2,FALSE)+VLOOKUP(W245,Week10,2,FALSE))+0.05)*100)</f>
        <v>63.65587045</v>
      </c>
      <c r="Z245" s="3" t="s">
        <v>99</v>
      </c>
      <c r="AA245" s="3">
        <v>38.0</v>
      </c>
      <c r="AB245" s="4" t="str">
        <f t="shared" si="20"/>
        <v>Vanderbilt</v>
      </c>
      <c r="AC245" s="3">
        <v>35.0</v>
      </c>
      <c r="AD245" s="3"/>
      <c r="AE245" s="3">
        <f t="shared" si="13"/>
        <v>3</v>
      </c>
      <c r="AF245" s="3"/>
      <c r="AG245" s="3">
        <f t="shared" si="25"/>
        <v>1</v>
      </c>
      <c r="AH245" s="3"/>
      <c r="AI245" s="7"/>
      <c r="AJ245" s="4" t="s">
        <v>190</v>
      </c>
      <c r="AK245" s="3" t="s">
        <v>59</v>
      </c>
      <c r="AL245" s="44" t="s">
        <v>258</v>
      </c>
      <c r="AM245" s="7"/>
      <c r="AN245" s="7"/>
      <c r="AO245" s="7"/>
      <c r="AP245" s="7"/>
      <c r="AQ245" s="7"/>
      <c r="AR245" s="7"/>
      <c r="AS245" s="7"/>
      <c r="AT245" s="7"/>
      <c r="AU245" s="7"/>
      <c r="AV245" s="7"/>
      <c r="AW245" s="7"/>
      <c r="AX245" s="7"/>
    </row>
    <row r="246" ht="12.75" hidden="1" customHeight="1">
      <c r="A246" s="3">
        <v>4.0</v>
      </c>
      <c r="B246" s="3" t="s">
        <v>139</v>
      </c>
      <c r="C246" s="3" t="s">
        <v>101</v>
      </c>
      <c r="D246" s="4">
        <f>IFERROR(VLOOKUP(B246,Week3,2,FALSE),0)</f>
        <v>34.67</v>
      </c>
      <c r="E246" s="4">
        <f>IF(ISBLANK(B246),,IFERROR(VLOOKUP(B246,CurrentRank!$B$2:$C$132,2,FALSE),0))</f>
        <v>28.86</v>
      </c>
      <c r="F246" s="4">
        <f>IFERROR(VLOOKUP(B246,Week3,3,FALSE),130)</f>
        <v>43</v>
      </c>
      <c r="G246" s="4">
        <f>IF(ISBLANK(B246),,IFERROR(VLOOKUP(B246,CurrentRank!$B$2:$D$132,3,FALSE),130))</f>
        <v>119</v>
      </c>
      <c r="H246" s="4">
        <f>IFERROR(VLOOKUP(C246,Week3,2,FALSE),0)</f>
        <v>49.13</v>
      </c>
      <c r="I246" s="4">
        <f>IF(ISBLANK(B246),,IFERROR(VLOOKUP(C246,CurrentRank!$B$2:$C$132,2,FALSE),0))</f>
        <v>36.62</v>
      </c>
      <c r="J246" s="4">
        <f>IFERROR(VLOOKUP(C246,Week3,3,FALSE),130)</f>
        <v>25</v>
      </c>
      <c r="K246" s="4">
        <f>IF(ISBLANK(C246),,IFERROR(VLOOKUP(C246,CurrentRank!$B$2:$D$132,3,FALSE),130))</f>
        <v>50</v>
      </c>
      <c r="L246" s="19">
        <f t="shared" si="116"/>
        <v>1.257</v>
      </c>
      <c r="M246" s="19">
        <f t="shared" si="117"/>
        <v>0.9822</v>
      </c>
      <c r="N246" s="24">
        <f t="shared" si="82"/>
        <v>34</v>
      </c>
      <c r="O246" s="21">
        <f t="shared" si="4"/>
        <v>-7.8585</v>
      </c>
      <c r="P246" s="21">
        <f t="shared" si="102"/>
        <v>-4.5085</v>
      </c>
      <c r="Q246" s="22">
        <f t="shared" si="6"/>
        <v>0.7907075</v>
      </c>
      <c r="R246" s="25" t="str">
        <f t="shared" si="7"/>
        <v>C+</v>
      </c>
      <c r="S246" s="19">
        <f t="shared" si="8"/>
        <v>0.815</v>
      </c>
      <c r="T246" s="19" t="str">
        <f t="shared" si="9"/>
        <v>B-</v>
      </c>
      <c r="U246" s="3" t="s">
        <v>203</v>
      </c>
      <c r="V246" s="4" t="str">
        <f>IF(ISBLANK(C246),,IFERROR(IF(VLOOKUP(B246,Standings!$A:$F, 6, 0)=VLOOKUP(C246,Standings!$A:$F, 6, 0), VLOOKUP(B246,Standings!$A:$F, 6, 0), "Non-con"), "FCS"))</f>
        <v>Non-con</v>
      </c>
      <c r="W246" s="3" t="str">
        <f t="shared" si="10"/>
        <v>Texas State</v>
      </c>
      <c r="X246" s="3" t="str">
        <f t="shared" si="11"/>
        <v>Boston College</v>
      </c>
      <c r="Y246" s="30">
        <f>IF(D246=0,,IF(ISBLANK(Q246),,VLOOKUP(X246,Week3,2,FALSE)/(VLOOKUP(X246,Week3,2,FALSE)+VLOOKUP(W246,Week3,2,FALSE))+0.05)*100)</f>
        <v>63.62768496</v>
      </c>
      <c r="Z246" s="3" t="s">
        <v>101</v>
      </c>
      <c r="AA246" s="3">
        <v>24.0</v>
      </c>
      <c r="AB246" s="4" t="str">
        <f t="shared" si="20"/>
        <v>Texas State</v>
      </c>
      <c r="AC246" s="3">
        <v>21.0</v>
      </c>
      <c r="AD246" s="3"/>
      <c r="AE246" s="3">
        <f t="shared" si="13"/>
        <v>3</v>
      </c>
      <c r="AF246" s="3"/>
      <c r="AG246" s="3">
        <f t="shared" si="25"/>
        <v>1</v>
      </c>
      <c r="AH246" s="3"/>
      <c r="AI246" s="7"/>
      <c r="AJ246" s="4" t="s">
        <v>144</v>
      </c>
      <c r="AK246" s="7"/>
      <c r="AL246" s="7"/>
      <c r="AM246" s="7"/>
      <c r="AN246" s="7"/>
      <c r="AO246" s="7"/>
      <c r="AP246" s="7"/>
      <c r="AQ246" s="7"/>
      <c r="AR246" s="7"/>
      <c r="AS246" s="7"/>
      <c r="AT246" s="7"/>
      <c r="AU246" s="7"/>
      <c r="AV246" s="7"/>
      <c r="AW246" s="7"/>
      <c r="AX246" s="7"/>
    </row>
    <row r="247" ht="12.75" hidden="1" customHeight="1">
      <c r="A247" s="3">
        <v>13.0</v>
      </c>
      <c r="B247" s="3" t="s">
        <v>112</v>
      </c>
      <c r="C247" s="3" t="s">
        <v>147</v>
      </c>
      <c r="D247" s="4">
        <f>IFERROR(VLOOKUP(B247,Week12,2,FALSE),0)</f>
        <v>39.34</v>
      </c>
      <c r="E247" s="4">
        <f>IF(ISBLANK(B247),,IFERROR(VLOOKUP(B247,CurrentRank!$B$2:$C$132,2,FALSE),0))</f>
        <v>36.98</v>
      </c>
      <c r="F247" s="4">
        <f>IFERROR(VLOOKUP(B247,Week12,3,FALSE),130)</f>
        <v>41</v>
      </c>
      <c r="G247" s="4">
        <f>IF(ISBLANK(B247),,IFERROR(VLOOKUP(B247,CurrentRank!$B$2:$D$132,3,FALSE),130))</f>
        <v>46</v>
      </c>
      <c r="H247" s="4">
        <f>IFERROR(VLOOKUP(C247,Week12,2,FALSE),0)</f>
        <v>27.84</v>
      </c>
      <c r="I247" s="4">
        <f>IF(ISBLANK(B247),,IFERROR(VLOOKUP(C247,CurrentRank!$B$2:$C$132,2,FALSE),0))</f>
        <v>32.08</v>
      </c>
      <c r="J247" s="4">
        <f>IFERROR(VLOOKUP(C247,Week12,3,FALSE),130)</f>
        <v>118</v>
      </c>
      <c r="K247" s="4">
        <f>IF(ISBLANK(C247),,IFERROR(VLOOKUP(C247,CurrentRank!$B$2:$D$132,3,FALSE),130))</f>
        <v>93</v>
      </c>
      <c r="L247" s="19">
        <f t="shared" ref="L247:M247" si="118">IF(ISBLANK(C247),,(D247+H247)*0.015)</f>
        <v>1.0077</v>
      </c>
      <c r="M247" s="19">
        <f t="shared" si="118"/>
        <v>1.0359</v>
      </c>
      <c r="N247" s="24">
        <f t="shared" si="82"/>
        <v>79.5</v>
      </c>
      <c r="O247" s="24">
        <f t="shared" si="4"/>
        <v>5.24615</v>
      </c>
      <c r="P247" s="24">
        <f t="shared" si="102"/>
        <v>1.94615</v>
      </c>
      <c r="Q247" s="22">
        <f t="shared" si="6"/>
        <v>0.57626925</v>
      </c>
      <c r="R247" s="25" t="str">
        <f t="shared" si="7"/>
        <v>F</v>
      </c>
      <c r="S247" s="19" t="str">
        <f t="shared" si="8"/>
        <v/>
      </c>
      <c r="T247" s="19" t="str">
        <f t="shared" si="9"/>
        <v/>
      </c>
      <c r="U247" s="3" t="s">
        <v>203</v>
      </c>
      <c r="V247" s="4" t="str">
        <f>IF(ISBLANK(C247),,IFERROR(IF(VLOOKUP(B247,Standings!$A:$F, 6, 0)=VLOOKUP(C247,Standings!$A:$F, 6, 0), VLOOKUP(B247,Standings!$A:$F, 6, 0), "Non-con"), "FCS"))</f>
        <v>ACC</v>
      </c>
      <c r="W247" s="3" t="str">
        <f t="shared" si="10"/>
        <v>Florida State</v>
      </c>
      <c r="X247" s="3" t="str">
        <f t="shared" si="11"/>
        <v>Virginia</v>
      </c>
      <c r="Y247" s="30">
        <f>IF(D247=0,,IF(ISBLANK(Q247),,VLOOKUP(X247,Week12,2,FALSE)/(VLOOKUP(X247,Week12,2,FALSE)+VLOOKUP(W247,Week12,2,FALSE))+0.05)*100)</f>
        <v>63.55909497</v>
      </c>
      <c r="Z247" s="3"/>
      <c r="AA247" s="3"/>
      <c r="AB247" s="4" t="str">
        <f t="shared" si="20"/>
        <v/>
      </c>
      <c r="AC247" s="3"/>
      <c r="AD247" s="3"/>
      <c r="AE247" s="3" t="str">
        <f t="shared" si="13"/>
        <v/>
      </c>
      <c r="AF247" s="3" t="s">
        <v>228</v>
      </c>
      <c r="AG247" s="3" t="str">
        <f t="shared" si="25"/>
        <v/>
      </c>
      <c r="AH247" s="3"/>
      <c r="AI247" s="7"/>
      <c r="AJ247" s="4"/>
      <c r="AK247" s="7"/>
      <c r="AL247" s="7"/>
      <c r="AM247" s="7"/>
      <c r="AN247" s="7"/>
      <c r="AO247" s="7"/>
      <c r="AP247" s="7"/>
      <c r="AQ247" s="7"/>
      <c r="AR247" s="7"/>
      <c r="AS247" s="7"/>
      <c r="AT247" s="7"/>
      <c r="AU247" s="7"/>
      <c r="AV247" s="7"/>
      <c r="AW247" s="7"/>
      <c r="AX247" s="7"/>
    </row>
    <row r="248" ht="12.75" customHeight="1">
      <c r="A248" s="3">
        <v>15.0</v>
      </c>
      <c r="B248" s="3" t="s">
        <v>53</v>
      </c>
      <c r="C248" s="3" t="s">
        <v>48</v>
      </c>
      <c r="D248" s="4">
        <f>IFERROR(VLOOKUP(B248,Week14,2,FALSE),0)</f>
        <v>34.02</v>
      </c>
      <c r="E248" s="4">
        <f>IF(ISBLANK(B248),,IFERROR(VLOOKUP(B248,CurrentRank!$B$2:$C$132,2,FALSE),0))</f>
        <v>37.27</v>
      </c>
      <c r="F248" s="4">
        <f>IFERROR(VLOOKUP(B248,Week14,3,FALSE),130)</f>
        <v>82</v>
      </c>
      <c r="G248" s="4">
        <f>IF(ISBLANK(B248),,IFERROR(VLOOKUP(B248,CurrentRank!$B$2:$D$132,3,FALSE),130))</f>
        <v>45</v>
      </c>
      <c r="H248" s="4">
        <f>IFERROR(VLOOKUP(C248,Week14,2,FALSE),0)</f>
        <v>83.15</v>
      </c>
      <c r="I248" s="4">
        <f>IF(ISBLANK(B248),,IFERROR(VLOOKUP(C248,CurrentRank!$B$2:$C$132,2,FALSE),0))</f>
        <v>68.03</v>
      </c>
      <c r="J248" s="4">
        <f>IFERROR(VLOOKUP(C248,Week14,3,FALSE),130)</f>
        <v>5</v>
      </c>
      <c r="K248" s="4">
        <f>IF(ISBLANK(C248),,IFERROR(VLOOKUP(C248,CurrentRank!$B$2:$D$132,3,FALSE),130))</f>
        <v>16</v>
      </c>
      <c r="L248" s="19">
        <f t="shared" ref="L248:L255" si="119">IF(U248= "Yes", 0, IF(ISBLANK(C248),,(D248+H248)*0.015))</f>
        <v>1.75755</v>
      </c>
      <c r="M248" s="19">
        <f t="shared" ref="M248:M255" si="120">IF(U248= "Yes", 0, IF(ISBLANK(D248),,(E248+I248)*0.015))</f>
        <v>1.5795</v>
      </c>
      <c r="N248" s="24">
        <f t="shared" si="82"/>
        <v>43.5</v>
      </c>
      <c r="O248" s="21">
        <f t="shared" si="4"/>
        <v>-25.443775</v>
      </c>
      <c r="P248" s="21">
        <f t="shared" si="102"/>
        <v>-16.258775</v>
      </c>
      <c r="Q248" s="22">
        <f t="shared" si="6"/>
        <v>0.655281125</v>
      </c>
      <c r="R248" s="25" t="str">
        <f t="shared" si="7"/>
        <v>D</v>
      </c>
      <c r="S248" s="19">
        <f t="shared" si="8"/>
        <v>0.7675</v>
      </c>
      <c r="T248" s="19" t="str">
        <f t="shared" si="9"/>
        <v>C+</v>
      </c>
      <c r="U248" s="3" t="s">
        <v>203</v>
      </c>
      <c r="V248" s="4" t="str">
        <f>IF(ISBLANK(C248),,IFERROR(IF(VLOOKUP(B248,Standings!$A:$F, 6, 0)=VLOOKUP(C248,Standings!$A:$F, 6, 0), VLOOKUP(B248,Standings!$A:$F, 6, 0), "Non-con"), "FCS"))</f>
        <v>SEC</v>
      </c>
      <c r="W248" s="3" t="str">
        <f t="shared" si="10"/>
        <v>LSU</v>
      </c>
      <c r="X248" s="3" t="str">
        <f t="shared" si="11"/>
        <v>Florida</v>
      </c>
      <c r="Y248" s="30">
        <f>IF(D248=0,,IF(ISBLANK(Q248),,VLOOKUP(X248,Week14,2,FALSE)/(VLOOKUP(X248,Week14,2,FALSE)+VLOOKUP(W248,Week14,2,FALSE))+0.05)*100)</f>
        <v>75.96526415</v>
      </c>
      <c r="Z248" s="3" t="s">
        <v>53</v>
      </c>
      <c r="AA248" s="3">
        <v>37.0</v>
      </c>
      <c r="AB248" s="4" t="str">
        <f t="shared" si="20"/>
        <v>Florida</v>
      </c>
      <c r="AC248" s="3">
        <v>34.0</v>
      </c>
      <c r="AD248" s="3"/>
      <c r="AE248" s="3">
        <f t="shared" si="13"/>
        <v>3</v>
      </c>
      <c r="AF248" s="3"/>
      <c r="AG248" s="3">
        <f t="shared" si="25"/>
        <v>0</v>
      </c>
      <c r="AH248" s="3"/>
      <c r="AI248" s="7"/>
      <c r="AJ248" s="4"/>
      <c r="AK248" s="7"/>
      <c r="AL248" s="7"/>
      <c r="AM248" s="7"/>
      <c r="AN248" s="7"/>
      <c r="AO248" s="7"/>
      <c r="AP248" s="7"/>
      <c r="AQ248" s="7"/>
      <c r="AR248" s="7"/>
      <c r="AS248" s="7"/>
      <c r="AT248" s="7"/>
      <c r="AU248" s="7"/>
      <c r="AV248" s="7"/>
      <c r="AW248" s="7"/>
      <c r="AX248" s="7"/>
    </row>
    <row r="249" ht="12.75" customHeight="1">
      <c r="A249" s="3">
        <v>8.0</v>
      </c>
      <c r="B249" s="3" t="s">
        <v>57</v>
      </c>
      <c r="C249" s="3" t="s">
        <v>174</v>
      </c>
      <c r="D249" s="4">
        <f>IFERROR(VLOOKUP(B249,Week7,2,FALSE),0)</f>
        <v>62.03</v>
      </c>
      <c r="E249" s="4">
        <f>IF(ISBLANK(B249),,IFERROR(VLOOKUP(B249,CurrentRank!$B$2:$C$132,2,FALSE),0))</f>
        <v>40.05</v>
      </c>
      <c r="F249" s="4">
        <f>IFERROR(VLOOKUP(B249,Week7,3,FALSE),130)</f>
        <v>19</v>
      </c>
      <c r="G249" s="4">
        <f>IF(ISBLANK(B249),,IFERROR(VLOOKUP(B249,CurrentRank!$B$2:$D$132,3,FALSE),130))</f>
        <v>34</v>
      </c>
      <c r="H249" s="4">
        <f>IFERROR(VLOOKUP(C249,Week7,2,FALSE),0)</f>
        <v>30.76</v>
      </c>
      <c r="I249" s="4">
        <f>IF(ISBLANK(B249),,IFERROR(VLOOKUP(C249,CurrentRank!$B$2:$C$132,2,FALSE),0))</f>
        <v>69.98</v>
      </c>
      <c r="J249" s="4">
        <f>IFERROR(VLOOKUP(C249,Week7,3,FALSE),130)</f>
        <v>72</v>
      </c>
      <c r="K249" s="4">
        <f>IF(ISBLANK(C249),,IFERROR(VLOOKUP(C249,CurrentRank!$B$2:$D$132,3,FALSE),130))</f>
        <v>13</v>
      </c>
      <c r="L249" s="19">
        <f t="shared" si="119"/>
        <v>1.39185</v>
      </c>
      <c r="M249" s="19">
        <f t="shared" si="120"/>
        <v>1.65045</v>
      </c>
      <c r="N249" s="24">
        <f t="shared" si="82"/>
        <v>45.5</v>
      </c>
      <c r="O249" s="21">
        <f t="shared" si="4"/>
        <v>14.939075</v>
      </c>
      <c r="P249" s="21">
        <f t="shared" si="102"/>
        <v>-15.660925</v>
      </c>
      <c r="Q249" s="22">
        <f t="shared" si="6"/>
        <v>0.697804625</v>
      </c>
      <c r="R249" s="25" t="str">
        <f t="shared" si="7"/>
        <v>C-</v>
      </c>
      <c r="S249" s="19">
        <f t="shared" si="8"/>
        <v>0.7675</v>
      </c>
      <c r="T249" s="19" t="str">
        <f t="shared" si="9"/>
        <v>C+</v>
      </c>
      <c r="U249" s="3" t="s">
        <v>203</v>
      </c>
      <c r="V249" s="4" t="str">
        <f>IF(ISBLANK(C249),,IFERROR(IF(VLOOKUP(B249,Standings!$A:$F, 6, 0)=VLOOKUP(C249,Standings!$A:$F, 6, 0), VLOOKUP(B249,Standings!$A:$F, 6, 0), "Non-con"), "FCS"))</f>
        <v>B1G</v>
      </c>
      <c r="W249" s="3" t="str">
        <f t="shared" si="10"/>
        <v>Indiana</v>
      </c>
      <c r="X249" s="3" t="str">
        <f t="shared" si="11"/>
        <v>Penn State</v>
      </c>
      <c r="Y249" s="30">
        <f>IF(D249=0,,IF(ISBLANK(Q249),,VLOOKUP(X249,Week7,2,FALSE)/(VLOOKUP(X249,Week7,2,FALSE)+VLOOKUP(W249,Week7,2,FALSE))+0.05)*100)</f>
        <v>71.84987606</v>
      </c>
      <c r="Z249" s="3" t="s">
        <v>174</v>
      </c>
      <c r="AA249" s="3">
        <v>36.0</v>
      </c>
      <c r="AB249" s="4" t="str">
        <f t="shared" si="20"/>
        <v>Penn State</v>
      </c>
      <c r="AC249" s="3">
        <v>35.0</v>
      </c>
      <c r="AD249" s="3"/>
      <c r="AE249" s="3">
        <f t="shared" si="13"/>
        <v>1</v>
      </c>
      <c r="AF249" s="3"/>
      <c r="AG249" s="3">
        <f t="shared" si="25"/>
        <v>0</v>
      </c>
      <c r="AH249" s="3"/>
      <c r="AI249" s="7"/>
      <c r="AJ249" s="4"/>
      <c r="AK249" s="7"/>
      <c r="AL249" s="7"/>
      <c r="AM249" s="7"/>
      <c r="AN249" s="7"/>
      <c r="AO249" s="7"/>
      <c r="AP249" s="7"/>
      <c r="AQ249" s="7"/>
      <c r="AR249" s="7"/>
      <c r="AS249" s="7"/>
      <c r="AT249" s="7"/>
      <c r="AU249" s="7"/>
      <c r="AV249" s="7"/>
      <c r="AW249" s="7"/>
      <c r="AX249" s="7"/>
    </row>
    <row r="250" ht="12.75" hidden="1" customHeight="1">
      <c r="A250" s="3">
        <v>6.0</v>
      </c>
      <c r="B250" s="3" t="s">
        <v>95</v>
      </c>
      <c r="C250" s="3" t="s">
        <v>193</v>
      </c>
      <c r="D250" s="4">
        <f>IFERROR(VLOOKUP(B250,Week5,2,FALSE),0)</f>
        <v>42.04</v>
      </c>
      <c r="E250" s="4">
        <f>IF(ISBLANK(B250),,IFERROR(VLOOKUP(B250,CurrentRank!$B$2:$C$132,2,FALSE),0))</f>
        <v>33.45</v>
      </c>
      <c r="F250" s="4">
        <f>IFERROR(VLOOKUP(B250,Week5,3,FALSE),130)</f>
        <v>29</v>
      </c>
      <c r="G250" s="4">
        <f>IF(ISBLANK(B250),,IFERROR(VLOOKUP(B250,CurrentRank!$B$2:$D$132,3,FALSE),130))</f>
        <v>81</v>
      </c>
      <c r="H250" s="4">
        <f>IFERROR(VLOOKUP(C250,Week5,2,FALSE),0)</f>
        <v>29.8</v>
      </c>
      <c r="I250" s="4">
        <f>IF(ISBLANK(B250),,IFERROR(VLOOKUP(C250,CurrentRank!$B$2:$C$132,2,FALSE),0))</f>
        <v>29.31</v>
      </c>
      <c r="J250" s="4">
        <f>IFERROR(VLOOKUP(C250,Week5,3,FALSE),130)</f>
        <v>114</v>
      </c>
      <c r="K250" s="4">
        <f>IF(ISBLANK(C250),,IFERROR(VLOOKUP(C250,CurrentRank!$B$2:$D$132,3,FALSE),130))</f>
        <v>115</v>
      </c>
      <c r="L250" s="19">
        <f t="shared" si="119"/>
        <v>1.0776</v>
      </c>
      <c r="M250" s="19">
        <f t="shared" si="120"/>
        <v>0.9414</v>
      </c>
      <c r="N250" s="24">
        <f t="shared" si="82"/>
        <v>71.5</v>
      </c>
      <c r="O250" s="21">
        <f t="shared" si="4"/>
        <v>5.5812</v>
      </c>
      <c r="P250" s="21">
        <f t="shared" si="102"/>
        <v>1.5312</v>
      </c>
      <c r="Q250" s="22">
        <f t="shared" si="6"/>
        <v>0.614594</v>
      </c>
      <c r="R250" s="25" t="str">
        <f t="shared" si="7"/>
        <v>D-</v>
      </c>
      <c r="S250" s="19">
        <f t="shared" si="8"/>
        <v>0.5225</v>
      </c>
      <c r="T250" s="19" t="str">
        <f t="shared" si="9"/>
        <v>F</v>
      </c>
      <c r="U250" s="3" t="s">
        <v>203</v>
      </c>
      <c r="V250" s="4" t="str">
        <f>IF(ISBLANK(C250),,IFERROR(IF(VLOOKUP(B250,Standings!$A:$F, 6, 0)=VLOOKUP(C250,Standings!$A:$F, 6, 0), VLOOKUP(B250,Standings!$A:$F, 6, 0), "Non-con"), "FCS"))</f>
        <v>CUSA</v>
      </c>
      <c r="W250" s="3" t="str">
        <f t="shared" si="10"/>
        <v>Western Kentucky</v>
      </c>
      <c r="X250" s="3" t="str">
        <f t="shared" si="11"/>
        <v>Marshall</v>
      </c>
      <c r="Y250" s="30">
        <f>IF(D250=0,,IF(ISBLANK(Q250),,VLOOKUP(X250,Week5,2,FALSE)/(VLOOKUP(X250,Week5,2,FALSE)+VLOOKUP(W250,Week5,2,FALSE))+0.05)*100)</f>
        <v>63.51893096</v>
      </c>
      <c r="Z250" s="3" t="s">
        <v>95</v>
      </c>
      <c r="AA250" s="3">
        <v>38.0</v>
      </c>
      <c r="AB250" s="4" t="str">
        <f t="shared" si="20"/>
        <v>Western Kentucky</v>
      </c>
      <c r="AC250" s="3">
        <v>14.0</v>
      </c>
      <c r="AD250" s="3"/>
      <c r="AE250" s="3">
        <f t="shared" si="13"/>
        <v>24</v>
      </c>
      <c r="AF250" s="3"/>
      <c r="AG250" s="3">
        <f t="shared" si="25"/>
        <v>1</v>
      </c>
      <c r="AH250" s="3"/>
      <c r="AI250" s="7"/>
      <c r="AJ250" s="4" t="s">
        <v>47</v>
      </c>
      <c r="AK250" s="7"/>
      <c r="AL250" s="7"/>
      <c r="AM250" s="7"/>
      <c r="AN250" s="7"/>
      <c r="AO250" s="7"/>
      <c r="AP250" s="7"/>
      <c r="AQ250" s="7"/>
      <c r="AR250" s="7"/>
      <c r="AS250" s="7"/>
      <c r="AT250" s="7"/>
      <c r="AU250" s="7"/>
      <c r="AV250" s="7"/>
      <c r="AW250" s="7"/>
      <c r="AX250" s="7"/>
    </row>
    <row r="251" ht="12.75" customHeight="1">
      <c r="A251" s="3">
        <v>15.0</v>
      </c>
      <c r="B251" s="3" t="s">
        <v>96</v>
      </c>
      <c r="C251" s="3" t="s">
        <v>180</v>
      </c>
      <c r="D251" s="4">
        <f>IFERROR(VLOOKUP(B251,Week14,2,FALSE),0)</f>
        <v>38.82</v>
      </c>
      <c r="E251" s="4">
        <f>IF(ISBLANK(B251),,IFERROR(VLOOKUP(B251,CurrentRank!$B$2:$C$132,2,FALSE),0))</f>
        <v>43.66</v>
      </c>
      <c r="F251" s="4">
        <f>IFERROR(VLOOKUP(B251,Week14,3,FALSE),130)</f>
        <v>41</v>
      </c>
      <c r="G251" s="4">
        <f>IF(ISBLANK(B251),,IFERROR(VLOOKUP(B251,CurrentRank!$B$2:$D$132,3,FALSE),130))</f>
        <v>27</v>
      </c>
      <c r="H251" s="4">
        <f>IFERROR(VLOOKUP(C251,Week14,2,FALSE),0)</f>
        <v>65.42</v>
      </c>
      <c r="I251" s="4">
        <f>IF(ISBLANK(B251),,IFERROR(VLOOKUP(C251,CurrentRank!$B$2:$C$132,2,FALSE),0))</f>
        <v>35.77</v>
      </c>
      <c r="J251" s="4">
        <f>IFERROR(VLOOKUP(C251,Week14,3,FALSE),130)</f>
        <v>18</v>
      </c>
      <c r="K251" s="4">
        <f>IF(ISBLANK(C251),,IFERROR(VLOOKUP(C251,CurrentRank!$B$2:$D$132,3,FALSE),130))</f>
        <v>55</v>
      </c>
      <c r="L251" s="19">
        <f t="shared" si="119"/>
        <v>1.5636</v>
      </c>
      <c r="M251" s="19">
        <f t="shared" si="120"/>
        <v>1.19145</v>
      </c>
      <c r="N251" s="24">
        <f t="shared" si="82"/>
        <v>29.5</v>
      </c>
      <c r="O251" s="21">
        <f t="shared" si="4"/>
        <v>-14.0818</v>
      </c>
      <c r="P251" s="21">
        <f t="shared" si="102"/>
        <v>3.1632</v>
      </c>
      <c r="Q251" s="22">
        <f t="shared" si="6"/>
        <v>0.782091</v>
      </c>
      <c r="R251" s="25" t="str">
        <f t="shared" si="7"/>
        <v>C+</v>
      </c>
      <c r="S251" s="19">
        <f t="shared" si="8"/>
        <v>0.7675</v>
      </c>
      <c r="T251" s="19" t="str">
        <f t="shared" si="9"/>
        <v>C+</v>
      </c>
      <c r="U251" s="3" t="s">
        <v>203</v>
      </c>
      <c r="V251" s="4" t="str">
        <f>IF(ISBLANK(C251),,IFERROR(IF(VLOOKUP(B251,Standings!$A:$F, 6, 0)=VLOOKUP(C251,Standings!$A:$F, 6, 0), VLOOKUP(B251,Standings!$A:$F, 6, 0), "Non-con"), "FCS"))</f>
        <v>PAC12</v>
      </c>
      <c r="W251" s="3" t="str">
        <f t="shared" si="10"/>
        <v>Utah</v>
      </c>
      <c r="X251" s="3" t="str">
        <f t="shared" si="11"/>
        <v>Colorado</v>
      </c>
      <c r="Y251" s="30">
        <f>IF(D251=0,,IF(ISBLANK(Q251),,VLOOKUP(X251,Week14,2,FALSE)/(VLOOKUP(X251,Week14,2,FALSE)+VLOOKUP(W251,Week14,2,FALSE))+0.05)*100)</f>
        <v>67.75901765</v>
      </c>
      <c r="Z251" s="3" t="s">
        <v>96</v>
      </c>
      <c r="AA251" s="3">
        <v>38.0</v>
      </c>
      <c r="AB251" s="4" t="str">
        <f t="shared" si="20"/>
        <v>Colorado</v>
      </c>
      <c r="AC251" s="3">
        <v>21.0</v>
      </c>
      <c r="AD251" s="3"/>
      <c r="AE251" s="3">
        <f t="shared" si="13"/>
        <v>17</v>
      </c>
      <c r="AF251" s="3"/>
      <c r="AG251" s="3">
        <f t="shared" si="25"/>
        <v>0</v>
      </c>
      <c r="AH251" s="3"/>
      <c r="AI251" s="7"/>
      <c r="AJ251" s="4"/>
      <c r="AK251" s="7"/>
      <c r="AL251" s="7"/>
      <c r="AM251" s="7"/>
      <c r="AN251" s="7"/>
      <c r="AO251" s="7"/>
      <c r="AP251" s="7"/>
      <c r="AQ251" s="7"/>
      <c r="AR251" s="7"/>
      <c r="AS251" s="7"/>
      <c r="AT251" s="7"/>
      <c r="AU251" s="7"/>
      <c r="AV251" s="7"/>
      <c r="AW251" s="7"/>
      <c r="AX251" s="7"/>
    </row>
    <row r="252" ht="12.75" hidden="1" customHeight="1">
      <c r="A252" s="3">
        <v>9.0</v>
      </c>
      <c r="B252" s="3" t="s">
        <v>174</v>
      </c>
      <c r="C252" s="3" t="s">
        <v>166</v>
      </c>
      <c r="D252" s="4">
        <f>IFERROR(VLOOKUP(B252,Week8,2,FALSE),0)</f>
        <v>60.23</v>
      </c>
      <c r="E252" s="4">
        <f>IF(ISBLANK(B252),,IFERROR(VLOOKUP(B252,CurrentRank!$B$2:$C$132,2,FALSE),0))</f>
        <v>69.98</v>
      </c>
      <c r="F252" s="4">
        <f>IFERROR(VLOOKUP(B252,Week8,3,FALSE),130)</f>
        <v>18</v>
      </c>
      <c r="G252" s="4">
        <f>IF(ISBLANK(B252),,IFERROR(VLOOKUP(B252,CurrentRank!$B$2:$D$132,3,FALSE),130))</f>
        <v>13</v>
      </c>
      <c r="H252" s="4">
        <f>IFERROR(VLOOKUP(C252,Week8,2,FALSE),0)</f>
        <v>42.88</v>
      </c>
      <c r="I252" s="4">
        <f>IF(ISBLANK(B252),,IFERROR(VLOOKUP(C252,CurrentRank!$B$2:$C$132,2,FALSE),0))</f>
        <v>31.48</v>
      </c>
      <c r="J252" s="4">
        <f>IFERROR(VLOOKUP(C252,Week8,3,FALSE),130)</f>
        <v>31</v>
      </c>
      <c r="K252" s="4">
        <f>IF(ISBLANK(C252),,IFERROR(VLOOKUP(C252,CurrentRank!$B$2:$D$132,3,FALSE),130))</f>
        <v>99</v>
      </c>
      <c r="L252" s="19">
        <f t="shared" si="119"/>
        <v>1.54665</v>
      </c>
      <c r="M252" s="19">
        <f t="shared" si="120"/>
        <v>1.5219</v>
      </c>
      <c r="N252" s="24">
        <f t="shared" si="82"/>
        <v>24.5</v>
      </c>
      <c r="O252" s="21">
        <f t="shared" si="4"/>
        <v>7.901675</v>
      </c>
      <c r="P252" s="21">
        <f t="shared" si="102"/>
        <v>18.476675</v>
      </c>
      <c r="Q252" s="22">
        <f t="shared" si="6"/>
        <v>0.837991625</v>
      </c>
      <c r="R252" s="25" t="str">
        <f t="shared" si="7"/>
        <v>B</v>
      </c>
      <c r="S252" s="19">
        <f t="shared" si="8"/>
        <v>0.7975</v>
      </c>
      <c r="T252" s="19" t="str">
        <f t="shared" si="9"/>
        <v>B-</v>
      </c>
      <c r="U252" s="3" t="s">
        <v>203</v>
      </c>
      <c r="V252" s="4" t="str">
        <f>IF(ISBLANK(C252),,IFERROR(IF(VLOOKUP(B252,Standings!$A:$F, 6, 0)=VLOOKUP(C252,Standings!$A:$F, 6, 0), VLOOKUP(B252,Standings!$A:$F, 6, 0), "Non-con"), "FCS"))</f>
        <v>B1G</v>
      </c>
      <c r="W252" s="3" t="str">
        <f t="shared" si="10"/>
        <v>Rutgers</v>
      </c>
      <c r="X252" s="3" t="str">
        <f t="shared" si="11"/>
        <v>Indiana</v>
      </c>
      <c r="Y252" s="30">
        <f>IF(D252=0,,IF(ISBLANK(Q252),,VLOOKUP(X252,Week8,2,FALSE)/(VLOOKUP(X252,Week8,2,FALSE)+VLOOKUP(W252,Week8,2,FALSE))+0.05)*100)</f>
        <v>63.41334497</v>
      </c>
      <c r="Z252" s="3" t="s">
        <v>174</v>
      </c>
      <c r="AA252" s="3">
        <v>37.0</v>
      </c>
      <c r="AB252" s="4" t="str">
        <f t="shared" si="20"/>
        <v>Rutgers</v>
      </c>
      <c r="AC252" s="3">
        <v>21.0</v>
      </c>
      <c r="AD252" s="3"/>
      <c r="AE252" s="3">
        <f t="shared" si="13"/>
        <v>16</v>
      </c>
      <c r="AF252" s="3"/>
      <c r="AG252" s="3">
        <f t="shared" si="25"/>
        <v>1</v>
      </c>
      <c r="AH252" s="3"/>
      <c r="AI252" s="7"/>
      <c r="AJ252" s="4" t="s">
        <v>164</v>
      </c>
      <c r="AK252" s="7"/>
      <c r="AL252" s="7"/>
      <c r="AM252" s="7"/>
      <c r="AN252" s="7"/>
      <c r="AO252" s="7"/>
      <c r="AP252" s="7"/>
      <c r="AQ252" s="7"/>
      <c r="AR252" s="7"/>
      <c r="AS252" s="7"/>
      <c r="AT252" s="7"/>
      <c r="AU252" s="7"/>
      <c r="AV252" s="7"/>
      <c r="AW252" s="7"/>
      <c r="AX252" s="7"/>
    </row>
    <row r="253" ht="12.75" customHeight="1">
      <c r="A253" s="3">
        <v>2.0</v>
      </c>
      <c r="B253" s="3" t="s">
        <v>58</v>
      </c>
      <c r="C253" s="3" t="s">
        <v>92</v>
      </c>
      <c r="D253" s="4">
        <f>IFERROR(VLOOKUP(B253,Week1,2,FALSE),0)</f>
        <v>6.67</v>
      </c>
      <c r="E253" s="4">
        <f>IF(ISBLANK(B253),,IFERROR(VLOOKUP(B253,CurrentRank!$B$2:$C$132,2,FALSE),0))</f>
        <v>72.87</v>
      </c>
      <c r="F253" s="4">
        <f>IFERROR(VLOOKUP(B253,Week1,3,FALSE),130)</f>
        <v>35</v>
      </c>
      <c r="G253" s="4">
        <f>IF(ISBLANK(B253),,IFERROR(VLOOKUP(B253,CurrentRank!$B$2:$D$132,3,FALSE),130))</f>
        <v>10</v>
      </c>
      <c r="H253" s="4">
        <f>IFERROR(VLOOKUP(C253,Week1,2,FALSE),0)</f>
        <v>23.3</v>
      </c>
      <c r="I253" s="4">
        <f>IF(ISBLANK(B253),,IFERROR(VLOOKUP(C253,CurrentRank!$B$2:$C$132,2,FALSE),0))</f>
        <v>73.64</v>
      </c>
      <c r="J253" s="4">
        <f>IFERROR(VLOOKUP(C253,Week1,3,FALSE),130)</f>
        <v>24</v>
      </c>
      <c r="K253" s="4">
        <f>IF(ISBLANK(C253),,IFERROR(VLOOKUP(C253,CurrentRank!$B$2:$D$132,3,FALSE),130))</f>
        <v>8</v>
      </c>
      <c r="L253" s="19">
        <f t="shared" si="119"/>
        <v>0.44955</v>
      </c>
      <c r="M253" s="19">
        <f t="shared" si="120"/>
        <v>2.19765</v>
      </c>
      <c r="N253" s="24">
        <f t="shared" si="82"/>
        <v>29.5</v>
      </c>
      <c r="O253" s="21">
        <f t="shared" si="4"/>
        <v>-8.539775</v>
      </c>
      <c r="P253" s="21">
        <f t="shared" si="102"/>
        <v>-0.609775</v>
      </c>
      <c r="Q253" s="22">
        <f t="shared" si="6"/>
        <v>0.809801125</v>
      </c>
      <c r="R253" s="25" t="str">
        <f t="shared" si="7"/>
        <v>B-</v>
      </c>
      <c r="S253" s="19">
        <f t="shared" si="8"/>
        <v>0.7675</v>
      </c>
      <c r="T253" s="19" t="str">
        <f t="shared" si="9"/>
        <v>C+</v>
      </c>
      <c r="U253" s="3" t="s">
        <v>203</v>
      </c>
      <c r="V253" s="4" t="str">
        <f>IF(ISBLANK(C253),,IFERROR(IF(VLOOKUP(B253,Standings!$A:$F, 6, 0)=VLOOKUP(C253,Standings!$A:$F, 6, 0), VLOOKUP(B253,Standings!$A:$F, 6, 0), "Non-con"), "FCS"))</f>
        <v>Non-con</v>
      </c>
      <c r="W253" s="3" t="str">
        <f t="shared" si="10"/>
        <v>UL-Lafayette</v>
      </c>
      <c r="X253" s="3" t="str">
        <f t="shared" si="11"/>
        <v>Iowa State</v>
      </c>
      <c r="Y253" s="30">
        <f>IF(D253=0,,IF(ISBLANK(Q253),,VLOOKUP(X253,Week1,2,FALSE)/(VLOOKUP(X253,Week1,2,FALSE)+VLOOKUP(W253,Week1,2,FALSE))+0.05)*100)</f>
        <v>82.74441108</v>
      </c>
      <c r="Z253" s="3" t="s">
        <v>58</v>
      </c>
      <c r="AA253" s="3">
        <v>31.0</v>
      </c>
      <c r="AB253" s="4" t="str">
        <f t="shared" si="20"/>
        <v>Iowa State</v>
      </c>
      <c r="AC253" s="3">
        <v>14.0</v>
      </c>
      <c r="AD253" s="3"/>
      <c r="AE253" s="3">
        <f t="shared" si="13"/>
        <v>17</v>
      </c>
      <c r="AF253" s="3"/>
      <c r="AG253" s="3">
        <f t="shared" si="25"/>
        <v>0</v>
      </c>
      <c r="AH253" s="3"/>
      <c r="AI253" s="7"/>
      <c r="AJ253" s="4"/>
      <c r="AK253" s="7"/>
      <c r="AL253" s="7"/>
      <c r="AM253" s="7"/>
      <c r="AN253" s="7"/>
      <c r="AO253" s="7"/>
      <c r="AP253" s="7"/>
      <c r="AQ253" s="7"/>
      <c r="AR253" s="7"/>
      <c r="AS253" s="7"/>
      <c r="AT253" s="7"/>
      <c r="AU253" s="7"/>
      <c r="AV253" s="7"/>
      <c r="AW253" s="7"/>
      <c r="AX253" s="7"/>
    </row>
    <row r="254" ht="12.75" hidden="1" customHeight="1">
      <c r="A254" s="3">
        <v>12.0</v>
      </c>
      <c r="B254" s="3" t="s">
        <v>103</v>
      </c>
      <c r="C254" s="3" t="s">
        <v>132</v>
      </c>
      <c r="D254" s="4">
        <f>IFERROR(VLOOKUP(B254,Week11,2,FALSE),0)</f>
        <v>35.06</v>
      </c>
      <c r="E254" s="4">
        <f>IF(ISBLANK(B254),,IFERROR(VLOOKUP(B254,CurrentRank!$B$2:$C$132,2,FALSE),0))</f>
        <v>34.42</v>
      </c>
      <c r="F254" s="4">
        <f>IFERROR(VLOOKUP(B254,Week11,3,FALSE),130)</f>
        <v>66</v>
      </c>
      <c r="G254" s="4">
        <f>IF(ISBLANK(B254),,IFERROR(VLOOKUP(B254,CurrentRank!$B$2:$D$132,3,FALSE),130))</f>
        <v>70</v>
      </c>
      <c r="H254" s="4">
        <f>IFERROR(VLOOKUP(C254,Week11,2,FALSE),0)</f>
        <v>49.08</v>
      </c>
      <c r="I254" s="4">
        <f>IF(ISBLANK(B254),,IFERROR(VLOOKUP(C254,CurrentRank!$B$2:$C$132,2,FALSE),0))</f>
        <v>37.38</v>
      </c>
      <c r="J254" s="4">
        <f>IFERROR(VLOOKUP(C254,Week11,3,FALSE),130)</f>
        <v>25</v>
      </c>
      <c r="K254" s="4">
        <f>IF(ISBLANK(C254),,IFERROR(VLOOKUP(C254,CurrentRank!$B$2:$D$132,3,FALSE),130))</f>
        <v>43</v>
      </c>
      <c r="L254" s="19">
        <f t="shared" si="119"/>
        <v>1.2621</v>
      </c>
      <c r="M254" s="19">
        <f t="shared" si="120"/>
        <v>1.077</v>
      </c>
      <c r="N254" s="24">
        <f t="shared" si="82"/>
        <v>45.5</v>
      </c>
      <c r="O254" s="21">
        <f t="shared" si="4"/>
        <v>-7.64105</v>
      </c>
      <c r="P254" s="21">
        <f t="shared" si="102"/>
        <v>-2.11105</v>
      </c>
      <c r="Q254" s="22">
        <f t="shared" si="6"/>
        <v>0.73429475</v>
      </c>
      <c r="R254" s="25" t="str">
        <f t="shared" si="7"/>
        <v>C</v>
      </c>
      <c r="S254" s="19">
        <f t="shared" si="8"/>
        <v>0.7425</v>
      </c>
      <c r="T254" s="19" t="str">
        <f t="shared" si="9"/>
        <v>C</v>
      </c>
      <c r="U254" s="3" t="s">
        <v>203</v>
      </c>
      <c r="V254" s="4" t="str">
        <f>IF(ISBLANK(C254),,IFERROR(IF(VLOOKUP(B254,Standings!$A:$F, 6, 0)=VLOOKUP(C254,Standings!$A:$F, 6, 0), VLOOKUP(B254,Standings!$A:$F, 6, 0), "Non-con"), "FCS"))</f>
        <v>AAC</v>
      </c>
      <c r="W254" s="3" t="str">
        <f t="shared" si="10"/>
        <v>Tulane</v>
      </c>
      <c r="X254" s="3" t="str">
        <f t="shared" si="11"/>
        <v>Tulsa</v>
      </c>
      <c r="Y254" s="30">
        <f>IF(D254=0,,IF(ISBLANK(Q254),,VLOOKUP(X254,Week11,2,FALSE)/(VLOOKUP(X254,Week11,2,FALSE)+VLOOKUP(W254,Week11,2,FALSE))+0.05)*100)</f>
        <v>63.33135251</v>
      </c>
      <c r="Z254" s="3" t="s">
        <v>132</v>
      </c>
      <c r="AA254" s="3">
        <v>30.0</v>
      </c>
      <c r="AB254" s="4" t="str">
        <f t="shared" si="20"/>
        <v>Tulane</v>
      </c>
      <c r="AC254" s="3">
        <v>24.0</v>
      </c>
      <c r="AD254" s="3"/>
      <c r="AE254" s="3">
        <f t="shared" si="13"/>
        <v>6</v>
      </c>
      <c r="AF254" s="3"/>
      <c r="AG254" s="3">
        <f t="shared" si="25"/>
        <v>1</v>
      </c>
      <c r="AH254" s="3"/>
      <c r="AI254" s="7"/>
      <c r="AJ254" s="4"/>
      <c r="AK254" s="7"/>
      <c r="AL254" s="7"/>
      <c r="AM254" s="7"/>
      <c r="AN254" s="7"/>
      <c r="AO254" s="7"/>
      <c r="AP254" s="7"/>
      <c r="AQ254" s="7"/>
      <c r="AR254" s="7"/>
      <c r="AS254" s="7"/>
      <c r="AT254" s="7"/>
      <c r="AU254" s="7"/>
      <c r="AV254" s="7"/>
      <c r="AW254" s="7"/>
      <c r="AX254" s="7"/>
    </row>
    <row r="255" ht="12.75" hidden="1" customHeight="1">
      <c r="A255" s="3">
        <v>3.0</v>
      </c>
      <c r="B255" s="3" t="s">
        <v>93</v>
      </c>
      <c r="C255" s="3" t="s">
        <v>109</v>
      </c>
      <c r="D255" s="4">
        <f>IFERROR(VLOOKUP(B255,Week2,2,FALSE),0)</f>
        <v>19.41</v>
      </c>
      <c r="E255" s="4">
        <f>IF(ISBLANK(B255),,IFERROR(VLOOKUP(B255,CurrentRank!$B$2:$C$132,2,FALSE),0))</f>
        <v>36.48</v>
      </c>
      <c r="F255" s="4">
        <f>IFERROR(VLOOKUP(B255,Week2,3,FALSE),130)</f>
        <v>128</v>
      </c>
      <c r="G255" s="4">
        <f>IF(ISBLANK(B255),,IFERROR(VLOOKUP(B255,CurrentRank!$B$2:$D$132,3,FALSE),130))</f>
        <v>52</v>
      </c>
      <c r="H255" s="4">
        <f>IFERROR(VLOOKUP(C255,Week2,2,FALSE),0)</f>
        <v>27.07</v>
      </c>
      <c r="I255" s="4">
        <f>IF(ISBLANK(B255),,IFERROR(VLOOKUP(C255,CurrentRank!$B$2:$C$132,2,FALSE),0))</f>
        <v>37.82</v>
      </c>
      <c r="J255" s="4">
        <f>IFERROR(VLOOKUP(C255,Week2,3,FALSE),130)</f>
        <v>41</v>
      </c>
      <c r="K255" s="4">
        <f>IF(ISBLANK(C255),,IFERROR(VLOOKUP(C255,CurrentRank!$B$2:$D$132,3,FALSE),130))</f>
        <v>40</v>
      </c>
      <c r="L255" s="19">
        <f t="shared" si="119"/>
        <v>0.6972</v>
      </c>
      <c r="M255" s="19">
        <f t="shared" si="120"/>
        <v>1.1145</v>
      </c>
      <c r="N255" s="24">
        <f t="shared" si="82"/>
        <v>84.5</v>
      </c>
      <c r="O255" s="21">
        <f t="shared" si="4"/>
        <v>-4.1786</v>
      </c>
      <c r="P255" s="21">
        <f t="shared" si="102"/>
        <v>-1.0186</v>
      </c>
      <c r="Q255" s="22">
        <f t="shared" si="6"/>
        <v>0.556607</v>
      </c>
      <c r="R255" s="25" t="str">
        <f t="shared" si="7"/>
        <v>F</v>
      </c>
      <c r="S255" s="19">
        <f t="shared" si="8"/>
        <v>0.5625</v>
      </c>
      <c r="T255" s="19" t="str">
        <f t="shared" si="9"/>
        <v>F</v>
      </c>
      <c r="U255" s="3" t="s">
        <v>203</v>
      </c>
      <c r="V255" s="4" t="str">
        <f>IF(ISBLANK(C255),,IFERROR(IF(VLOOKUP(B255,Standings!$A:$F, 6, 0)=VLOOKUP(C255,Standings!$A:$F, 6, 0), VLOOKUP(B255,Standings!$A:$F, 6, 0), "Non-con"), "FCS"))</f>
        <v>ACC</v>
      </c>
      <c r="W255" s="3" t="str">
        <f t="shared" si="10"/>
        <v>Wake Forest</v>
      </c>
      <c r="X255" s="3" t="str">
        <f t="shared" si="11"/>
        <v>North Carolina State</v>
      </c>
      <c r="Y255" s="30">
        <f>IF(D255=0,,IF(ISBLANK(Q255),,VLOOKUP(X255,Week2,2,FALSE)/(VLOOKUP(X255,Week2,2,FALSE)+VLOOKUP(W255,Week2,2,FALSE))+0.05)*100)</f>
        <v>63.24010327</v>
      </c>
      <c r="Z255" s="3" t="s">
        <v>109</v>
      </c>
      <c r="AA255" s="3">
        <v>45.0</v>
      </c>
      <c r="AB255" s="4" t="str">
        <f t="shared" si="20"/>
        <v>Wake Forest</v>
      </c>
      <c r="AC255" s="3">
        <v>42.0</v>
      </c>
      <c r="AD255" s="3"/>
      <c r="AE255" s="3">
        <f t="shared" si="13"/>
        <v>3</v>
      </c>
      <c r="AF255" s="3"/>
      <c r="AG255" s="3">
        <f t="shared" si="25"/>
        <v>1</v>
      </c>
      <c r="AH255" s="3"/>
      <c r="AI255" s="7"/>
      <c r="AJ255" s="4" t="s">
        <v>94</v>
      </c>
      <c r="AK255" s="7"/>
      <c r="AL255" s="7"/>
      <c r="AM255" s="7"/>
      <c r="AN255" s="7"/>
      <c r="AO255" s="7"/>
      <c r="AP255" s="7"/>
      <c r="AQ255" s="7"/>
      <c r="AR255" s="7"/>
      <c r="AS255" s="7"/>
      <c r="AT255" s="7"/>
      <c r="AU255" s="7"/>
      <c r="AV255" s="7"/>
      <c r="AW255" s="7"/>
      <c r="AX255" s="7"/>
    </row>
    <row r="256" ht="12.75" hidden="1" customHeight="1">
      <c r="A256" s="3">
        <v>12.0</v>
      </c>
      <c r="B256" s="3" t="s">
        <v>145</v>
      </c>
      <c r="C256" s="3" t="s">
        <v>150</v>
      </c>
      <c r="D256" s="4">
        <f>IFERROR(VLOOKUP(B256,CurrentRank!$B$2:$C$132,2,FALSE),0)</f>
        <v>29.42</v>
      </c>
      <c r="E256" s="4">
        <f>IF(ISBLANK(B256),,IFERROR(VLOOKUP(B256,CurrentRank!$B$2:$C$132,2,FALSE),0))</f>
        <v>29.42</v>
      </c>
      <c r="F256" s="4">
        <f>IFERROR(VLOOKUP(B256,CurrentRank!$B$2:$D$132,3,FALSE),130)</f>
        <v>114</v>
      </c>
      <c r="G256" s="4">
        <f>IF(ISBLANK(B256),,IFERROR(VLOOKUP(B256,CurrentRank!$B$2:$D$132,3,FALSE),130))</f>
        <v>114</v>
      </c>
      <c r="H256" s="4">
        <f>IFERROR(VLOOKUP(C256,CurrentRank!$B$2:$C$132,2,FALSE),0)</f>
        <v>33.72</v>
      </c>
      <c r="I256" s="4">
        <f>IF(ISBLANK(B256),,IFERROR(VLOOKUP(C256,CurrentRank!$B$2:$C$132,2,FALSE),0))</f>
        <v>33.72</v>
      </c>
      <c r="J256" s="4">
        <f>IFERROR(VLOOKUP(C256,Week11,3,FALSE),130)</f>
        <v>50</v>
      </c>
      <c r="K256" s="4">
        <f>IFERROR(VLOOKUP(C256,CurrentRank!$B$2:$D$132,3,FALSE),130)</f>
        <v>76</v>
      </c>
      <c r="L256" s="19">
        <f t="shared" ref="L256:M256" si="121">IF(ISBLANK(C256),,(D256+H256)*0.015)</f>
        <v>0.9471</v>
      </c>
      <c r="M256" s="19">
        <f t="shared" si="121"/>
        <v>0.9471</v>
      </c>
      <c r="N256" s="24">
        <f>(F256+K256)/2</f>
        <v>95</v>
      </c>
      <c r="O256" s="21">
        <f t="shared" si="4"/>
        <v>-2.62355</v>
      </c>
      <c r="P256" s="24">
        <f>(D256-(H256+L256))/2</f>
        <v>-2.62355</v>
      </c>
      <c r="Q256" s="22">
        <f t="shared" si="6"/>
        <v>0.51188225</v>
      </c>
      <c r="R256" s="25" t="str">
        <f t="shared" si="7"/>
        <v>F</v>
      </c>
      <c r="S256" s="19" t="str">
        <f t="shared" si="8"/>
        <v/>
      </c>
      <c r="T256" s="19" t="str">
        <f t="shared" si="9"/>
        <v/>
      </c>
      <c r="U256" s="3" t="s">
        <v>203</v>
      </c>
      <c r="V256" s="4" t="str">
        <f>IFERROR(IF(VLOOKUP(B256,Standings!$A:$F, 6, 0)=VLOOKUP(C256,Standings!$A:$F, 6, 0), VLOOKUP(B256,Standings!$A:$F, 6, 0), "Non-con"), "FCS")</f>
        <v>B1G</v>
      </c>
      <c r="W256" s="3" t="str">
        <f t="shared" si="10"/>
        <v>Michigan State</v>
      </c>
      <c r="X256" s="3" t="str">
        <f t="shared" si="11"/>
        <v>Maryland</v>
      </c>
      <c r="Y256" s="30">
        <f>IF(D256=0,,IF(ISBLANK(Q256),,VLOOKUP(X256,Week11,2,FALSE)/(VLOOKUP(X256,Week11,2,FALSE)+VLOOKUP(W256,Week11,2,FALSE))+0.05)*100)</f>
        <v>63.22434221</v>
      </c>
      <c r="Z256" s="3"/>
      <c r="AA256" s="3"/>
      <c r="AB256" s="4" t="str">
        <f t="shared" si="20"/>
        <v/>
      </c>
      <c r="AC256" s="3"/>
      <c r="AD256" s="3"/>
      <c r="AE256" s="3" t="str">
        <f t="shared" si="13"/>
        <v/>
      </c>
      <c r="AF256" s="3" t="s">
        <v>226</v>
      </c>
      <c r="AG256" s="3" t="str">
        <f t="shared" si="25"/>
        <v/>
      </c>
      <c r="AH256" s="3"/>
      <c r="AI256" s="7"/>
      <c r="AJ256" s="4"/>
      <c r="AK256" s="7"/>
      <c r="AL256" s="7"/>
      <c r="AM256" s="7"/>
      <c r="AN256" s="7"/>
      <c r="AO256" s="7"/>
      <c r="AP256" s="7"/>
      <c r="AQ256" s="7"/>
      <c r="AR256" s="7"/>
      <c r="AS256" s="7"/>
      <c r="AT256" s="7"/>
      <c r="AU256" s="7"/>
      <c r="AV256" s="7"/>
      <c r="AW256" s="7"/>
      <c r="AX256" s="7"/>
    </row>
    <row r="257" ht="12.75" hidden="1" customHeight="1">
      <c r="A257" s="3">
        <v>7.0</v>
      </c>
      <c r="B257" s="3" t="s">
        <v>101</v>
      </c>
      <c r="C257" s="3" t="s">
        <v>82</v>
      </c>
      <c r="D257" s="4">
        <f>IFERROR(VLOOKUP(B257,Week6,2,FALSE),0)</f>
        <v>43.45</v>
      </c>
      <c r="E257" s="4">
        <f>IF(ISBLANK(B257),,IFERROR(VLOOKUP(B257,CurrentRank!$B$2:$C$132,2,FALSE),0))</f>
        <v>36.62</v>
      </c>
      <c r="F257" s="4">
        <f>IFERROR(VLOOKUP(B257,Week6,3,FALSE),130)</f>
        <v>30</v>
      </c>
      <c r="G257" s="4">
        <f>IF(ISBLANK(B257),,IFERROR(VLOOKUP(B257,CurrentRank!$B$2:$D$132,3,FALSE),130))</f>
        <v>50</v>
      </c>
      <c r="H257" s="4">
        <f>IFERROR(VLOOKUP(C257,Week6,2,FALSE),0)</f>
        <v>60.46</v>
      </c>
      <c r="I257" s="4">
        <f>IF(ISBLANK(B257),,IFERROR(VLOOKUP(C257,CurrentRank!$B$2:$C$132,2,FALSE),0))</f>
        <v>36.12</v>
      </c>
      <c r="J257" s="4">
        <f>IFERROR(VLOOKUP(C257,Week6,3,FALSE),130)</f>
        <v>20</v>
      </c>
      <c r="K257" s="4">
        <f>IF(ISBLANK(C257),,IFERROR(VLOOKUP(C257,CurrentRank!$B$2:$D$132,3,FALSE),130))</f>
        <v>54</v>
      </c>
      <c r="L257" s="19">
        <f t="shared" ref="L257:L259" si="122">IF(U257= "Yes", 0, IF(ISBLANK(C257),,(D257+H257)*0.015))</f>
        <v>1.55865</v>
      </c>
      <c r="M257" s="19">
        <f t="shared" ref="M257:M259" si="123">IF(U257= "Yes", 0, IF(ISBLANK(D257),,(E257+I257)*0.015))</f>
        <v>1.0911</v>
      </c>
      <c r="N257" s="24">
        <f t="shared" ref="N257:N294" si="124">IF(ISBLANK(C257),,(F257+J257)/2)</f>
        <v>25</v>
      </c>
      <c r="O257" s="21">
        <f t="shared" si="4"/>
        <v>-9.284325</v>
      </c>
      <c r="P257" s="21">
        <f t="shared" ref="P257:P294" si="125">IF(ISBLANK(C257),,(E257-(I257+L257))/2)</f>
        <v>-0.529325</v>
      </c>
      <c r="Q257" s="22">
        <f t="shared" si="6"/>
        <v>0.828578375</v>
      </c>
      <c r="R257" s="25" t="str">
        <f t="shared" si="7"/>
        <v>B</v>
      </c>
      <c r="S257" s="19">
        <f t="shared" si="8"/>
        <v>0.745</v>
      </c>
      <c r="T257" s="19" t="str">
        <f t="shared" si="9"/>
        <v>C</v>
      </c>
      <c r="U257" s="3" t="s">
        <v>203</v>
      </c>
      <c r="V257" s="4" t="str">
        <f>IF(ISBLANK(C257),,IFERROR(IF(VLOOKUP(B257,Standings!$A:$F, 6, 0)=VLOOKUP(C257,Standings!$A:$F, 6, 0), VLOOKUP(B257,Standings!$A:$F, 6, 0), "Non-con"), "FCS"))</f>
        <v>ACC</v>
      </c>
      <c r="W257" s="3" t="str">
        <f t="shared" si="10"/>
        <v>Boston College</v>
      </c>
      <c r="X257" s="3" t="str">
        <f t="shared" si="11"/>
        <v>Virginia Tech</v>
      </c>
      <c r="Y257" s="30">
        <f>IF(D257=0,,IF(ISBLANK(Q257),,VLOOKUP(X257,Week6,2,FALSE)/(VLOOKUP(X257,Week6,2,FALSE)+VLOOKUP(W257,Week6,2,FALSE))+0.05)*100)</f>
        <v>63.18496776</v>
      </c>
      <c r="Z257" s="3" t="s">
        <v>82</v>
      </c>
      <c r="AA257" s="3">
        <v>40.0</v>
      </c>
      <c r="AB257" s="4" t="str">
        <f t="shared" si="20"/>
        <v>Boston College</v>
      </c>
      <c r="AC257" s="3">
        <v>14.0</v>
      </c>
      <c r="AD257" s="3"/>
      <c r="AE257" s="3">
        <f t="shared" si="13"/>
        <v>26</v>
      </c>
      <c r="AF257" s="3"/>
      <c r="AG257" s="3">
        <f t="shared" si="25"/>
        <v>1</v>
      </c>
      <c r="AH257" s="3"/>
      <c r="AI257" s="7"/>
      <c r="AJ257" s="4" t="s">
        <v>259</v>
      </c>
      <c r="AK257" s="7"/>
      <c r="AL257" s="7"/>
      <c r="AM257" s="7"/>
      <c r="AN257" s="7"/>
      <c r="AO257" s="7"/>
      <c r="AP257" s="7"/>
      <c r="AQ257" s="7"/>
      <c r="AR257" s="7"/>
      <c r="AS257" s="7"/>
      <c r="AT257" s="7"/>
      <c r="AU257" s="7"/>
      <c r="AV257" s="7"/>
      <c r="AW257" s="7"/>
      <c r="AX257" s="7"/>
    </row>
    <row r="258" ht="12.75" hidden="1" customHeight="1">
      <c r="A258" s="3">
        <v>9.0</v>
      </c>
      <c r="B258" s="3" t="s">
        <v>129</v>
      </c>
      <c r="C258" s="3" t="s">
        <v>181</v>
      </c>
      <c r="D258" s="4">
        <f>IFERROR(VLOOKUP(B258,Week8,2,FALSE),0)</f>
        <v>34.78</v>
      </c>
      <c r="E258" s="4">
        <f>IF(ISBLANK(B258),,IFERROR(VLOOKUP(B258,CurrentRank!$B$2:$C$132,2,FALSE),0))</f>
        <v>39.96</v>
      </c>
      <c r="F258" s="4">
        <f>IFERROR(VLOOKUP(B258,Week8,3,FALSE),130)</f>
        <v>61</v>
      </c>
      <c r="G258" s="4">
        <f>IF(ISBLANK(B258),,IFERROR(VLOOKUP(B258,CurrentRank!$B$2:$D$132,3,FALSE),130))</f>
        <v>35</v>
      </c>
      <c r="H258" s="4">
        <f>IFERROR(VLOOKUP(C258,Week8,2,FALSE),0)</f>
        <v>25.04</v>
      </c>
      <c r="I258" s="4">
        <f>IF(ISBLANK(B258),,IFERROR(VLOOKUP(C258,CurrentRank!$B$2:$C$132,2,FALSE),0))</f>
        <v>25.47</v>
      </c>
      <c r="J258" s="4">
        <f>IFERROR(VLOOKUP(C258,Week8,3,FALSE),130)</f>
        <v>123</v>
      </c>
      <c r="K258" s="4">
        <f>IF(ISBLANK(C258),,IFERROR(VLOOKUP(C258,CurrentRank!$B$2:$D$132,3,FALSE),130))</f>
        <v>125</v>
      </c>
      <c r="L258" s="19">
        <f t="shared" si="122"/>
        <v>0.8973</v>
      </c>
      <c r="M258" s="19">
        <f t="shared" si="123"/>
        <v>0.98145</v>
      </c>
      <c r="N258" s="24">
        <f t="shared" si="124"/>
        <v>92</v>
      </c>
      <c r="O258" s="21">
        <f t="shared" si="4"/>
        <v>4.42135</v>
      </c>
      <c r="P258" s="21">
        <f t="shared" si="125"/>
        <v>6.79635</v>
      </c>
      <c r="Q258" s="22">
        <f t="shared" si="6"/>
        <v>0.51789325</v>
      </c>
      <c r="R258" s="25" t="str">
        <f t="shared" si="7"/>
        <v>F</v>
      </c>
      <c r="S258" s="19">
        <f t="shared" si="8"/>
        <v>0.375</v>
      </c>
      <c r="T258" s="19" t="str">
        <f t="shared" si="9"/>
        <v>F</v>
      </c>
      <c r="U258" s="3" t="s">
        <v>203</v>
      </c>
      <c r="V258" s="4" t="str">
        <f>IF(ISBLANK(C258),,IFERROR(IF(VLOOKUP(B258,Standings!$A:$F, 6, 0)=VLOOKUP(C258,Standings!$A:$F, 6, 0), VLOOKUP(B258,Standings!$A:$F, 6, 0), "Non-con"), "FCS"))</f>
        <v>SEC</v>
      </c>
      <c r="W258" s="3" t="str">
        <f t="shared" si="10"/>
        <v>Vanderbilt</v>
      </c>
      <c r="X258" s="3" t="str">
        <f t="shared" si="11"/>
        <v>Mississippi</v>
      </c>
      <c r="Y258" s="30">
        <f>IF(D258=0,,IF(ISBLANK(Q258),,VLOOKUP(X258,Week8,2,FALSE)/(VLOOKUP(X258,Week8,2,FALSE)+VLOOKUP(W258,Week8,2,FALSE))+0.05)*100)</f>
        <v>63.14108994</v>
      </c>
      <c r="Z258" s="3" t="s">
        <v>129</v>
      </c>
      <c r="AA258" s="3">
        <v>54.0</v>
      </c>
      <c r="AB258" s="4" t="str">
        <f t="shared" si="20"/>
        <v>Vanderbilt</v>
      </c>
      <c r="AC258" s="3">
        <v>21.0</v>
      </c>
      <c r="AD258" s="3"/>
      <c r="AE258" s="3">
        <f t="shared" si="13"/>
        <v>33</v>
      </c>
      <c r="AF258" s="3"/>
      <c r="AG258" s="3">
        <f t="shared" si="25"/>
        <v>1</v>
      </c>
      <c r="AH258" s="3"/>
      <c r="AI258" s="7"/>
      <c r="AJ258" s="4"/>
      <c r="AK258" s="7"/>
      <c r="AL258" s="7"/>
      <c r="AM258" s="7"/>
      <c r="AN258" s="7"/>
      <c r="AO258" s="7"/>
      <c r="AP258" s="7"/>
      <c r="AQ258" s="7"/>
      <c r="AR258" s="7"/>
      <c r="AS258" s="7"/>
      <c r="AT258" s="7"/>
      <c r="AU258" s="7"/>
      <c r="AV258" s="7"/>
      <c r="AW258" s="7"/>
      <c r="AX258" s="7"/>
    </row>
    <row r="259" ht="12.75" customHeight="1">
      <c r="A259" s="3">
        <v>12.0</v>
      </c>
      <c r="B259" s="3" t="s">
        <v>55</v>
      </c>
      <c r="C259" s="3" t="s">
        <v>51</v>
      </c>
      <c r="D259" s="4">
        <f>IFERROR(VLOOKUP(B259,Week11,2,FALSE),0)</f>
        <v>69.17</v>
      </c>
      <c r="E259" s="4">
        <f>IF(ISBLANK(B259),,IFERROR(VLOOKUP(B259,CurrentRank!$B$2:$C$132,2,FALSE),0))</f>
        <v>59.34</v>
      </c>
      <c r="F259" s="4">
        <f>IFERROR(VLOOKUP(B259,Week11,3,FALSE),130)</f>
        <v>17</v>
      </c>
      <c r="G259" s="4">
        <f>IF(ISBLANK(B259),,IFERROR(VLOOKUP(B259,CurrentRank!$B$2:$D$132,3,FALSE),130))</f>
        <v>22</v>
      </c>
      <c r="H259" s="4">
        <f>IFERROR(VLOOKUP(C259,Week11,2,FALSE),0)</f>
        <v>63.88</v>
      </c>
      <c r="I259" s="4">
        <f>IF(ISBLANK(B259),,IFERROR(VLOOKUP(C259,CurrentRank!$B$2:$C$132,2,FALSE),0))</f>
        <v>81.57</v>
      </c>
      <c r="J259" s="4">
        <f>IFERROR(VLOOKUP(C259,Week11,3,FALSE),130)</f>
        <v>20</v>
      </c>
      <c r="K259" s="4">
        <f>IF(ISBLANK(C259),,IFERROR(VLOOKUP(C259,CurrentRank!$B$2:$D$132,3,FALSE),130))</f>
        <v>5</v>
      </c>
      <c r="L259" s="19">
        <f t="shared" si="122"/>
        <v>1.99575</v>
      </c>
      <c r="M259" s="19">
        <f t="shared" si="123"/>
        <v>2.11365</v>
      </c>
      <c r="N259" s="24">
        <f t="shared" si="124"/>
        <v>18.5</v>
      </c>
      <c r="O259" s="21">
        <f t="shared" si="4"/>
        <v>1.647125</v>
      </c>
      <c r="P259" s="21">
        <f t="shared" si="125"/>
        <v>-12.112875</v>
      </c>
      <c r="Q259" s="22">
        <f t="shared" si="6"/>
        <v>0.899264375</v>
      </c>
      <c r="R259" s="25" t="str">
        <f t="shared" si="7"/>
        <v>A-</v>
      </c>
      <c r="S259" s="19">
        <f t="shared" si="8"/>
        <v>0.7675</v>
      </c>
      <c r="T259" s="19" t="str">
        <f t="shared" si="9"/>
        <v>C+</v>
      </c>
      <c r="U259" s="3" t="s">
        <v>203</v>
      </c>
      <c r="V259" s="4" t="str">
        <f>IF(ISBLANK(C259),,IFERROR(IF(VLOOKUP(B259,Standings!$A:$F, 6, 0)=VLOOKUP(C259,Standings!$A:$F, 6, 0), VLOOKUP(B259,Standings!$A:$F, 6, 0), "Non-con"), "FCS"))</f>
        <v>BIG12</v>
      </c>
      <c r="W259" s="3" t="str">
        <f t="shared" si="10"/>
        <v>Oklahoma</v>
      </c>
      <c r="X259" s="3" t="str">
        <f t="shared" si="11"/>
        <v>Oklahoma State</v>
      </c>
      <c r="Y259" s="30">
        <f>IF(D259=0,,IF(ISBLANK(Q259),,VLOOKUP(X259,Week11,2,FALSE)/(VLOOKUP(X259,Week11,2,FALSE)+VLOOKUP(W259,Week11,2,FALSE))+0.05)*100)</f>
        <v>56.98797445</v>
      </c>
      <c r="Z259" s="3" t="s">
        <v>51</v>
      </c>
      <c r="AA259" s="3">
        <v>41.0</v>
      </c>
      <c r="AB259" s="4" t="str">
        <f t="shared" si="20"/>
        <v>Oklahoma State</v>
      </c>
      <c r="AC259" s="3">
        <v>13.0</v>
      </c>
      <c r="AD259" s="3"/>
      <c r="AE259" s="3">
        <f t="shared" si="13"/>
        <v>28</v>
      </c>
      <c r="AF259" s="3"/>
      <c r="AG259" s="3">
        <f t="shared" si="25"/>
        <v>0</v>
      </c>
      <c r="AH259" s="3"/>
      <c r="AI259" s="7"/>
      <c r="AJ259" s="4" t="s">
        <v>184</v>
      </c>
      <c r="AK259" s="7"/>
      <c r="AL259" s="7"/>
      <c r="AM259" s="7"/>
      <c r="AN259" s="7"/>
      <c r="AO259" s="7"/>
      <c r="AP259" s="7"/>
      <c r="AQ259" s="7"/>
      <c r="AR259" s="7"/>
      <c r="AS259" s="7"/>
      <c r="AT259" s="7"/>
      <c r="AU259" s="7"/>
      <c r="AV259" s="7"/>
      <c r="AW259" s="7"/>
      <c r="AX259" s="7"/>
    </row>
    <row r="260" ht="12.75" hidden="1" customHeight="1">
      <c r="A260" s="3">
        <v>14.0</v>
      </c>
      <c r="B260" s="3" t="s">
        <v>106</v>
      </c>
      <c r="C260" s="3" t="s">
        <v>100</v>
      </c>
      <c r="D260" s="4">
        <f>IFERROR(VLOOKUP(B260,Week13,2,FALSE),0)</f>
        <v>55.72</v>
      </c>
      <c r="E260" s="4">
        <f>IF(ISBLANK(B260),,IFERROR(VLOOKUP(B260,CurrentRank!$B$2:$C$132,2,FALSE),0))</f>
        <v>65.58</v>
      </c>
      <c r="F260" s="4">
        <f>IFERROR(VLOOKUP(B260,Week13,3,FALSE),130)</f>
        <v>25</v>
      </c>
      <c r="G260" s="4">
        <f>IF(ISBLANK(B260),,IFERROR(VLOOKUP(B260,CurrentRank!$B$2:$D$132,3,FALSE),130))</f>
        <v>17</v>
      </c>
      <c r="H260" s="4">
        <f>IFERROR(VLOOKUP(C260,Week13,2,FALSE),0)</f>
        <v>77.29</v>
      </c>
      <c r="I260" s="4">
        <f>IF(ISBLANK(B260),,IFERROR(VLOOKUP(C260,CurrentRank!$B$2:$C$132,2,FALSE),0))</f>
        <v>69.98</v>
      </c>
      <c r="J260" s="4">
        <f>IFERROR(VLOOKUP(C260,Week13,3,FALSE),130)</f>
        <v>9</v>
      </c>
      <c r="K260" s="4">
        <f>IF(ISBLANK(C260),,IFERROR(VLOOKUP(C260,CurrentRank!$B$2:$D$132,3,FALSE),130))</f>
        <v>13</v>
      </c>
      <c r="L260" s="19">
        <f t="shared" ref="L260:M260" si="126">IF(ISBLANK(C260),,(D260+H260)*0.015)</f>
        <v>1.99515</v>
      </c>
      <c r="M260" s="19">
        <f t="shared" si="126"/>
        <v>2.0334</v>
      </c>
      <c r="N260" s="24">
        <f t="shared" si="124"/>
        <v>17</v>
      </c>
      <c r="O260" s="21">
        <f t="shared" si="4"/>
        <v>-11.782575</v>
      </c>
      <c r="P260" s="21">
        <f t="shared" si="125"/>
        <v>-3.197575</v>
      </c>
      <c r="Q260" s="22">
        <f t="shared" si="6"/>
        <v>0.856087125</v>
      </c>
      <c r="R260" s="25" t="str">
        <f t="shared" si="7"/>
        <v>B</v>
      </c>
      <c r="S260" s="19" t="str">
        <f t="shared" si="8"/>
        <v/>
      </c>
      <c r="T260" s="19" t="str">
        <f t="shared" si="9"/>
        <v/>
      </c>
      <c r="U260" s="3" t="s">
        <v>203</v>
      </c>
      <c r="V260" s="4" t="str">
        <f>IF(ISBLANK(C260),,IFERROR(IF(VLOOKUP(B260,Standings!$A:$F, 6, 0)=VLOOKUP(C260,Standings!$A:$F, 6, 0), VLOOKUP(B260,Standings!$A:$F, 6, 0), "Non-con"), "FCS"))</f>
        <v>Non-con</v>
      </c>
      <c r="W260" s="3" t="str">
        <f t="shared" si="10"/>
        <v>Liberty</v>
      </c>
      <c r="X260" s="3" t="str">
        <f t="shared" si="11"/>
        <v>Coastal Carolina</v>
      </c>
      <c r="Y260" s="30">
        <f>IF(D260=0,,IF(ISBLANK(Q260),,VLOOKUP(X260,Week13,2,FALSE)/(VLOOKUP(X260,Week13,2,FALSE)+VLOOKUP(W260,Week13,2,FALSE))+0.05)*100)</f>
        <v>63.1084129</v>
      </c>
      <c r="Z260" s="3"/>
      <c r="AA260" s="3"/>
      <c r="AB260" s="4" t="str">
        <f t="shared" si="20"/>
        <v/>
      </c>
      <c r="AC260" s="3"/>
      <c r="AD260" s="3"/>
      <c r="AE260" s="3" t="str">
        <f t="shared" si="13"/>
        <v/>
      </c>
      <c r="AF260" s="3" t="s">
        <v>226</v>
      </c>
      <c r="AG260" s="3" t="str">
        <f t="shared" si="25"/>
        <v/>
      </c>
      <c r="AH260" s="3"/>
      <c r="AI260" s="7"/>
      <c r="AJ260" s="4"/>
      <c r="AK260" s="7"/>
      <c r="AL260" s="7"/>
      <c r="AM260" s="7"/>
      <c r="AN260" s="7"/>
      <c r="AO260" s="7"/>
      <c r="AP260" s="7"/>
      <c r="AQ260" s="7"/>
      <c r="AR260" s="7"/>
      <c r="AS260" s="7"/>
      <c r="AT260" s="7"/>
      <c r="AU260" s="7"/>
      <c r="AV260" s="7"/>
      <c r="AW260" s="7"/>
      <c r="AX260" s="7"/>
    </row>
    <row r="261" ht="12.75" hidden="1" customHeight="1">
      <c r="A261" s="3">
        <v>10.0</v>
      </c>
      <c r="B261" s="3" t="s">
        <v>87</v>
      </c>
      <c r="C261" s="3" t="s">
        <v>174</v>
      </c>
      <c r="D261" s="4">
        <f>IFERROR(VLOOKUP(B261,Week9,2,FALSE),0)</f>
        <v>53.31</v>
      </c>
      <c r="E261" s="4">
        <f>IF(ISBLANK(B261),,IFERROR(VLOOKUP(B261,CurrentRank!$B$2:$C$132,2,FALSE),0))</f>
        <v>31.54</v>
      </c>
      <c r="F261" s="4">
        <f>IFERROR(VLOOKUP(B261,Week9,3,FALSE),130)</f>
        <v>23</v>
      </c>
      <c r="G261" s="4">
        <f>IF(ISBLANK(B261),,IFERROR(VLOOKUP(B261,CurrentRank!$B$2:$D$132,3,FALSE),130))</f>
        <v>97</v>
      </c>
      <c r="H261" s="4">
        <f>IFERROR(VLOOKUP(C261,Week9,2,FALSE),0)</f>
        <v>73.53</v>
      </c>
      <c r="I261" s="4">
        <f>IF(ISBLANK(B261),,IFERROR(VLOOKUP(C261,CurrentRank!$B$2:$C$132,2,FALSE),0))</f>
        <v>69.98</v>
      </c>
      <c r="J261" s="4">
        <f>IFERROR(VLOOKUP(C261,Week9,3,FALSE),130)</f>
        <v>13</v>
      </c>
      <c r="K261" s="4">
        <f>IF(ISBLANK(C261),,IFERROR(VLOOKUP(C261,CurrentRank!$B$2:$D$132,3,FALSE),130))</f>
        <v>13</v>
      </c>
      <c r="L261" s="19">
        <f t="shared" ref="L261:L270" si="127">IF(U261= "Yes", 0, IF(ISBLANK(C261),,(D261+H261)*0.015))</f>
        <v>1.9026</v>
      </c>
      <c r="M261" s="19">
        <f t="shared" ref="M261:M270" si="128">IF(U261= "Yes", 0, IF(ISBLANK(D261),,(E261+I261)*0.015))</f>
        <v>1.5228</v>
      </c>
      <c r="N261" s="24">
        <f t="shared" si="124"/>
        <v>18</v>
      </c>
      <c r="O261" s="21">
        <f t="shared" si="4"/>
        <v>-11.0613</v>
      </c>
      <c r="P261" s="21">
        <f t="shared" si="125"/>
        <v>-20.1713</v>
      </c>
      <c r="Q261" s="22">
        <f t="shared" si="6"/>
        <v>0.8546935</v>
      </c>
      <c r="R261" s="25" t="str">
        <f t="shared" si="7"/>
        <v>B</v>
      </c>
      <c r="S261" s="19">
        <f t="shared" si="8"/>
        <v>0.825</v>
      </c>
      <c r="T261" s="19" t="str">
        <f t="shared" si="9"/>
        <v>B</v>
      </c>
      <c r="U261" s="3" t="s">
        <v>203</v>
      </c>
      <c r="V261" s="4" t="str">
        <f>IF(ISBLANK(C261),,IFERROR(IF(VLOOKUP(B261,Standings!$A:$F, 6, 0)=VLOOKUP(C261,Standings!$A:$F, 6, 0), VLOOKUP(B261,Standings!$A:$F, 6, 0), "Non-con"), "FCS"))</f>
        <v>B1G</v>
      </c>
      <c r="W261" s="3" t="str">
        <f t="shared" si="10"/>
        <v>Michigan</v>
      </c>
      <c r="X261" s="3" t="str">
        <f t="shared" si="11"/>
        <v>Indiana</v>
      </c>
      <c r="Y261" s="30">
        <f>IF(D261=0,,IF(ISBLANK(Q261),,VLOOKUP(X261,Week9,2,FALSE)/(VLOOKUP(X261,Week9,2,FALSE)+VLOOKUP(W261,Week9,2,FALSE))+0.05)*100)</f>
        <v>62.97067171</v>
      </c>
      <c r="Z261" s="3" t="s">
        <v>174</v>
      </c>
      <c r="AA261" s="3">
        <v>38.0</v>
      </c>
      <c r="AB261" s="4" t="str">
        <f t="shared" si="20"/>
        <v>Michigan</v>
      </c>
      <c r="AC261" s="3">
        <v>21.0</v>
      </c>
      <c r="AD261" s="3"/>
      <c r="AE261" s="3">
        <f t="shared" si="13"/>
        <v>17</v>
      </c>
      <c r="AF261" s="3"/>
      <c r="AG261" s="3">
        <f t="shared" si="25"/>
        <v>1</v>
      </c>
      <c r="AH261" s="3"/>
      <c r="AI261" s="7"/>
      <c r="AJ261" s="4"/>
      <c r="AK261" s="7"/>
      <c r="AL261" s="7"/>
      <c r="AM261" s="7"/>
      <c r="AN261" s="7"/>
      <c r="AO261" s="7"/>
      <c r="AP261" s="7"/>
      <c r="AQ261" s="7"/>
      <c r="AR261" s="7"/>
      <c r="AS261" s="7"/>
      <c r="AT261" s="7"/>
      <c r="AU261" s="7"/>
      <c r="AV261" s="7"/>
      <c r="AW261" s="7"/>
      <c r="AX261" s="7"/>
    </row>
    <row r="262" ht="12.75" hidden="1" customHeight="1">
      <c r="A262" s="3">
        <v>4.0</v>
      </c>
      <c r="B262" s="3" t="s">
        <v>94</v>
      </c>
      <c r="C262" s="3" t="s">
        <v>89</v>
      </c>
      <c r="D262" s="4">
        <f>IFERROR(VLOOKUP(B262,Week3,2,FALSE),0)</f>
        <v>41.46</v>
      </c>
      <c r="E262" s="4">
        <f>IF(ISBLANK(B262),,IFERROR(VLOOKUP(B262,CurrentRank!$B$2:$C$132,2,FALSE),0))</f>
        <v>36.87</v>
      </c>
      <c r="F262" s="4">
        <f>IFERROR(VLOOKUP(B262,Week3,3,FALSE),130)</f>
        <v>35</v>
      </c>
      <c r="G262" s="4">
        <f>IF(ISBLANK(B262),,IFERROR(VLOOKUP(B262,CurrentRank!$B$2:$D$132,3,FALSE),130))</f>
        <v>48</v>
      </c>
      <c r="H262" s="4">
        <f>IFERROR(VLOOKUP(C262,Week3,2,FALSE),0)</f>
        <v>57.08</v>
      </c>
      <c r="I262" s="4">
        <f>IF(ISBLANK(B262),,IFERROR(VLOOKUP(C262,CurrentRank!$B$2:$C$132,2,FALSE),0))</f>
        <v>35.74</v>
      </c>
      <c r="J262" s="4">
        <f>IFERROR(VLOOKUP(C262,Week3,3,FALSE),130)</f>
        <v>19</v>
      </c>
      <c r="K262" s="4">
        <f>IF(ISBLANK(C262),,IFERROR(VLOOKUP(C262,CurrentRank!$B$2:$D$132,3,FALSE),130))</f>
        <v>56</v>
      </c>
      <c r="L262" s="19">
        <f t="shared" si="127"/>
        <v>1.4781</v>
      </c>
      <c r="M262" s="19">
        <f t="shared" si="128"/>
        <v>1.08915</v>
      </c>
      <c r="N262" s="24">
        <f t="shared" si="124"/>
        <v>27</v>
      </c>
      <c r="O262" s="21">
        <f t="shared" si="4"/>
        <v>-8.54905</v>
      </c>
      <c r="P262" s="21">
        <f t="shared" si="125"/>
        <v>-0.17405</v>
      </c>
      <c r="Q262" s="22">
        <f t="shared" si="6"/>
        <v>0.82225475</v>
      </c>
      <c r="R262" s="25" t="str">
        <f t="shared" si="7"/>
        <v>B-</v>
      </c>
      <c r="S262" s="19">
        <f t="shared" si="8"/>
        <v>0.85</v>
      </c>
      <c r="T262" s="19" t="str">
        <f t="shared" si="9"/>
        <v>B</v>
      </c>
      <c r="U262" s="3" t="s">
        <v>203</v>
      </c>
      <c r="V262" s="4" t="str">
        <f>IF(ISBLANK(C262),,IFERROR(IF(VLOOKUP(B262,Standings!$A:$F, 6, 0)=VLOOKUP(C262,Standings!$A:$F, 6, 0), VLOOKUP(B262,Standings!$A:$F, 6, 0), "Non-con"), "FCS"))</f>
        <v>ACC</v>
      </c>
      <c r="W262" s="3" t="str">
        <f t="shared" si="10"/>
        <v>Louisville</v>
      </c>
      <c r="X262" s="3" t="str">
        <f t="shared" si="11"/>
        <v>Pittsburgh</v>
      </c>
      <c r="Y262" s="30">
        <f>IF(D262=0,,IF(ISBLANK(Q262),,VLOOKUP(X262,Week3,2,FALSE)/(VLOOKUP(X262,Week3,2,FALSE)+VLOOKUP(W262,Week3,2,FALSE))+0.05)*100)</f>
        <v>62.92571545</v>
      </c>
      <c r="Z262" s="3" t="s">
        <v>89</v>
      </c>
      <c r="AA262" s="3">
        <v>23.0</v>
      </c>
      <c r="AB262" s="4" t="str">
        <f t="shared" si="20"/>
        <v>Louisville</v>
      </c>
      <c r="AC262" s="3">
        <v>20.0</v>
      </c>
      <c r="AD262" s="3"/>
      <c r="AE262" s="3">
        <f t="shared" si="13"/>
        <v>3</v>
      </c>
      <c r="AF262" s="3"/>
      <c r="AG262" s="3">
        <f t="shared" si="25"/>
        <v>1</v>
      </c>
      <c r="AH262" s="3"/>
      <c r="AI262" s="7"/>
      <c r="AJ262" s="4"/>
      <c r="AK262" s="7"/>
      <c r="AL262" s="7"/>
      <c r="AM262" s="7"/>
      <c r="AN262" s="7"/>
      <c r="AO262" s="7"/>
      <c r="AP262" s="7"/>
      <c r="AQ262" s="7"/>
      <c r="AR262" s="7"/>
      <c r="AS262" s="7"/>
      <c r="AT262" s="7"/>
      <c r="AU262" s="7"/>
      <c r="AV262" s="7"/>
      <c r="AW262" s="7"/>
      <c r="AX262" s="7"/>
    </row>
    <row r="263" ht="12.75" customHeight="1">
      <c r="A263" s="3">
        <v>2.0</v>
      </c>
      <c r="B263" s="3" t="s">
        <v>100</v>
      </c>
      <c r="C263" s="3" t="s">
        <v>192</v>
      </c>
      <c r="D263" s="4">
        <f>IFERROR(VLOOKUP(B263,Week1,2,FALSE),0)</f>
        <v>6.67</v>
      </c>
      <c r="E263" s="4">
        <f>IF(ISBLANK(B263),,IFERROR(VLOOKUP(B263,CurrentRank!$B$2:$C$132,2,FALSE),0))</f>
        <v>69.98</v>
      </c>
      <c r="F263" s="4">
        <f>IFERROR(VLOOKUP(B263,Week1,3,FALSE),130)</f>
        <v>35</v>
      </c>
      <c r="G263" s="4">
        <f>IF(ISBLANK(B263),,IFERROR(VLOOKUP(B263,CurrentRank!$B$2:$D$132,3,FALSE),130))</f>
        <v>13</v>
      </c>
      <c r="H263" s="4">
        <f>IFERROR(VLOOKUP(C263,Week1,2,FALSE),0)</f>
        <v>6.67</v>
      </c>
      <c r="I263" s="4">
        <f>IF(ISBLANK(B263),,IFERROR(VLOOKUP(C263,CurrentRank!$B$2:$C$132,2,FALSE),0))</f>
        <v>21.55</v>
      </c>
      <c r="J263" s="4">
        <f>IFERROR(VLOOKUP(C263,Week1,3,FALSE),130)</f>
        <v>35</v>
      </c>
      <c r="K263" s="4">
        <f>IF(ISBLANK(C263),,IFERROR(VLOOKUP(C263,CurrentRank!$B$2:$D$132,3,FALSE),130))</f>
        <v>127</v>
      </c>
      <c r="L263" s="19">
        <f t="shared" si="127"/>
        <v>0.2001</v>
      </c>
      <c r="M263" s="19">
        <f t="shared" si="128"/>
        <v>1.37295</v>
      </c>
      <c r="N263" s="24">
        <f t="shared" si="124"/>
        <v>35</v>
      </c>
      <c r="O263" s="21">
        <f t="shared" si="4"/>
        <v>-0.10005</v>
      </c>
      <c r="P263" s="21">
        <f t="shared" si="125"/>
        <v>24.11495</v>
      </c>
      <c r="Q263" s="22">
        <f t="shared" si="6"/>
        <v>0.82449975</v>
      </c>
      <c r="R263" s="25" t="str">
        <f t="shared" si="7"/>
        <v>B-</v>
      </c>
      <c r="S263" s="19">
        <f t="shared" si="8"/>
        <v>0.75</v>
      </c>
      <c r="T263" s="19" t="str">
        <f t="shared" si="9"/>
        <v>C</v>
      </c>
      <c r="U263" s="3" t="s">
        <v>203</v>
      </c>
      <c r="V263" s="4" t="str">
        <f>IF(ISBLANK(C263),,IFERROR(IF(VLOOKUP(B263,Standings!$A:$F, 6, 0)=VLOOKUP(C263,Standings!$A:$F, 6, 0), VLOOKUP(B263,Standings!$A:$F, 6, 0), "Non-con"), "FCS"))</f>
        <v>Non-con</v>
      </c>
      <c r="W263" s="3" t="str">
        <f t="shared" si="10"/>
        <v>Coastal Carolina</v>
      </c>
      <c r="X263" s="3" t="str">
        <f t="shared" si="11"/>
        <v>Kansas</v>
      </c>
      <c r="Y263" s="30">
        <f>IF(D263=0,,IF(ISBLANK(Q263),,VLOOKUP(X263,Week1,2,FALSE)/(VLOOKUP(X263,Week1,2,FALSE)+VLOOKUP(W263,Week1,2,FALSE))+0.05)*100)</f>
        <v>55</v>
      </c>
      <c r="Z263" s="3" t="s">
        <v>100</v>
      </c>
      <c r="AA263" s="3">
        <v>38.0</v>
      </c>
      <c r="AB263" s="4" t="str">
        <f t="shared" si="20"/>
        <v>Kansas</v>
      </c>
      <c r="AC263" s="3">
        <v>23.0</v>
      </c>
      <c r="AD263" s="3"/>
      <c r="AE263" s="3">
        <f t="shared" si="13"/>
        <v>15</v>
      </c>
      <c r="AF263" s="3"/>
      <c r="AG263" s="3">
        <f t="shared" si="25"/>
        <v>0</v>
      </c>
      <c r="AH263" s="3"/>
      <c r="AI263" s="7"/>
      <c r="AJ263" s="4"/>
      <c r="AK263" s="7"/>
      <c r="AL263" s="7"/>
      <c r="AM263" s="7"/>
      <c r="AN263" s="7"/>
      <c r="AO263" s="7"/>
      <c r="AP263" s="7"/>
      <c r="AQ263" s="7"/>
      <c r="AR263" s="7"/>
      <c r="AS263" s="7"/>
      <c r="AT263" s="7"/>
      <c r="AU263" s="7"/>
      <c r="AV263" s="7"/>
      <c r="AW263" s="7"/>
      <c r="AX263" s="7"/>
    </row>
    <row r="264" ht="12.75" hidden="1" customHeight="1">
      <c r="A264" s="3">
        <v>13.0</v>
      </c>
      <c r="B264" s="3" t="s">
        <v>81</v>
      </c>
      <c r="C264" s="3" t="s">
        <v>129</v>
      </c>
      <c r="D264" s="4">
        <f>IFERROR(VLOOKUP(B264,Week12,2,FALSE),0)</f>
        <v>29.64</v>
      </c>
      <c r="E264" s="4">
        <f>IF(ISBLANK(B264),,IFERROR(VLOOKUP(B264,CurrentRank!$B$2:$C$132,2,FALSE),0))</f>
        <v>33.91</v>
      </c>
      <c r="F264" s="4">
        <f>IFERROR(VLOOKUP(B264,Week12,3,FALSE),130)</f>
        <v>111</v>
      </c>
      <c r="G264" s="4">
        <f>IF(ISBLANK(B264),,IFERROR(VLOOKUP(B264,CurrentRank!$B$2:$D$132,3,FALSE),130))</f>
        <v>75</v>
      </c>
      <c r="H264" s="4">
        <f>IFERROR(VLOOKUP(C264,Week12,2,FALSE),0)</f>
        <v>40.59</v>
      </c>
      <c r="I264" s="4">
        <f>IF(ISBLANK(B264),,IFERROR(VLOOKUP(C264,CurrentRank!$B$2:$C$132,2,FALSE),0))</f>
        <v>39.96</v>
      </c>
      <c r="J264" s="4">
        <f>IFERROR(VLOOKUP(C264,Week12,3,FALSE),130)</f>
        <v>35</v>
      </c>
      <c r="K264" s="4">
        <f>IF(ISBLANK(C264),,IFERROR(VLOOKUP(C264,CurrentRank!$B$2:$D$132,3,FALSE),130))</f>
        <v>35</v>
      </c>
      <c r="L264" s="19">
        <f t="shared" si="127"/>
        <v>1.05345</v>
      </c>
      <c r="M264" s="19">
        <f t="shared" si="128"/>
        <v>1.10805</v>
      </c>
      <c r="N264" s="24">
        <f t="shared" si="124"/>
        <v>73</v>
      </c>
      <c r="O264" s="21">
        <f t="shared" si="4"/>
        <v>-6.001725</v>
      </c>
      <c r="P264" s="21">
        <f t="shared" si="125"/>
        <v>-3.551725</v>
      </c>
      <c r="Q264" s="22">
        <f t="shared" si="6"/>
        <v>0.604991375</v>
      </c>
      <c r="R264" s="25" t="str">
        <f t="shared" si="7"/>
        <v>D-</v>
      </c>
      <c r="S264" s="19">
        <f t="shared" si="8"/>
        <v>0.6</v>
      </c>
      <c r="T264" s="19" t="str">
        <f t="shared" si="9"/>
        <v>D-</v>
      </c>
      <c r="U264" s="3" t="s">
        <v>203</v>
      </c>
      <c r="V264" s="4" t="str">
        <f>IF(ISBLANK(C264),,IFERROR(IF(VLOOKUP(B264,Standings!$A:$F, 6, 0)=VLOOKUP(C264,Standings!$A:$F, 6, 0), VLOOKUP(B264,Standings!$A:$F, 6, 0), "Non-con"), "FCS"))</f>
        <v>SEC</v>
      </c>
      <c r="W264" s="3" t="str">
        <f t="shared" si="10"/>
        <v>Mississippi State</v>
      </c>
      <c r="X264" s="3" t="str">
        <f t="shared" si="11"/>
        <v>Mississippi</v>
      </c>
      <c r="Y264" s="30">
        <f>IF(D264=0,,IF(ISBLANK(Q264),,VLOOKUP(X264,Week12,2,FALSE)/(VLOOKUP(X264,Week12,2,FALSE)+VLOOKUP(W264,Week12,2,FALSE))+0.05)*100)</f>
        <v>62.79581375</v>
      </c>
      <c r="Z264" s="3" t="s">
        <v>129</v>
      </c>
      <c r="AA264" s="3">
        <v>31.0</v>
      </c>
      <c r="AB264" s="4" t="str">
        <f t="shared" si="20"/>
        <v>Mississippi State</v>
      </c>
      <c r="AC264" s="3">
        <v>24.0</v>
      </c>
      <c r="AD264" s="3"/>
      <c r="AE264" s="3">
        <f t="shared" si="13"/>
        <v>7</v>
      </c>
      <c r="AF264" s="3"/>
      <c r="AG264" s="3">
        <f t="shared" si="25"/>
        <v>1</v>
      </c>
      <c r="AH264" s="3"/>
      <c r="AI264" s="7"/>
      <c r="AJ264" s="4"/>
      <c r="AK264" s="7"/>
      <c r="AL264" s="7"/>
      <c r="AM264" s="7"/>
      <c r="AN264" s="7"/>
      <c r="AO264" s="7"/>
      <c r="AP264" s="7"/>
      <c r="AQ264" s="7"/>
      <c r="AR264" s="7"/>
      <c r="AS264" s="7"/>
      <c r="AT264" s="7"/>
      <c r="AU264" s="7"/>
      <c r="AV264" s="7"/>
      <c r="AW264" s="7"/>
      <c r="AX264" s="7"/>
    </row>
    <row r="265" ht="12.75" hidden="1" customHeight="1">
      <c r="A265" s="3">
        <v>17.0</v>
      </c>
      <c r="B265" s="3" t="s">
        <v>64</v>
      </c>
      <c r="C265" s="3" t="s">
        <v>189</v>
      </c>
      <c r="D265" s="4">
        <f>IFERROR(VLOOKUP(B265,Week16,2,FALSE),0)</f>
        <v>40.25</v>
      </c>
      <c r="E265" s="4">
        <f>IF(ISBLANK(B265),,IFERROR(VLOOKUP(B265,CurrentRank!$B$2:$C$132,2,FALSE),0))</f>
        <v>39.11</v>
      </c>
      <c r="F265" s="4">
        <f>IFERROR(VLOOKUP(B265,Week16,3,FALSE),130)</f>
        <v>38</v>
      </c>
      <c r="G265" s="4">
        <f>IF(ISBLANK(B265),,IFERROR(VLOOKUP(B265,CurrentRank!$B$2:$D$132,3,FALSE),130))</f>
        <v>36</v>
      </c>
      <c r="H265" s="4">
        <f>IFERROR(VLOOKUP(C265,Week16,2,FALSE),0)</f>
        <v>67.77</v>
      </c>
      <c r="I265" s="4">
        <f>IF(ISBLANK(B265),,IFERROR(VLOOKUP(C265,CurrentRank!$B$2:$C$132,2,FALSE),0))</f>
        <v>72.23</v>
      </c>
      <c r="J265" s="4">
        <f>IFERROR(VLOOKUP(C265,Week16,3,FALSE),130)</f>
        <v>16</v>
      </c>
      <c r="K265" s="4">
        <f>IF(ISBLANK(C265),,IFERROR(VLOOKUP(C265,CurrentRank!$B$2:$D$132,3,FALSE),130))</f>
        <v>11</v>
      </c>
      <c r="L265" s="19">
        <f t="shared" si="127"/>
        <v>0</v>
      </c>
      <c r="M265" s="19">
        <f t="shared" si="128"/>
        <v>0</v>
      </c>
      <c r="N265" s="24">
        <f t="shared" si="124"/>
        <v>27</v>
      </c>
      <c r="O265" s="21">
        <f t="shared" si="4"/>
        <v>-13.76</v>
      </c>
      <c r="P265" s="21">
        <f t="shared" si="125"/>
        <v>-16.56</v>
      </c>
      <c r="Q265" s="22">
        <f t="shared" si="6"/>
        <v>0.7962</v>
      </c>
      <c r="R265" s="25" t="str">
        <f t="shared" si="7"/>
        <v>B-</v>
      </c>
      <c r="S265" s="19">
        <f t="shared" si="8"/>
        <v>0.785</v>
      </c>
      <c r="T265" s="19" t="str">
        <f t="shared" si="9"/>
        <v>C+</v>
      </c>
      <c r="U265" s="3" t="s">
        <v>223</v>
      </c>
      <c r="V265" s="4" t="str">
        <f>IF(ISBLANK(C265),,IFERROR(IF(VLOOKUP(B265,Standings!$A:$F, 6, 0)=VLOOKUP(C265,Standings!$A:$F, 6, 0), VLOOKUP(B265,Standings!$A:$F, 6, 0), "Non-con"), "FCS"))</f>
        <v>Non-con</v>
      </c>
      <c r="W265" s="3" t="str">
        <f t="shared" si="10"/>
        <v>Auburn</v>
      </c>
      <c r="X265" s="3" t="str">
        <f t="shared" si="11"/>
        <v>Northwestern</v>
      </c>
      <c r="Y265" s="30">
        <f>IF(D265=0,,IF(ISBLANK(Q265),,VLOOKUP(X265,Week16,2,FALSE)/(VLOOKUP(X265,Week16,2,FALSE)+VLOOKUP(W265,Week16,2,FALSE)))*100)</f>
        <v>62.73838178</v>
      </c>
      <c r="Z265" s="3" t="s">
        <v>189</v>
      </c>
      <c r="AA265" s="3">
        <v>35.0</v>
      </c>
      <c r="AB265" s="4" t="str">
        <f t="shared" si="20"/>
        <v>Auburn</v>
      </c>
      <c r="AC265" s="3">
        <v>19.0</v>
      </c>
      <c r="AD265" s="3"/>
      <c r="AE265" s="3">
        <f t="shared" si="13"/>
        <v>16</v>
      </c>
      <c r="AF265" s="3" t="s">
        <v>224</v>
      </c>
      <c r="AG265" s="3">
        <f t="shared" si="25"/>
        <v>1</v>
      </c>
      <c r="AH265" s="3"/>
      <c r="AI265" s="7"/>
      <c r="AJ265" s="4"/>
      <c r="AK265" s="7"/>
      <c r="AL265" s="7"/>
      <c r="AM265" s="7"/>
      <c r="AN265" s="7"/>
      <c r="AO265" s="7"/>
      <c r="AP265" s="7"/>
      <c r="AQ265" s="7"/>
      <c r="AR265" s="7"/>
      <c r="AS265" s="7"/>
      <c r="AT265" s="7"/>
      <c r="AU265" s="7"/>
      <c r="AV265" s="7"/>
      <c r="AW265" s="7"/>
      <c r="AX265" s="7"/>
    </row>
    <row r="266" ht="12.75" hidden="1" customHeight="1">
      <c r="A266" s="3">
        <v>10.0</v>
      </c>
      <c r="B266" s="3" t="s">
        <v>193</v>
      </c>
      <c r="C266" s="3" t="s">
        <v>124</v>
      </c>
      <c r="D266" s="4">
        <f>IFERROR(VLOOKUP(B266,Week9,2,FALSE),0)</f>
        <v>28</v>
      </c>
      <c r="E266" s="4">
        <f>IF(ISBLANK(B266),,IFERROR(VLOOKUP(B266,CurrentRank!$B$2:$C$132,2,FALSE),0))</f>
        <v>29.31</v>
      </c>
      <c r="F266" s="4">
        <f>IFERROR(VLOOKUP(B266,Week9,3,FALSE),130)</f>
        <v>115</v>
      </c>
      <c r="G266" s="4">
        <f>IF(ISBLANK(B266),,IFERROR(VLOOKUP(B266,CurrentRank!$B$2:$D$132,3,FALSE),130))</f>
        <v>115</v>
      </c>
      <c r="H266" s="4">
        <f>IFERROR(VLOOKUP(C266,Week9,2,FALSE),0)</f>
        <v>38.25</v>
      </c>
      <c r="I266" s="4">
        <f>IF(ISBLANK(B266),,IFERROR(VLOOKUP(C266,CurrentRank!$B$2:$C$132,2,FALSE),0))</f>
        <v>33.33</v>
      </c>
      <c r="J266" s="4">
        <f>IFERROR(VLOOKUP(C266,Week9,3,FALSE),130)</f>
        <v>44</v>
      </c>
      <c r="K266" s="4">
        <f>IF(ISBLANK(C266),,IFERROR(VLOOKUP(C266,CurrentRank!$B$2:$D$132,3,FALSE),130))</f>
        <v>83</v>
      </c>
      <c r="L266" s="19">
        <f t="shared" si="127"/>
        <v>0.99375</v>
      </c>
      <c r="M266" s="19">
        <f t="shared" si="128"/>
        <v>0.9396</v>
      </c>
      <c r="N266" s="24">
        <f t="shared" si="124"/>
        <v>79.5</v>
      </c>
      <c r="O266" s="21">
        <f t="shared" si="4"/>
        <v>-5.621875</v>
      </c>
      <c r="P266" s="21">
        <f t="shared" si="125"/>
        <v>-2.506875</v>
      </c>
      <c r="Q266" s="22">
        <f t="shared" si="6"/>
        <v>0.574390625</v>
      </c>
      <c r="R266" s="25" t="str">
        <f t="shared" si="7"/>
        <v>F</v>
      </c>
      <c r="S266" s="19">
        <f t="shared" si="8"/>
        <v>0.5825</v>
      </c>
      <c r="T266" s="19" t="str">
        <f t="shared" si="9"/>
        <v>F</v>
      </c>
      <c r="U266" s="3" t="s">
        <v>203</v>
      </c>
      <c r="V266" s="4" t="str">
        <f>IF(ISBLANK(C266),,IFERROR(IF(VLOOKUP(B266,Standings!$A:$F, 6, 0)=VLOOKUP(C266,Standings!$A:$F, 6, 0), VLOOKUP(B266,Standings!$A:$F, 6, 0), "Non-con"), "FCS"))</f>
        <v>CUSA</v>
      </c>
      <c r="W266" s="3" t="str">
        <f t="shared" si="10"/>
        <v>Western Kentucky</v>
      </c>
      <c r="X266" s="3" t="str">
        <f t="shared" si="11"/>
        <v>Florida Atlantic</v>
      </c>
      <c r="Y266" s="30">
        <f>IF(D266=0,,IF(ISBLANK(Q266),,VLOOKUP(X266,Week9,2,FALSE)/(VLOOKUP(X266,Week9,2,FALSE)+VLOOKUP(W266,Week9,2,FALSE))+0.05)*100)</f>
        <v>62.73584906</v>
      </c>
      <c r="Z266" s="3" t="s">
        <v>124</v>
      </c>
      <c r="AA266" s="3">
        <v>10.0</v>
      </c>
      <c r="AB266" s="4" t="str">
        <f t="shared" si="20"/>
        <v>Western Kentucky</v>
      </c>
      <c r="AC266" s="3">
        <v>6.0</v>
      </c>
      <c r="AD266" s="3"/>
      <c r="AE266" s="3">
        <f t="shared" si="13"/>
        <v>4</v>
      </c>
      <c r="AF266" s="3"/>
      <c r="AG266" s="3">
        <f t="shared" si="25"/>
        <v>1</v>
      </c>
      <c r="AH266" s="3"/>
      <c r="AI266" s="7"/>
      <c r="AJ266" s="4"/>
      <c r="AK266" s="7"/>
      <c r="AL266" s="7"/>
      <c r="AM266" s="7"/>
      <c r="AN266" s="7"/>
      <c r="AO266" s="7"/>
      <c r="AP266" s="7"/>
      <c r="AQ266" s="7"/>
      <c r="AR266" s="7"/>
      <c r="AS266" s="7"/>
      <c r="AT266" s="7"/>
      <c r="AU266" s="7"/>
      <c r="AV266" s="7"/>
      <c r="AW266" s="7"/>
      <c r="AX266" s="7"/>
    </row>
    <row r="267" ht="12.75" hidden="1" customHeight="1">
      <c r="A267" s="3">
        <v>11.0</v>
      </c>
      <c r="B267" s="3" t="s">
        <v>147</v>
      </c>
      <c r="C267" s="3" t="s">
        <v>109</v>
      </c>
      <c r="D267" s="4">
        <f>IFERROR(VLOOKUP(B267,Week10,2,FALSE),0)</f>
        <v>27.71</v>
      </c>
      <c r="E267" s="4">
        <f>IF(ISBLANK(B267),,IFERROR(VLOOKUP(B267,CurrentRank!$B$2:$C$132,2,FALSE),0))</f>
        <v>32.08</v>
      </c>
      <c r="F267" s="4">
        <f>IFERROR(VLOOKUP(B267,Week10,3,FALSE),130)</f>
        <v>119</v>
      </c>
      <c r="G267" s="4">
        <f>IF(ISBLANK(B267),,IFERROR(VLOOKUP(B267,CurrentRank!$B$2:$D$132,3,FALSE),130))</f>
        <v>93</v>
      </c>
      <c r="H267" s="4">
        <f>IFERROR(VLOOKUP(C267,Week10,2,FALSE),0)</f>
        <v>37.74</v>
      </c>
      <c r="I267" s="4">
        <f>IF(ISBLANK(B267),,IFERROR(VLOOKUP(C267,CurrentRank!$B$2:$C$132,2,FALSE),0))</f>
        <v>37.82</v>
      </c>
      <c r="J267" s="4">
        <f>IFERROR(VLOOKUP(C267,Week10,3,FALSE),130)</f>
        <v>52</v>
      </c>
      <c r="K267" s="4">
        <f>IF(ISBLANK(C267),,IFERROR(VLOOKUP(C267,CurrentRank!$B$2:$D$132,3,FALSE),130))</f>
        <v>40</v>
      </c>
      <c r="L267" s="19">
        <f t="shared" si="127"/>
        <v>0.98175</v>
      </c>
      <c r="M267" s="19">
        <f t="shared" si="128"/>
        <v>1.0485</v>
      </c>
      <c r="N267" s="24">
        <f t="shared" si="124"/>
        <v>85.5</v>
      </c>
      <c r="O267" s="21">
        <f t="shared" si="4"/>
        <v>-5.505875</v>
      </c>
      <c r="P267" s="21">
        <f t="shared" si="125"/>
        <v>-3.360875</v>
      </c>
      <c r="Q267" s="22">
        <f t="shared" si="6"/>
        <v>0.544970625</v>
      </c>
      <c r="R267" s="25" t="str">
        <f t="shared" si="7"/>
        <v>F</v>
      </c>
      <c r="S267" s="19">
        <f t="shared" si="8"/>
        <v>0.4925</v>
      </c>
      <c r="T267" s="19" t="str">
        <f t="shared" si="9"/>
        <v>F</v>
      </c>
      <c r="U267" s="3" t="s">
        <v>203</v>
      </c>
      <c r="V267" s="4" t="str">
        <f>IF(ISBLANK(C267),,IFERROR(IF(VLOOKUP(B267,Standings!$A:$F, 6, 0)=VLOOKUP(C267,Standings!$A:$F, 6, 0), VLOOKUP(B267,Standings!$A:$F, 6, 0), "Non-con"), "FCS"))</f>
        <v>ACC</v>
      </c>
      <c r="W267" s="3" t="str">
        <f t="shared" si="10"/>
        <v>Florida State</v>
      </c>
      <c r="X267" s="3" t="str">
        <f t="shared" si="11"/>
        <v>North Carolina State</v>
      </c>
      <c r="Y267" s="30">
        <f>IF(D267=0,,IF(ISBLANK(Q267),,VLOOKUP(X267,Week10,2,FALSE)/(VLOOKUP(X267,Week10,2,FALSE)+VLOOKUP(W267,Week10,2,FALSE))+0.05)*100)</f>
        <v>62.66233766</v>
      </c>
      <c r="Z267" s="3" t="s">
        <v>109</v>
      </c>
      <c r="AA267" s="3">
        <v>38.0</v>
      </c>
      <c r="AB267" s="4" t="str">
        <f t="shared" si="20"/>
        <v>Florida State</v>
      </c>
      <c r="AC267" s="3">
        <v>22.0</v>
      </c>
      <c r="AD267" s="3"/>
      <c r="AE267" s="3">
        <f t="shared" si="13"/>
        <v>16</v>
      </c>
      <c r="AF267" s="3"/>
      <c r="AG267" s="3">
        <f t="shared" si="25"/>
        <v>1</v>
      </c>
      <c r="AH267" s="3"/>
      <c r="AI267" s="7"/>
      <c r="AJ267" s="4" t="s">
        <v>130</v>
      </c>
      <c r="AK267" s="7"/>
      <c r="AL267" s="7"/>
      <c r="AM267" s="7"/>
      <c r="AN267" s="7"/>
      <c r="AO267" s="7"/>
      <c r="AP267" s="7"/>
      <c r="AQ267" s="7"/>
      <c r="AR267" s="7"/>
      <c r="AS267" s="7"/>
      <c r="AT267" s="7"/>
      <c r="AU267" s="7"/>
      <c r="AV267" s="7"/>
      <c r="AW267" s="7"/>
      <c r="AX267" s="7"/>
    </row>
    <row r="268" ht="12.75" hidden="1" customHeight="1">
      <c r="A268" s="3">
        <v>10.0</v>
      </c>
      <c r="B268" s="3" t="s">
        <v>38</v>
      </c>
      <c r="C268" s="3" t="s">
        <v>187</v>
      </c>
      <c r="D268" s="4">
        <f>IFERROR(VLOOKUP(B268,Week9,2,FALSE),0)</f>
        <v>45.18</v>
      </c>
      <c r="E268" s="4">
        <f>IF(ISBLANK(B268),,IFERROR(VLOOKUP(B268,CurrentRank!$B$2:$C$132,2,FALSE),0))</f>
        <v>63.1</v>
      </c>
      <c r="F268" s="4">
        <f>IFERROR(VLOOKUP(B268,Week9,3,FALSE),130)</f>
        <v>28</v>
      </c>
      <c r="G268" s="4">
        <f>IF(ISBLANK(B268),,IFERROR(VLOOKUP(B268,CurrentRank!$B$2:$D$132,3,FALSE),130))</f>
        <v>18</v>
      </c>
      <c r="H268" s="4">
        <f>IFERROR(VLOOKUP(C268,Week9,2,FALSE),0)</f>
        <v>33.18</v>
      </c>
      <c r="I268" s="4">
        <f>IF(ISBLANK(B268),,IFERROR(VLOOKUP(C268,CurrentRank!$B$2:$C$132,2,FALSE),0))</f>
        <v>28.66</v>
      </c>
      <c r="J268" s="4">
        <f>IFERROR(VLOOKUP(C268,Week9,3,FALSE),130)</f>
        <v>69</v>
      </c>
      <c r="K268" s="4">
        <f>IF(ISBLANK(C268),,IFERROR(VLOOKUP(C268,CurrentRank!$B$2:$D$132,3,FALSE),130))</f>
        <v>120</v>
      </c>
      <c r="L268" s="19">
        <f t="shared" si="127"/>
        <v>1.1754</v>
      </c>
      <c r="M268" s="19">
        <f t="shared" si="128"/>
        <v>1.3764</v>
      </c>
      <c r="N268" s="24">
        <f t="shared" si="124"/>
        <v>48.5</v>
      </c>
      <c r="O268" s="21">
        <f t="shared" si="4"/>
        <v>5.4123</v>
      </c>
      <c r="P268" s="21">
        <f t="shared" si="125"/>
        <v>16.6323</v>
      </c>
      <c r="Q268" s="22">
        <f t="shared" si="6"/>
        <v>0.7304385</v>
      </c>
      <c r="R268" s="25" t="str">
        <f t="shared" si="7"/>
        <v>C</v>
      </c>
      <c r="S268" s="19">
        <f t="shared" si="8"/>
        <v>0.5975</v>
      </c>
      <c r="T268" s="19" t="str">
        <f t="shared" si="9"/>
        <v>D-</v>
      </c>
      <c r="U268" s="3" t="s">
        <v>203</v>
      </c>
      <c r="V268" s="4" t="str">
        <f>IF(ISBLANK(C268),,IFERROR(IF(VLOOKUP(B268,Standings!$A:$F, 6, 0)=VLOOKUP(C268,Standings!$A:$F, 6, 0), VLOOKUP(B268,Standings!$A:$F, 6, 0), "Non-con"), "FCS"))</f>
        <v>ACC</v>
      </c>
      <c r="W268" s="3" t="str">
        <f t="shared" si="10"/>
        <v>Duke</v>
      </c>
      <c r="X268" s="3" t="str">
        <f t="shared" si="11"/>
        <v>North Carolina</v>
      </c>
      <c r="Y268" s="30">
        <f>IF(D268=0,,IF(ISBLANK(Q268),,VLOOKUP(X268,Week9,2,FALSE)/(VLOOKUP(X268,Week9,2,FALSE)+VLOOKUP(W268,Week9,2,FALSE))+0.05)*100)</f>
        <v>62.65696784</v>
      </c>
      <c r="Z268" s="3" t="s">
        <v>38</v>
      </c>
      <c r="AA268" s="3">
        <v>56.0</v>
      </c>
      <c r="AB268" s="4" t="str">
        <f t="shared" si="20"/>
        <v>Duke</v>
      </c>
      <c r="AC268" s="3">
        <v>24.0</v>
      </c>
      <c r="AD268" s="3"/>
      <c r="AE268" s="3">
        <f t="shared" si="13"/>
        <v>32</v>
      </c>
      <c r="AF268" s="3"/>
      <c r="AG268" s="3">
        <f t="shared" si="25"/>
        <v>1</v>
      </c>
      <c r="AH268" s="3"/>
      <c r="AI268" s="7"/>
      <c r="AJ268" s="4"/>
      <c r="AK268" s="7"/>
      <c r="AL268" s="7"/>
      <c r="AM268" s="7"/>
      <c r="AN268" s="7"/>
      <c r="AO268" s="7"/>
      <c r="AP268" s="7"/>
      <c r="AQ268" s="7"/>
      <c r="AR268" s="7"/>
      <c r="AS268" s="7"/>
      <c r="AT268" s="7"/>
      <c r="AU268" s="7"/>
      <c r="AV268" s="7"/>
      <c r="AW268" s="7"/>
      <c r="AX268" s="7"/>
    </row>
    <row r="269" ht="12.75" customHeight="1">
      <c r="A269" s="3">
        <v>16.0</v>
      </c>
      <c r="B269" s="3" t="s">
        <v>129</v>
      </c>
      <c r="C269" s="3" t="s">
        <v>53</v>
      </c>
      <c r="D269" s="4">
        <f>IFERROR(VLOOKUP(B269,Week15,2,FALSE),0)</f>
        <v>41.54</v>
      </c>
      <c r="E269" s="4">
        <f>IF(ISBLANK(B269),,IFERROR(VLOOKUP(B269,CurrentRank!$B$2:$C$132,2,FALSE),0))</f>
        <v>39.96</v>
      </c>
      <c r="F269" s="4">
        <f>IFERROR(VLOOKUP(B269,Week15,3,FALSE),130)</f>
        <v>32</v>
      </c>
      <c r="G269" s="4">
        <f>IF(ISBLANK(B269),,IFERROR(VLOOKUP(B269,CurrentRank!$B$2:$D$132,3,FALSE),130))</f>
        <v>35</v>
      </c>
      <c r="H269" s="4">
        <f>IFERROR(VLOOKUP(C269,Week15,2,FALSE),0)</f>
        <v>35.99</v>
      </c>
      <c r="I269" s="4">
        <f>IF(ISBLANK(B269),,IFERROR(VLOOKUP(C269,CurrentRank!$B$2:$C$132,2,FALSE),0))</f>
        <v>37.27</v>
      </c>
      <c r="J269" s="4">
        <f>IFERROR(VLOOKUP(C269,Week15,3,FALSE),130)</f>
        <v>60</v>
      </c>
      <c r="K269" s="4">
        <f>IF(ISBLANK(C269),,IFERROR(VLOOKUP(C269,CurrentRank!$B$2:$D$132,3,FALSE),130))</f>
        <v>45</v>
      </c>
      <c r="L269" s="19">
        <f t="shared" si="127"/>
        <v>1.16295</v>
      </c>
      <c r="M269" s="19">
        <f t="shared" si="128"/>
        <v>1.15845</v>
      </c>
      <c r="N269" s="24">
        <f t="shared" si="124"/>
        <v>46</v>
      </c>
      <c r="O269" s="21">
        <f t="shared" si="4"/>
        <v>2.193525</v>
      </c>
      <c r="P269" s="21">
        <f t="shared" si="125"/>
        <v>0.763525</v>
      </c>
      <c r="Q269" s="22">
        <f t="shared" si="6"/>
        <v>0.759032375</v>
      </c>
      <c r="R269" s="25" t="str">
        <f t="shared" si="7"/>
        <v>C</v>
      </c>
      <c r="S269" s="19">
        <f t="shared" si="8"/>
        <v>0.745</v>
      </c>
      <c r="T269" s="19" t="str">
        <f t="shared" si="9"/>
        <v>C</v>
      </c>
      <c r="U269" s="3" t="s">
        <v>203</v>
      </c>
      <c r="V269" s="4" t="str">
        <f>IF(ISBLANK(C269),,IFERROR(IF(VLOOKUP(B269,Standings!$A:$F, 6, 0)=VLOOKUP(C269,Standings!$A:$F, 6, 0), VLOOKUP(B269,Standings!$A:$F, 6, 0), "Non-con"), "FCS"))</f>
        <v>SEC</v>
      </c>
      <c r="W269" s="3" t="str">
        <f t="shared" si="10"/>
        <v>LSU</v>
      </c>
      <c r="X269" s="3" t="str">
        <f t="shared" si="11"/>
        <v>Mississippi</v>
      </c>
      <c r="Y269" s="30">
        <f>IF(D269=0,,IF(ISBLANK(Q269),,VLOOKUP(X269,Week15,2,FALSE)/(VLOOKUP(X269,Week15,2,FALSE)+VLOOKUP(W269,Week15,2,FALSE))+0.05)*100)</f>
        <v>58.57925964</v>
      </c>
      <c r="Z269" s="3" t="s">
        <v>53</v>
      </c>
      <c r="AA269" s="3">
        <v>53.0</v>
      </c>
      <c r="AB269" s="4" t="str">
        <f t="shared" si="20"/>
        <v>Mississippi</v>
      </c>
      <c r="AC269" s="3">
        <v>48.0</v>
      </c>
      <c r="AD269" s="3"/>
      <c r="AE269" s="3">
        <f t="shared" si="13"/>
        <v>5</v>
      </c>
      <c r="AF269" s="3"/>
      <c r="AG269" s="3">
        <f t="shared" si="25"/>
        <v>0</v>
      </c>
      <c r="AH269" s="3"/>
      <c r="AI269" s="7"/>
      <c r="AJ269" s="4"/>
      <c r="AK269" s="7"/>
      <c r="AL269" s="7"/>
      <c r="AM269" s="7"/>
      <c r="AN269" s="7"/>
      <c r="AO269" s="7"/>
      <c r="AP269" s="7"/>
      <c r="AQ269" s="7"/>
      <c r="AR269" s="7"/>
      <c r="AS269" s="7"/>
      <c r="AT269" s="7"/>
      <c r="AU269" s="7"/>
      <c r="AV269" s="7"/>
      <c r="AW269" s="7"/>
      <c r="AX269" s="7"/>
    </row>
    <row r="270" ht="12.75" hidden="1" customHeight="1">
      <c r="A270" s="3">
        <v>4.0</v>
      </c>
      <c r="B270" s="3" t="s">
        <v>141</v>
      </c>
      <c r="C270" s="3" t="s">
        <v>106</v>
      </c>
      <c r="D270" s="4">
        <f>IFERROR(VLOOKUP(B270,Week3,2,FALSE),0)</f>
        <v>31.02</v>
      </c>
      <c r="E270" s="4">
        <f>IF(ISBLANK(B270),,IFERROR(VLOOKUP(B270,CurrentRank!$B$2:$C$132,2,FALSE),0))</f>
        <v>30.89</v>
      </c>
      <c r="F270" s="4">
        <f>IFERROR(VLOOKUP(B270,Week3,3,FALSE),130)</f>
        <v>51</v>
      </c>
      <c r="G270" s="4">
        <f>IF(ISBLANK(B270),,IFERROR(VLOOKUP(B270,CurrentRank!$B$2:$D$132,3,FALSE),130))</f>
        <v>103</v>
      </c>
      <c r="H270" s="4">
        <f>IFERROR(VLOOKUP(C270,Week3,2,FALSE),0)</f>
        <v>42.1</v>
      </c>
      <c r="I270" s="4">
        <f>IF(ISBLANK(B270),,IFERROR(VLOOKUP(C270,CurrentRank!$B$2:$C$132,2,FALSE),0))</f>
        <v>65.58</v>
      </c>
      <c r="J270" s="4">
        <f>IFERROR(VLOOKUP(C270,Week3,3,FALSE),130)</f>
        <v>33</v>
      </c>
      <c r="K270" s="4">
        <f>IF(ISBLANK(C270),,IFERROR(VLOOKUP(C270,CurrentRank!$B$2:$D$132,3,FALSE),130))</f>
        <v>17</v>
      </c>
      <c r="L270" s="19">
        <f t="shared" si="127"/>
        <v>1.0968</v>
      </c>
      <c r="M270" s="19">
        <f t="shared" si="128"/>
        <v>1.44705</v>
      </c>
      <c r="N270" s="24">
        <f t="shared" si="124"/>
        <v>42</v>
      </c>
      <c r="O270" s="21">
        <f t="shared" si="4"/>
        <v>-6.0884</v>
      </c>
      <c r="P270" s="21">
        <f t="shared" si="125"/>
        <v>-17.8934</v>
      </c>
      <c r="Q270" s="22">
        <f t="shared" si="6"/>
        <v>0.759558</v>
      </c>
      <c r="R270" s="25" t="str">
        <f t="shared" si="7"/>
        <v>C</v>
      </c>
      <c r="S270" s="19">
        <f t="shared" si="8"/>
        <v>0.78</v>
      </c>
      <c r="T270" s="19" t="str">
        <f t="shared" si="9"/>
        <v>C+</v>
      </c>
      <c r="U270" s="3" t="s">
        <v>203</v>
      </c>
      <c r="V270" s="4" t="str">
        <f>IF(ISBLANK(C270),,IFERROR(IF(VLOOKUP(B270,Standings!$A:$F, 6, 0)=VLOOKUP(C270,Standings!$A:$F, 6, 0), VLOOKUP(B270,Standings!$A:$F, 6, 0), "Non-con"), "FCS"))</f>
        <v>Non-con</v>
      </c>
      <c r="W270" s="3" t="str">
        <f t="shared" si="10"/>
        <v>Florida International</v>
      </c>
      <c r="X270" s="3" t="str">
        <f t="shared" si="11"/>
        <v>Liberty</v>
      </c>
      <c r="Y270" s="30">
        <f>IF(D270=0,,IF(ISBLANK(Q270),,VLOOKUP(X270,Week3,2,FALSE)/(VLOOKUP(X270,Week3,2,FALSE)+VLOOKUP(W270,Week3,2,FALSE))+0.05)*100)</f>
        <v>62.57658643</v>
      </c>
      <c r="Z270" s="3" t="s">
        <v>106</v>
      </c>
      <c r="AA270" s="3">
        <v>36.0</v>
      </c>
      <c r="AB270" s="4" t="str">
        <f t="shared" si="20"/>
        <v>Florida International</v>
      </c>
      <c r="AC270" s="3">
        <v>34.0</v>
      </c>
      <c r="AD270" s="3"/>
      <c r="AE270" s="3">
        <f t="shared" si="13"/>
        <v>2</v>
      </c>
      <c r="AF270" s="3"/>
      <c r="AG270" s="3">
        <f t="shared" si="25"/>
        <v>1</v>
      </c>
      <c r="AH270" s="3"/>
      <c r="AI270" s="7"/>
      <c r="AJ270" s="4"/>
      <c r="AK270" s="7"/>
      <c r="AL270" s="7"/>
      <c r="AM270" s="7"/>
      <c r="AN270" s="7"/>
      <c r="AO270" s="7"/>
      <c r="AP270" s="7"/>
      <c r="AQ270" s="7"/>
      <c r="AR270" s="7"/>
      <c r="AS270" s="7"/>
      <c r="AT270" s="7"/>
      <c r="AU270" s="7"/>
      <c r="AV270" s="7"/>
      <c r="AW270" s="7"/>
      <c r="AX270" s="7"/>
    </row>
    <row r="271" ht="12.75" hidden="1" customHeight="1">
      <c r="A271" s="3">
        <v>14.0</v>
      </c>
      <c r="B271" s="3" t="s">
        <v>69</v>
      </c>
      <c r="C271" s="3" t="s">
        <v>132</v>
      </c>
      <c r="D271" s="4">
        <f>IFERROR(VLOOKUP(B271,Week13,2,FALSE),0)</f>
        <v>80.39</v>
      </c>
      <c r="E271" s="4">
        <f>IF(ISBLANK(B271),,IFERROR(VLOOKUP(B271,CurrentRank!$B$2:$C$132,2,FALSE),0))</f>
        <v>72.9</v>
      </c>
      <c r="F271" s="4">
        <f>IFERROR(VLOOKUP(B271,Week13,3,FALSE),130)</f>
        <v>7</v>
      </c>
      <c r="G271" s="4">
        <f>IF(ISBLANK(B271),,IFERROR(VLOOKUP(B271,CurrentRank!$B$2:$D$132,3,FALSE),130))</f>
        <v>9</v>
      </c>
      <c r="H271" s="4">
        <f>IFERROR(VLOOKUP(C271,Week13,2,FALSE),0)</f>
        <v>59.29</v>
      </c>
      <c r="I271" s="4">
        <f>IF(ISBLANK(B271),,IFERROR(VLOOKUP(C271,CurrentRank!$B$2:$C$132,2,FALSE),0))</f>
        <v>37.38</v>
      </c>
      <c r="J271" s="4">
        <f>IFERROR(VLOOKUP(C271,Week13,3,FALSE),130)</f>
        <v>23</v>
      </c>
      <c r="K271" s="4">
        <f>IF(ISBLANK(C271),,IFERROR(VLOOKUP(C271,CurrentRank!$B$2:$D$132,3,FALSE),130))</f>
        <v>43</v>
      </c>
      <c r="L271" s="19">
        <f t="shared" ref="L271:M271" si="129">IF(ISBLANK(C271),,(D271+H271)*0.015)</f>
        <v>2.0952</v>
      </c>
      <c r="M271" s="19">
        <f t="shared" si="129"/>
        <v>1.6542</v>
      </c>
      <c r="N271" s="24">
        <f t="shared" si="124"/>
        <v>15</v>
      </c>
      <c r="O271" s="21">
        <f t="shared" si="4"/>
        <v>9.5024</v>
      </c>
      <c r="P271" s="21">
        <f t="shared" si="125"/>
        <v>16.7124</v>
      </c>
      <c r="Q271" s="22">
        <f t="shared" si="6"/>
        <v>0.877488</v>
      </c>
      <c r="R271" s="25" t="str">
        <f t="shared" si="7"/>
        <v>B+</v>
      </c>
      <c r="S271" s="19" t="str">
        <f t="shared" si="8"/>
        <v/>
      </c>
      <c r="T271" s="19" t="str">
        <f t="shared" si="9"/>
        <v/>
      </c>
      <c r="U271" s="3" t="s">
        <v>203</v>
      </c>
      <c r="V271" s="4" t="str">
        <f>IF(ISBLANK(C271),,IFERROR(IF(VLOOKUP(B271,Standings!$A:$F, 6, 0)=VLOOKUP(C271,Standings!$A:$F, 6, 0), VLOOKUP(B271,Standings!$A:$F, 6, 0), "Non-con"), "FCS"))</f>
        <v>AAC</v>
      </c>
      <c r="W271" s="3" t="str">
        <f t="shared" si="10"/>
        <v>Tulsa</v>
      </c>
      <c r="X271" s="3" t="str">
        <f t="shared" si="11"/>
        <v>Cincinnati</v>
      </c>
      <c r="Y271" s="30">
        <f>IF(D271=0,,IF(ISBLANK(Q271),,VLOOKUP(X271,Week13,2,FALSE)/(VLOOKUP(X271,Week13,2,FALSE)+VLOOKUP(W271,Week13,2,FALSE))+0.05)*100)</f>
        <v>62.55297824</v>
      </c>
      <c r="Z271" s="3"/>
      <c r="AA271" s="3"/>
      <c r="AB271" s="4" t="str">
        <f t="shared" si="20"/>
        <v/>
      </c>
      <c r="AC271" s="3"/>
      <c r="AD271" s="3"/>
      <c r="AE271" s="3" t="str">
        <f t="shared" si="13"/>
        <v/>
      </c>
      <c r="AF271" s="3" t="s">
        <v>228</v>
      </c>
      <c r="AG271" s="3" t="str">
        <f t="shared" si="25"/>
        <v/>
      </c>
      <c r="AH271" s="3"/>
      <c r="AI271" s="7"/>
      <c r="AJ271" s="4" t="s">
        <v>124</v>
      </c>
      <c r="AK271" s="7"/>
      <c r="AL271" s="7"/>
      <c r="AM271" s="7"/>
      <c r="AN271" s="7"/>
      <c r="AO271" s="7"/>
      <c r="AP271" s="7"/>
      <c r="AQ271" s="7"/>
      <c r="AR271" s="7"/>
      <c r="AS271" s="7"/>
      <c r="AT271" s="7"/>
      <c r="AU271" s="7"/>
      <c r="AV271" s="7"/>
      <c r="AW271" s="7"/>
      <c r="AX271" s="7"/>
    </row>
    <row r="272" ht="12.75" hidden="1" customHeight="1">
      <c r="A272" s="3">
        <v>12.0</v>
      </c>
      <c r="B272" s="3" t="s">
        <v>146</v>
      </c>
      <c r="C272" s="3" t="s">
        <v>124</v>
      </c>
      <c r="D272" s="4">
        <f>IFERROR(VLOOKUP(B272,Week11,2,FALSE),0)</f>
        <v>30.13</v>
      </c>
      <c r="E272" s="4">
        <f>IF(ISBLANK(B272),,IFERROR(VLOOKUP(B272,CurrentRank!$B$2:$C$132,2,FALSE),0))</f>
        <v>29.48</v>
      </c>
      <c r="F272" s="4">
        <f>IFERROR(VLOOKUP(B272,Week11,3,FALSE),130)</f>
        <v>105</v>
      </c>
      <c r="G272" s="4">
        <f>IF(ISBLANK(B272),,IFERROR(VLOOKUP(B272,CurrentRank!$B$2:$D$132,3,FALSE),130))</f>
        <v>113</v>
      </c>
      <c r="H272" s="4">
        <f>IFERROR(VLOOKUP(C272,Week11,2,FALSE),0)</f>
        <v>40.55</v>
      </c>
      <c r="I272" s="4">
        <f>IF(ISBLANK(B272),,IFERROR(VLOOKUP(C272,CurrentRank!$B$2:$C$132,2,FALSE),0))</f>
        <v>33.33</v>
      </c>
      <c r="J272" s="4">
        <f>IFERROR(VLOOKUP(C272,Week11,3,FALSE),130)</f>
        <v>40</v>
      </c>
      <c r="K272" s="4">
        <f>IF(ISBLANK(C272),,IFERROR(VLOOKUP(C272,CurrentRank!$B$2:$D$132,3,FALSE),130))</f>
        <v>83</v>
      </c>
      <c r="L272" s="19">
        <f>IF(U272= "Yes", 0, IF(ISBLANK(C272),,(D272+H272)*0.015))</f>
        <v>1.0602</v>
      </c>
      <c r="M272" s="19">
        <f>IF(U272= "Yes", 0, IF(ISBLANK(D272),,(E272+I272)*0.015))</f>
        <v>0.94215</v>
      </c>
      <c r="N272" s="24">
        <f t="shared" si="124"/>
        <v>72.5</v>
      </c>
      <c r="O272" s="21">
        <f t="shared" si="4"/>
        <v>-5.7401</v>
      </c>
      <c r="P272" s="21">
        <f t="shared" si="125"/>
        <v>-2.4551</v>
      </c>
      <c r="Q272" s="22">
        <f t="shared" si="6"/>
        <v>0.6087995</v>
      </c>
      <c r="R272" s="25" t="str">
        <f t="shared" si="7"/>
        <v>D-</v>
      </c>
      <c r="S272" s="19">
        <f t="shared" si="8"/>
        <v>0.5275</v>
      </c>
      <c r="T272" s="19" t="str">
        <f t="shared" si="9"/>
        <v>F</v>
      </c>
      <c r="U272" s="3" t="s">
        <v>203</v>
      </c>
      <c r="V272" s="4" t="str">
        <f>IF(ISBLANK(C272),,IFERROR(IF(VLOOKUP(B272,Standings!$A:$F, 6, 0)=VLOOKUP(C272,Standings!$A:$F, 6, 0), VLOOKUP(B272,Standings!$A:$F, 6, 0), "Non-con"), "FCS"))</f>
        <v>Non-con</v>
      </c>
      <c r="W272" s="3" t="str">
        <f t="shared" si="10"/>
        <v>Massachusetts</v>
      </c>
      <c r="X272" s="3" t="str">
        <f t="shared" si="11"/>
        <v>Florida Atlantic</v>
      </c>
      <c r="Y272" s="30">
        <f>IF(D272=0,,IF(ISBLANK(Q272),,VLOOKUP(X272,Week11,2,FALSE)/(VLOOKUP(X272,Week11,2,FALSE)+VLOOKUP(W272,Week11,2,FALSE))+0.05)*100)</f>
        <v>62.37125071</v>
      </c>
      <c r="Z272" s="3" t="s">
        <v>124</v>
      </c>
      <c r="AA272" s="3">
        <v>24.0</v>
      </c>
      <c r="AB272" s="4" t="str">
        <f t="shared" si="20"/>
        <v>Massachusetts</v>
      </c>
      <c r="AC272" s="3">
        <v>2.0</v>
      </c>
      <c r="AD272" s="3"/>
      <c r="AE272" s="3">
        <f t="shared" si="13"/>
        <v>22</v>
      </c>
      <c r="AF272" s="3"/>
      <c r="AG272" s="3">
        <f t="shared" si="25"/>
        <v>1</v>
      </c>
      <c r="AH272" s="3"/>
      <c r="AI272" s="7"/>
      <c r="AJ272" s="4"/>
      <c r="AK272" s="7"/>
      <c r="AL272" s="7"/>
      <c r="AM272" s="7"/>
      <c r="AN272" s="7"/>
      <c r="AO272" s="7"/>
      <c r="AP272" s="7"/>
      <c r="AQ272" s="7"/>
      <c r="AR272" s="7"/>
      <c r="AS272" s="7"/>
      <c r="AT272" s="7"/>
      <c r="AU272" s="7"/>
      <c r="AV272" s="7"/>
      <c r="AW272" s="7"/>
      <c r="AX272" s="7"/>
    </row>
    <row r="273" ht="12.75" hidden="1" customHeight="1">
      <c r="A273" s="3">
        <v>13.0</v>
      </c>
      <c r="B273" s="3" t="s">
        <v>124</v>
      </c>
      <c r="C273" s="3" t="s">
        <v>200</v>
      </c>
      <c r="D273" s="4">
        <f>IFERROR(VLOOKUP(B273,Week12,2,FALSE),0)</f>
        <v>40.91</v>
      </c>
      <c r="E273" s="4">
        <f>IF(ISBLANK(B273),,IFERROR(VLOOKUP(B273,CurrentRank!$B$2:$C$132,2,FALSE),0))</f>
        <v>33.33</v>
      </c>
      <c r="F273" s="4">
        <f>IFERROR(VLOOKUP(B273,Week12,3,FALSE),130)</f>
        <v>34</v>
      </c>
      <c r="G273" s="4">
        <f>IF(ISBLANK(B273),,IFERROR(VLOOKUP(B273,CurrentRank!$B$2:$D$132,3,FALSE),130))</f>
        <v>83</v>
      </c>
      <c r="H273" s="4">
        <f>IFERROR(VLOOKUP(C273,Week12,2,FALSE),0)</f>
        <v>30.47</v>
      </c>
      <c r="I273" s="4">
        <f>IF(ISBLANK(B273),,IFERROR(VLOOKUP(C273,CurrentRank!$B$2:$C$132,2,FALSE),0))</f>
        <v>32.76</v>
      </c>
      <c r="J273" s="4">
        <f>IFERROR(VLOOKUP(C273,Week12,3,FALSE),130)</f>
        <v>104</v>
      </c>
      <c r="K273" s="4">
        <f>IF(ISBLANK(C273),,IFERROR(VLOOKUP(C273,CurrentRank!$B$2:$D$132,3,FALSE),130))</f>
        <v>89</v>
      </c>
      <c r="L273" s="19">
        <f t="shared" ref="L273:M273" si="130">IF(ISBLANK(C273),,(D273+H273)*0.015)</f>
        <v>1.0707</v>
      </c>
      <c r="M273" s="19">
        <f t="shared" si="130"/>
        <v>0.99135</v>
      </c>
      <c r="N273" s="24">
        <f t="shared" si="124"/>
        <v>69</v>
      </c>
      <c r="O273" s="24">
        <f t="shared" si="4"/>
        <v>4.68465</v>
      </c>
      <c r="P273" s="24">
        <f t="shared" si="125"/>
        <v>-0.25035</v>
      </c>
      <c r="Q273" s="22">
        <f t="shared" si="6"/>
        <v>0.63157675</v>
      </c>
      <c r="R273" s="25" t="str">
        <f t="shared" si="7"/>
        <v>D</v>
      </c>
      <c r="S273" s="19" t="str">
        <f t="shared" si="8"/>
        <v/>
      </c>
      <c r="T273" s="19" t="str">
        <f t="shared" si="9"/>
        <v/>
      </c>
      <c r="U273" s="3" t="s">
        <v>203</v>
      </c>
      <c r="V273" s="4" t="str">
        <f>IF(ISBLANK(C273),,IFERROR(IF(VLOOKUP(B273,Standings!$A:$F, 6, 0)=VLOOKUP(C273,Standings!$A:$F, 6, 0), VLOOKUP(B273,Standings!$A:$F, 6, 0), "Non-con"), "FCS"))</f>
        <v>CUSA</v>
      </c>
      <c r="W273" s="3" t="str">
        <f t="shared" si="10"/>
        <v>Middle Tennessee</v>
      </c>
      <c r="X273" s="3" t="str">
        <f t="shared" si="11"/>
        <v>Florida Atlantic</v>
      </c>
      <c r="Y273" s="30">
        <f>IF(D273=0,,IF(ISBLANK(Q273),,VLOOKUP(X273,Week12,2,FALSE)/(VLOOKUP(X273,Week12,2,FALSE)+VLOOKUP(W273,Week12,2,FALSE))+0.05)*100)</f>
        <v>62.31297282</v>
      </c>
      <c r="Z273" s="3"/>
      <c r="AA273" s="3"/>
      <c r="AB273" s="4" t="str">
        <f t="shared" si="20"/>
        <v/>
      </c>
      <c r="AC273" s="3"/>
      <c r="AD273" s="3"/>
      <c r="AE273" s="3" t="str">
        <f t="shared" si="13"/>
        <v/>
      </c>
      <c r="AF273" s="3" t="s">
        <v>228</v>
      </c>
      <c r="AG273" s="3" t="str">
        <f t="shared" si="25"/>
        <v/>
      </c>
      <c r="AH273" s="3"/>
      <c r="AI273" s="7"/>
      <c r="AJ273" s="4"/>
      <c r="AK273" s="7"/>
      <c r="AL273" s="7"/>
      <c r="AM273" s="7"/>
      <c r="AN273" s="7"/>
      <c r="AO273" s="7"/>
      <c r="AP273" s="7"/>
      <c r="AQ273" s="7"/>
      <c r="AR273" s="7"/>
      <c r="AS273" s="7"/>
      <c r="AT273" s="7"/>
      <c r="AU273" s="7"/>
      <c r="AV273" s="7"/>
      <c r="AW273" s="7"/>
      <c r="AX273" s="7"/>
    </row>
    <row r="274" ht="12.75" hidden="1" customHeight="1">
      <c r="A274" s="3">
        <v>13.0</v>
      </c>
      <c r="B274" s="3" t="s">
        <v>146</v>
      </c>
      <c r="C274" s="3" t="s">
        <v>106</v>
      </c>
      <c r="D274" s="4">
        <f>IFERROR(VLOOKUP(B274,Week12,2,FALSE),0)</f>
        <v>29.77</v>
      </c>
      <c r="E274" s="4">
        <f>IF(ISBLANK(B274),,IFERROR(VLOOKUP(B274,CurrentRank!$B$2:$C$132,2,FALSE),0))</f>
        <v>29.48</v>
      </c>
      <c r="F274" s="4">
        <f>IFERROR(VLOOKUP(B274,Week12,3,FALSE),130)</f>
        <v>110</v>
      </c>
      <c r="G274" s="4">
        <f>IF(ISBLANK(B274),,IFERROR(VLOOKUP(B274,CurrentRank!$B$2:$D$132,3,FALSE),130))</f>
        <v>113</v>
      </c>
      <c r="H274" s="4">
        <f>IFERROR(VLOOKUP(C274,Week12,2,FALSE),0)</f>
        <v>39.97</v>
      </c>
      <c r="I274" s="4">
        <f>IF(ISBLANK(B274),,IFERROR(VLOOKUP(C274,CurrentRank!$B$2:$C$132,2,FALSE),0))</f>
        <v>65.58</v>
      </c>
      <c r="J274" s="4">
        <f>IFERROR(VLOOKUP(C274,Week12,3,FALSE),130)</f>
        <v>40</v>
      </c>
      <c r="K274" s="4">
        <f>IF(ISBLANK(C274),,IFERROR(VLOOKUP(C274,CurrentRank!$B$2:$D$132,3,FALSE),130))</f>
        <v>17</v>
      </c>
      <c r="L274" s="19">
        <f t="shared" ref="L274:L289" si="131">IF(U274= "Yes", 0, IF(ISBLANK(C274),,(D274+H274)*0.015))</f>
        <v>1.0461</v>
      </c>
      <c r="M274" s="19">
        <f t="shared" ref="M274:M289" si="132">IF(U274= "Yes", 0, IF(ISBLANK(D274),,(E274+I274)*0.015))</f>
        <v>1.4259</v>
      </c>
      <c r="N274" s="24">
        <f t="shared" si="124"/>
        <v>75</v>
      </c>
      <c r="O274" s="21">
        <f t="shared" si="4"/>
        <v>-5.62305</v>
      </c>
      <c r="P274" s="21">
        <f t="shared" si="125"/>
        <v>-18.57305</v>
      </c>
      <c r="Q274" s="22">
        <f t="shared" si="6"/>
        <v>0.59688475</v>
      </c>
      <c r="R274" s="25" t="str">
        <f t="shared" si="7"/>
        <v>D-</v>
      </c>
      <c r="S274" s="19">
        <f t="shared" si="8"/>
        <v>0.4</v>
      </c>
      <c r="T274" s="19" t="str">
        <f t="shared" si="9"/>
        <v>F</v>
      </c>
      <c r="U274" s="3" t="s">
        <v>203</v>
      </c>
      <c r="V274" s="4" t="str">
        <f>IF(ISBLANK(C274),,IFERROR(IF(VLOOKUP(B274,Standings!$A:$F, 6, 0)=VLOOKUP(C274,Standings!$A:$F, 6, 0), VLOOKUP(B274,Standings!$A:$F, 6, 0), "Non-con"), "FCS"))</f>
        <v>IND</v>
      </c>
      <c r="W274" s="3" t="str">
        <f t="shared" si="10"/>
        <v>Massachusetts</v>
      </c>
      <c r="X274" s="3" t="str">
        <f t="shared" si="11"/>
        <v>Liberty</v>
      </c>
      <c r="Y274" s="30">
        <f>IF(D274=0,,IF(ISBLANK(Q274),,VLOOKUP(X274,Week12,2,FALSE)/(VLOOKUP(X274,Week12,2,FALSE)+VLOOKUP(W274,Week12,2,FALSE))+0.05)*100)</f>
        <v>62.3128764</v>
      </c>
      <c r="Z274" s="3" t="s">
        <v>106</v>
      </c>
      <c r="AA274" s="3">
        <v>45.0</v>
      </c>
      <c r="AB274" s="4" t="str">
        <f t="shared" si="20"/>
        <v>Massachusetts</v>
      </c>
      <c r="AC274" s="3">
        <v>0.0</v>
      </c>
      <c r="AD274" s="3"/>
      <c r="AE274" s="3">
        <f t="shared" si="13"/>
        <v>45</v>
      </c>
      <c r="AF274" s="3"/>
      <c r="AG274" s="3">
        <f t="shared" si="25"/>
        <v>1</v>
      </c>
      <c r="AH274" s="3"/>
      <c r="AI274" s="7"/>
      <c r="AJ274" s="4"/>
      <c r="AM274" s="7"/>
      <c r="AN274" s="7"/>
      <c r="AO274" s="7"/>
      <c r="AP274" s="7"/>
      <c r="AQ274" s="7"/>
      <c r="AR274" s="7"/>
      <c r="AS274" s="7"/>
      <c r="AT274" s="7"/>
      <c r="AU274" s="7"/>
      <c r="AV274" s="7"/>
      <c r="AW274" s="7"/>
      <c r="AX274" s="7"/>
    </row>
    <row r="275" ht="12.75" customHeight="1">
      <c r="A275" s="3">
        <v>2.0</v>
      </c>
      <c r="B275" s="3" t="s">
        <v>119</v>
      </c>
      <c r="C275" s="3" t="s">
        <v>40</v>
      </c>
      <c r="D275" s="4">
        <f>IFERROR(VLOOKUP(B275,Week1,2,FALSE),0)</f>
        <v>12.23</v>
      </c>
      <c r="E275" s="4">
        <f>IF(ISBLANK(B275),,IFERROR(VLOOKUP(B275,CurrentRank!$B$2:$C$132,2,FALSE),0))</f>
        <v>31.96</v>
      </c>
      <c r="F275" s="4">
        <f>IFERROR(VLOOKUP(B275,Week1,3,FALSE),130)</f>
        <v>33</v>
      </c>
      <c r="G275" s="4">
        <f>IF(ISBLANK(B275),,IFERROR(VLOOKUP(B275,CurrentRank!$B$2:$D$132,3,FALSE),130))</f>
        <v>94</v>
      </c>
      <c r="H275" s="4">
        <f>IFERROR(VLOOKUP(C275,Week1,2,FALSE),0)</f>
        <v>6.67</v>
      </c>
      <c r="I275" s="4">
        <f>IF(ISBLANK(B275),,IFERROR(VLOOKUP(C275,CurrentRank!$B$2:$C$132,2,FALSE),0))</f>
        <v>57.15</v>
      </c>
      <c r="J275" s="4">
        <f>IFERROR(VLOOKUP(C275,Week1,3,FALSE),130)</f>
        <v>35</v>
      </c>
      <c r="K275" s="4">
        <f>IF(ISBLANK(C275),,IFERROR(VLOOKUP(C275,CurrentRank!$B$2:$D$132,3,FALSE),130))</f>
        <v>23</v>
      </c>
      <c r="L275" s="19">
        <f t="shared" si="131"/>
        <v>0.2835</v>
      </c>
      <c r="M275" s="19">
        <f t="shared" si="132"/>
        <v>1.33665</v>
      </c>
      <c r="N275" s="24">
        <f t="shared" si="124"/>
        <v>34</v>
      </c>
      <c r="O275" s="21">
        <f t="shared" si="4"/>
        <v>2.63825</v>
      </c>
      <c r="P275" s="21">
        <f t="shared" si="125"/>
        <v>-12.73675</v>
      </c>
      <c r="Q275" s="22">
        <f t="shared" si="6"/>
        <v>0.81680875</v>
      </c>
      <c r="R275" s="25" t="str">
        <f t="shared" si="7"/>
        <v>B-</v>
      </c>
      <c r="S275" s="19">
        <f t="shared" si="8"/>
        <v>0.745</v>
      </c>
      <c r="T275" s="19" t="str">
        <f t="shared" si="9"/>
        <v>C</v>
      </c>
      <c r="U275" s="3" t="s">
        <v>203</v>
      </c>
      <c r="V275" s="4" t="str">
        <f>IF(ISBLANK(C275),,IFERROR(IF(VLOOKUP(B275,Standings!$A:$F, 6, 0)=VLOOKUP(C275,Standings!$A:$F, 6, 0), VLOOKUP(B275,Standings!$A:$F, 6, 0), "Non-con"), "FCS"))</f>
        <v>Non-con</v>
      </c>
      <c r="W275" s="3" t="str">
        <f t="shared" si="10"/>
        <v>Miami</v>
      </c>
      <c r="X275" s="3" t="str">
        <f t="shared" si="11"/>
        <v>UAB</v>
      </c>
      <c r="Y275" s="30">
        <f>IF(D275=0,,IF(ISBLANK(Q275),,VLOOKUP(X275,Week1,2,FALSE)/(VLOOKUP(X275,Week1,2,FALSE)+VLOOKUP(W275,Week1,2,FALSE))+0.05)*100)</f>
        <v>69.70899471</v>
      </c>
      <c r="Z275" s="3" t="s">
        <v>40</v>
      </c>
      <c r="AA275" s="3">
        <v>31.0</v>
      </c>
      <c r="AB275" s="4" t="str">
        <f t="shared" si="20"/>
        <v>UAB</v>
      </c>
      <c r="AC275" s="3">
        <v>14.0</v>
      </c>
      <c r="AD275" s="3"/>
      <c r="AE275" s="3">
        <f t="shared" si="13"/>
        <v>17</v>
      </c>
      <c r="AF275" s="3"/>
      <c r="AG275" s="3">
        <f t="shared" si="25"/>
        <v>0</v>
      </c>
      <c r="AH275" s="3"/>
      <c r="AI275" s="7"/>
      <c r="AJ275" s="4"/>
      <c r="AK275" s="7"/>
      <c r="AL275" s="7"/>
      <c r="AM275" s="7"/>
      <c r="AN275" s="7"/>
      <c r="AO275" s="7"/>
      <c r="AP275" s="7"/>
      <c r="AQ275" s="7"/>
      <c r="AR275" s="7"/>
      <c r="AS275" s="7"/>
      <c r="AT275" s="7"/>
      <c r="AU275" s="7"/>
      <c r="AV275" s="7"/>
      <c r="AW275" s="7"/>
      <c r="AX275" s="7"/>
    </row>
    <row r="276" ht="12.75" hidden="1" customHeight="1">
      <c r="A276" s="3">
        <v>11.0</v>
      </c>
      <c r="B276" s="8" t="s">
        <v>167</v>
      </c>
      <c r="C276" s="3" t="s">
        <v>182</v>
      </c>
      <c r="D276" s="4">
        <f>IFERROR(VLOOKUP(B276,Week10,2,FALSE),0)</f>
        <v>32.6</v>
      </c>
      <c r="E276" s="4">
        <f>IF(ISBLANK(B276),,IFERROR(VLOOKUP(B276,CurrentRank!$B$2:$C$132,2,FALSE),0))</f>
        <v>29.87</v>
      </c>
      <c r="F276" s="4">
        <f>IFERROR(VLOOKUP(B276,Week10,3,FALSE),130)</f>
        <v>78</v>
      </c>
      <c r="G276" s="4">
        <f>IF(ISBLANK(B276),,IFERROR(VLOOKUP(B276,CurrentRank!$B$2:$D$132,3,FALSE),130))</f>
        <v>111</v>
      </c>
      <c r="H276" s="4">
        <f>IFERROR(VLOOKUP(C276,Week10,2,FALSE),0)</f>
        <v>43.64</v>
      </c>
      <c r="I276" s="4">
        <f>IF(ISBLANK(B276),,IFERROR(VLOOKUP(C276,CurrentRank!$B$2:$C$132,2,FALSE),0))</f>
        <v>51.02</v>
      </c>
      <c r="J276" s="4">
        <f>IFERROR(VLOOKUP(C276,Week10,3,FALSE),130)</f>
        <v>28</v>
      </c>
      <c r="K276" s="4">
        <f>IF(ISBLANK(C276),,IFERROR(VLOOKUP(C276,CurrentRank!$B$2:$D$132,3,FALSE),130))</f>
        <v>25</v>
      </c>
      <c r="L276" s="19">
        <f t="shared" si="131"/>
        <v>1.1436</v>
      </c>
      <c r="M276" s="19">
        <f t="shared" si="132"/>
        <v>1.21335</v>
      </c>
      <c r="N276" s="24">
        <f t="shared" si="124"/>
        <v>53</v>
      </c>
      <c r="O276" s="21">
        <f t="shared" si="4"/>
        <v>-6.0918</v>
      </c>
      <c r="P276" s="21">
        <f t="shared" si="125"/>
        <v>-11.1468</v>
      </c>
      <c r="Q276" s="22">
        <f t="shared" si="6"/>
        <v>0.704541</v>
      </c>
      <c r="R276" s="25" t="str">
        <f t="shared" si="7"/>
        <v>C-</v>
      </c>
      <c r="S276" s="19">
        <f t="shared" si="8"/>
        <v>0.65</v>
      </c>
      <c r="T276" s="19" t="str">
        <f t="shared" si="9"/>
        <v>D</v>
      </c>
      <c r="U276" s="3" t="s">
        <v>203</v>
      </c>
      <c r="V276" s="4" t="str">
        <f>IF(ISBLANK(C276),,IFERROR(IF(VLOOKUP(B276,Standings!$A:$F, 6, 0)=VLOOKUP(C276,Standings!$A:$F, 6, 0), VLOOKUP(B276,Standings!$A:$F, 6, 0), "Non-con"), "FCS"))</f>
        <v>MWC</v>
      </c>
      <c r="W276" s="3" t="str">
        <f t="shared" si="10"/>
        <v>UNLV</v>
      </c>
      <c r="X276" s="3" t="str">
        <f t="shared" si="11"/>
        <v>San Jose State</v>
      </c>
      <c r="Y276" s="30">
        <f>IF(D276=0,,IF(ISBLANK(Q276),,VLOOKUP(X276,Week10,2,FALSE)/(VLOOKUP(X276,Week10,2,FALSE)+VLOOKUP(W276,Week10,2,FALSE))+0.05)*100)</f>
        <v>62.24029381</v>
      </c>
      <c r="Z276" s="3" t="s">
        <v>182</v>
      </c>
      <c r="AA276" s="3">
        <v>34.0</v>
      </c>
      <c r="AB276" s="4" t="str">
        <f t="shared" si="20"/>
        <v>UNLV</v>
      </c>
      <c r="AC276" s="3">
        <v>17.0</v>
      </c>
      <c r="AD276" s="3"/>
      <c r="AE276" s="3">
        <f t="shared" si="13"/>
        <v>17</v>
      </c>
      <c r="AF276" s="3"/>
      <c r="AG276" s="3">
        <f t="shared" si="25"/>
        <v>1</v>
      </c>
      <c r="AH276" s="3"/>
      <c r="AI276" s="7"/>
      <c r="AJ276" s="4"/>
      <c r="AK276" s="7"/>
      <c r="AL276" s="7"/>
      <c r="AM276" s="7"/>
      <c r="AN276" s="7"/>
      <c r="AO276" s="7"/>
      <c r="AP276" s="7"/>
      <c r="AQ276" s="7"/>
      <c r="AR276" s="7"/>
      <c r="AS276" s="7"/>
      <c r="AT276" s="7"/>
      <c r="AU276" s="7"/>
      <c r="AV276" s="7"/>
      <c r="AW276" s="7"/>
      <c r="AX276" s="7"/>
    </row>
    <row r="277" ht="12.75" hidden="1" customHeight="1">
      <c r="A277" s="3">
        <v>14.0</v>
      </c>
      <c r="B277" s="3" t="s">
        <v>108</v>
      </c>
      <c r="C277" s="3" t="s">
        <v>109</v>
      </c>
      <c r="D277" s="4">
        <f>IFERROR(VLOOKUP(B277,Week13,2,FALSE),0)</f>
        <v>30.43</v>
      </c>
      <c r="E277" s="4">
        <f>IF(ISBLANK(B277),,IFERROR(VLOOKUP(B277,CurrentRank!$B$2:$C$132,2,FALSE),0))</f>
        <v>30.15</v>
      </c>
      <c r="F277" s="4">
        <f>IFERROR(VLOOKUP(B277,Week13,3,FALSE),130)</f>
        <v>106</v>
      </c>
      <c r="G277" s="4">
        <f>IF(ISBLANK(B277),,IFERROR(VLOOKUP(B277,CurrentRank!$B$2:$D$132,3,FALSE),130))</f>
        <v>109</v>
      </c>
      <c r="H277" s="4">
        <f>IFERROR(VLOOKUP(C277,Week13,2,FALSE),0)</f>
        <v>40.72</v>
      </c>
      <c r="I277" s="4">
        <f>IF(ISBLANK(B277),,IFERROR(VLOOKUP(C277,CurrentRank!$B$2:$C$132,2,FALSE),0))</f>
        <v>37.82</v>
      </c>
      <c r="J277" s="4">
        <f>IFERROR(VLOOKUP(C277,Week13,3,FALSE),130)</f>
        <v>34</v>
      </c>
      <c r="K277" s="4">
        <f>IF(ISBLANK(C277),,IFERROR(VLOOKUP(C277,CurrentRank!$B$2:$D$132,3,FALSE),130))</f>
        <v>40</v>
      </c>
      <c r="L277" s="19">
        <f t="shared" si="131"/>
        <v>1.06725</v>
      </c>
      <c r="M277" s="19">
        <f t="shared" si="132"/>
        <v>1.01955</v>
      </c>
      <c r="N277" s="24">
        <f t="shared" si="124"/>
        <v>70</v>
      </c>
      <c r="O277" s="21">
        <f t="shared" si="4"/>
        <v>-5.678625</v>
      </c>
      <c r="P277" s="21">
        <f t="shared" si="125"/>
        <v>-4.368625</v>
      </c>
      <c r="Q277" s="22">
        <f t="shared" si="6"/>
        <v>0.621606875</v>
      </c>
      <c r="R277" s="25" t="str">
        <f t="shared" si="7"/>
        <v>D-</v>
      </c>
      <c r="S277" s="19">
        <f t="shared" si="8"/>
        <v>0.6</v>
      </c>
      <c r="T277" s="19" t="str">
        <f t="shared" si="9"/>
        <v>D-</v>
      </c>
      <c r="U277" s="3" t="s">
        <v>203</v>
      </c>
      <c r="V277" s="4" t="str">
        <f>IF(ISBLANK(C277),,IFERROR(IF(VLOOKUP(B277,Standings!$A:$F, 6, 0)=VLOOKUP(C277,Standings!$A:$F, 6, 0), VLOOKUP(B277,Standings!$A:$F, 6, 0), "Non-con"), "FCS"))</f>
        <v>ACC</v>
      </c>
      <c r="W277" s="3" t="str">
        <f t="shared" si="10"/>
        <v>Georgia Tech</v>
      </c>
      <c r="X277" s="3" t="str">
        <f t="shared" si="11"/>
        <v>North Carolina State</v>
      </c>
      <c r="Y277" s="30">
        <f>IF(D277=0,,IF(ISBLANK(Q277),,VLOOKUP(X277,Week13,2,FALSE)/(VLOOKUP(X277,Week13,2,FALSE)+VLOOKUP(W277,Week13,2,FALSE))+0.05)*100)</f>
        <v>62.23120169</v>
      </c>
      <c r="Z277" s="3" t="s">
        <v>109</v>
      </c>
      <c r="AA277" s="3">
        <v>23.0</v>
      </c>
      <c r="AB277" s="4" t="str">
        <f t="shared" si="20"/>
        <v>Georgia Tech</v>
      </c>
      <c r="AC277" s="3">
        <v>13.0</v>
      </c>
      <c r="AD277" s="3"/>
      <c r="AE277" s="3">
        <f t="shared" si="13"/>
        <v>10</v>
      </c>
      <c r="AF277" s="3"/>
      <c r="AG277" s="3">
        <f t="shared" si="25"/>
        <v>1</v>
      </c>
      <c r="AH277" s="3"/>
      <c r="AI277" s="7"/>
      <c r="AJ277" s="4"/>
      <c r="AK277" s="7"/>
      <c r="AL277" s="7"/>
      <c r="AM277" s="7"/>
      <c r="AN277" s="7"/>
      <c r="AO277" s="7"/>
      <c r="AP277" s="7"/>
      <c r="AQ277" s="7"/>
      <c r="AR277" s="7"/>
      <c r="AS277" s="7"/>
      <c r="AT277" s="7"/>
      <c r="AU277" s="7"/>
      <c r="AV277" s="7"/>
      <c r="AW277" s="7"/>
      <c r="AX277" s="7"/>
    </row>
    <row r="278" ht="12.75" hidden="1" customHeight="1">
      <c r="A278" s="3">
        <v>9.0</v>
      </c>
      <c r="B278" s="3" t="s">
        <v>164</v>
      </c>
      <c r="C278" s="3" t="s">
        <v>167</v>
      </c>
      <c r="D278" s="4">
        <f>IFERROR(VLOOKUP(B278,Week8,2,FALSE),0)</f>
        <v>38.98</v>
      </c>
      <c r="E278" s="4">
        <f>IF(ISBLANK(B278),,IFERROR(VLOOKUP(B278,CurrentRank!$B$2:$C$132,2,FALSE),0))</f>
        <v>37.5</v>
      </c>
      <c r="F278" s="4">
        <f>IFERROR(VLOOKUP(B278,Week8,3,FALSE),130)</f>
        <v>40</v>
      </c>
      <c r="G278" s="4">
        <f>IF(ISBLANK(B278),,IFERROR(VLOOKUP(B278,CurrentRank!$B$2:$D$132,3,FALSE),130))</f>
        <v>41</v>
      </c>
      <c r="H278" s="4">
        <f>IFERROR(VLOOKUP(C278,Week8,2,FALSE),0)</f>
        <v>29.19</v>
      </c>
      <c r="I278" s="4">
        <f>IF(ISBLANK(B278),,IFERROR(VLOOKUP(C278,CurrentRank!$B$2:$C$132,2,FALSE),0))</f>
        <v>29.87</v>
      </c>
      <c r="J278" s="4">
        <f>IFERROR(VLOOKUP(C278,Week8,3,FALSE),130)</f>
        <v>112</v>
      </c>
      <c r="K278" s="4">
        <f>IF(ISBLANK(C278),,IFERROR(VLOOKUP(C278,CurrentRank!$B$2:$D$132,3,FALSE),130))</f>
        <v>111</v>
      </c>
      <c r="L278" s="19">
        <f t="shared" si="131"/>
        <v>1.02255</v>
      </c>
      <c r="M278" s="19">
        <f t="shared" si="132"/>
        <v>1.01055</v>
      </c>
      <c r="N278" s="24">
        <f t="shared" si="124"/>
        <v>76</v>
      </c>
      <c r="O278" s="21">
        <f t="shared" si="4"/>
        <v>4.383725</v>
      </c>
      <c r="P278" s="21">
        <f t="shared" si="125"/>
        <v>3.303725</v>
      </c>
      <c r="Q278" s="22">
        <f t="shared" si="6"/>
        <v>0.598081375</v>
      </c>
      <c r="R278" s="25" t="str">
        <f t="shared" si="7"/>
        <v>D-</v>
      </c>
      <c r="S278" s="19">
        <f t="shared" si="8"/>
        <v>0.53</v>
      </c>
      <c r="T278" s="19" t="str">
        <f t="shared" si="9"/>
        <v>F</v>
      </c>
      <c r="U278" s="3" t="s">
        <v>203</v>
      </c>
      <c r="V278" s="4" t="str">
        <f>IF(ISBLANK(C278),,IFERROR(IF(VLOOKUP(B278,Standings!$A:$F, 6, 0)=VLOOKUP(C278,Standings!$A:$F, 6, 0), VLOOKUP(B278,Standings!$A:$F, 6, 0), "Non-con"), "FCS"))</f>
        <v>MWC</v>
      </c>
      <c r="W278" s="3" t="str">
        <f t="shared" si="10"/>
        <v>UNLV</v>
      </c>
      <c r="X278" s="3" t="str">
        <f t="shared" si="11"/>
        <v>Nevada</v>
      </c>
      <c r="Y278" s="30">
        <f>IF(D278=0,,IF(ISBLANK(Q278),,VLOOKUP(X278,Week8,2,FALSE)/(VLOOKUP(X278,Week8,2,FALSE)+VLOOKUP(W278,Week8,2,FALSE))+0.05)*100)</f>
        <v>62.18057797</v>
      </c>
      <c r="Z278" s="3" t="s">
        <v>164</v>
      </c>
      <c r="AA278" s="3">
        <v>37.0</v>
      </c>
      <c r="AB278" s="4" t="str">
        <f t="shared" si="20"/>
        <v>UNLV</v>
      </c>
      <c r="AC278" s="3">
        <v>19.0</v>
      </c>
      <c r="AD278" s="3"/>
      <c r="AE278" s="3">
        <f t="shared" si="13"/>
        <v>18</v>
      </c>
      <c r="AF278" s="3"/>
      <c r="AG278" s="3">
        <f t="shared" si="25"/>
        <v>1</v>
      </c>
      <c r="AH278" s="3"/>
      <c r="AI278" s="7"/>
      <c r="AJ278" s="4"/>
      <c r="AK278" s="7"/>
      <c r="AL278" s="7"/>
      <c r="AM278" s="7"/>
      <c r="AN278" s="7"/>
      <c r="AO278" s="7"/>
      <c r="AP278" s="7"/>
      <c r="AQ278" s="7"/>
      <c r="AR278" s="7"/>
      <c r="AS278" s="7"/>
      <c r="AT278" s="7"/>
      <c r="AU278" s="7"/>
      <c r="AV278" s="7"/>
      <c r="AW278" s="7"/>
      <c r="AX278" s="7"/>
    </row>
    <row r="279" ht="12.75" customHeight="1">
      <c r="A279" s="3">
        <v>15.0</v>
      </c>
      <c r="B279" s="3" t="s">
        <v>38</v>
      </c>
      <c r="C279" s="3" t="s">
        <v>40</v>
      </c>
      <c r="D279" s="4">
        <f>IFERROR(VLOOKUP(B279,Week14,2,FALSE),0)</f>
        <v>59.9</v>
      </c>
      <c r="E279" s="4">
        <f>IF(ISBLANK(B279),,IFERROR(VLOOKUP(B279,CurrentRank!$B$2:$C$132,2,FALSE),0))</f>
        <v>63.1</v>
      </c>
      <c r="F279" s="4">
        <f>IFERROR(VLOOKUP(B279,Week14,3,FALSE),130)</f>
        <v>21</v>
      </c>
      <c r="G279" s="4">
        <f>IF(ISBLANK(B279),,IFERROR(VLOOKUP(B279,CurrentRank!$B$2:$D$132,3,FALSE),130))</f>
        <v>18</v>
      </c>
      <c r="H279" s="4">
        <f>IFERROR(VLOOKUP(C279,Week14,2,FALSE),0)</f>
        <v>79.1</v>
      </c>
      <c r="I279" s="4">
        <f>IF(ISBLANK(B279),,IFERROR(VLOOKUP(C279,CurrentRank!$B$2:$C$132,2,FALSE),0))</f>
        <v>57.15</v>
      </c>
      <c r="J279" s="4">
        <f>IFERROR(VLOOKUP(C279,Week14,3,FALSE),130)</f>
        <v>9</v>
      </c>
      <c r="K279" s="4">
        <f>IF(ISBLANK(C279),,IFERROR(VLOOKUP(C279,CurrentRank!$B$2:$D$132,3,FALSE),130))</f>
        <v>23</v>
      </c>
      <c r="L279" s="19">
        <f t="shared" si="131"/>
        <v>2.085</v>
      </c>
      <c r="M279" s="19">
        <f t="shared" si="132"/>
        <v>1.80375</v>
      </c>
      <c r="N279" s="24">
        <f t="shared" si="124"/>
        <v>15</v>
      </c>
      <c r="O279" s="21">
        <f t="shared" si="4"/>
        <v>-10.6425</v>
      </c>
      <c r="P279" s="21">
        <f t="shared" si="125"/>
        <v>1.9325</v>
      </c>
      <c r="Q279" s="22">
        <f t="shared" si="6"/>
        <v>0.8717875</v>
      </c>
      <c r="R279" s="25" t="str">
        <f t="shared" si="7"/>
        <v>B+</v>
      </c>
      <c r="S279" s="19">
        <f t="shared" si="8"/>
        <v>0.745</v>
      </c>
      <c r="T279" s="19" t="str">
        <f t="shared" si="9"/>
        <v>C</v>
      </c>
      <c r="U279" s="3" t="s">
        <v>203</v>
      </c>
      <c r="V279" s="4" t="str">
        <f>IF(ISBLANK(C279),,IFERROR(IF(VLOOKUP(B279,Standings!$A:$F, 6, 0)=VLOOKUP(C279,Standings!$A:$F, 6, 0), VLOOKUP(B279,Standings!$A:$F, 6, 0), "Non-con"), "FCS"))</f>
        <v>ACC</v>
      </c>
      <c r="W279" s="3" t="str">
        <f t="shared" si="10"/>
        <v>North Carolina</v>
      </c>
      <c r="X279" s="3" t="str">
        <f t="shared" si="11"/>
        <v>Miami</v>
      </c>
      <c r="Y279" s="30">
        <f>IF(D279=0,,IF(ISBLANK(Q279),,VLOOKUP(X279,Week14,2,FALSE)/(VLOOKUP(X279,Week14,2,FALSE)+VLOOKUP(W279,Week14,2,FALSE))+0.05)*100)</f>
        <v>61.90647482</v>
      </c>
      <c r="Z279" s="3" t="s">
        <v>38</v>
      </c>
      <c r="AA279" s="3">
        <v>62.0</v>
      </c>
      <c r="AB279" s="4" t="str">
        <f t="shared" si="20"/>
        <v>Miami</v>
      </c>
      <c r="AC279" s="3">
        <v>26.0</v>
      </c>
      <c r="AD279" s="3"/>
      <c r="AE279" s="3">
        <f t="shared" si="13"/>
        <v>36</v>
      </c>
      <c r="AF279" s="3"/>
      <c r="AG279" s="3"/>
      <c r="AH279" s="3"/>
      <c r="AI279" s="7"/>
      <c r="AJ279" s="4"/>
      <c r="AK279" s="7"/>
      <c r="AL279" s="7"/>
      <c r="AM279" s="7"/>
      <c r="AN279" s="7"/>
      <c r="AO279" s="7"/>
      <c r="AP279" s="7"/>
      <c r="AQ279" s="7"/>
      <c r="AR279" s="7"/>
      <c r="AS279" s="7"/>
      <c r="AT279" s="7"/>
      <c r="AU279" s="7"/>
      <c r="AV279" s="7"/>
      <c r="AW279" s="7"/>
      <c r="AX279" s="7"/>
    </row>
    <row r="280" ht="12.75" hidden="1" customHeight="1">
      <c r="A280" s="3">
        <v>16.0</v>
      </c>
      <c r="B280" s="3" t="s">
        <v>23</v>
      </c>
      <c r="C280" s="3" t="s">
        <v>48</v>
      </c>
      <c r="D280" s="4">
        <f>IFERROR(VLOOKUP(B280,Week15,2,FALSE),0)</f>
        <v>96.09</v>
      </c>
      <c r="E280" s="4">
        <f>IF(ISBLANK(B280),,IFERROR(VLOOKUP(B280,CurrentRank!$B$2:$C$132,2,FALSE),0))</f>
        <v>96.59</v>
      </c>
      <c r="F280" s="4">
        <f>IFERROR(VLOOKUP(B280,Week15,3,FALSE),130)</f>
        <v>1</v>
      </c>
      <c r="G280" s="4">
        <f>IF(ISBLANK(B280),,IFERROR(VLOOKUP(B280,CurrentRank!$B$2:$D$132,3,FALSE),130))</f>
        <v>1</v>
      </c>
      <c r="H280" s="4">
        <f>IFERROR(VLOOKUP(C280,Week15,2,FALSE),0)</f>
        <v>72.09</v>
      </c>
      <c r="I280" s="4">
        <f>IF(ISBLANK(B280),,IFERROR(VLOOKUP(C280,CurrentRank!$B$2:$C$132,2,FALSE),0))</f>
        <v>68.03</v>
      </c>
      <c r="J280" s="4">
        <f>IFERROR(VLOOKUP(C280,Week15,3,FALSE),130)</f>
        <v>13</v>
      </c>
      <c r="K280" s="4">
        <f>IF(ISBLANK(C280),,IFERROR(VLOOKUP(C280,CurrentRank!$B$2:$D$132,3,FALSE),130))</f>
        <v>16</v>
      </c>
      <c r="L280" s="19">
        <f t="shared" si="131"/>
        <v>0</v>
      </c>
      <c r="M280" s="19">
        <f t="shared" si="132"/>
        <v>0</v>
      </c>
      <c r="N280" s="24">
        <f t="shared" si="124"/>
        <v>7</v>
      </c>
      <c r="O280" s="21">
        <f t="shared" si="4"/>
        <v>12</v>
      </c>
      <c r="P280" s="21">
        <f t="shared" si="125"/>
        <v>14.28</v>
      </c>
      <c r="Q280" s="22">
        <f t="shared" si="6"/>
        <v>0.905</v>
      </c>
      <c r="R280" s="25" t="str">
        <f t="shared" si="7"/>
        <v>A-</v>
      </c>
      <c r="S280" s="19">
        <f t="shared" si="8"/>
        <v>0.935</v>
      </c>
      <c r="T280" s="19" t="str">
        <f t="shared" si="9"/>
        <v>A</v>
      </c>
      <c r="U280" s="3" t="s">
        <v>223</v>
      </c>
      <c r="V280" s="4" t="str">
        <f>IF(ISBLANK(C280),,IFERROR(IF(VLOOKUP(B280,Standings!$A:$F, 6, 0)=VLOOKUP(C280,Standings!$A:$F, 6, 0), VLOOKUP(B280,Standings!$A:$F, 6, 0), "Non-con"), "FCS"))</f>
        <v>SEC</v>
      </c>
      <c r="W280" s="3" t="str">
        <f t="shared" si="10"/>
        <v>Florida</v>
      </c>
      <c r="X280" s="3" t="str">
        <f t="shared" si="11"/>
        <v>Alabama</v>
      </c>
      <c r="Y280" s="30">
        <f>IF(D280=0,,IF(ISBLANK(Q280),,VLOOKUP(X280,Week15,2,FALSE)/(VLOOKUP(X280,Week15,2,FALSE)+VLOOKUP(W280,Week15,2,FALSE))+0.05)*100)</f>
        <v>62.13521227</v>
      </c>
      <c r="Z280" s="3" t="s">
        <v>23</v>
      </c>
      <c r="AA280" s="3">
        <v>52.0</v>
      </c>
      <c r="AB280" s="4" t="str">
        <f t="shared" si="20"/>
        <v>Florida</v>
      </c>
      <c r="AC280" s="3">
        <v>46.0</v>
      </c>
      <c r="AD280" s="3"/>
      <c r="AE280" s="3">
        <f t="shared" si="13"/>
        <v>6</v>
      </c>
      <c r="AF280" s="3" t="s">
        <v>233</v>
      </c>
      <c r="AG280" s="3">
        <f t="shared" ref="AG280:AG1005" si="133">IF(ISBLANK(S280),,If(X280=Z280, 1, 0))</f>
        <v>1</v>
      </c>
      <c r="AH280" s="3"/>
      <c r="AI280" s="7"/>
      <c r="AJ280" s="4"/>
      <c r="AK280" s="7"/>
      <c r="AL280" s="7"/>
      <c r="AM280" s="7"/>
      <c r="AN280" s="7"/>
      <c r="AO280" s="7"/>
      <c r="AP280" s="7"/>
      <c r="AQ280" s="7"/>
      <c r="AR280" s="7"/>
      <c r="AS280" s="7"/>
      <c r="AT280" s="7"/>
      <c r="AU280" s="7"/>
      <c r="AV280" s="7"/>
      <c r="AW280" s="7"/>
      <c r="AX280" s="7"/>
    </row>
    <row r="281" ht="12.75" hidden="1" customHeight="1">
      <c r="A281" s="3">
        <v>9.0</v>
      </c>
      <c r="B281" s="3" t="s">
        <v>176</v>
      </c>
      <c r="C281" s="3" t="s">
        <v>107</v>
      </c>
      <c r="D281" s="4">
        <f>IFERROR(VLOOKUP(B281,Week8,2,FALSE),0)</f>
        <v>47.49</v>
      </c>
      <c r="E281" s="4">
        <f>IF(ISBLANK(B281),,IFERROR(VLOOKUP(B281,CurrentRank!$B$2:$C$132,2,FALSE),0))</f>
        <v>38.02</v>
      </c>
      <c r="F281" s="4">
        <f>IFERROR(VLOOKUP(B281,Week8,3,FALSE),130)</f>
        <v>28</v>
      </c>
      <c r="G281" s="4">
        <f>IF(ISBLANK(B281),,IFERROR(VLOOKUP(B281,CurrentRank!$B$2:$D$132,3,FALSE),130))</f>
        <v>38</v>
      </c>
      <c r="H281" s="4">
        <f>IFERROR(VLOOKUP(C281,Week8,2,FALSE),0)</f>
        <v>35.63</v>
      </c>
      <c r="I281" s="4">
        <f>IF(ISBLANK(B281),,IFERROR(VLOOKUP(C281,CurrentRank!$B$2:$C$132,2,FALSE),0))</f>
        <v>35.54</v>
      </c>
      <c r="J281" s="4">
        <f>IFERROR(VLOOKUP(C281,Week8,3,FALSE),130)</f>
        <v>58</v>
      </c>
      <c r="K281" s="4">
        <f>IF(ISBLANK(C281),,IFERROR(VLOOKUP(C281,CurrentRank!$B$2:$D$132,3,FALSE),130))</f>
        <v>57</v>
      </c>
      <c r="L281" s="19">
        <f t="shared" si="131"/>
        <v>1.2468</v>
      </c>
      <c r="M281" s="19">
        <f t="shared" si="132"/>
        <v>1.1034</v>
      </c>
      <c r="N281" s="24">
        <f t="shared" si="124"/>
        <v>43</v>
      </c>
      <c r="O281" s="21">
        <f t="shared" si="4"/>
        <v>5.3066</v>
      </c>
      <c r="P281" s="21">
        <f t="shared" si="125"/>
        <v>0.6166</v>
      </c>
      <c r="Q281" s="22">
        <f t="shared" si="6"/>
        <v>0.758467</v>
      </c>
      <c r="R281" s="25" t="str">
        <f t="shared" si="7"/>
        <v>C</v>
      </c>
      <c r="S281" s="19">
        <f t="shared" si="8"/>
        <v>0.69</v>
      </c>
      <c r="T281" s="19" t="str">
        <f t="shared" si="9"/>
        <v>D+</v>
      </c>
      <c r="U281" s="3" t="s">
        <v>203</v>
      </c>
      <c r="V281" s="4" t="str">
        <f>IF(ISBLANK(C281),,IFERROR(IF(VLOOKUP(B281,Standings!$A:$F, 6, 0)=VLOOKUP(C281,Standings!$A:$F, 6, 0), VLOOKUP(B281,Standings!$A:$F, 6, 0), "Non-con"), "FCS"))</f>
        <v>MWC</v>
      </c>
      <c r="W281" s="3" t="str">
        <f t="shared" si="10"/>
        <v>Air Force</v>
      </c>
      <c r="X281" s="3" t="str">
        <f t="shared" si="11"/>
        <v>Boise State</v>
      </c>
      <c r="Y281" s="30">
        <f>IF(D281=0,,IF(ISBLANK(Q281),,VLOOKUP(X281,Week8,2,FALSE)/(VLOOKUP(X281,Week8,2,FALSE)+VLOOKUP(W281,Week8,2,FALSE))+0.05)*100)</f>
        <v>62.13426372</v>
      </c>
      <c r="Z281" s="3" t="s">
        <v>176</v>
      </c>
      <c r="AA281" s="3">
        <v>49.0</v>
      </c>
      <c r="AB281" s="4" t="str">
        <f t="shared" si="20"/>
        <v>Air Force</v>
      </c>
      <c r="AC281" s="3">
        <v>30.0</v>
      </c>
      <c r="AD281" s="3"/>
      <c r="AE281" s="3">
        <f t="shared" si="13"/>
        <v>19</v>
      </c>
      <c r="AF281" s="3"/>
      <c r="AG281" s="3">
        <f t="shared" si="133"/>
        <v>1</v>
      </c>
      <c r="AH281" s="3"/>
      <c r="AI281" s="7"/>
      <c r="AJ281" s="3" t="s">
        <v>260</v>
      </c>
      <c r="AK281" s="7"/>
      <c r="AL281" s="7"/>
      <c r="AM281" s="7"/>
      <c r="AN281" s="7"/>
      <c r="AO281" s="7"/>
      <c r="AP281" s="7"/>
      <c r="AQ281" s="7"/>
      <c r="AR281" s="7"/>
      <c r="AS281" s="7"/>
      <c r="AT281" s="7"/>
      <c r="AU281" s="7"/>
      <c r="AV281" s="7"/>
      <c r="AW281" s="7"/>
      <c r="AX281" s="7"/>
    </row>
    <row r="282" ht="12.75" hidden="1" customHeight="1">
      <c r="A282" s="3">
        <v>11.0</v>
      </c>
      <c r="B282" s="3" t="s">
        <v>191</v>
      </c>
      <c r="C282" s="3" t="s">
        <v>177</v>
      </c>
      <c r="D282" s="4">
        <f>IFERROR(VLOOKUP(B282,Week10,2,FALSE),0)</f>
        <v>38.82</v>
      </c>
      <c r="E282" s="4">
        <f>IF(ISBLANK(B282),,IFERROR(VLOOKUP(B282,CurrentRank!$B$2:$C$132,2,FALSE),0))</f>
        <v>34.71</v>
      </c>
      <c r="F282" s="4">
        <f>IFERROR(VLOOKUP(B282,Week10,3,FALSE),130)</f>
        <v>45</v>
      </c>
      <c r="G282" s="4">
        <f>IF(ISBLANK(B282),,IFERROR(VLOOKUP(B282,CurrentRank!$B$2:$D$132,3,FALSE),130))</f>
        <v>68</v>
      </c>
      <c r="H282" s="4">
        <f>IFERROR(VLOOKUP(C282,Week10,2,FALSE),0)</f>
        <v>29.13</v>
      </c>
      <c r="I282" s="4">
        <f>IF(ISBLANK(B282),,IFERROR(VLOOKUP(C282,CurrentRank!$B$2:$C$132,2,FALSE),0))</f>
        <v>29.15</v>
      </c>
      <c r="J282" s="4">
        <f>IFERROR(VLOOKUP(C282,Week10,3,FALSE),130)</f>
        <v>112</v>
      </c>
      <c r="K282" s="4">
        <f>IF(ISBLANK(C282),,IFERROR(VLOOKUP(C282,CurrentRank!$B$2:$D$132,3,FALSE),130))</f>
        <v>117</v>
      </c>
      <c r="L282" s="19">
        <f t="shared" si="131"/>
        <v>1.01925</v>
      </c>
      <c r="M282" s="19">
        <f t="shared" si="132"/>
        <v>0.9579</v>
      </c>
      <c r="N282" s="24">
        <f t="shared" si="124"/>
        <v>78.5</v>
      </c>
      <c r="O282" s="21">
        <f t="shared" si="4"/>
        <v>4.335375</v>
      </c>
      <c r="P282" s="21">
        <f t="shared" si="125"/>
        <v>2.270375</v>
      </c>
      <c r="Q282" s="22">
        <f t="shared" si="6"/>
        <v>0.585823125</v>
      </c>
      <c r="R282" s="25" t="str">
        <f t="shared" si="7"/>
        <v>F</v>
      </c>
      <c r="S282" s="19">
        <f t="shared" si="8"/>
        <v>0.4175</v>
      </c>
      <c r="T282" s="19" t="str">
        <f t="shared" si="9"/>
        <v>F</v>
      </c>
      <c r="U282" s="3" t="s">
        <v>203</v>
      </c>
      <c r="V282" s="4" t="str">
        <f>IF(ISBLANK(C282),,IFERROR(IF(VLOOKUP(B282,Standings!$A:$F, 6, 0)=VLOOKUP(C282,Standings!$A:$F, 6, 0), VLOOKUP(B282,Standings!$A:$F, 6, 0), "Non-con"), "FCS"))</f>
        <v>MAC</v>
      </c>
      <c r="W282" s="3" t="str">
        <f t="shared" si="10"/>
        <v>Bowling Green</v>
      </c>
      <c r="X282" s="3" t="str">
        <f t="shared" si="11"/>
        <v>Kent State</v>
      </c>
      <c r="Y282" s="30">
        <f>IF(D282=0,,IF(ISBLANK(Q282),,VLOOKUP(X282,Week10,2,FALSE)/(VLOOKUP(X282,Week10,2,FALSE)+VLOOKUP(W282,Week10,2,FALSE))+0.05)*100)</f>
        <v>62.13024283</v>
      </c>
      <c r="Z282" s="3" t="s">
        <v>191</v>
      </c>
      <c r="AA282" s="3">
        <v>62.0</v>
      </c>
      <c r="AB282" s="4" t="str">
        <f t="shared" si="20"/>
        <v>Bowling Green</v>
      </c>
      <c r="AC282" s="3">
        <v>24.0</v>
      </c>
      <c r="AD282" s="3"/>
      <c r="AE282" s="3">
        <f t="shared" si="13"/>
        <v>38</v>
      </c>
      <c r="AF282" s="3"/>
      <c r="AG282" s="3">
        <f t="shared" si="133"/>
        <v>1</v>
      </c>
      <c r="AH282" s="3"/>
      <c r="AI282" s="7"/>
      <c r="AJ282" s="4"/>
      <c r="AK282" s="7"/>
      <c r="AL282" s="7"/>
      <c r="AM282" s="7"/>
      <c r="AN282" s="7"/>
      <c r="AO282" s="7"/>
      <c r="AP282" s="7"/>
      <c r="AQ282" s="7"/>
      <c r="AR282" s="7"/>
      <c r="AS282" s="7"/>
      <c r="AT282" s="7"/>
      <c r="AU282" s="7"/>
      <c r="AV282" s="7"/>
      <c r="AW282" s="7"/>
      <c r="AX282" s="7"/>
    </row>
    <row r="283" ht="12.75" hidden="1" customHeight="1">
      <c r="A283" s="3">
        <v>10.0</v>
      </c>
      <c r="B283" s="3" t="s">
        <v>98</v>
      </c>
      <c r="C283" s="3" t="s">
        <v>139</v>
      </c>
      <c r="D283" s="4">
        <f>IFERROR(VLOOKUP(B283,Week9,2,FALSE),0)</f>
        <v>38.26</v>
      </c>
      <c r="E283" s="4">
        <f>IF(ISBLANK(B283),,IFERROR(VLOOKUP(B283,CurrentRank!$B$2:$C$132,2,FALSE),0))</f>
        <v>37.44</v>
      </c>
      <c r="F283" s="4">
        <f>IFERROR(VLOOKUP(B283,Week9,3,FALSE),130)</f>
        <v>43</v>
      </c>
      <c r="G283" s="4">
        <f>IF(ISBLANK(B283),,IFERROR(VLOOKUP(B283,CurrentRank!$B$2:$D$132,3,FALSE),130))</f>
        <v>42</v>
      </c>
      <c r="H283" s="4">
        <f>IFERROR(VLOOKUP(C283,Week9,2,FALSE),0)</f>
        <v>28.79</v>
      </c>
      <c r="I283" s="4">
        <f>IF(ISBLANK(B283),,IFERROR(VLOOKUP(C283,CurrentRank!$B$2:$C$132,2,FALSE),0))</f>
        <v>28.86</v>
      </c>
      <c r="J283" s="4">
        <f>IFERROR(VLOOKUP(C283,Week9,3,FALSE),130)</f>
        <v>114</v>
      </c>
      <c r="K283" s="4">
        <f>IF(ISBLANK(C283),,IFERROR(VLOOKUP(C283,CurrentRank!$B$2:$D$132,3,FALSE),130))</f>
        <v>119</v>
      </c>
      <c r="L283" s="19">
        <f t="shared" si="131"/>
        <v>1.00575</v>
      </c>
      <c r="M283" s="19">
        <f t="shared" si="132"/>
        <v>0.9945</v>
      </c>
      <c r="N283" s="24">
        <f t="shared" si="124"/>
        <v>78.5</v>
      </c>
      <c r="O283" s="21">
        <f t="shared" si="4"/>
        <v>4.232125</v>
      </c>
      <c r="P283" s="21">
        <f t="shared" si="125"/>
        <v>3.787125</v>
      </c>
      <c r="Q283" s="22">
        <f t="shared" si="6"/>
        <v>0.586339375</v>
      </c>
      <c r="R283" s="25" t="str">
        <f t="shared" si="7"/>
        <v>F</v>
      </c>
      <c r="S283" s="19">
        <f t="shared" si="8"/>
        <v>0.4825</v>
      </c>
      <c r="T283" s="19" t="str">
        <f t="shared" si="9"/>
        <v>F</v>
      </c>
      <c r="U283" s="3" t="s">
        <v>203</v>
      </c>
      <c r="V283" s="4" t="str">
        <f>IF(ISBLANK(C283),,IFERROR(IF(VLOOKUP(B283,Standings!$A:$F, 6, 0)=VLOOKUP(C283,Standings!$A:$F, 6, 0), VLOOKUP(B283,Standings!$A:$F, 6, 0), "Non-con"), "FCS"))</f>
        <v>SUN</v>
      </c>
      <c r="W283" s="3" t="str">
        <f t="shared" si="10"/>
        <v>Texas State</v>
      </c>
      <c r="X283" s="3" t="str">
        <f t="shared" si="11"/>
        <v>Appalachian State</v>
      </c>
      <c r="Y283" s="30">
        <f>IF(D283=0,,IF(ISBLANK(Q283),,VLOOKUP(X283,Week9,2,FALSE)/(VLOOKUP(X283,Week9,2,FALSE)+VLOOKUP(W283,Week9,2,FALSE))+0.05)*100)</f>
        <v>62.06189411</v>
      </c>
      <c r="Z283" s="3" t="s">
        <v>98</v>
      </c>
      <c r="AA283" s="3">
        <v>38.0</v>
      </c>
      <c r="AB283" s="4" t="str">
        <f t="shared" si="20"/>
        <v>Texas State</v>
      </c>
      <c r="AC283" s="3">
        <v>13.0</v>
      </c>
      <c r="AD283" s="3"/>
      <c r="AE283" s="3">
        <f t="shared" si="13"/>
        <v>25</v>
      </c>
      <c r="AF283" s="3"/>
      <c r="AG283" s="3">
        <f t="shared" si="133"/>
        <v>1</v>
      </c>
      <c r="AH283" s="3"/>
      <c r="AI283" s="7"/>
      <c r="AJ283" s="4"/>
      <c r="AK283" s="7"/>
      <c r="AL283" s="7"/>
      <c r="AM283" s="7"/>
      <c r="AN283" s="7"/>
      <c r="AO283" s="7"/>
      <c r="AP283" s="7"/>
      <c r="AQ283" s="7"/>
      <c r="AR283" s="7"/>
      <c r="AS283" s="7"/>
      <c r="AT283" s="7"/>
      <c r="AU283" s="7"/>
      <c r="AV283" s="7"/>
      <c r="AW283" s="7"/>
      <c r="AX283" s="7"/>
    </row>
    <row r="284" ht="12.75" hidden="1" customHeight="1">
      <c r="A284" s="3">
        <v>11.0</v>
      </c>
      <c r="B284" s="3" t="s">
        <v>178</v>
      </c>
      <c r="C284" s="3" t="s">
        <v>47</v>
      </c>
      <c r="D284" s="4">
        <f>IFERROR(VLOOKUP(B284,Week10,2,FALSE),0)</f>
        <v>31.65</v>
      </c>
      <c r="E284" s="4">
        <f>IF(ISBLANK(B284),,IFERROR(VLOOKUP(B284,CurrentRank!$B$2:$C$132,2,FALSE),0))</f>
        <v>30.84</v>
      </c>
      <c r="F284" s="4">
        <f>IFERROR(VLOOKUP(B284,Week10,3,FALSE),130)</f>
        <v>84</v>
      </c>
      <c r="G284" s="4">
        <f>IF(ISBLANK(B284),,IFERROR(VLOOKUP(B284,CurrentRank!$B$2:$D$132,3,FALSE),130))</f>
        <v>104</v>
      </c>
      <c r="H284" s="4">
        <f>IFERROR(VLOOKUP(C284,Week10,2,FALSE),0)</f>
        <v>42.05</v>
      </c>
      <c r="I284" s="4">
        <f>IF(ISBLANK(B284),,IFERROR(VLOOKUP(C284,CurrentRank!$B$2:$C$132,2,FALSE),0))</f>
        <v>41.86</v>
      </c>
      <c r="J284" s="4">
        <f>IFERROR(VLOOKUP(C284,Week10,3,FALSE),130)</f>
        <v>32</v>
      </c>
      <c r="K284" s="4">
        <f>IF(ISBLANK(C284),,IFERROR(VLOOKUP(C284,CurrentRank!$B$2:$D$132,3,FALSE),130))</f>
        <v>30</v>
      </c>
      <c r="L284" s="19">
        <f t="shared" si="131"/>
        <v>1.1055</v>
      </c>
      <c r="M284" s="19">
        <f t="shared" si="132"/>
        <v>1.0905</v>
      </c>
      <c r="N284" s="24">
        <f t="shared" si="124"/>
        <v>58</v>
      </c>
      <c r="O284" s="21">
        <f t="shared" si="4"/>
        <v>-5.75275</v>
      </c>
      <c r="P284" s="21">
        <f t="shared" si="125"/>
        <v>-6.06275</v>
      </c>
      <c r="Q284" s="22">
        <f t="shared" si="6"/>
        <v>0.68123625</v>
      </c>
      <c r="R284" s="25" t="str">
        <f t="shared" si="7"/>
        <v>D+</v>
      </c>
      <c r="S284" s="19">
        <f t="shared" si="8"/>
        <v>0.585</v>
      </c>
      <c r="T284" s="19" t="str">
        <f t="shared" si="9"/>
        <v>F</v>
      </c>
      <c r="U284" s="3" t="s">
        <v>203</v>
      </c>
      <c r="V284" s="4" t="str">
        <f>IF(ISBLANK(C284),,IFERROR(IF(VLOOKUP(B284,Standings!$A:$F, 6, 0)=VLOOKUP(C284,Standings!$A:$F, 6, 0), VLOOKUP(B284,Standings!$A:$F, 6, 0), "Non-con"), "FCS"))</f>
        <v>AAC</v>
      </c>
      <c r="W284" s="3" t="str">
        <f t="shared" si="10"/>
        <v>Temple</v>
      </c>
      <c r="X284" s="3" t="str">
        <f t="shared" si="11"/>
        <v>Central Florida</v>
      </c>
      <c r="Y284" s="30">
        <f>IF(D284=0,,IF(ISBLANK(Q284),,VLOOKUP(X284,Week10,2,FALSE)/(VLOOKUP(X284,Week10,2,FALSE)+VLOOKUP(W284,Week10,2,FALSE))+0.05)*100)</f>
        <v>62.05563094</v>
      </c>
      <c r="Z284" s="3" t="s">
        <v>47</v>
      </c>
      <c r="AA284" s="3">
        <v>38.0</v>
      </c>
      <c r="AB284" s="4" t="str">
        <f t="shared" si="20"/>
        <v>Temple</v>
      </c>
      <c r="AC284" s="3">
        <v>13.0</v>
      </c>
      <c r="AD284" s="3"/>
      <c r="AE284" s="3">
        <f t="shared" si="13"/>
        <v>25</v>
      </c>
      <c r="AF284" s="3"/>
      <c r="AG284" s="3">
        <f t="shared" si="133"/>
        <v>1</v>
      </c>
      <c r="AH284" s="3"/>
      <c r="AI284" s="7"/>
      <c r="AJ284" s="4"/>
      <c r="AK284" s="7"/>
      <c r="AL284" s="7"/>
      <c r="AM284" s="7"/>
      <c r="AN284" s="7"/>
      <c r="AO284" s="7"/>
      <c r="AP284" s="7"/>
      <c r="AQ284" s="7"/>
      <c r="AR284" s="7"/>
      <c r="AS284" s="7"/>
      <c r="AT284" s="7"/>
      <c r="AU284" s="7"/>
      <c r="AV284" s="7"/>
      <c r="AW284" s="7"/>
      <c r="AX284" s="7"/>
    </row>
    <row r="285" ht="12.75" hidden="1" customHeight="1">
      <c r="A285" s="3">
        <v>10.0</v>
      </c>
      <c r="B285" s="3" t="s">
        <v>115</v>
      </c>
      <c r="C285" s="3" t="s">
        <v>58</v>
      </c>
      <c r="D285" s="4">
        <f>IFERROR(VLOOKUP(B285,Week9,2,FALSE),0)</f>
        <v>33.64</v>
      </c>
      <c r="E285" s="4">
        <f>IF(ISBLANK(B285),,IFERROR(VLOOKUP(B285,CurrentRank!$B$2:$C$132,2,FALSE),0))</f>
        <v>32.29</v>
      </c>
      <c r="F285" s="4">
        <f>IFERROR(VLOOKUP(B285,Week9,3,FALSE),130)</f>
        <v>62</v>
      </c>
      <c r="G285" s="4">
        <f>IF(ISBLANK(B285),,IFERROR(VLOOKUP(B285,CurrentRank!$B$2:$D$132,3,FALSE),130))</f>
        <v>91</v>
      </c>
      <c r="H285" s="4">
        <f>IFERROR(VLOOKUP(C285,Week9,2,FALSE),0)</f>
        <v>44.65</v>
      </c>
      <c r="I285" s="4">
        <f>IF(ISBLANK(B285),,IFERROR(VLOOKUP(C285,CurrentRank!$B$2:$C$132,2,FALSE),0))</f>
        <v>72.87</v>
      </c>
      <c r="J285" s="4">
        <f>IFERROR(VLOOKUP(C285,Week9,3,FALSE),130)</f>
        <v>29</v>
      </c>
      <c r="K285" s="4">
        <f>IF(ISBLANK(C285),,IFERROR(VLOOKUP(C285,CurrentRank!$B$2:$D$132,3,FALSE),130))</f>
        <v>10</v>
      </c>
      <c r="L285" s="19">
        <f t="shared" si="131"/>
        <v>1.17435</v>
      </c>
      <c r="M285" s="19">
        <f t="shared" si="132"/>
        <v>1.5774</v>
      </c>
      <c r="N285" s="24">
        <f t="shared" si="124"/>
        <v>45.5</v>
      </c>
      <c r="O285" s="21">
        <f t="shared" si="4"/>
        <v>-6.092175</v>
      </c>
      <c r="P285" s="21">
        <f t="shared" si="125"/>
        <v>-20.877175</v>
      </c>
      <c r="Q285" s="22">
        <f t="shared" si="6"/>
        <v>0.742039125</v>
      </c>
      <c r="R285" s="25" t="str">
        <f t="shared" si="7"/>
        <v>C</v>
      </c>
      <c r="S285" s="19">
        <f t="shared" si="8"/>
        <v>0.7375</v>
      </c>
      <c r="T285" s="19" t="str">
        <f t="shared" si="9"/>
        <v>C</v>
      </c>
      <c r="U285" s="3" t="s">
        <v>203</v>
      </c>
      <c r="V285" s="4" t="str">
        <f>IF(ISBLANK(C285),,IFERROR(IF(VLOOKUP(B285,Standings!$A:$F, 6, 0)=VLOOKUP(C285,Standings!$A:$F, 6, 0), VLOOKUP(B285,Standings!$A:$F, 6, 0), "Non-con"), "FCS"))</f>
        <v>SUN</v>
      </c>
      <c r="W285" s="3" t="str">
        <f t="shared" si="10"/>
        <v>Arkansas State</v>
      </c>
      <c r="X285" s="3" t="str">
        <f t="shared" si="11"/>
        <v>UL-Lafayette</v>
      </c>
      <c r="Y285" s="30">
        <f>IF(D285=0,,IF(ISBLANK(Q285),,VLOOKUP(X285,Week9,2,FALSE)/(VLOOKUP(X285,Week9,2,FALSE)+VLOOKUP(W285,Week9,2,FALSE))+0.05)*100)</f>
        <v>62.03154937</v>
      </c>
      <c r="Z285" s="3" t="s">
        <v>58</v>
      </c>
      <c r="AA285" s="3">
        <v>27.0</v>
      </c>
      <c r="AB285" s="4" t="str">
        <f t="shared" si="20"/>
        <v>Arkansas State</v>
      </c>
      <c r="AC285" s="3">
        <v>20.0</v>
      </c>
      <c r="AD285" s="3"/>
      <c r="AE285" s="3">
        <f t="shared" si="13"/>
        <v>7</v>
      </c>
      <c r="AF285" s="3"/>
      <c r="AG285" s="3">
        <f t="shared" si="133"/>
        <v>1</v>
      </c>
      <c r="AH285" s="3"/>
      <c r="AI285" s="7"/>
      <c r="AJ285" s="4"/>
      <c r="AK285" s="7"/>
      <c r="AL285" s="7"/>
      <c r="AM285" s="7"/>
      <c r="AN285" s="7"/>
      <c r="AO285" s="7"/>
      <c r="AP285" s="7"/>
      <c r="AQ285" s="7"/>
      <c r="AR285" s="7"/>
      <c r="AS285" s="7"/>
      <c r="AT285" s="7"/>
      <c r="AU285" s="7"/>
      <c r="AV285" s="7"/>
      <c r="AW285" s="7"/>
      <c r="AX285" s="7"/>
    </row>
    <row r="286" ht="12.75" hidden="1" customHeight="1">
      <c r="A286" s="3">
        <v>7.0</v>
      </c>
      <c r="B286" s="3" t="s">
        <v>193</v>
      </c>
      <c r="C286" s="3" t="s">
        <v>119</v>
      </c>
      <c r="D286" s="4">
        <f>IFERROR(VLOOKUP(B286,Week6,2,FALSE),0)</f>
        <v>28.33</v>
      </c>
      <c r="E286" s="4">
        <f>IF(ISBLANK(B286),,IFERROR(VLOOKUP(B286,CurrentRank!$B$2:$C$132,2,FALSE),0))</f>
        <v>29.31</v>
      </c>
      <c r="F286" s="4">
        <f>IFERROR(VLOOKUP(B286,Week6,3,FALSE),130)</f>
        <v>123</v>
      </c>
      <c r="G286" s="4">
        <f>IF(ISBLANK(B286),,IFERROR(VLOOKUP(B286,CurrentRank!$B$2:$D$132,3,FALSE),130))</f>
        <v>115</v>
      </c>
      <c r="H286" s="4">
        <f>IFERROR(VLOOKUP(C286,Week6,2,FALSE),0)</f>
        <v>37.53</v>
      </c>
      <c r="I286" s="4">
        <f>IF(ISBLANK(B286),,IFERROR(VLOOKUP(C286,CurrentRank!$B$2:$C$132,2,FALSE),0))</f>
        <v>31.96</v>
      </c>
      <c r="J286" s="4">
        <f>IFERROR(VLOOKUP(C286,Week6,3,FALSE),130)</f>
        <v>42</v>
      </c>
      <c r="K286" s="4">
        <f>IF(ISBLANK(C286),,IFERROR(VLOOKUP(C286,CurrentRank!$B$2:$D$132,3,FALSE),130))</f>
        <v>94</v>
      </c>
      <c r="L286" s="19">
        <f t="shared" si="131"/>
        <v>0.9879</v>
      </c>
      <c r="M286" s="19">
        <f t="shared" si="132"/>
        <v>0.91905</v>
      </c>
      <c r="N286" s="24">
        <f t="shared" si="124"/>
        <v>82.5</v>
      </c>
      <c r="O286" s="21">
        <f t="shared" si="4"/>
        <v>-5.09395</v>
      </c>
      <c r="P286" s="21">
        <f t="shared" si="125"/>
        <v>-1.81895</v>
      </c>
      <c r="Q286" s="22">
        <f t="shared" si="6"/>
        <v>0.56203025</v>
      </c>
      <c r="R286" s="25" t="str">
        <f t="shared" si="7"/>
        <v>F</v>
      </c>
      <c r="S286" s="19">
        <f t="shared" si="8"/>
        <v>0.4725</v>
      </c>
      <c r="T286" s="19" t="str">
        <f t="shared" si="9"/>
        <v>F</v>
      </c>
      <c r="U286" s="3" t="s">
        <v>203</v>
      </c>
      <c r="V286" s="4" t="str">
        <f>IF(ISBLANK(C286),,IFERROR(IF(VLOOKUP(B286,Standings!$A:$F, 6, 0)=VLOOKUP(C286,Standings!$A:$F, 6, 0), VLOOKUP(B286,Standings!$A:$F, 6, 0), "Non-con"), "FCS"))</f>
        <v>CUSA</v>
      </c>
      <c r="W286" s="3" t="str">
        <f t="shared" si="10"/>
        <v>Western Kentucky</v>
      </c>
      <c r="X286" s="3" t="str">
        <f t="shared" si="11"/>
        <v>UAB</v>
      </c>
      <c r="Y286" s="30">
        <f>IF(D286=0,,IF(ISBLANK(Q286),,VLOOKUP(X286,Week6,2,FALSE)/(VLOOKUP(X286,Week6,2,FALSE)+VLOOKUP(W286,Week6,2,FALSE))+0.05)*100)</f>
        <v>61.9845126</v>
      </c>
      <c r="Z286" s="3" t="s">
        <v>119</v>
      </c>
      <c r="AA286" s="3">
        <v>37.0</v>
      </c>
      <c r="AB286" s="4" t="str">
        <f t="shared" si="20"/>
        <v>Western Kentucky</v>
      </c>
      <c r="AC286" s="3">
        <v>14.0</v>
      </c>
      <c r="AD286" s="3"/>
      <c r="AE286" s="3">
        <f t="shared" si="13"/>
        <v>23</v>
      </c>
      <c r="AF286" s="3"/>
      <c r="AG286" s="3">
        <f t="shared" si="133"/>
        <v>1</v>
      </c>
      <c r="AH286" s="3"/>
      <c r="AI286" s="7"/>
      <c r="AJ286" s="4"/>
      <c r="AK286" s="7"/>
      <c r="AL286" s="7"/>
      <c r="AM286" s="7"/>
      <c r="AN286" s="7"/>
      <c r="AO286" s="7"/>
      <c r="AP286" s="7"/>
      <c r="AQ286" s="7"/>
      <c r="AR286" s="7"/>
      <c r="AS286" s="7"/>
      <c r="AT286" s="7"/>
      <c r="AU286" s="7"/>
      <c r="AV286" s="7"/>
      <c r="AW286" s="7"/>
      <c r="AX286" s="7"/>
    </row>
    <row r="287" ht="12.75" hidden="1" customHeight="1">
      <c r="A287" s="3">
        <v>11.0</v>
      </c>
      <c r="B287" s="3" t="s">
        <v>157</v>
      </c>
      <c r="C287" s="3" t="s">
        <v>143</v>
      </c>
      <c r="D287" s="4">
        <f>IFERROR(VLOOKUP(B287,Week10,2,FALSE),0)</f>
        <v>38.78</v>
      </c>
      <c r="E287" s="4">
        <f>IF(ISBLANK(B287),,IFERROR(VLOOKUP(B287,CurrentRank!$B$2:$C$132,2,FALSE),0))</f>
        <v>33.69</v>
      </c>
      <c r="F287" s="4">
        <f>IFERROR(VLOOKUP(B287,Week10,3,FALSE),130)</f>
        <v>47</v>
      </c>
      <c r="G287" s="4">
        <f>IF(ISBLANK(B287),,IFERROR(VLOOKUP(B287,CurrentRank!$B$2:$D$132,3,FALSE),130))</f>
        <v>77</v>
      </c>
      <c r="H287" s="4">
        <f>IFERROR(VLOOKUP(C287,Week10,2,FALSE),0)</f>
        <v>29.33</v>
      </c>
      <c r="I287" s="4">
        <f>IF(ISBLANK(B287),,IFERROR(VLOOKUP(C287,CurrentRank!$B$2:$C$132,2,FALSE),0))</f>
        <v>30.67</v>
      </c>
      <c r="J287" s="4">
        <f>IFERROR(VLOOKUP(C287,Week10,3,FALSE),130)</f>
        <v>110</v>
      </c>
      <c r="K287" s="4">
        <f>IF(ISBLANK(C287),,IFERROR(VLOOKUP(C287,CurrentRank!$B$2:$D$132,3,FALSE),130))</f>
        <v>108</v>
      </c>
      <c r="L287" s="19">
        <f t="shared" si="131"/>
        <v>1.02165</v>
      </c>
      <c r="M287" s="19">
        <f t="shared" si="132"/>
        <v>0.9654</v>
      </c>
      <c r="N287" s="24">
        <f t="shared" si="124"/>
        <v>78.5</v>
      </c>
      <c r="O287" s="21">
        <f t="shared" si="4"/>
        <v>4.214175</v>
      </c>
      <c r="P287" s="21">
        <f t="shared" si="125"/>
        <v>0.999175</v>
      </c>
      <c r="Q287" s="22">
        <f t="shared" si="6"/>
        <v>0.586429125</v>
      </c>
      <c r="R287" s="25" t="str">
        <f t="shared" si="7"/>
        <v>F</v>
      </c>
      <c r="S287" s="19">
        <f t="shared" si="8"/>
        <v>0.4575</v>
      </c>
      <c r="T287" s="19" t="str">
        <f t="shared" si="9"/>
        <v>F</v>
      </c>
      <c r="U287" s="3" t="s">
        <v>203</v>
      </c>
      <c r="V287" s="4" t="str">
        <f>IF(ISBLANK(C287),,IFERROR(IF(VLOOKUP(B287,Standings!$A:$F, 6, 0)=VLOOKUP(C287,Standings!$A:$F, 6, 0), VLOOKUP(B287,Standings!$A:$F, 6, 0), "Non-con"), "FCS"))</f>
        <v>MAC</v>
      </c>
      <c r="W287" s="3" t="str">
        <f t="shared" si="10"/>
        <v>Northern Illinois</v>
      </c>
      <c r="X287" s="3" t="str">
        <f t="shared" si="11"/>
        <v>Central Michigan</v>
      </c>
      <c r="Y287" s="30">
        <f>IF(D287=0,,IF(ISBLANK(Q287),,VLOOKUP(X287,Week10,2,FALSE)/(VLOOKUP(X287,Week10,2,FALSE)+VLOOKUP(W287,Week10,2,FALSE))+0.05)*100)</f>
        <v>61.9373073</v>
      </c>
      <c r="Z287" s="3" t="s">
        <v>157</v>
      </c>
      <c r="AA287" s="3">
        <v>40.0</v>
      </c>
      <c r="AB287" s="4" t="str">
        <f t="shared" si="20"/>
        <v>Northern Illinois</v>
      </c>
      <c r="AC287" s="3">
        <v>10.0</v>
      </c>
      <c r="AD287" s="3"/>
      <c r="AE287" s="3">
        <f t="shared" si="13"/>
        <v>30</v>
      </c>
      <c r="AF287" s="3"/>
      <c r="AG287" s="3">
        <f t="shared" si="133"/>
        <v>1</v>
      </c>
      <c r="AH287" s="3"/>
      <c r="AI287" s="7"/>
      <c r="AJ287" s="4" t="s">
        <v>186</v>
      </c>
      <c r="AK287" s="7"/>
      <c r="AL287" s="7"/>
      <c r="AM287" s="7"/>
      <c r="AN287" s="7"/>
      <c r="AO287" s="7"/>
      <c r="AP287" s="7"/>
      <c r="AQ287" s="7"/>
      <c r="AR287" s="7"/>
      <c r="AS287" s="7"/>
      <c r="AT287" s="7"/>
      <c r="AU287" s="7"/>
      <c r="AV287" s="7"/>
      <c r="AW287" s="7"/>
      <c r="AX287" s="7"/>
    </row>
    <row r="288" ht="12.75" customHeight="1">
      <c r="A288" s="3">
        <v>8.0</v>
      </c>
      <c r="B288" s="3" t="s">
        <v>136</v>
      </c>
      <c r="C288" s="3" t="s">
        <v>111</v>
      </c>
      <c r="D288" s="4">
        <f>IFERROR(VLOOKUP(B288,Week7,2,FALSE),0)</f>
        <v>34.4</v>
      </c>
      <c r="E288" s="4">
        <f>IF(ISBLANK(B288),,IFERROR(VLOOKUP(B288,CurrentRank!$B$2:$C$132,2,FALSE),0))</f>
        <v>35.33</v>
      </c>
      <c r="F288" s="4">
        <f>IFERROR(VLOOKUP(B288,Week7,3,FALSE),130)</f>
        <v>57</v>
      </c>
      <c r="G288" s="4">
        <f>IF(ISBLANK(B288),,IFERROR(VLOOKUP(B288,CurrentRank!$B$2:$D$132,3,FALSE),130))</f>
        <v>62</v>
      </c>
      <c r="H288" s="4">
        <f>IFERROR(VLOOKUP(C288,Week7,2,FALSE),0)</f>
        <v>37.83</v>
      </c>
      <c r="I288" s="4">
        <f>IF(ISBLANK(B288),,IFERROR(VLOOKUP(C288,CurrentRank!$B$2:$C$132,2,FALSE),0))</f>
        <v>29.75</v>
      </c>
      <c r="J288" s="4">
        <f>IFERROR(VLOOKUP(C288,Week7,3,FALSE),130)</f>
        <v>42</v>
      </c>
      <c r="K288" s="4">
        <f>IF(ISBLANK(C288),,IFERROR(VLOOKUP(C288,CurrentRank!$B$2:$D$132,3,FALSE),130))</f>
        <v>112</v>
      </c>
      <c r="L288" s="19">
        <f t="shared" si="131"/>
        <v>1.08345</v>
      </c>
      <c r="M288" s="19">
        <f t="shared" si="132"/>
        <v>0.9762</v>
      </c>
      <c r="N288" s="24">
        <f t="shared" si="124"/>
        <v>49.5</v>
      </c>
      <c r="O288" s="21">
        <f t="shared" si="4"/>
        <v>-2.256725</v>
      </c>
      <c r="P288" s="21">
        <f t="shared" si="125"/>
        <v>2.248275</v>
      </c>
      <c r="Q288" s="22">
        <f t="shared" si="6"/>
        <v>0.741216375</v>
      </c>
      <c r="R288" s="25" t="str">
        <f t="shared" si="7"/>
        <v>C</v>
      </c>
      <c r="S288" s="19">
        <f t="shared" si="8"/>
        <v>0.7425</v>
      </c>
      <c r="T288" s="19" t="str">
        <f t="shared" si="9"/>
        <v>C</v>
      </c>
      <c r="U288" s="3" t="s">
        <v>203</v>
      </c>
      <c r="V288" s="4" t="str">
        <f>IF(ISBLANK(C288),,IFERROR(IF(VLOOKUP(B288,Standings!$A:$F, 6, 0)=VLOOKUP(C288,Standings!$A:$F, 6, 0), VLOOKUP(B288,Standings!$A:$F, 6, 0), "Non-con"), "FCS"))</f>
        <v>SUN</v>
      </c>
      <c r="W288" s="3" t="str">
        <f t="shared" si="10"/>
        <v>Georgia State</v>
      </c>
      <c r="X288" s="3" t="str">
        <f t="shared" si="11"/>
        <v>Troy</v>
      </c>
      <c r="Y288" s="30">
        <f>IF(D288=0,,IF(ISBLANK(Q288),,VLOOKUP(X288,Week7,2,FALSE)/(VLOOKUP(X288,Week7,2,FALSE)+VLOOKUP(W288,Week7,2,FALSE))+0.05)*100)</f>
        <v>57.37435968</v>
      </c>
      <c r="Z288" s="3" t="s">
        <v>136</v>
      </c>
      <c r="AA288" s="3">
        <v>36.0</v>
      </c>
      <c r="AB288" s="4" t="str">
        <f t="shared" si="20"/>
        <v>Troy</v>
      </c>
      <c r="AC288" s="3">
        <v>34.0</v>
      </c>
      <c r="AD288" s="3"/>
      <c r="AE288" s="3">
        <f t="shared" si="13"/>
        <v>2</v>
      </c>
      <c r="AF288" s="3"/>
      <c r="AG288" s="3">
        <f t="shared" si="133"/>
        <v>0</v>
      </c>
      <c r="AH288" s="3"/>
      <c r="AI288" s="7"/>
      <c r="AJ288" s="4"/>
      <c r="AK288" s="7"/>
      <c r="AL288" s="7"/>
      <c r="AM288" s="7"/>
      <c r="AN288" s="7"/>
      <c r="AO288" s="7"/>
      <c r="AP288" s="7"/>
      <c r="AQ288" s="7"/>
      <c r="AR288" s="7"/>
      <c r="AS288" s="7"/>
      <c r="AT288" s="7"/>
      <c r="AU288" s="7"/>
      <c r="AV288" s="7"/>
      <c r="AW288" s="7"/>
      <c r="AX288" s="7"/>
    </row>
    <row r="289" ht="12.75" customHeight="1">
      <c r="A289" s="3">
        <v>6.0</v>
      </c>
      <c r="B289" s="3" t="s">
        <v>109</v>
      </c>
      <c r="C289" s="3" t="s">
        <v>112</v>
      </c>
      <c r="D289" s="4">
        <f>IFERROR(VLOOKUP(B289,Week5,2,FALSE),0)</f>
        <v>39.82</v>
      </c>
      <c r="E289" s="4">
        <f>IF(ISBLANK(B289),,IFERROR(VLOOKUP(B289,CurrentRank!$B$2:$C$132,2,FALSE),0))</f>
        <v>37.82</v>
      </c>
      <c r="F289" s="4">
        <f>IFERROR(VLOOKUP(B289,Week5,3,FALSE),130)</f>
        <v>34</v>
      </c>
      <c r="G289" s="4">
        <f>IF(ISBLANK(B289),,IFERROR(VLOOKUP(B289,CurrentRank!$B$2:$D$132,3,FALSE),130))</f>
        <v>40</v>
      </c>
      <c r="H289" s="4">
        <f>IFERROR(VLOOKUP(C289,Week5,2,FALSE),0)</f>
        <v>39.74</v>
      </c>
      <c r="I289" s="4">
        <f>IF(ISBLANK(B289),,IFERROR(VLOOKUP(C289,CurrentRank!$B$2:$C$132,2,FALSE),0))</f>
        <v>36.98</v>
      </c>
      <c r="J289" s="4">
        <f>IFERROR(VLOOKUP(C289,Week5,3,FALSE),130)</f>
        <v>35</v>
      </c>
      <c r="K289" s="4">
        <f>IF(ISBLANK(C289),,IFERROR(VLOOKUP(C289,CurrentRank!$B$2:$D$132,3,FALSE),130))</f>
        <v>46</v>
      </c>
      <c r="L289" s="19">
        <f t="shared" si="131"/>
        <v>1.1934</v>
      </c>
      <c r="M289" s="19">
        <f t="shared" si="132"/>
        <v>1.122</v>
      </c>
      <c r="N289" s="24">
        <f t="shared" si="124"/>
        <v>34.5</v>
      </c>
      <c r="O289" s="21">
        <f t="shared" si="4"/>
        <v>-0.5567</v>
      </c>
      <c r="P289" s="21">
        <f t="shared" si="125"/>
        <v>-0.1767</v>
      </c>
      <c r="Q289" s="22">
        <f t="shared" si="6"/>
        <v>0.8247165</v>
      </c>
      <c r="R289" s="25" t="str">
        <f t="shared" si="7"/>
        <v>B-</v>
      </c>
      <c r="S289" s="19">
        <f t="shared" si="8"/>
        <v>0.7425</v>
      </c>
      <c r="T289" s="19" t="str">
        <f t="shared" si="9"/>
        <v>C</v>
      </c>
      <c r="U289" s="3" t="s">
        <v>203</v>
      </c>
      <c r="V289" s="4" t="str">
        <f>IF(ISBLANK(C289),,IFERROR(IF(VLOOKUP(B289,Standings!$A:$F, 6, 0)=VLOOKUP(C289,Standings!$A:$F, 6, 0), VLOOKUP(B289,Standings!$A:$F, 6, 0), "Non-con"), "FCS"))</f>
        <v>ACC</v>
      </c>
      <c r="W289" s="3" t="str">
        <f t="shared" si="10"/>
        <v>North Carolina State</v>
      </c>
      <c r="X289" s="3" t="str">
        <f t="shared" si="11"/>
        <v>Virginia</v>
      </c>
      <c r="Y289" s="30">
        <f>IF(D289=0,,IF(ISBLANK(Q289),,VLOOKUP(X289,Week5,2,FALSE)/(VLOOKUP(X289,Week5,2,FALSE)+VLOOKUP(W289,Week5,2,FALSE))+0.05)*100)</f>
        <v>54.94972348</v>
      </c>
      <c r="Z289" s="3" t="s">
        <v>109</v>
      </c>
      <c r="AA289" s="3">
        <v>38.0</v>
      </c>
      <c r="AB289" s="4" t="str">
        <f t="shared" si="20"/>
        <v>Virginia</v>
      </c>
      <c r="AC289" s="3">
        <v>21.0</v>
      </c>
      <c r="AD289" s="3"/>
      <c r="AE289" s="3">
        <f t="shared" si="13"/>
        <v>17</v>
      </c>
      <c r="AF289" s="3"/>
      <c r="AG289" s="3">
        <f t="shared" si="133"/>
        <v>0</v>
      </c>
      <c r="AH289" s="3"/>
      <c r="AI289" s="7"/>
      <c r="AJ289" s="4" t="s">
        <v>142</v>
      </c>
      <c r="AK289" s="7"/>
      <c r="AL289" s="7"/>
      <c r="AM289" s="7"/>
      <c r="AN289" s="7"/>
      <c r="AO289" s="7"/>
      <c r="AP289" s="7"/>
      <c r="AQ289" s="7"/>
      <c r="AR289" s="7"/>
      <c r="AS289" s="7"/>
      <c r="AT289" s="7"/>
      <c r="AU289" s="7"/>
      <c r="AV289" s="7"/>
      <c r="AW289" s="7"/>
      <c r="AX289" s="7"/>
    </row>
    <row r="290" ht="12.75" hidden="1" customHeight="1">
      <c r="A290" s="3">
        <v>11.0</v>
      </c>
      <c r="B290" s="3" t="s">
        <v>122</v>
      </c>
      <c r="C290" s="3" t="s">
        <v>115</v>
      </c>
      <c r="D290" s="4">
        <f>IFERROR(VLOOKUP(B290,CurrentRank!$B$2:$C$132,2,FALSE),0)</f>
        <v>25.95</v>
      </c>
      <c r="E290" s="4">
        <f>IF(ISBLANK(B290),,IFERROR(VLOOKUP(B290,CurrentRank!$B$2:$C$132,2,FALSE),0))</f>
        <v>25.95</v>
      </c>
      <c r="F290" s="4">
        <f>IFERROR(VLOOKUP(B290,Week10,3,FALSE),130)</f>
        <v>123</v>
      </c>
      <c r="G290" s="4">
        <f>IF(ISBLANK(B290),,IFERROR(VLOOKUP(B290,CurrentRank!$B$2:$D$132,3,FALSE),130))</f>
        <v>124</v>
      </c>
      <c r="H290" s="4">
        <f>IFERROR(VLOOKUP(C290,CurrentRank!$B$2:$C$132,2,FALSE),0)</f>
        <v>32.29</v>
      </c>
      <c r="I290" s="4">
        <f>IF(ISBLANK(B290),,IFERROR(VLOOKUP(C290,CurrentRank!$B$2:$C$132,2,FALSE),0))</f>
        <v>32.29</v>
      </c>
      <c r="J290" s="4">
        <f>IFERROR(VLOOKUP(C290,Week10,3,FALSE),130)</f>
        <v>69</v>
      </c>
      <c r="K290" s="4">
        <f>IF(ISBLANK(C290),,IFERROR(VLOOKUP(C290,CurrentRank!$B$2:$D$132,3,FALSE),130))</f>
        <v>91</v>
      </c>
      <c r="L290" s="19">
        <f t="shared" ref="L290:M290" si="134">IF(ISBLANK(C290),,(D290+H290)*0.015)</f>
        <v>0.8736</v>
      </c>
      <c r="M290" s="19">
        <f t="shared" si="134"/>
        <v>0.8736</v>
      </c>
      <c r="N290" s="24">
        <f t="shared" si="124"/>
        <v>96</v>
      </c>
      <c r="O290" s="21">
        <f t="shared" si="4"/>
        <v>-3.6068</v>
      </c>
      <c r="P290" s="21">
        <f t="shared" si="125"/>
        <v>-3.6068</v>
      </c>
      <c r="Q290" s="22">
        <f t="shared" si="6"/>
        <v>0.501966</v>
      </c>
      <c r="R290" s="25" t="str">
        <f t="shared" si="7"/>
        <v>F</v>
      </c>
      <c r="S290" s="19" t="str">
        <f t="shared" si="8"/>
        <v/>
      </c>
      <c r="T290" s="19" t="str">
        <f t="shared" si="9"/>
        <v/>
      </c>
      <c r="U290" s="3" t="s">
        <v>203</v>
      </c>
      <c r="V290" s="4" t="str">
        <f>IFERROR(IF(VLOOKUP(B290,Standings!$A:$F, 6, 0)=VLOOKUP(C290,Standings!$A:$F, 6, 0), VLOOKUP(B290,Standings!$A:$F, 6, 0), "Non-con"), "FCS")</f>
        <v>SUN</v>
      </c>
      <c r="W290" s="3" t="str">
        <f t="shared" si="10"/>
        <v>UL-Monroe</v>
      </c>
      <c r="X290" s="3" t="str">
        <f t="shared" si="11"/>
        <v>Arkansas State</v>
      </c>
      <c r="Y290" s="30">
        <f>IF(D290=0,,IF(ISBLANK(Q290),,VLOOKUP(X290,Week10,2,FALSE)/(VLOOKUP(X290,Week10,2,FALSE)+VLOOKUP(W290,Week10,2,FALSE))+0.05)*100)</f>
        <v>61.88562854</v>
      </c>
      <c r="Z290" s="3"/>
      <c r="AA290" s="3"/>
      <c r="AB290" s="4" t="str">
        <f t="shared" si="20"/>
        <v/>
      </c>
      <c r="AC290" s="3"/>
      <c r="AD290" s="3"/>
      <c r="AE290" s="3" t="str">
        <f t="shared" si="13"/>
        <v/>
      </c>
      <c r="AF290" s="3" t="s">
        <v>228</v>
      </c>
      <c r="AG290" s="3" t="str">
        <f t="shared" si="133"/>
        <v/>
      </c>
      <c r="AH290" s="3"/>
      <c r="AI290" s="7"/>
      <c r="AJ290" s="4"/>
      <c r="AK290" s="7"/>
      <c r="AL290" s="7"/>
      <c r="AM290" s="7"/>
      <c r="AN290" s="7"/>
      <c r="AO290" s="7"/>
      <c r="AP290" s="7"/>
      <c r="AQ290" s="7"/>
      <c r="AR290" s="7"/>
      <c r="AS290" s="7"/>
      <c r="AT290" s="7"/>
      <c r="AU290" s="7"/>
      <c r="AV290" s="7"/>
      <c r="AW290" s="7"/>
      <c r="AX290" s="7"/>
    </row>
    <row r="291" ht="12.75" customHeight="1">
      <c r="A291" s="3">
        <v>14.0</v>
      </c>
      <c r="B291" s="3" t="s">
        <v>144</v>
      </c>
      <c r="C291" s="3" t="s">
        <v>164</v>
      </c>
      <c r="D291" s="4">
        <f>IFERROR(VLOOKUP(B291,Week13,2,FALSE),0)</f>
        <v>41.17</v>
      </c>
      <c r="E291" s="4">
        <f>IF(ISBLANK(B291),,IFERROR(VLOOKUP(B291,CurrentRank!$B$2:$C$132,2,FALSE),0))</f>
        <v>35.51</v>
      </c>
      <c r="F291" s="4">
        <f>IFERROR(VLOOKUP(B291,Week13,3,FALSE),130)</f>
        <v>32</v>
      </c>
      <c r="G291" s="4">
        <f>IF(ISBLANK(B291),,IFERROR(VLOOKUP(B291,CurrentRank!$B$2:$D$132,3,FALSE),130))</f>
        <v>58</v>
      </c>
      <c r="H291" s="4">
        <f>IFERROR(VLOOKUP(C291,Week13,2,FALSE),0)</f>
        <v>36.15</v>
      </c>
      <c r="I291" s="4">
        <f>IF(ISBLANK(B291),,IFERROR(VLOOKUP(C291,CurrentRank!$B$2:$C$132,2,FALSE),0))</f>
        <v>37.5</v>
      </c>
      <c r="J291" s="4">
        <f>IFERROR(VLOOKUP(C291,Week13,3,FALSE),130)</f>
        <v>51</v>
      </c>
      <c r="K291" s="4">
        <f>IF(ISBLANK(C291),,IFERROR(VLOOKUP(C291,CurrentRank!$B$2:$D$132,3,FALSE),130))</f>
        <v>41</v>
      </c>
      <c r="L291" s="19">
        <f t="shared" ref="L291:L294" si="135">IF(U291= "Yes", 0, IF(ISBLANK(C291),,(D291+H291)*0.015))</f>
        <v>1.1598</v>
      </c>
      <c r="M291" s="19">
        <f t="shared" ref="M291:M294" si="136">IF(U291= "Yes", 0, IF(ISBLANK(D291),,(E291+I291)*0.015))</f>
        <v>1.09515</v>
      </c>
      <c r="N291" s="24">
        <f t="shared" si="124"/>
        <v>41.5</v>
      </c>
      <c r="O291" s="21">
        <f t="shared" si="4"/>
        <v>1.9301</v>
      </c>
      <c r="P291" s="21">
        <f t="shared" si="125"/>
        <v>-1.5749</v>
      </c>
      <c r="Q291" s="22">
        <f t="shared" si="6"/>
        <v>0.7828495</v>
      </c>
      <c r="R291" s="25" t="str">
        <f t="shared" si="7"/>
        <v>C+</v>
      </c>
      <c r="S291" s="19">
        <f t="shared" si="8"/>
        <v>0.7375</v>
      </c>
      <c r="T291" s="19" t="str">
        <f t="shared" si="9"/>
        <v>C</v>
      </c>
      <c r="U291" s="3" t="s">
        <v>203</v>
      </c>
      <c r="V291" s="4" t="str">
        <f>IF(ISBLANK(C291),,IFERROR(IF(VLOOKUP(B291,Standings!$A:$F, 6, 0)=VLOOKUP(C291,Standings!$A:$F, 6, 0), VLOOKUP(B291,Standings!$A:$F, 6, 0), "Non-con"), "FCS"))</f>
        <v>MWC</v>
      </c>
      <c r="W291" s="3" t="str">
        <f t="shared" si="10"/>
        <v>Nevada</v>
      </c>
      <c r="X291" s="3" t="str">
        <f t="shared" si="11"/>
        <v>Fresno State</v>
      </c>
      <c r="Y291" s="30">
        <f>IF(D291=0,,IF(ISBLANK(Q291),,VLOOKUP(X291,Week13,2,FALSE)/(VLOOKUP(X291,Week13,2,FALSE)+VLOOKUP(W291,Week13,2,FALSE))+0.05)*100)</f>
        <v>58.24624935</v>
      </c>
      <c r="Z291" s="3" t="s">
        <v>164</v>
      </c>
      <c r="AA291" s="3">
        <v>37.0</v>
      </c>
      <c r="AB291" s="4" t="str">
        <f t="shared" si="20"/>
        <v>Fresno State</v>
      </c>
      <c r="AC291" s="3">
        <v>26.0</v>
      </c>
      <c r="AD291" s="3"/>
      <c r="AE291" s="3">
        <f t="shared" si="13"/>
        <v>11</v>
      </c>
      <c r="AF291" s="3"/>
      <c r="AG291" s="3">
        <f t="shared" si="133"/>
        <v>0</v>
      </c>
      <c r="AH291" s="3"/>
      <c r="AI291" s="7"/>
      <c r="AJ291" s="4"/>
      <c r="AK291" s="7"/>
      <c r="AL291" s="7"/>
      <c r="AM291" s="7"/>
      <c r="AN291" s="7"/>
      <c r="AO291" s="7"/>
      <c r="AP291" s="7"/>
      <c r="AQ291" s="7"/>
      <c r="AR291" s="7"/>
      <c r="AS291" s="7"/>
      <c r="AT291" s="7"/>
      <c r="AU291" s="7"/>
      <c r="AV291" s="7"/>
      <c r="AW291" s="7"/>
      <c r="AX291" s="7"/>
    </row>
    <row r="292" ht="12.75" hidden="1" customHeight="1">
      <c r="A292" s="3">
        <v>7.0</v>
      </c>
      <c r="B292" s="3" t="s">
        <v>187</v>
      </c>
      <c r="C292" s="3" t="s">
        <v>109</v>
      </c>
      <c r="D292" s="4">
        <f>IFERROR(VLOOKUP(B292,Week6,2,FALSE),0)</f>
        <v>32.59</v>
      </c>
      <c r="E292" s="4">
        <f>IF(ISBLANK(B292),,IFERROR(VLOOKUP(B292,CurrentRank!$B$2:$C$132,2,FALSE),0))</f>
        <v>28.66</v>
      </c>
      <c r="F292" s="4">
        <f>IFERROR(VLOOKUP(B292,Week6,3,FALSE),130)</f>
        <v>62</v>
      </c>
      <c r="G292" s="4">
        <f>IF(ISBLANK(B292),,IFERROR(VLOOKUP(B292,CurrentRank!$B$2:$D$132,3,FALSE),130))</f>
        <v>120</v>
      </c>
      <c r="H292" s="4">
        <f>IFERROR(VLOOKUP(C292,Week6,2,FALSE),0)</f>
        <v>42.85</v>
      </c>
      <c r="I292" s="4">
        <f>IF(ISBLANK(B292),,IFERROR(VLOOKUP(C292,CurrentRank!$B$2:$C$132,2,FALSE),0))</f>
        <v>37.82</v>
      </c>
      <c r="J292" s="4">
        <f>IFERROR(VLOOKUP(C292,Week6,3,FALSE),130)</f>
        <v>32</v>
      </c>
      <c r="K292" s="4">
        <f>IF(ISBLANK(C292),,IFERROR(VLOOKUP(C292,CurrentRank!$B$2:$D$132,3,FALSE),130))</f>
        <v>40</v>
      </c>
      <c r="L292" s="19">
        <f t="shared" si="135"/>
        <v>1.1316</v>
      </c>
      <c r="M292" s="19">
        <f t="shared" si="136"/>
        <v>0.9972</v>
      </c>
      <c r="N292" s="24">
        <f t="shared" si="124"/>
        <v>47</v>
      </c>
      <c r="O292" s="21">
        <f t="shared" si="4"/>
        <v>-5.6958</v>
      </c>
      <c r="P292" s="21">
        <f t="shared" si="125"/>
        <v>-5.1458</v>
      </c>
      <c r="Q292" s="22">
        <f t="shared" si="6"/>
        <v>0.736521</v>
      </c>
      <c r="R292" s="25" t="str">
        <f t="shared" si="7"/>
        <v>C</v>
      </c>
      <c r="S292" s="19">
        <f t="shared" si="8"/>
        <v>0.71</v>
      </c>
      <c r="T292" s="19" t="str">
        <f t="shared" si="9"/>
        <v>C-</v>
      </c>
      <c r="U292" s="3" t="s">
        <v>203</v>
      </c>
      <c r="V292" s="4" t="str">
        <f>IF(ISBLANK(C292),,IFERROR(IF(VLOOKUP(B292,Standings!$A:$F, 6, 0)=VLOOKUP(C292,Standings!$A:$F, 6, 0), VLOOKUP(B292,Standings!$A:$F, 6, 0), "Non-con"), "FCS"))</f>
        <v>ACC</v>
      </c>
      <c r="W292" s="3" t="str">
        <f t="shared" si="10"/>
        <v>Duke</v>
      </c>
      <c r="X292" s="3" t="str">
        <f t="shared" si="11"/>
        <v>North Carolina State</v>
      </c>
      <c r="Y292" s="30">
        <f>IF(D292=0,,IF(ISBLANK(Q292),,VLOOKUP(X292,Week6,2,FALSE)/(VLOOKUP(X292,Week6,2,FALSE)+VLOOKUP(W292,Week6,2,FALSE))+0.05)*100)</f>
        <v>61.80010604</v>
      </c>
      <c r="Z292" s="3" t="s">
        <v>109</v>
      </c>
      <c r="AA292" s="3">
        <v>31.0</v>
      </c>
      <c r="AB292" s="4" t="str">
        <f t="shared" si="20"/>
        <v>Duke</v>
      </c>
      <c r="AC292" s="3">
        <v>20.0</v>
      </c>
      <c r="AD292" s="3"/>
      <c r="AE292" s="3">
        <f t="shared" si="13"/>
        <v>11</v>
      </c>
      <c r="AF292" s="3"/>
      <c r="AG292" s="3">
        <f t="shared" si="133"/>
        <v>1</v>
      </c>
      <c r="AH292" s="3"/>
      <c r="AI292" s="7"/>
      <c r="AJ292" s="3" t="s">
        <v>261</v>
      </c>
      <c r="AK292" s="7"/>
      <c r="AL292" s="7"/>
      <c r="AM292" s="7"/>
      <c r="AN292" s="7"/>
      <c r="AO292" s="7"/>
      <c r="AP292" s="7"/>
      <c r="AQ292" s="7"/>
      <c r="AR292" s="7"/>
      <c r="AS292" s="7"/>
      <c r="AT292" s="7"/>
      <c r="AU292" s="7"/>
      <c r="AV292" s="7"/>
      <c r="AW292" s="7"/>
      <c r="AX292" s="7"/>
    </row>
    <row r="293" ht="12.75" hidden="1" customHeight="1">
      <c r="A293" s="3">
        <v>10.0</v>
      </c>
      <c r="B293" s="3" t="s">
        <v>156</v>
      </c>
      <c r="C293" s="3" t="s">
        <v>164</v>
      </c>
      <c r="D293" s="4">
        <f>IFERROR(VLOOKUP(B293,Week9,2,FALSE),0)</f>
        <v>33.61</v>
      </c>
      <c r="E293" s="4">
        <f>IF(ISBLANK(B293),,IFERROR(VLOOKUP(B293,CurrentRank!$B$2:$C$132,2,FALSE),0))</f>
        <v>32.81</v>
      </c>
      <c r="F293" s="4">
        <f>IFERROR(VLOOKUP(B293,Week9,3,FALSE),130)</f>
        <v>63</v>
      </c>
      <c r="G293" s="4">
        <f>IF(ISBLANK(B293),,IFERROR(VLOOKUP(B293,CurrentRank!$B$2:$D$132,3,FALSE),130))</f>
        <v>88</v>
      </c>
      <c r="H293" s="4">
        <f>IFERROR(VLOOKUP(C293,Week9,2,FALSE),0)</f>
        <v>44.18</v>
      </c>
      <c r="I293" s="4">
        <f>IF(ISBLANK(B293),,IFERROR(VLOOKUP(C293,CurrentRank!$B$2:$C$132,2,FALSE),0))</f>
        <v>37.5</v>
      </c>
      <c r="J293" s="4">
        <f>IFERROR(VLOOKUP(C293,Week9,3,FALSE),130)</f>
        <v>31</v>
      </c>
      <c r="K293" s="4">
        <f>IF(ISBLANK(C293),,IFERROR(VLOOKUP(C293,CurrentRank!$B$2:$D$132,3,FALSE),130))</f>
        <v>41</v>
      </c>
      <c r="L293" s="19">
        <f t="shared" si="135"/>
        <v>1.16685</v>
      </c>
      <c r="M293" s="19">
        <f t="shared" si="136"/>
        <v>1.05465</v>
      </c>
      <c r="N293" s="24">
        <f t="shared" si="124"/>
        <v>47</v>
      </c>
      <c r="O293" s="21">
        <f t="shared" si="4"/>
        <v>-5.868425</v>
      </c>
      <c r="P293" s="21">
        <f t="shared" si="125"/>
        <v>-2.928425</v>
      </c>
      <c r="Q293" s="22">
        <f t="shared" si="6"/>
        <v>0.735657875</v>
      </c>
      <c r="R293" s="25" t="str">
        <f t="shared" si="7"/>
        <v>C</v>
      </c>
      <c r="S293" s="19">
        <f t="shared" si="8"/>
        <v>0.64</v>
      </c>
      <c r="T293" s="19" t="str">
        <f t="shared" si="9"/>
        <v>D</v>
      </c>
      <c r="U293" s="3" t="s">
        <v>203</v>
      </c>
      <c r="V293" s="4" t="str">
        <f>IF(ISBLANK(C293),,IFERROR(IF(VLOOKUP(B293,Standings!$A:$F, 6, 0)=VLOOKUP(C293,Standings!$A:$F, 6, 0), VLOOKUP(B293,Standings!$A:$F, 6, 0), "Non-con"), "FCS"))</f>
        <v>MWC</v>
      </c>
      <c r="W293" s="3" t="str">
        <f t="shared" si="10"/>
        <v>Utah State</v>
      </c>
      <c r="X293" s="3" t="str">
        <f t="shared" si="11"/>
        <v>Nevada</v>
      </c>
      <c r="Y293" s="30">
        <f>IF(D293=0,,IF(ISBLANK(Q293),,VLOOKUP(X293,Week9,2,FALSE)/(VLOOKUP(X293,Week9,2,FALSE)+VLOOKUP(W293,Week9,2,FALSE))+0.05)*100)</f>
        <v>61.79393238</v>
      </c>
      <c r="Z293" s="3" t="s">
        <v>164</v>
      </c>
      <c r="AA293" s="3">
        <v>34.0</v>
      </c>
      <c r="AB293" s="4" t="str">
        <f t="shared" si="20"/>
        <v>Utah State</v>
      </c>
      <c r="AC293" s="3">
        <v>9.0</v>
      </c>
      <c r="AD293" s="3"/>
      <c r="AE293" s="3">
        <f t="shared" si="13"/>
        <v>25</v>
      </c>
      <c r="AF293" s="3"/>
      <c r="AG293" s="3">
        <f t="shared" si="133"/>
        <v>1</v>
      </c>
      <c r="AH293" s="3"/>
      <c r="AI293" s="7"/>
      <c r="AJ293" s="4"/>
      <c r="AK293" s="7"/>
      <c r="AL293" s="7"/>
      <c r="AM293" s="7"/>
      <c r="AN293" s="7"/>
      <c r="AO293" s="7"/>
      <c r="AP293" s="7"/>
      <c r="AQ293" s="7"/>
      <c r="AR293" s="7"/>
      <c r="AS293" s="7"/>
      <c r="AT293" s="7"/>
      <c r="AU293" s="7"/>
      <c r="AV293" s="7"/>
      <c r="AW293" s="7"/>
      <c r="AX293" s="7"/>
    </row>
    <row r="294" ht="12.75" customHeight="1">
      <c r="A294" s="3">
        <v>7.0</v>
      </c>
      <c r="B294" s="3" t="s">
        <v>99</v>
      </c>
      <c r="C294" s="3" t="s">
        <v>65</v>
      </c>
      <c r="D294" s="4">
        <f>IFERROR(VLOOKUP(B294,Week6,2,FALSE),0)</f>
        <v>38.81</v>
      </c>
      <c r="E294" s="4">
        <f>IF(ISBLANK(B294),,IFERROR(VLOOKUP(B294,CurrentRank!$B$2:$C$132,2,FALSE),0))</f>
        <v>36.94</v>
      </c>
      <c r="F294" s="4">
        <f>IFERROR(VLOOKUP(B294,Week6,3,FALSE),130)</f>
        <v>36</v>
      </c>
      <c r="G294" s="4">
        <f>IF(ISBLANK(B294),,IFERROR(VLOOKUP(B294,CurrentRank!$B$2:$D$132,3,FALSE),130))</f>
        <v>47</v>
      </c>
      <c r="H294" s="4">
        <f>IFERROR(VLOOKUP(C294,Week6,2,FALSE),0)</f>
        <v>64.28</v>
      </c>
      <c r="I294" s="4">
        <f>IF(ISBLANK(B294),,IFERROR(VLOOKUP(C294,CurrentRank!$B$2:$C$132,2,FALSE),0))</f>
        <v>34.09</v>
      </c>
      <c r="J294" s="4">
        <f>IFERROR(VLOOKUP(C294,Week6,3,FALSE),130)</f>
        <v>15</v>
      </c>
      <c r="K294" s="4">
        <f>IF(ISBLANK(C294),,IFERROR(VLOOKUP(C294,CurrentRank!$B$2:$D$132,3,FALSE),130))</f>
        <v>74</v>
      </c>
      <c r="L294" s="19">
        <f t="shared" si="135"/>
        <v>1.54635</v>
      </c>
      <c r="M294" s="19">
        <f t="shared" si="136"/>
        <v>1.06545</v>
      </c>
      <c r="N294" s="24">
        <f t="shared" si="124"/>
        <v>25.5</v>
      </c>
      <c r="O294" s="21">
        <f t="shared" si="4"/>
        <v>-13.508175</v>
      </c>
      <c r="P294" s="21">
        <f t="shared" si="125"/>
        <v>0.651825</v>
      </c>
      <c r="Q294" s="22">
        <f t="shared" si="6"/>
        <v>0.804959125</v>
      </c>
      <c r="R294" s="25" t="str">
        <f t="shared" si="7"/>
        <v>B-</v>
      </c>
      <c r="S294" s="19">
        <f t="shared" si="8"/>
        <v>0.7375</v>
      </c>
      <c r="T294" s="19" t="str">
        <f t="shared" si="9"/>
        <v>C</v>
      </c>
      <c r="U294" s="3" t="s">
        <v>203</v>
      </c>
      <c r="V294" s="4" t="str">
        <f>IF(ISBLANK(C294),,IFERROR(IF(VLOOKUP(B294,Standings!$A:$F, 6, 0)=VLOOKUP(C294,Standings!$A:$F, 6, 0), VLOOKUP(B294,Standings!$A:$F, 6, 0), "Non-con"), "FCS"))</f>
        <v>SEC</v>
      </c>
      <c r="W294" s="3" t="str">
        <f t="shared" si="10"/>
        <v>Kentucky</v>
      </c>
      <c r="X294" s="3" t="str">
        <f t="shared" si="11"/>
        <v>Tennessee</v>
      </c>
      <c r="Y294" s="30">
        <f>IF(D294=0,,IF(ISBLANK(Q294),,VLOOKUP(X294,Week6,2,FALSE)/(VLOOKUP(X294,Week6,2,FALSE)+VLOOKUP(W294,Week6,2,FALSE))+0.05)*100)</f>
        <v>67.35328354</v>
      </c>
      <c r="Z294" s="3" t="s">
        <v>99</v>
      </c>
      <c r="AA294" s="3">
        <v>34.0</v>
      </c>
      <c r="AB294" s="4" t="str">
        <f t="shared" si="20"/>
        <v>Tennessee</v>
      </c>
      <c r="AC294" s="3">
        <v>7.0</v>
      </c>
      <c r="AD294" s="3"/>
      <c r="AE294" s="3">
        <f t="shared" si="13"/>
        <v>27</v>
      </c>
      <c r="AF294" s="3"/>
      <c r="AG294" s="3">
        <f t="shared" si="133"/>
        <v>0</v>
      </c>
      <c r="AH294" s="3"/>
      <c r="AI294" s="7"/>
      <c r="AJ294" s="4"/>
      <c r="AK294" s="7"/>
      <c r="AL294" s="7"/>
      <c r="AM294" s="7"/>
      <c r="AN294" s="7"/>
      <c r="AO294" s="7"/>
      <c r="AP294" s="7"/>
      <c r="AQ294" s="7"/>
      <c r="AR294" s="7"/>
      <c r="AS294" s="7"/>
      <c r="AT294" s="7"/>
      <c r="AU294" s="7"/>
      <c r="AV294" s="7"/>
      <c r="AW294" s="7"/>
      <c r="AX294" s="7"/>
    </row>
    <row r="295" ht="12.75" hidden="1" customHeight="1">
      <c r="A295" s="3">
        <v>12.0</v>
      </c>
      <c r="B295" s="3" t="s">
        <v>93</v>
      </c>
      <c r="C295" s="3" t="s">
        <v>187</v>
      </c>
      <c r="D295" s="4">
        <f>IFERROR(VLOOKUP(B295,CurrentRank!$B$2:$C$132,2,FALSE),0)</f>
        <v>36.48</v>
      </c>
      <c r="E295" s="4">
        <f>IF(ISBLANK(B295),,IFERROR(VLOOKUP(B295,CurrentRank!$B$2:$C$132,2,FALSE),0))</f>
        <v>36.48</v>
      </c>
      <c r="F295" s="4">
        <f>IFERROR(VLOOKUP(B295,CurrentRank!$B$2:$D$132,3,FALSE),130)</f>
        <v>52</v>
      </c>
      <c r="G295" s="4">
        <f>IF(ISBLANK(B295),,IFERROR(VLOOKUP(B295,CurrentRank!$B$2:$D$132,3,FALSE),130))</f>
        <v>52</v>
      </c>
      <c r="H295" s="4">
        <f>IFERROR(VLOOKUP(C295,CurrentRank!$B$2:$C$132,2,FALSE),0)</f>
        <v>28.66</v>
      </c>
      <c r="I295" s="4">
        <f>IF(ISBLANK(B295),,IFERROR(VLOOKUP(C295,CurrentRank!$B$2:$C$132,2,FALSE),0))</f>
        <v>28.66</v>
      </c>
      <c r="J295" s="4">
        <f>IFERROR(VLOOKUP(C295,Week11,3,FALSE),130)</f>
        <v>97</v>
      </c>
      <c r="K295" s="4">
        <f>IFERROR(VLOOKUP(C295,CurrentRank!$B$2:$D$132,3,FALSE),130)</f>
        <v>120</v>
      </c>
      <c r="L295" s="19">
        <f t="shared" ref="L295:M295" si="137">IF(ISBLANK(C295),,(D295+H295)*0.015)</f>
        <v>0.9771</v>
      </c>
      <c r="M295" s="19">
        <f t="shared" si="137"/>
        <v>0.9771</v>
      </c>
      <c r="N295" s="24">
        <f>(F295+K295)/2</f>
        <v>86</v>
      </c>
      <c r="O295" s="21">
        <f t="shared" si="4"/>
        <v>3.42145</v>
      </c>
      <c r="P295" s="24">
        <f>(D295-(H295+L295))/2</f>
        <v>3.42145</v>
      </c>
      <c r="Q295" s="22">
        <f t="shared" si="6"/>
        <v>0.55289275</v>
      </c>
      <c r="R295" s="25" t="str">
        <f t="shared" si="7"/>
        <v>F</v>
      </c>
      <c r="S295" s="19" t="str">
        <f t="shared" si="8"/>
        <v/>
      </c>
      <c r="T295" s="19" t="str">
        <f t="shared" si="9"/>
        <v/>
      </c>
      <c r="U295" s="3" t="s">
        <v>203</v>
      </c>
      <c r="V295" s="4" t="str">
        <f>IFERROR(IF(VLOOKUP(B295,Standings!$A:$F, 6, 0)=VLOOKUP(C295,Standings!$A:$F, 6, 0), VLOOKUP(B295,Standings!$A:$F, 6, 0), "Non-con"), "FCS")</f>
        <v>ACC</v>
      </c>
      <c r="W295" s="3" t="str">
        <f t="shared" si="10"/>
        <v>Duke</v>
      </c>
      <c r="X295" s="3" t="str">
        <f t="shared" si="11"/>
        <v>Wake Forest</v>
      </c>
      <c r="Y295" s="30">
        <f>IF(D295=0,,IF(ISBLANK(Q295),,VLOOKUP(X295,Week11,2,FALSE)/(VLOOKUP(X295,Week11,2,FALSE)+VLOOKUP(W295,Week11,2,FALSE))+0.05)*100)</f>
        <v>61.77681322</v>
      </c>
      <c r="Z295" s="3"/>
      <c r="AA295" s="3"/>
      <c r="AB295" s="4" t="str">
        <f t="shared" si="20"/>
        <v/>
      </c>
      <c r="AC295" s="3"/>
      <c r="AD295" s="3"/>
      <c r="AE295" s="3" t="str">
        <f t="shared" si="13"/>
        <v/>
      </c>
      <c r="AF295" s="3" t="s">
        <v>226</v>
      </c>
      <c r="AG295" s="3" t="str">
        <f t="shared" si="133"/>
        <v/>
      </c>
      <c r="AH295" s="3"/>
      <c r="AI295" s="7"/>
      <c r="AJ295" s="4"/>
      <c r="AK295" s="7"/>
      <c r="AL295" s="7"/>
      <c r="AM295" s="7"/>
      <c r="AN295" s="7"/>
      <c r="AO295" s="7"/>
      <c r="AP295" s="7"/>
      <c r="AQ295" s="7"/>
      <c r="AR295" s="7"/>
      <c r="AS295" s="7"/>
      <c r="AT295" s="7"/>
      <c r="AU295" s="7"/>
      <c r="AV295" s="7"/>
      <c r="AW295" s="7"/>
      <c r="AX295" s="7"/>
    </row>
    <row r="296" ht="12.75" hidden="1" customHeight="1">
      <c r="A296" s="3">
        <v>3.0</v>
      </c>
      <c r="B296" s="3" t="s">
        <v>47</v>
      </c>
      <c r="C296" s="3" t="s">
        <v>108</v>
      </c>
      <c r="D296" s="4">
        <f>IFERROR(VLOOKUP(B296,Week2,2,FALSE),0)</f>
        <v>51.7</v>
      </c>
      <c r="E296" s="4">
        <f>IF(ISBLANK(B296),,IFERROR(VLOOKUP(B296,CurrentRank!$B$2:$C$132,2,FALSE),0))</f>
        <v>41.86</v>
      </c>
      <c r="F296" s="4">
        <f>IFERROR(VLOOKUP(B296,Week2,3,FALSE),130)</f>
        <v>18</v>
      </c>
      <c r="G296" s="4">
        <f>IF(ISBLANK(B296),,IFERROR(VLOOKUP(B296,CurrentRank!$B$2:$D$132,3,FALSE),130))</f>
        <v>30</v>
      </c>
      <c r="H296" s="4">
        <f>IFERROR(VLOOKUP(C296,Week2,2,FALSE),0)</f>
        <v>39.42</v>
      </c>
      <c r="I296" s="4">
        <f>IF(ISBLANK(B296),,IFERROR(VLOOKUP(C296,CurrentRank!$B$2:$C$132,2,FALSE),0))</f>
        <v>30.15</v>
      </c>
      <c r="J296" s="4">
        <f>IFERROR(VLOOKUP(C296,Week2,3,FALSE),130)</f>
        <v>29</v>
      </c>
      <c r="K296" s="4">
        <f>IF(ISBLANK(C296),,IFERROR(VLOOKUP(C296,CurrentRank!$B$2:$D$132,3,FALSE),130))</f>
        <v>109</v>
      </c>
      <c r="L296" s="19">
        <f t="shared" ref="L296:L301" si="138">IF(U296= "Yes", 0, IF(ISBLANK(C296),,(D296+H296)*0.015))</f>
        <v>1.3668</v>
      </c>
      <c r="M296" s="19">
        <f t="shared" ref="M296:M301" si="139">IF(U296= "Yes", 0, IF(ISBLANK(D296),,(E296+I296)*0.015))</f>
        <v>1.08015</v>
      </c>
      <c r="N296" s="24">
        <f t="shared" ref="N296:N424" si="140">IF(ISBLANK(C296),,(F296+J296)/2)</f>
        <v>23.5</v>
      </c>
      <c r="O296" s="21">
        <f t="shared" si="4"/>
        <v>5.4566</v>
      </c>
      <c r="P296" s="21">
        <f t="shared" ref="P296:P301" si="141">IF(ISBLANK(C296),,(E296-(I296+L296))/2)</f>
        <v>5.1716</v>
      </c>
      <c r="Q296" s="22">
        <f t="shared" si="6"/>
        <v>0.855217</v>
      </c>
      <c r="R296" s="25" t="str">
        <f t="shared" si="7"/>
        <v>B</v>
      </c>
      <c r="S296" s="19">
        <f t="shared" si="8"/>
        <v>0.7425</v>
      </c>
      <c r="T296" s="19" t="str">
        <f t="shared" si="9"/>
        <v>C</v>
      </c>
      <c r="U296" s="3" t="s">
        <v>203</v>
      </c>
      <c r="V296" s="4" t="str">
        <f>IF(ISBLANK(C296),,IFERROR(IF(VLOOKUP(B296,Standings!$A:$F, 6, 0)=VLOOKUP(C296,Standings!$A:$F, 6, 0), VLOOKUP(B296,Standings!$A:$F, 6, 0), "Non-con"), "FCS"))</f>
        <v>Non-con</v>
      </c>
      <c r="W296" s="3" t="str">
        <f t="shared" si="10"/>
        <v>Georgia Tech</v>
      </c>
      <c r="X296" s="3" t="str">
        <f t="shared" si="11"/>
        <v>Central Florida</v>
      </c>
      <c r="Y296" s="30">
        <f>IF(D296=0,,IF(ISBLANK(Q296),,VLOOKUP(X296,Week2,2,FALSE)/(VLOOKUP(X296,Week2,2,FALSE)+VLOOKUP(W296,Week2,2,FALSE))+0.05)*100)</f>
        <v>61.73836699</v>
      </c>
      <c r="Z296" s="3" t="s">
        <v>47</v>
      </c>
      <c r="AA296" s="3">
        <v>49.0</v>
      </c>
      <c r="AB296" s="4" t="str">
        <f t="shared" si="20"/>
        <v>Georgia Tech</v>
      </c>
      <c r="AC296" s="3">
        <v>21.0</v>
      </c>
      <c r="AD296" s="3"/>
      <c r="AE296" s="3">
        <f t="shared" si="13"/>
        <v>28</v>
      </c>
      <c r="AF296" s="3"/>
      <c r="AG296" s="3">
        <f t="shared" si="133"/>
        <v>1</v>
      </c>
      <c r="AH296" s="3"/>
      <c r="AI296" s="7"/>
      <c r="AJ296" s="4"/>
      <c r="AK296" s="7"/>
      <c r="AL296" s="7"/>
      <c r="AM296" s="7"/>
      <c r="AN296" s="7"/>
      <c r="AO296" s="7"/>
      <c r="AP296" s="7"/>
      <c r="AQ296" s="7"/>
      <c r="AR296" s="7"/>
      <c r="AS296" s="7"/>
      <c r="AT296" s="7"/>
      <c r="AU296" s="7"/>
      <c r="AV296" s="7"/>
      <c r="AW296" s="7"/>
      <c r="AX296" s="7"/>
    </row>
    <row r="297" ht="12.75" customHeight="1">
      <c r="A297" s="3">
        <v>16.0</v>
      </c>
      <c r="B297" s="3" t="s">
        <v>107</v>
      </c>
      <c r="C297" s="3" t="s">
        <v>88</v>
      </c>
      <c r="D297" s="4">
        <f>IFERROR(VLOOKUP(B297,Week15,2,FALSE),0)</f>
        <v>37.62</v>
      </c>
      <c r="E297" s="4">
        <f>IF(ISBLANK(B297),,IFERROR(VLOOKUP(B297,CurrentRank!$B$2:$C$132,2,FALSE),0))</f>
        <v>35.54</v>
      </c>
      <c r="F297" s="4">
        <f>IFERROR(VLOOKUP(B297,Week15,3,FALSE),130)</f>
        <v>45</v>
      </c>
      <c r="G297" s="4">
        <f>IF(ISBLANK(B297),,IFERROR(VLOOKUP(B297,CurrentRank!$B$2:$D$132,3,FALSE),130))</f>
        <v>57</v>
      </c>
      <c r="H297" s="4">
        <f>IFERROR(VLOOKUP(C297,Week15,2,FALSE),0)</f>
        <v>36.11</v>
      </c>
      <c r="I297" s="4">
        <f>IF(ISBLANK(B297),,IFERROR(VLOOKUP(C297,CurrentRank!$B$2:$C$132,2,FALSE),0))</f>
        <v>33.11</v>
      </c>
      <c r="J297" s="4">
        <f>IFERROR(VLOOKUP(C297,Week15,3,FALSE),130)</f>
        <v>59</v>
      </c>
      <c r="K297" s="4">
        <f>IF(ISBLANK(C297),,IFERROR(VLOOKUP(C297,CurrentRank!$B$2:$D$132,3,FALSE),130))</f>
        <v>85</v>
      </c>
      <c r="L297" s="19">
        <f t="shared" si="138"/>
        <v>1.10595</v>
      </c>
      <c r="M297" s="19">
        <f t="shared" si="139"/>
        <v>1.02975</v>
      </c>
      <c r="N297" s="24">
        <f t="shared" si="140"/>
        <v>52</v>
      </c>
      <c r="O297" s="21">
        <f t="shared" si="4"/>
        <v>0.202025</v>
      </c>
      <c r="P297" s="21">
        <f t="shared" si="141"/>
        <v>0.662025</v>
      </c>
      <c r="Q297" s="22">
        <f t="shared" si="6"/>
        <v>0.738989875</v>
      </c>
      <c r="R297" s="25" t="str">
        <f t="shared" si="7"/>
        <v>C</v>
      </c>
      <c r="S297" s="19">
        <f t="shared" si="8"/>
        <v>0.725</v>
      </c>
      <c r="T297" s="19" t="str">
        <f t="shared" si="9"/>
        <v>C</v>
      </c>
      <c r="U297" s="3" t="s">
        <v>203</v>
      </c>
      <c r="V297" s="4" t="str">
        <f>IF(ISBLANK(C297),,IFERROR(IF(VLOOKUP(B297,Standings!$A:$F, 6, 0)=VLOOKUP(C297,Standings!$A:$F, 6, 0), VLOOKUP(B297,Standings!$A:$F, 6, 0), "Non-con"), "FCS"))</f>
        <v>Non-con</v>
      </c>
      <c r="W297" s="3" t="str">
        <f t="shared" si="10"/>
        <v>Army</v>
      </c>
      <c r="X297" s="3" t="str">
        <f t="shared" si="11"/>
        <v>Air Force</v>
      </c>
      <c r="Y297" s="30">
        <f>IF(D297=0,,IF(ISBLANK(Q297),,VLOOKUP(X297,Week15,2,FALSE)/(VLOOKUP(X297,Week15,2,FALSE)+VLOOKUP(W297,Week15,2,FALSE))+0.05)*100)</f>
        <v>56.02400651</v>
      </c>
      <c r="Z297" s="3" t="s">
        <v>88</v>
      </c>
      <c r="AA297" s="3">
        <v>10.0</v>
      </c>
      <c r="AB297" s="4" t="str">
        <f t="shared" si="20"/>
        <v>Air Force</v>
      </c>
      <c r="AC297" s="3">
        <v>7.0</v>
      </c>
      <c r="AD297" s="3"/>
      <c r="AE297" s="3">
        <f t="shared" si="13"/>
        <v>3</v>
      </c>
      <c r="AF297" s="3"/>
      <c r="AG297" s="3">
        <f t="shared" si="133"/>
        <v>0</v>
      </c>
      <c r="AH297" s="3"/>
      <c r="AI297" s="7"/>
      <c r="AJ297" s="4"/>
      <c r="AK297" s="7"/>
      <c r="AL297" s="7"/>
      <c r="AM297" s="7"/>
      <c r="AN297" s="7"/>
      <c r="AO297" s="7"/>
      <c r="AP297" s="7"/>
      <c r="AQ297" s="7"/>
      <c r="AR297" s="7"/>
      <c r="AS297" s="7"/>
      <c r="AT297" s="7"/>
      <c r="AU297" s="7"/>
      <c r="AV297" s="7"/>
      <c r="AW297" s="7"/>
      <c r="AX297" s="7"/>
    </row>
    <row r="298" ht="12.75" hidden="1" customHeight="1">
      <c r="A298" s="3">
        <v>12.0</v>
      </c>
      <c r="B298" s="3" t="s">
        <v>184</v>
      </c>
      <c r="C298" s="3" t="s">
        <v>191</v>
      </c>
      <c r="D298" s="4">
        <f>IFERROR(VLOOKUP(B298,Week11,2,FALSE),0)</f>
        <v>31.78</v>
      </c>
      <c r="E298" s="4">
        <f>IF(ISBLANK(B298),,IFERROR(VLOOKUP(B298,CurrentRank!$B$2:$C$132,2,FALSE),0))</f>
        <v>28.91</v>
      </c>
      <c r="F298" s="4">
        <f>IFERROR(VLOOKUP(B298,Week11,3,FALSE),130)</f>
        <v>91</v>
      </c>
      <c r="G298" s="4">
        <f>IF(ISBLANK(B298),,IFERROR(VLOOKUP(B298,CurrentRank!$B$2:$D$132,3,FALSE),130))</f>
        <v>118</v>
      </c>
      <c r="H298" s="4">
        <f>IFERROR(VLOOKUP(C298,Week11,2,FALSE),0)</f>
        <v>41.55</v>
      </c>
      <c r="I298" s="4">
        <f>IF(ISBLANK(B298),,IFERROR(VLOOKUP(C298,CurrentRank!$B$2:$C$132,2,FALSE),0))</f>
        <v>34.71</v>
      </c>
      <c r="J298" s="4">
        <f>IFERROR(VLOOKUP(C298,Week11,3,FALSE),130)</f>
        <v>37</v>
      </c>
      <c r="K298" s="4">
        <f>IF(ISBLANK(C298),,IFERROR(VLOOKUP(C298,CurrentRank!$B$2:$D$132,3,FALSE),130))</f>
        <v>68</v>
      </c>
      <c r="L298" s="19">
        <f t="shared" si="138"/>
        <v>1.09995</v>
      </c>
      <c r="M298" s="19">
        <f t="shared" si="139"/>
        <v>0.9543</v>
      </c>
      <c r="N298" s="24">
        <f t="shared" si="140"/>
        <v>64</v>
      </c>
      <c r="O298" s="21">
        <f t="shared" si="4"/>
        <v>-5.434975</v>
      </c>
      <c r="P298" s="21">
        <f t="shared" si="141"/>
        <v>-3.449975</v>
      </c>
      <c r="Q298" s="22">
        <f t="shared" si="6"/>
        <v>0.652825125</v>
      </c>
      <c r="R298" s="25" t="str">
        <f t="shared" si="7"/>
        <v>D</v>
      </c>
      <c r="S298" s="19">
        <f t="shared" si="8"/>
        <v>0.51</v>
      </c>
      <c r="T298" s="19" t="str">
        <f t="shared" si="9"/>
        <v>F</v>
      </c>
      <c r="U298" s="3" t="s">
        <v>203</v>
      </c>
      <c r="V298" s="4" t="str">
        <f>IF(ISBLANK(C298),,IFERROR(IF(VLOOKUP(B298,Standings!$A:$F, 6, 0)=VLOOKUP(C298,Standings!$A:$F, 6, 0), VLOOKUP(B298,Standings!$A:$F, 6, 0), "Non-con"), "FCS"))</f>
        <v>MAC</v>
      </c>
      <c r="W298" s="3" t="str">
        <f t="shared" si="10"/>
        <v>Akron</v>
      </c>
      <c r="X298" s="3" t="str">
        <f t="shared" si="11"/>
        <v>Kent State</v>
      </c>
      <c r="Y298" s="30">
        <f>IF(D298=0,,IF(ISBLANK(Q298),,VLOOKUP(X298,Week11,2,FALSE)/(VLOOKUP(X298,Week11,2,FALSE)+VLOOKUP(W298,Week11,2,FALSE))+0.05)*100)</f>
        <v>61.66166644</v>
      </c>
      <c r="Z298" s="3" t="s">
        <v>191</v>
      </c>
      <c r="AA298" s="3">
        <v>69.0</v>
      </c>
      <c r="AB298" s="4" t="str">
        <f t="shared" si="20"/>
        <v>Akron</v>
      </c>
      <c r="AC298" s="3">
        <v>35.0</v>
      </c>
      <c r="AD298" s="3"/>
      <c r="AE298" s="3">
        <f t="shared" si="13"/>
        <v>34</v>
      </c>
      <c r="AF298" s="3"/>
      <c r="AG298" s="3">
        <f t="shared" si="133"/>
        <v>1</v>
      </c>
      <c r="AH298" s="3"/>
      <c r="AI298" s="7"/>
      <c r="AJ298" s="4" t="s">
        <v>141</v>
      </c>
      <c r="AK298" s="7"/>
      <c r="AL298" s="7"/>
      <c r="AM298" s="7"/>
      <c r="AN298" s="7"/>
      <c r="AO298" s="7"/>
      <c r="AP298" s="7"/>
      <c r="AQ298" s="7"/>
      <c r="AR298" s="7"/>
      <c r="AS298" s="7"/>
      <c r="AT298" s="7"/>
      <c r="AU298" s="7"/>
      <c r="AV298" s="7"/>
      <c r="AW298" s="7"/>
      <c r="AX298" s="7"/>
    </row>
    <row r="299" ht="12.75" hidden="1" customHeight="1">
      <c r="A299" s="3">
        <v>13.0</v>
      </c>
      <c r="B299" s="3" t="s">
        <v>111</v>
      </c>
      <c r="C299" s="3" t="s">
        <v>98</v>
      </c>
      <c r="D299" s="4">
        <f>IFERROR(VLOOKUP(B299,Week12,2,FALSE),0)</f>
        <v>27.3</v>
      </c>
      <c r="E299" s="4">
        <f>IF(ISBLANK(B299),,IFERROR(VLOOKUP(B299,CurrentRank!$B$2:$C$132,2,FALSE),0))</f>
        <v>29.75</v>
      </c>
      <c r="F299" s="4">
        <f>IFERROR(VLOOKUP(B299,Week12,3,FALSE),130)</f>
        <v>121</v>
      </c>
      <c r="G299" s="4">
        <f>IF(ISBLANK(B299),,IFERROR(VLOOKUP(B299,CurrentRank!$B$2:$D$132,3,FALSE),130))</f>
        <v>112</v>
      </c>
      <c r="H299" s="4">
        <f>IFERROR(VLOOKUP(C299,Week12,2,FALSE),0)</f>
        <v>35.64</v>
      </c>
      <c r="I299" s="4">
        <f>IF(ISBLANK(B299),,IFERROR(VLOOKUP(C299,CurrentRank!$B$2:$C$132,2,FALSE),0))</f>
        <v>37.44</v>
      </c>
      <c r="J299" s="4">
        <f>IFERROR(VLOOKUP(C299,Week12,3,FALSE),130)</f>
        <v>57</v>
      </c>
      <c r="K299" s="4">
        <f>IF(ISBLANK(C299),,IFERROR(VLOOKUP(C299,CurrentRank!$B$2:$D$132,3,FALSE),130))</f>
        <v>42</v>
      </c>
      <c r="L299" s="19">
        <f t="shared" si="138"/>
        <v>0.9441</v>
      </c>
      <c r="M299" s="19">
        <f t="shared" si="139"/>
        <v>1.00785</v>
      </c>
      <c r="N299" s="24">
        <f t="shared" si="140"/>
        <v>89</v>
      </c>
      <c r="O299" s="21">
        <f t="shared" si="4"/>
        <v>-4.64205</v>
      </c>
      <c r="P299" s="21">
        <f t="shared" si="141"/>
        <v>-4.31705</v>
      </c>
      <c r="Q299" s="22">
        <f t="shared" si="6"/>
        <v>0.53178975</v>
      </c>
      <c r="R299" s="25" t="str">
        <f t="shared" si="7"/>
        <v>F</v>
      </c>
      <c r="S299" s="19">
        <f t="shared" si="8"/>
        <v>0.37</v>
      </c>
      <c r="T299" s="19" t="str">
        <f t="shared" si="9"/>
        <v>F</v>
      </c>
      <c r="U299" s="3" t="s">
        <v>203</v>
      </c>
      <c r="V299" s="4" t="str">
        <f>IF(ISBLANK(C299),,IFERROR(IF(VLOOKUP(B299,Standings!$A:$F, 6, 0)=VLOOKUP(C299,Standings!$A:$F, 6, 0), VLOOKUP(B299,Standings!$A:$F, 6, 0), "Non-con"), "FCS"))</f>
        <v>SUN</v>
      </c>
      <c r="W299" s="3" t="str">
        <f t="shared" si="10"/>
        <v>Troy</v>
      </c>
      <c r="X299" s="3" t="str">
        <f t="shared" si="11"/>
        <v>Appalachian State</v>
      </c>
      <c r="Y299" s="30">
        <f>IF(D299=0,,IF(ISBLANK(Q299),,VLOOKUP(X299,Week12,2,FALSE)/(VLOOKUP(X299,Week12,2,FALSE)+VLOOKUP(W299,Week12,2,FALSE))+0.05)*100)</f>
        <v>61.62535748</v>
      </c>
      <c r="Z299" s="3" t="s">
        <v>98</v>
      </c>
      <c r="AA299" s="3">
        <v>47.0</v>
      </c>
      <c r="AB299" s="4" t="str">
        <f t="shared" si="20"/>
        <v>Troy</v>
      </c>
      <c r="AC299" s="3">
        <v>10.0</v>
      </c>
      <c r="AD299" s="3"/>
      <c r="AE299" s="3">
        <f t="shared" si="13"/>
        <v>37</v>
      </c>
      <c r="AF299" s="3"/>
      <c r="AG299" s="3">
        <f t="shared" si="133"/>
        <v>1</v>
      </c>
      <c r="AH299" s="3"/>
      <c r="AI299" s="7"/>
      <c r="AJ299" s="4" t="s">
        <v>170</v>
      </c>
      <c r="AK299" s="7"/>
      <c r="AL299" s="7"/>
      <c r="AM299" s="7"/>
      <c r="AN299" s="7"/>
      <c r="AO299" s="7"/>
      <c r="AP299" s="7"/>
      <c r="AQ299" s="7"/>
      <c r="AR299" s="7"/>
      <c r="AS299" s="7"/>
      <c r="AT299" s="7"/>
      <c r="AU299" s="7"/>
      <c r="AV299" s="7"/>
      <c r="AW299" s="7"/>
      <c r="AX299" s="7"/>
    </row>
    <row r="300" ht="12.75" hidden="1" customHeight="1">
      <c r="A300" s="3">
        <v>8.0</v>
      </c>
      <c r="B300" s="3" t="s">
        <v>108</v>
      </c>
      <c r="C300" s="3" t="s">
        <v>101</v>
      </c>
      <c r="D300" s="4">
        <f>IFERROR(VLOOKUP(B300,Week7,2,FALSE),0)</f>
        <v>28.12</v>
      </c>
      <c r="E300" s="4">
        <f>IF(ISBLANK(B300),,IFERROR(VLOOKUP(B300,CurrentRank!$B$2:$C$132,2,FALSE),0))</f>
        <v>30.15</v>
      </c>
      <c r="F300" s="4">
        <f>IFERROR(VLOOKUP(B300,Week7,3,FALSE),130)</f>
        <v>123</v>
      </c>
      <c r="G300" s="4">
        <f>IF(ISBLANK(B300),,IFERROR(VLOOKUP(B300,CurrentRank!$B$2:$D$132,3,FALSE),130))</f>
        <v>109</v>
      </c>
      <c r="H300" s="4">
        <f>IFERROR(VLOOKUP(C300,Week7,2,FALSE),0)</f>
        <v>36.7</v>
      </c>
      <c r="I300" s="4">
        <f>IF(ISBLANK(B300),,IFERROR(VLOOKUP(C300,CurrentRank!$B$2:$C$132,2,FALSE),0))</f>
        <v>36.62</v>
      </c>
      <c r="J300" s="4">
        <f>IFERROR(VLOOKUP(C300,Week7,3,FALSE),130)</f>
        <v>47</v>
      </c>
      <c r="K300" s="4">
        <f>IF(ISBLANK(C300),,IFERROR(VLOOKUP(C300,CurrentRank!$B$2:$D$132,3,FALSE),130))</f>
        <v>50</v>
      </c>
      <c r="L300" s="19">
        <f t="shared" si="138"/>
        <v>0.9723</v>
      </c>
      <c r="M300" s="19">
        <f t="shared" si="139"/>
        <v>1.00155</v>
      </c>
      <c r="N300" s="24">
        <f t="shared" si="140"/>
        <v>85</v>
      </c>
      <c r="O300" s="21">
        <f t="shared" si="4"/>
        <v>-4.77615</v>
      </c>
      <c r="P300" s="21">
        <f t="shared" si="141"/>
        <v>-3.72115</v>
      </c>
      <c r="Q300" s="22">
        <f t="shared" si="6"/>
        <v>0.55111925</v>
      </c>
      <c r="R300" s="25" t="str">
        <f t="shared" si="7"/>
        <v>F</v>
      </c>
      <c r="S300" s="19">
        <f t="shared" si="8"/>
        <v>0.47</v>
      </c>
      <c r="T300" s="19" t="str">
        <f t="shared" si="9"/>
        <v>F</v>
      </c>
      <c r="U300" s="3" t="s">
        <v>203</v>
      </c>
      <c r="V300" s="4" t="str">
        <f>IF(ISBLANK(C300),,IFERROR(IF(VLOOKUP(B300,Standings!$A:$F, 6, 0)=VLOOKUP(C300,Standings!$A:$F, 6, 0), VLOOKUP(B300,Standings!$A:$F, 6, 0), "Non-con"), "FCS"))</f>
        <v>ACC</v>
      </c>
      <c r="W300" s="3" t="str">
        <f t="shared" si="10"/>
        <v>Georgia Tech</v>
      </c>
      <c r="X300" s="3" t="str">
        <f t="shared" si="11"/>
        <v>Boston College</v>
      </c>
      <c r="Y300" s="30">
        <f>IF(D300=0,,IF(ISBLANK(Q300),,VLOOKUP(X300,Week7,2,FALSE)/(VLOOKUP(X300,Week7,2,FALSE)+VLOOKUP(W300,Week7,2,FALSE))+0.05)*100)</f>
        <v>61.61832768</v>
      </c>
      <c r="Z300" s="3" t="s">
        <v>101</v>
      </c>
      <c r="AA300" s="3">
        <v>48.0</v>
      </c>
      <c r="AB300" s="4" t="str">
        <f t="shared" si="20"/>
        <v>Georgia Tech</v>
      </c>
      <c r="AC300" s="3">
        <v>27.0</v>
      </c>
      <c r="AD300" s="3"/>
      <c r="AE300" s="3">
        <f t="shared" si="13"/>
        <v>21</v>
      </c>
      <c r="AF300" s="3"/>
      <c r="AG300" s="3">
        <f t="shared" si="133"/>
        <v>1</v>
      </c>
      <c r="AH300" s="3"/>
      <c r="AI300" s="7"/>
      <c r="AJ300" s="4" t="s">
        <v>110</v>
      </c>
      <c r="AK300" s="7"/>
      <c r="AL300" s="7"/>
      <c r="AM300" s="7"/>
      <c r="AN300" s="7"/>
      <c r="AO300" s="7"/>
      <c r="AP300" s="7"/>
      <c r="AQ300" s="7"/>
      <c r="AR300" s="7"/>
      <c r="AS300" s="7"/>
      <c r="AT300" s="7"/>
      <c r="AU300" s="7"/>
      <c r="AV300" s="7"/>
      <c r="AW300" s="7"/>
      <c r="AX300" s="7"/>
    </row>
    <row r="301" ht="12.75" hidden="1" customHeight="1">
      <c r="A301" s="3">
        <v>11.0</v>
      </c>
      <c r="B301" s="3" t="s">
        <v>164</v>
      </c>
      <c r="C301" s="3" t="s">
        <v>185</v>
      </c>
      <c r="D301" s="4">
        <f>IFERROR(VLOOKUP(B301,Week10,2,FALSE),0)</f>
        <v>43.43</v>
      </c>
      <c r="E301" s="4">
        <f>IF(ISBLANK(B301),,IFERROR(VLOOKUP(B301,CurrentRank!$B$2:$C$132,2,FALSE),0))</f>
        <v>37.5</v>
      </c>
      <c r="F301" s="4">
        <f>IFERROR(VLOOKUP(B301,Week10,3,FALSE),130)</f>
        <v>29</v>
      </c>
      <c r="G301" s="4">
        <f>IF(ISBLANK(B301),,IFERROR(VLOOKUP(B301,CurrentRank!$B$2:$D$132,3,FALSE),130))</f>
        <v>41</v>
      </c>
      <c r="H301" s="4">
        <f>IFERROR(VLOOKUP(C301,Week10,2,FALSE),0)</f>
        <v>33.36</v>
      </c>
      <c r="I301" s="4">
        <f>IF(ISBLANK(B301),,IFERROR(VLOOKUP(C301,CurrentRank!$B$2:$C$132,2,FALSE),0))</f>
        <v>33.22</v>
      </c>
      <c r="J301" s="4">
        <f>IFERROR(VLOOKUP(C301,Week10,3,FALSE),130)</f>
        <v>76</v>
      </c>
      <c r="K301" s="4">
        <f>IF(ISBLANK(C301),,IFERROR(VLOOKUP(C301,CurrentRank!$B$2:$D$132,3,FALSE),130))</f>
        <v>84</v>
      </c>
      <c r="L301" s="19">
        <f t="shared" si="138"/>
        <v>1.15185</v>
      </c>
      <c r="M301" s="19">
        <f t="shared" si="139"/>
        <v>1.0608</v>
      </c>
      <c r="N301" s="24">
        <f t="shared" si="140"/>
        <v>52.5</v>
      </c>
      <c r="O301" s="21">
        <f t="shared" si="4"/>
        <v>4.459075</v>
      </c>
      <c r="P301" s="21">
        <f t="shared" si="141"/>
        <v>1.564075</v>
      </c>
      <c r="Q301" s="22">
        <f t="shared" si="6"/>
        <v>0.715204625</v>
      </c>
      <c r="R301" s="25" t="str">
        <f t="shared" si="7"/>
        <v>C-</v>
      </c>
      <c r="S301" s="19">
        <f t="shared" si="8"/>
        <v>0.7025</v>
      </c>
      <c r="T301" s="19" t="str">
        <f t="shared" si="9"/>
        <v>C-</v>
      </c>
      <c r="U301" s="3" t="s">
        <v>203</v>
      </c>
      <c r="V301" s="4" t="str">
        <f>IF(ISBLANK(C301),,IFERROR(IF(VLOOKUP(B301,Standings!$A:$F, 6, 0)=VLOOKUP(C301,Standings!$A:$F, 6, 0), VLOOKUP(B301,Standings!$A:$F, 6, 0), "Non-con"), "FCS"))</f>
        <v>MWC</v>
      </c>
      <c r="W301" s="3" t="str">
        <f t="shared" si="10"/>
        <v>New Mexico</v>
      </c>
      <c r="X301" s="3" t="str">
        <f t="shared" si="11"/>
        <v>Nevada</v>
      </c>
      <c r="Y301" s="30">
        <f>IF(D301=0,,IF(ISBLANK(Q301),,VLOOKUP(X301,Week10,2,FALSE)/(VLOOKUP(X301,Week10,2,FALSE)+VLOOKUP(W301,Week10,2,FALSE))+0.05)*100)</f>
        <v>61.55684334</v>
      </c>
      <c r="Z301" s="3" t="s">
        <v>164</v>
      </c>
      <c r="AA301" s="3">
        <v>27.0</v>
      </c>
      <c r="AB301" s="4" t="str">
        <f t="shared" si="20"/>
        <v>New Mexico</v>
      </c>
      <c r="AC301" s="3">
        <v>20.0</v>
      </c>
      <c r="AD301" s="3"/>
      <c r="AE301" s="3">
        <f t="shared" si="13"/>
        <v>7</v>
      </c>
      <c r="AF301" s="3"/>
      <c r="AG301" s="3">
        <f t="shared" si="133"/>
        <v>1</v>
      </c>
      <c r="AH301" s="3"/>
      <c r="AI301" s="7"/>
      <c r="AJ301" s="4"/>
      <c r="AK301" s="7"/>
      <c r="AL301" s="7"/>
      <c r="AM301" s="7"/>
      <c r="AN301" s="7"/>
      <c r="AO301" s="7"/>
      <c r="AP301" s="7"/>
      <c r="AQ301" s="7"/>
      <c r="AR301" s="7"/>
      <c r="AS301" s="7"/>
      <c r="AT301" s="7"/>
      <c r="AU301" s="7"/>
      <c r="AV301" s="7"/>
      <c r="AW301" s="7"/>
      <c r="AX301" s="7"/>
    </row>
    <row r="302" ht="12.75" hidden="1" customHeight="1">
      <c r="A302" s="3">
        <v>10.0</v>
      </c>
      <c r="B302" s="3" t="s">
        <v>132</v>
      </c>
      <c r="C302" s="3" t="s">
        <v>130</v>
      </c>
      <c r="D302" s="4">
        <f>IFERROR(VLOOKUP(B302,CurrentRank!$B$2:$C$132,2,FALSE),0)</f>
        <v>37.38</v>
      </c>
      <c r="E302" s="4">
        <f>IF(ISBLANK(B302),,IFERROR(VLOOKUP(B302,CurrentRank!$B$2:$C$132,2,FALSE),0))</f>
        <v>37.38</v>
      </c>
      <c r="F302" s="4">
        <f>IFERROR(VLOOKUP(B302,Week9,3,FALSE),130)</f>
        <v>36</v>
      </c>
      <c r="G302" s="4">
        <f>IF(ISBLANK(B302),,IFERROR(VLOOKUP(B302,CurrentRank!$B$2:$D$132,3,FALSE),130))</f>
        <v>43</v>
      </c>
      <c r="H302" s="4">
        <f>IFERROR(VLOOKUP(C302,CurrentRank!$B$2:$C$132,2,FALSE),0)</f>
        <v>29.22</v>
      </c>
      <c r="I302" s="4">
        <f>IF(ISBLANK(B302),,IFERROR(VLOOKUP(C302,CurrentRank!$B$2:$C$132,2,FALSE),0))</f>
        <v>29.22</v>
      </c>
      <c r="J302" s="4">
        <f>IFERROR(VLOOKUP(C302,Week9,3,FALSE),130)</f>
        <v>82</v>
      </c>
      <c r="K302" s="4">
        <f>IF(ISBLANK(C302),,IFERROR(VLOOKUP(C302,CurrentRank!$B$2:$D$132,3,FALSE),130))</f>
        <v>116</v>
      </c>
      <c r="L302" s="19">
        <f t="shared" ref="L302:M302" si="142">IF(ISBLANK(C302),,(D302+H302)*0.015)</f>
        <v>0.999</v>
      </c>
      <c r="M302" s="19">
        <f t="shared" si="142"/>
        <v>0.999</v>
      </c>
      <c r="N302" s="24">
        <f t="shared" si="140"/>
        <v>59</v>
      </c>
      <c r="O302" s="21">
        <f t="shared" si="4"/>
        <v>3.5805</v>
      </c>
      <c r="P302" s="24">
        <f>(D302-(H302+L302))/2</f>
        <v>3.5805</v>
      </c>
      <c r="Q302" s="22">
        <f t="shared" si="6"/>
        <v>0.6870975</v>
      </c>
      <c r="R302" s="25" t="str">
        <f t="shared" si="7"/>
        <v>D+</v>
      </c>
      <c r="S302" s="19" t="str">
        <f t="shared" si="8"/>
        <v/>
      </c>
      <c r="T302" s="19" t="str">
        <f t="shared" si="9"/>
        <v/>
      </c>
      <c r="U302" s="3" t="s">
        <v>203</v>
      </c>
      <c r="V302" s="4" t="str">
        <f>IFERROR(IF(VLOOKUP(B302,Standings!$A:$F, 6, 0)=VLOOKUP(C302,Standings!$A:$F, 6, 0), VLOOKUP(B302,Standings!$A:$F, 6, 0), "Non-con"), "FCS")</f>
        <v>AAC</v>
      </c>
      <c r="W302" s="3" t="str">
        <f t="shared" si="10"/>
        <v>Navy</v>
      </c>
      <c r="X302" s="3" t="str">
        <f t="shared" si="11"/>
        <v>Tulsa</v>
      </c>
      <c r="Y302" s="30">
        <f>IF(D302=0,,IF(ISBLANK(Q302),,VLOOKUP(X302,Week9,2,FALSE)/(VLOOKUP(X302,Week9,2,FALSE)+VLOOKUP(W302,Week9,2,FALSE))+0.05)*100)</f>
        <v>61.48682913</v>
      </c>
      <c r="Z302" s="3"/>
      <c r="AA302" s="3"/>
      <c r="AB302" s="4" t="str">
        <f t="shared" si="20"/>
        <v/>
      </c>
      <c r="AC302" s="3"/>
      <c r="AD302" s="3"/>
      <c r="AE302" s="3" t="str">
        <f t="shared" si="13"/>
        <v/>
      </c>
      <c r="AF302" s="3" t="s">
        <v>228</v>
      </c>
      <c r="AG302" s="3" t="str">
        <f t="shared" si="133"/>
        <v/>
      </c>
      <c r="AH302" s="3"/>
      <c r="AI302" s="7"/>
      <c r="AJ302" s="4"/>
      <c r="AK302" s="7"/>
      <c r="AL302" s="7"/>
      <c r="AM302" s="7"/>
      <c r="AN302" s="7"/>
      <c r="AO302" s="7"/>
      <c r="AP302" s="7"/>
      <c r="AQ302" s="7"/>
      <c r="AR302" s="7"/>
      <c r="AS302" s="7"/>
      <c r="AT302" s="7"/>
      <c r="AU302" s="7"/>
      <c r="AV302" s="7"/>
      <c r="AW302" s="7"/>
      <c r="AX302" s="7"/>
    </row>
    <row r="303" ht="12.75" customHeight="1">
      <c r="A303" s="3">
        <v>8.0</v>
      </c>
      <c r="B303" s="3" t="s">
        <v>64</v>
      </c>
      <c r="C303" s="3" t="s">
        <v>129</v>
      </c>
      <c r="D303" s="4">
        <f>IFERROR(VLOOKUP(B303,Week7,2,FALSE),0)</f>
        <v>36.83</v>
      </c>
      <c r="E303" s="4">
        <f>IF(ISBLANK(B303),,IFERROR(VLOOKUP(B303,CurrentRank!$B$2:$C$132,2,FALSE),0))</f>
        <v>39.11</v>
      </c>
      <c r="F303" s="4">
        <f>IFERROR(VLOOKUP(B303,Week7,3,FALSE),130)</f>
        <v>46</v>
      </c>
      <c r="G303" s="4">
        <f>IF(ISBLANK(B303),,IFERROR(VLOOKUP(B303,CurrentRank!$B$2:$D$132,3,FALSE),130))</f>
        <v>36</v>
      </c>
      <c r="H303" s="4">
        <f>IFERROR(VLOOKUP(C303,Week7,2,FALSE),0)</f>
        <v>36.49</v>
      </c>
      <c r="I303" s="4">
        <f>IF(ISBLANK(B303),,IFERROR(VLOOKUP(C303,CurrentRank!$B$2:$C$132,2,FALSE),0))</f>
        <v>39.96</v>
      </c>
      <c r="J303" s="4">
        <f>IFERROR(VLOOKUP(C303,Week7,3,FALSE),130)</f>
        <v>50</v>
      </c>
      <c r="K303" s="4">
        <f>IF(ISBLANK(C303),,IFERROR(VLOOKUP(C303,CurrentRank!$B$2:$D$132,3,FALSE),130))</f>
        <v>35</v>
      </c>
      <c r="L303" s="19">
        <f t="shared" ref="L303:L309" si="143">IF(U303= "Yes", 0, IF(ISBLANK(C303),,(D303+H303)*0.015))</f>
        <v>1.0998</v>
      </c>
      <c r="M303" s="19">
        <f t="shared" ref="M303:M309" si="144">IF(U303= "Yes", 0, IF(ISBLANK(D303),,(E303+I303)*0.015))</f>
        <v>1.18605</v>
      </c>
      <c r="N303" s="24">
        <f t="shared" si="140"/>
        <v>48</v>
      </c>
      <c r="O303" s="21">
        <f t="shared" si="4"/>
        <v>-0.3799</v>
      </c>
      <c r="P303" s="21">
        <f t="shared" ref="P303:P339" si="145">IF(ISBLANK(C303),,(E303-(I303+L303))/2)</f>
        <v>-0.9749</v>
      </c>
      <c r="Q303" s="22">
        <f t="shared" si="6"/>
        <v>0.7581005</v>
      </c>
      <c r="R303" s="25" t="str">
        <f t="shared" si="7"/>
        <v>C</v>
      </c>
      <c r="S303" s="19">
        <f t="shared" si="8"/>
        <v>0.725</v>
      </c>
      <c r="T303" s="19" t="str">
        <f t="shared" si="9"/>
        <v>C</v>
      </c>
      <c r="U303" s="3" t="s">
        <v>203</v>
      </c>
      <c r="V303" s="4" t="str">
        <f>IF(ISBLANK(C303),,IFERROR(IF(VLOOKUP(B303,Standings!$A:$F, 6, 0)=VLOOKUP(C303,Standings!$A:$F, 6, 0), VLOOKUP(B303,Standings!$A:$F, 6, 0), "Non-con"), "FCS"))</f>
        <v>SEC</v>
      </c>
      <c r="W303" s="3" t="str">
        <f t="shared" si="10"/>
        <v>Auburn</v>
      </c>
      <c r="X303" s="3" t="str">
        <f t="shared" si="11"/>
        <v>Mississippi</v>
      </c>
      <c r="Y303" s="30">
        <f>IF(D303=0,,IF(ISBLANK(Q303),,VLOOKUP(X303,Week7,2,FALSE)/(VLOOKUP(X303,Week7,2,FALSE)+VLOOKUP(W303,Week7,2,FALSE))+0.05)*100)</f>
        <v>54.76813966</v>
      </c>
      <c r="Z303" s="3" t="s">
        <v>64</v>
      </c>
      <c r="AA303" s="3">
        <v>35.0</v>
      </c>
      <c r="AB303" s="4" t="str">
        <f t="shared" si="20"/>
        <v>Mississippi</v>
      </c>
      <c r="AC303" s="3">
        <v>28.0</v>
      </c>
      <c r="AD303" s="3"/>
      <c r="AE303" s="3">
        <f t="shared" si="13"/>
        <v>7</v>
      </c>
      <c r="AF303" s="3"/>
      <c r="AG303" s="3">
        <f t="shared" si="133"/>
        <v>0</v>
      </c>
      <c r="AH303" s="3"/>
      <c r="AI303" s="7"/>
      <c r="AJ303" s="4"/>
      <c r="AK303" s="7"/>
      <c r="AL303" s="7"/>
      <c r="AM303" s="7"/>
      <c r="AN303" s="7"/>
      <c r="AO303" s="7"/>
      <c r="AP303" s="7"/>
      <c r="AQ303" s="7"/>
      <c r="AR303" s="7"/>
      <c r="AS303" s="7"/>
      <c r="AT303" s="7"/>
      <c r="AU303" s="7"/>
      <c r="AV303" s="7"/>
      <c r="AW303" s="7"/>
      <c r="AX303" s="7"/>
    </row>
    <row r="304" ht="12.75" hidden="1" customHeight="1">
      <c r="A304" s="3">
        <v>16.0</v>
      </c>
      <c r="B304" s="3" t="s">
        <v>132</v>
      </c>
      <c r="C304" s="3" t="s">
        <v>69</v>
      </c>
      <c r="D304" s="4">
        <f>IFERROR(VLOOKUP(B304,Week15,2,FALSE),0)</f>
        <v>62.28</v>
      </c>
      <c r="E304" s="4">
        <f>IF(ISBLANK(B304),,IFERROR(VLOOKUP(B304,CurrentRank!$B$2:$C$132,2,FALSE),0))</f>
        <v>37.38</v>
      </c>
      <c r="F304" s="4">
        <f>IFERROR(VLOOKUP(B304,Week15,3,FALSE),130)</f>
        <v>20</v>
      </c>
      <c r="G304" s="4">
        <f>IF(ISBLANK(B304),,IFERROR(VLOOKUP(B304,CurrentRank!$B$2:$D$132,3,FALSE),130))</f>
        <v>43</v>
      </c>
      <c r="H304" s="4">
        <f>IFERROR(VLOOKUP(C304,Week15,2,FALSE),0)</f>
        <v>80.82</v>
      </c>
      <c r="I304" s="4">
        <f>IF(ISBLANK(B304),,IFERROR(VLOOKUP(C304,CurrentRank!$B$2:$C$132,2,FALSE),0))</f>
        <v>72.9</v>
      </c>
      <c r="J304" s="4">
        <f>IFERROR(VLOOKUP(C304,Week15,3,FALSE),130)</f>
        <v>7</v>
      </c>
      <c r="K304" s="4">
        <f>IF(ISBLANK(C304),,IFERROR(VLOOKUP(C304,CurrentRank!$B$2:$D$132,3,FALSE),130))</f>
        <v>9</v>
      </c>
      <c r="L304" s="19">
        <f t="shared" si="143"/>
        <v>2.1465</v>
      </c>
      <c r="M304" s="19">
        <f t="shared" si="144"/>
        <v>1.6542</v>
      </c>
      <c r="N304" s="24">
        <f t="shared" si="140"/>
        <v>13.5</v>
      </c>
      <c r="O304" s="21">
        <f t="shared" si="4"/>
        <v>-10.34325</v>
      </c>
      <c r="P304" s="21">
        <f t="shared" si="145"/>
        <v>-18.83325</v>
      </c>
      <c r="Q304" s="22">
        <f t="shared" si="6"/>
        <v>0.88078375</v>
      </c>
      <c r="R304" s="25" t="str">
        <f t="shared" si="7"/>
        <v>B+</v>
      </c>
      <c r="S304" s="19">
        <f t="shared" si="8"/>
        <v>0.9175</v>
      </c>
      <c r="T304" s="19" t="str">
        <f t="shared" si="9"/>
        <v>A-</v>
      </c>
      <c r="U304" s="3" t="s">
        <v>203</v>
      </c>
      <c r="V304" s="4" t="str">
        <f>IF(ISBLANK(C304),,IFERROR(IF(VLOOKUP(B304,Standings!$A:$F, 6, 0)=VLOOKUP(C304,Standings!$A:$F, 6, 0), VLOOKUP(B304,Standings!$A:$F, 6, 0), "Non-con"), "FCS"))</f>
        <v>AAC</v>
      </c>
      <c r="W304" s="3" t="str">
        <f t="shared" si="10"/>
        <v>Tulsa</v>
      </c>
      <c r="X304" s="3" t="str">
        <f t="shared" si="11"/>
        <v>Cincinnati</v>
      </c>
      <c r="Y304" s="30">
        <f>IF(D304=0,,IF(ISBLANK(Q304),,VLOOKUP(X304,Week15,2,FALSE)/(VLOOKUP(X304,Week15,2,FALSE)+VLOOKUP(W304,Week15,2,FALSE))+0.05)*100)</f>
        <v>61.47798742</v>
      </c>
      <c r="Z304" s="3" t="s">
        <v>69</v>
      </c>
      <c r="AA304" s="3">
        <v>27.0</v>
      </c>
      <c r="AB304" s="4" t="str">
        <f t="shared" si="20"/>
        <v>Tulsa</v>
      </c>
      <c r="AC304" s="3">
        <v>24.0</v>
      </c>
      <c r="AD304" s="3"/>
      <c r="AE304" s="3">
        <f t="shared" si="13"/>
        <v>3</v>
      </c>
      <c r="AF304" s="3" t="s">
        <v>233</v>
      </c>
      <c r="AG304" s="3">
        <f t="shared" si="133"/>
        <v>1</v>
      </c>
      <c r="AH304" s="3"/>
      <c r="AI304" s="7"/>
      <c r="AJ304" s="4"/>
      <c r="AK304" s="7"/>
      <c r="AL304" s="7"/>
      <c r="AM304" s="7"/>
      <c r="AN304" s="7"/>
      <c r="AO304" s="7"/>
      <c r="AP304" s="7"/>
      <c r="AQ304" s="7"/>
      <c r="AR304" s="7"/>
      <c r="AS304" s="7"/>
      <c r="AT304" s="7"/>
      <c r="AU304" s="7"/>
      <c r="AV304" s="7"/>
      <c r="AW304" s="7"/>
      <c r="AX304" s="7"/>
    </row>
    <row r="305" ht="12.75" hidden="1" customHeight="1">
      <c r="A305" s="3">
        <v>8.0</v>
      </c>
      <c r="B305" s="3" t="s">
        <v>122</v>
      </c>
      <c r="C305" s="3" t="s">
        <v>102</v>
      </c>
      <c r="D305" s="4">
        <f>IFERROR(VLOOKUP(B305,Week7,2,FALSE),0)</f>
        <v>27.44</v>
      </c>
      <c r="E305" s="4">
        <f>IF(ISBLANK(B305),,IFERROR(VLOOKUP(B305,CurrentRank!$B$2:$C$132,2,FALSE),0))</f>
        <v>25.95</v>
      </c>
      <c r="F305" s="4">
        <f>IFERROR(VLOOKUP(B305,Week7,3,FALSE),130)</f>
        <v>125</v>
      </c>
      <c r="G305" s="4">
        <f>IF(ISBLANK(B305),,IFERROR(VLOOKUP(B305,CurrentRank!$B$2:$D$132,3,FALSE),130))</f>
        <v>124</v>
      </c>
      <c r="H305" s="4">
        <f>IFERROR(VLOOKUP(C305,Week7,2,FALSE),0)</f>
        <v>35.54</v>
      </c>
      <c r="I305" s="4">
        <f>IF(ISBLANK(B305),,IFERROR(VLOOKUP(C305,CurrentRank!$B$2:$C$132,2,FALSE),0))</f>
        <v>31.07</v>
      </c>
      <c r="J305" s="4">
        <f>IFERROR(VLOOKUP(C305,Week7,3,FALSE),130)</f>
        <v>54</v>
      </c>
      <c r="K305" s="4">
        <f>IF(ISBLANK(C305),,IFERROR(VLOOKUP(C305,CurrentRank!$B$2:$D$132,3,FALSE),130))</f>
        <v>102</v>
      </c>
      <c r="L305" s="19">
        <f t="shared" si="143"/>
        <v>0.9447</v>
      </c>
      <c r="M305" s="19">
        <f t="shared" si="144"/>
        <v>0.8553</v>
      </c>
      <c r="N305" s="24">
        <f t="shared" si="140"/>
        <v>89.5</v>
      </c>
      <c r="O305" s="21">
        <f t="shared" si="4"/>
        <v>-4.52235</v>
      </c>
      <c r="P305" s="21">
        <f t="shared" si="145"/>
        <v>-3.03235</v>
      </c>
      <c r="Q305" s="22">
        <f t="shared" si="6"/>
        <v>0.52988825</v>
      </c>
      <c r="R305" s="25" t="str">
        <f t="shared" si="7"/>
        <v>F</v>
      </c>
      <c r="S305" s="19">
        <f t="shared" si="8"/>
        <v>0.4325</v>
      </c>
      <c r="T305" s="19" t="str">
        <f t="shared" si="9"/>
        <v>F</v>
      </c>
      <c r="U305" s="3" t="s">
        <v>203</v>
      </c>
      <c r="V305" s="4" t="str">
        <f>IF(ISBLANK(C305),,IFERROR(IF(VLOOKUP(B305,Standings!$A:$F, 6, 0)=VLOOKUP(C305,Standings!$A:$F, 6, 0), VLOOKUP(B305,Standings!$A:$F, 6, 0), "Non-con"), "FCS"))</f>
        <v>SUN</v>
      </c>
      <c r="W305" s="3" t="str">
        <f t="shared" si="10"/>
        <v>UL-Monroe</v>
      </c>
      <c r="X305" s="3" t="str">
        <f t="shared" si="11"/>
        <v>South Alabama</v>
      </c>
      <c r="Y305" s="30">
        <f>IF(D305=0,,IF(ISBLANK(Q305),,VLOOKUP(X305,Week7,2,FALSE)/(VLOOKUP(X305,Week7,2,FALSE)+VLOOKUP(W305,Week7,2,FALSE))+0.05)*100)</f>
        <v>61.43061289</v>
      </c>
      <c r="Z305" s="3" t="s">
        <v>102</v>
      </c>
      <c r="AA305" s="3">
        <v>38.0</v>
      </c>
      <c r="AB305" s="4" t="str">
        <f t="shared" si="20"/>
        <v>UL-Monroe</v>
      </c>
      <c r="AC305" s="3">
        <v>14.0</v>
      </c>
      <c r="AD305" s="3"/>
      <c r="AE305" s="3">
        <f t="shared" si="13"/>
        <v>24</v>
      </c>
      <c r="AF305" s="3"/>
      <c r="AG305" s="3">
        <f t="shared" si="133"/>
        <v>1</v>
      </c>
      <c r="AH305" s="3"/>
      <c r="AI305" s="7"/>
      <c r="AJ305" s="4"/>
      <c r="AK305" s="7"/>
      <c r="AL305" s="7"/>
      <c r="AM305" s="7"/>
      <c r="AN305" s="7"/>
      <c r="AO305" s="7"/>
      <c r="AP305" s="7"/>
      <c r="AQ305" s="7"/>
      <c r="AR305" s="7"/>
      <c r="AS305" s="7"/>
      <c r="AT305" s="7"/>
      <c r="AU305" s="7"/>
      <c r="AV305" s="7"/>
      <c r="AW305" s="7"/>
      <c r="AX305" s="7"/>
    </row>
    <row r="306" ht="12.75" customHeight="1">
      <c r="A306" s="3">
        <v>12.0</v>
      </c>
      <c r="B306" s="3" t="s">
        <v>152</v>
      </c>
      <c r="C306" s="3" t="s">
        <v>91</v>
      </c>
      <c r="D306" s="4">
        <f>IFERROR(VLOOKUP(B306,Week11,2,FALSE),0)</f>
        <v>41.22</v>
      </c>
      <c r="E306" s="4">
        <f>IF(ISBLANK(B306),,IFERROR(VLOOKUP(B306,CurrentRank!$B$2:$C$132,2,FALSE),0))</f>
        <v>32.23</v>
      </c>
      <c r="F306" s="4">
        <f>IFERROR(VLOOKUP(B306,Week11,3,FALSE),130)</f>
        <v>38</v>
      </c>
      <c r="G306" s="4">
        <f>IF(ISBLANK(B306),,IFERROR(VLOOKUP(B306,CurrentRank!$B$2:$D$132,3,FALSE),130))</f>
        <v>92</v>
      </c>
      <c r="H306" s="4">
        <f>IFERROR(VLOOKUP(C306,Week11,2,FALSE),0)</f>
        <v>34.23</v>
      </c>
      <c r="I306" s="4">
        <f>IF(ISBLANK(B306),,IFERROR(VLOOKUP(C306,CurrentRank!$B$2:$C$132,2,FALSE),0))</f>
        <v>35.39</v>
      </c>
      <c r="J306" s="4">
        <f>IFERROR(VLOOKUP(C306,Week11,3,FALSE),130)</f>
        <v>69</v>
      </c>
      <c r="K306" s="4">
        <f>IF(ISBLANK(C306),,IFERROR(VLOOKUP(C306,CurrentRank!$B$2:$D$132,3,FALSE),130))</f>
        <v>60</v>
      </c>
      <c r="L306" s="19">
        <f t="shared" si="143"/>
        <v>1.13175</v>
      </c>
      <c r="M306" s="19">
        <f t="shared" si="144"/>
        <v>1.0143</v>
      </c>
      <c r="N306" s="24">
        <f t="shared" si="140"/>
        <v>53.5</v>
      </c>
      <c r="O306" s="21">
        <f t="shared" si="4"/>
        <v>2.929125</v>
      </c>
      <c r="P306" s="21">
        <f t="shared" si="145"/>
        <v>-2.145875</v>
      </c>
      <c r="Q306" s="22">
        <f t="shared" si="6"/>
        <v>0.717854375</v>
      </c>
      <c r="R306" s="25" t="str">
        <f t="shared" si="7"/>
        <v>C-</v>
      </c>
      <c r="S306" s="19">
        <f t="shared" si="8"/>
        <v>0.7175</v>
      </c>
      <c r="T306" s="19" t="str">
        <f t="shared" si="9"/>
        <v>C-</v>
      </c>
      <c r="U306" s="3" t="s">
        <v>203</v>
      </c>
      <c r="V306" s="4" t="str">
        <f>IF(ISBLANK(C306),,IFERROR(IF(VLOOKUP(B306,Standings!$A:$F, 6, 0)=VLOOKUP(C306,Standings!$A:$F, 6, 0), VLOOKUP(B306,Standings!$A:$F, 6, 0), "Non-con"), "FCS"))</f>
        <v>B1G</v>
      </c>
      <c r="W306" s="3" t="str">
        <f t="shared" si="10"/>
        <v>Minnesota</v>
      </c>
      <c r="X306" s="3" t="str">
        <f t="shared" si="11"/>
        <v>Purdue</v>
      </c>
      <c r="Y306" s="30">
        <f>IF(D306=0,,IF(ISBLANK(Q306),,VLOOKUP(X306,Week11,2,FALSE)/(VLOOKUP(X306,Week11,2,FALSE)+VLOOKUP(W306,Week11,2,FALSE))+0.05)*100)</f>
        <v>59.63220676</v>
      </c>
      <c r="Z306" s="3" t="s">
        <v>91</v>
      </c>
      <c r="AA306" s="3">
        <v>34.0</v>
      </c>
      <c r="AB306" s="4" t="str">
        <f t="shared" si="20"/>
        <v>Purdue</v>
      </c>
      <c r="AC306" s="3">
        <v>31.0</v>
      </c>
      <c r="AD306" s="3"/>
      <c r="AE306" s="3">
        <f t="shared" si="13"/>
        <v>3</v>
      </c>
      <c r="AF306" s="3"/>
      <c r="AG306" s="3">
        <f t="shared" si="133"/>
        <v>0</v>
      </c>
      <c r="AH306" s="3"/>
      <c r="AI306" s="7"/>
      <c r="AJ306" s="4"/>
      <c r="AK306" s="7"/>
      <c r="AL306" s="7"/>
      <c r="AM306" s="7"/>
      <c r="AN306" s="7"/>
      <c r="AO306" s="7"/>
      <c r="AP306" s="7"/>
      <c r="AQ306" s="7"/>
      <c r="AR306" s="7"/>
      <c r="AS306" s="7"/>
      <c r="AT306" s="7"/>
      <c r="AU306" s="7"/>
      <c r="AV306" s="7"/>
      <c r="AW306" s="7"/>
      <c r="AX306" s="7"/>
    </row>
    <row r="307" ht="12.75" hidden="1" customHeight="1">
      <c r="A307" s="3">
        <v>9.0</v>
      </c>
      <c r="B307" s="3" t="s">
        <v>182</v>
      </c>
      <c r="C307" s="3" t="s">
        <v>185</v>
      </c>
      <c r="D307" s="4">
        <f>IFERROR(VLOOKUP(B307,Week8,2,FALSE),0)</f>
        <v>39.61</v>
      </c>
      <c r="E307" s="4">
        <f>IF(ISBLANK(B307),,IFERROR(VLOOKUP(B307,CurrentRank!$B$2:$C$132,2,FALSE),0))</f>
        <v>51.02</v>
      </c>
      <c r="F307" s="4">
        <f>IFERROR(VLOOKUP(B307,Week8,3,FALSE),130)</f>
        <v>38</v>
      </c>
      <c r="G307" s="4">
        <f>IF(ISBLANK(B307),,IFERROR(VLOOKUP(B307,CurrentRank!$B$2:$D$132,3,FALSE),130))</f>
        <v>25</v>
      </c>
      <c r="H307" s="4">
        <f>IFERROR(VLOOKUP(C307,Week8,2,FALSE),0)</f>
        <v>30.76</v>
      </c>
      <c r="I307" s="4">
        <f>IF(ISBLANK(B307),,IFERROR(VLOOKUP(C307,CurrentRank!$B$2:$C$132,2,FALSE),0))</f>
        <v>33.22</v>
      </c>
      <c r="J307" s="4">
        <f>IFERROR(VLOOKUP(C307,Week8,3,FALSE),130)</f>
        <v>76</v>
      </c>
      <c r="K307" s="4">
        <f>IF(ISBLANK(C307),,IFERROR(VLOOKUP(C307,CurrentRank!$B$2:$D$132,3,FALSE),130))</f>
        <v>84</v>
      </c>
      <c r="L307" s="19">
        <f t="shared" si="143"/>
        <v>1.05555</v>
      </c>
      <c r="M307" s="19">
        <f t="shared" si="144"/>
        <v>1.2636</v>
      </c>
      <c r="N307" s="24">
        <f t="shared" si="140"/>
        <v>57</v>
      </c>
      <c r="O307" s="21">
        <f t="shared" si="4"/>
        <v>3.897225</v>
      </c>
      <c r="P307" s="21">
        <f t="shared" si="145"/>
        <v>8.372225</v>
      </c>
      <c r="Q307" s="22">
        <f t="shared" si="6"/>
        <v>0.695513875</v>
      </c>
      <c r="R307" s="25" t="str">
        <f t="shared" si="7"/>
        <v>C-</v>
      </c>
      <c r="S307" s="19">
        <f t="shared" si="8"/>
        <v>0.63</v>
      </c>
      <c r="T307" s="19" t="str">
        <f t="shared" si="9"/>
        <v>D</v>
      </c>
      <c r="U307" s="3" t="s">
        <v>203</v>
      </c>
      <c r="V307" s="4" t="str">
        <f>IF(ISBLANK(C307),,IFERROR(IF(VLOOKUP(B307,Standings!$A:$F, 6, 0)=VLOOKUP(C307,Standings!$A:$F, 6, 0), VLOOKUP(B307,Standings!$A:$F, 6, 0), "Non-con"), "FCS"))</f>
        <v>MWC</v>
      </c>
      <c r="W307" s="3" t="str">
        <f t="shared" si="10"/>
        <v>New Mexico</v>
      </c>
      <c r="X307" s="3" t="str">
        <f t="shared" si="11"/>
        <v>San Jose State</v>
      </c>
      <c r="Y307" s="30">
        <f>IF(D307=0,,IF(ISBLANK(Q307),,VLOOKUP(X307,Week8,2,FALSE)/(VLOOKUP(X307,Week8,2,FALSE)+VLOOKUP(W307,Week8,2,FALSE))+0.05)*100)</f>
        <v>61.28819099</v>
      </c>
      <c r="Z307" s="3" t="s">
        <v>182</v>
      </c>
      <c r="AA307" s="3">
        <v>38.0</v>
      </c>
      <c r="AB307" s="4" t="str">
        <f t="shared" si="20"/>
        <v>New Mexico</v>
      </c>
      <c r="AC307" s="3">
        <v>21.0</v>
      </c>
      <c r="AD307" s="3"/>
      <c r="AE307" s="3">
        <f t="shared" si="13"/>
        <v>17</v>
      </c>
      <c r="AF307" s="3"/>
      <c r="AG307" s="3">
        <f t="shared" si="133"/>
        <v>1</v>
      </c>
      <c r="AH307" s="3"/>
      <c r="AI307" s="7"/>
      <c r="AJ307" s="4"/>
      <c r="AK307" s="7"/>
      <c r="AL307" s="7"/>
      <c r="AM307" s="7"/>
      <c r="AN307" s="7"/>
      <c r="AO307" s="7"/>
      <c r="AP307" s="7"/>
      <c r="AQ307" s="7"/>
      <c r="AR307" s="7"/>
      <c r="AS307" s="7"/>
      <c r="AT307" s="7"/>
      <c r="AU307" s="7"/>
      <c r="AV307" s="7"/>
      <c r="AW307" s="7"/>
      <c r="AX307" s="7"/>
    </row>
    <row r="308" ht="12.75" hidden="1" customHeight="1">
      <c r="A308" s="3">
        <v>15.0</v>
      </c>
      <c r="B308" s="3" t="s">
        <v>65</v>
      </c>
      <c r="C308" s="3" t="s">
        <v>181</v>
      </c>
      <c r="D308" s="4">
        <f>IFERROR(VLOOKUP(B308,Week14,2,FALSE),0)</f>
        <v>32.8</v>
      </c>
      <c r="E308" s="4">
        <f>IF(ISBLANK(B308),,IFERROR(VLOOKUP(B308,CurrentRank!$B$2:$C$132,2,FALSE),0))</f>
        <v>34.09</v>
      </c>
      <c r="F308" s="4">
        <f>IFERROR(VLOOKUP(B308,Week14,3,FALSE),130)</f>
        <v>88</v>
      </c>
      <c r="G308" s="4">
        <f>IF(ISBLANK(B308),,IFERROR(VLOOKUP(B308,CurrentRank!$B$2:$D$132,3,FALSE),130))</f>
        <v>74</v>
      </c>
      <c r="H308" s="4">
        <f>IFERROR(VLOOKUP(C308,Week14,2,FALSE),0)</f>
        <v>25.6</v>
      </c>
      <c r="I308" s="4">
        <f>IF(ISBLANK(B308),,IFERROR(VLOOKUP(C308,CurrentRank!$B$2:$C$132,2,FALSE),0))</f>
        <v>25.47</v>
      </c>
      <c r="J308" s="4">
        <f>IFERROR(VLOOKUP(C308,Week14,3,FALSE),130)</f>
        <v>126</v>
      </c>
      <c r="K308" s="4">
        <f>IF(ISBLANK(C308),,IFERROR(VLOOKUP(C308,CurrentRank!$B$2:$D$132,3,FALSE),130))</f>
        <v>125</v>
      </c>
      <c r="L308" s="19">
        <f t="shared" si="143"/>
        <v>0.876</v>
      </c>
      <c r="M308" s="19">
        <f t="shared" si="144"/>
        <v>0.8934</v>
      </c>
      <c r="N308" s="24">
        <f t="shared" si="140"/>
        <v>107</v>
      </c>
      <c r="O308" s="21">
        <f t="shared" si="4"/>
        <v>3.162</v>
      </c>
      <c r="P308" s="21">
        <f t="shared" si="145"/>
        <v>3.872</v>
      </c>
      <c r="Q308" s="22">
        <f t="shared" si="6"/>
        <v>0.44919</v>
      </c>
      <c r="R308" s="25" t="str">
        <f t="shared" si="7"/>
        <v>F</v>
      </c>
      <c r="S308" s="19">
        <f t="shared" si="8"/>
        <v>0.34</v>
      </c>
      <c r="T308" s="19" t="str">
        <f t="shared" si="9"/>
        <v>F</v>
      </c>
      <c r="U308" s="3" t="s">
        <v>203</v>
      </c>
      <c r="V308" s="4" t="str">
        <f>IF(ISBLANK(C308),,IFERROR(IF(VLOOKUP(B308,Standings!$A:$F, 6, 0)=VLOOKUP(C308,Standings!$A:$F, 6, 0), VLOOKUP(B308,Standings!$A:$F, 6, 0), "Non-con"), "FCS"))</f>
        <v>SEC</v>
      </c>
      <c r="W308" s="3" t="str">
        <f t="shared" si="10"/>
        <v>Vanderbilt</v>
      </c>
      <c r="X308" s="3" t="str">
        <f t="shared" si="11"/>
        <v>Tennessee</v>
      </c>
      <c r="Y308" s="30">
        <f>IF(D308=0,,IF(ISBLANK(Q308),,VLOOKUP(X308,Week14,2,FALSE)/(VLOOKUP(X308,Week14,2,FALSE)+VLOOKUP(W308,Week14,2,FALSE))+0.05)*100)</f>
        <v>61.16438356</v>
      </c>
      <c r="Z308" s="3" t="s">
        <v>65</v>
      </c>
      <c r="AA308" s="3">
        <v>42.0</v>
      </c>
      <c r="AB308" s="4" t="str">
        <f t="shared" si="20"/>
        <v>Vanderbilt</v>
      </c>
      <c r="AC308" s="3">
        <v>17.0</v>
      </c>
      <c r="AD308" s="3"/>
      <c r="AE308" s="3">
        <f t="shared" si="13"/>
        <v>25</v>
      </c>
      <c r="AF308" s="3"/>
      <c r="AG308" s="3">
        <f t="shared" si="133"/>
        <v>1</v>
      </c>
      <c r="AH308" s="3"/>
      <c r="AI308" s="7"/>
      <c r="AJ308" s="4"/>
      <c r="AK308" s="7"/>
      <c r="AL308" s="7"/>
      <c r="AM308" s="7"/>
      <c r="AN308" s="7"/>
      <c r="AO308" s="7"/>
      <c r="AP308" s="7"/>
      <c r="AQ308" s="7"/>
      <c r="AR308" s="7"/>
      <c r="AS308" s="7"/>
      <c r="AT308" s="7"/>
      <c r="AU308" s="7"/>
      <c r="AV308" s="7"/>
      <c r="AW308" s="7"/>
      <c r="AX308" s="7"/>
    </row>
    <row r="309" ht="12.75" hidden="1" customHeight="1">
      <c r="A309" s="3">
        <v>8.0</v>
      </c>
      <c r="B309" s="3" t="s">
        <v>92</v>
      </c>
      <c r="C309" s="3" t="s">
        <v>55</v>
      </c>
      <c r="D309" s="4">
        <f>IFERROR(VLOOKUP(B309,Week7,2,FALSE),0)</f>
        <v>66.38</v>
      </c>
      <c r="E309" s="4">
        <f>IF(ISBLANK(B309),,IFERROR(VLOOKUP(B309,CurrentRank!$B$2:$C$132,2,FALSE),0))</f>
        <v>73.64</v>
      </c>
      <c r="F309" s="4">
        <f>IFERROR(VLOOKUP(B309,Week7,3,FALSE),130)</f>
        <v>15</v>
      </c>
      <c r="G309" s="4">
        <f>IF(ISBLANK(B309),,IFERROR(VLOOKUP(B309,CurrentRank!$B$2:$D$132,3,FALSE),130))</f>
        <v>8</v>
      </c>
      <c r="H309" s="4">
        <f>IFERROR(VLOOKUP(C309,Week7,2,FALSE),0)</f>
        <v>84.95</v>
      </c>
      <c r="I309" s="4">
        <f>IF(ISBLANK(B309),,IFERROR(VLOOKUP(C309,CurrentRank!$B$2:$C$132,2,FALSE),0))</f>
        <v>59.34</v>
      </c>
      <c r="J309" s="4">
        <f>IFERROR(VLOOKUP(C309,Week7,3,FALSE),130)</f>
        <v>3</v>
      </c>
      <c r="K309" s="4">
        <f>IF(ISBLANK(C309),,IFERROR(VLOOKUP(C309,CurrentRank!$B$2:$D$132,3,FALSE),130))</f>
        <v>22</v>
      </c>
      <c r="L309" s="19">
        <f t="shared" si="143"/>
        <v>2.26995</v>
      </c>
      <c r="M309" s="19">
        <f t="shared" si="144"/>
        <v>1.9947</v>
      </c>
      <c r="N309" s="24">
        <f t="shared" si="140"/>
        <v>9</v>
      </c>
      <c r="O309" s="21">
        <f t="shared" si="4"/>
        <v>-10.419975</v>
      </c>
      <c r="P309" s="21">
        <f t="shared" si="145"/>
        <v>6.015025</v>
      </c>
      <c r="Q309" s="22">
        <f t="shared" si="6"/>
        <v>0.902900125</v>
      </c>
      <c r="R309" s="25" t="str">
        <f t="shared" si="7"/>
        <v>A-</v>
      </c>
      <c r="S309" s="19">
        <f t="shared" si="8"/>
        <v>0.94</v>
      </c>
      <c r="T309" s="19" t="str">
        <f t="shared" si="9"/>
        <v>A</v>
      </c>
      <c r="U309" s="3" t="s">
        <v>203</v>
      </c>
      <c r="V309" s="4" t="str">
        <f>IF(ISBLANK(C309),,IFERROR(IF(VLOOKUP(B309,Standings!$A:$F, 6, 0)=VLOOKUP(C309,Standings!$A:$F, 6, 0), VLOOKUP(B309,Standings!$A:$F, 6, 0), "Non-con"), "FCS"))</f>
        <v>BIG12</v>
      </c>
      <c r="W309" s="3" t="str">
        <f t="shared" si="10"/>
        <v>Iowa State</v>
      </c>
      <c r="X309" s="3" t="str">
        <f t="shared" si="11"/>
        <v>Oklahoma State</v>
      </c>
      <c r="Y309" s="30">
        <f>IF(D309=0,,IF(ISBLANK(Q309),,VLOOKUP(X309,Week7,2,FALSE)/(VLOOKUP(X309,Week7,2,FALSE)+VLOOKUP(W309,Week7,2,FALSE))+0.05)*100)</f>
        <v>61.1355977</v>
      </c>
      <c r="Z309" s="3" t="s">
        <v>55</v>
      </c>
      <c r="AA309" s="3">
        <v>24.0</v>
      </c>
      <c r="AB309" s="4" t="str">
        <f t="shared" si="20"/>
        <v>Iowa State</v>
      </c>
      <c r="AC309" s="3">
        <v>21.0</v>
      </c>
      <c r="AD309" s="3"/>
      <c r="AE309" s="3">
        <f t="shared" si="13"/>
        <v>3</v>
      </c>
      <c r="AF309" s="3"/>
      <c r="AG309" s="3">
        <f t="shared" si="133"/>
        <v>1</v>
      </c>
      <c r="AH309" s="3"/>
      <c r="AI309" s="7"/>
      <c r="AJ309" s="4"/>
      <c r="AK309" s="7"/>
      <c r="AL309" s="7"/>
      <c r="AM309" s="7"/>
      <c r="AN309" s="7"/>
      <c r="AO309" s="7"/>
      <c r="AP309" s="7"/>
      <c r="AQ309" s="7"/>
      <c r="AR309" s="7"/>
      <c r="AS309" s="7"/>
      <c r="AT309" s="7"/>
      <c r="AU309" s="7"/>
      <c r="AV309" s="7"/>
      <c r="AW309" s="7"/>
      <c r="AX309" s="7"/>
    </row>
    <row r="310" ht="12.75" hidden="1" customHeight="1">
      <c r="A310" s="3">
        <v>14.0</v>
      </c>
      <c r="B310" s="3" t="s">
        <v>176</v>
      </c>
      <c r="C310" s="3" t="s">
        <v>167</v>
      </c>
      <c r="D310" s="4">
        <f>IFERROR(VLOOKUP(B310,Week13,2,FALSE),0)</f>
        <v>39.54</v>
      </c>
      <c r="E310" s="4">
        <f>IF(ISBLANK(B310),,IFERROR(VLOOKUP(B310,CurrentRank!$B$2:$C$132,2,FALSE),0))</f>
        <v>38.02</v>
      </c>
      <c r="F310" s="4">
        <f>IFERROR(VLOOKUP(B310,Week13,3,FALSE),130)</f>
        <v>38</v>
      </c>
      <c r="G310" s="4">
        <f>IF(ISBLANK(B310),,IFERROR(VLOOKUP(B310,CurrentRank!$B$2:$D$132,3,FALSE),130))</f>
        <v>38</v>
      </c>
      <c r="H310" s="4">
        <f>IFERROR(VLOOKUP(C310,Week13,2,FALSE),0)</f>
        <v>30.9</v>
      </c>
      <c r="I310" s="4">
        <f>IF(ISBLANK(B310),,IFERROR(VLOOKUP(C310,CurrentRank!$B$2:$C$132,2,FALSE),0))</f>
        <v>29.87</v>
      </c>
      <c r="J310" s="4">
        <f>IFERROR(VLOOKUP(C310,Week13,3,FALSE),130)</f>
        <v>96</v>
      </c>
      <c r="K310" s="4">
        <f>IF(ISBLANK(C310),,IFERROR(VLOOKUP(C310,CurrentRank!$B$2:$D$132,3,FALSE),130))</f>
        <v>111</v>
      </c>
      <c r="L310" s="19">
        <f t="shared" ref="L310:M310" si="146">IF(ISBLANK(C310),,(D310+H310)*0.015)</f>
        <v>1.0566</v>
      </c>
      <c r="M310" s="19">
        <f t="shared" si="146"/>
        <v>1.01835</v>
      </c>
      <c r="N310" s="24">
        <f t="shared" si="140"/>
        <v>67</v>
      </c>
      <c r="O310" s="21">
        <f t="shared" si="4"/>
        <v>3.7917</v>
      </c>
      <c r="P310" s="21">
        <f t="shared" si="145"/>
        <v>3.5467</v>
      </c>
      <c r="Q310" s="22">
        <f t="shared" si="6"/>
        <v>0.6460415</v>
      </c>
      <c r="R310" s="25" t="str">
        <f t="shared" si="7"/>
        <v>D</v>
      </c>
      <c r="S310" s="19" t="str">
        <f t="shared" si="8"/>
        <v/>
      </c>
      <c r="T310" s="19" t="str">
        <f t="shared" si="9"/>
        <v/>
      </c>
      <c r="U310" s="3" t="s">
        <v>203</v>
      </c>
      <c r="V310" s="4" t="str">
        <f>IF(ISBLANK(C310),,IFERROR(IF(VLOOKUP(B310,Standings!$A:$F, 6, 0)=VLOOKUP(C310,Standings!$A:$F, 6, 0), VLOOKUP(B310,Standings!$A:$F, 6, 0), "Non-con"), "FCS"))</f>
        <v>MWC</v>
      </c>
      <c r="W310" s="3" t="str">
        <f t="shared" si="10"/>
        <v>UNLV</v>
      </c>
      <c r="X310" s="3" t="str">
        <f t="shared" si="11"/>
        <v>Boise State</v>
      </c>
      <c r="Y310" s="30">
        <f>IF(D310=0,,IF(ISBLANK(Q310),,VLOOKUP(X310,Week13,2,FALSE)/(VLOOKUP(X310,Week13,2,FALSE)+VLOOKUP(W310,Week13,2,FALSE))+0.05)*100)</f>
        <v>61.13287905</v>
      </c>
      <c r="Z310" s="3"/>
      <c r="AA310" s="3"/>
      <c r="AB310" s="4" t="str">
        <f t="shared" si="20"/>
        <v/>
      </c>
      <c r="AC310" s="3"/>
      <c r="AD310" s="3"/>
      <c r="AE310" s="3" t="str">
        <f t="shared" si="13"/>
        <v/>
      </c>
      <c r="AF310" s="3" t="s">
        <v>226</v>
      </c>
      <c r="AG310" s="3" t="str">
        <f t="shared" si="133"/>
        <v/>
      </c>
      <c r="AH310" s="3"/>
      <c r="AI310" s="7"/>
      <c r="AJ310" s="4" t="s">
        <v>162</v>
      </c>
      <c r="AK310" s="7"/>
      <c r="AL310" s="7"/>
      <c r="AM310" s="7"/>
      <c r="AN310" s="7"/>
      <c r="AO310" s="7"/>
      <c r="AP310" s="7"/>
      <c r="AQ310" s="7"/>
      <c r="AR310" s="7"/>
      <c r="AS310" s="7"/>
      <c r="AT310" s="7"/>
      <c r="AU310" s="7"/>
      <c r="AV310" s="7"/>
      <c r="AW310" s="7"/>
      <c r="AX310" s="7"/>
    </row>
    <row r="311" ht="12.75" hidden="1" customHeight="1">
      <c r="A311" s="3">
        <v>16.0</v>
      </c>
      <c r="B311" s="3" t="s">
        <v>189</v>
      </c>
      <c r="C311" s="3" t="s">
        <v>26</v>
      </c>
      <c r="D311" s="4">
        <f>IFERROR(VLOOKUP(B311,Week15,2,FALSE),0)</f>
        <v>69.18</v>
      </c>
      <c r="E311" s="4">
        <f>IF(ISBLANK(B311),,IFERROR(VLOOKUP(B311,CurrentRank!$B$2:$C$132,2,FALSE),0))</f>
        <v>72.23</v>
      </c>
      <c r="F311" s="4">
        <f>IFERROR(VLOOKUP(B311,Week15,3,FALSE),130)</f>
        <v>16</v>
      </c>
      <c r="G311" s="4">
        <f>IF(ISBLANK(B311),,IFERROR(VLOOKUP(B311,CurrentRank!$B$2:$D$132,3,FALSE),130))</f>
        <v>11</v>
      </c>
      <c r="H311" s="4">
        <f>IFERROR(VLOOKUP(C311,Week15,2,FALSE),0)</f>
        <v>88.48</v>
      </c>
      <c r="I311" s="4">
        <f>IF(ISBLANK(B311),,IFERROR(VLOOKUP(C311,CurrentRank!$B$2:$C$132,2,FALSE),0))</f>
        <v>87.05</v>
      </c>
      <c r="J311" s="4">
        <f>IFERROR(VLOOKUP(C311,Week15,3,FALSE),130)</f>
        <v>3</v>
      </c>
      <c r="K311" s="4">
        <f>IF(ISBLANK(C311),,IFERROR(VLOOKUP(C311,CurrentRank!$B$2:$D$132,3,FALSE),130))</f>
        <v>2</v>
      </c>
      <c r="L311" s="19">
        <f>IF(U311= "Yes", 0, IF(ISBLANK(C311),,(D311+H311)*0.015))</f>
        <v>0</v>
      </c>
      <c r="M311" s="19">
        <f>IF(U311= "Yes", 0, IF(ISBLANK(D311),,(E311+I311)*0.015))</f>
        <v>0</v>
      </c>
      <c r="N311" s="24">
        <f t="shared" si="140"/>
        <v>9.5</v>
      </c>
      <c r="O311" s="21">
        <f t="shared" si="4"/>
        <v>-9.65</v>
      </c>
      <c r="P311" s="21">
        <f t="shared" si="145"/>
        <v>-7.41</v>
      </c>
      <c r="Q311" s="22">
        <f t="shared" si="6"/>
        <v>0.90425</v>
      </c>
      <c r="R311" s="25" t="str">
        <f t="shared" si="7"/>
        <v>A-</v>
      </c>
      <c r="S311" s="19">
        <f t="shared" si="8"/>
        <v>0.8925</v>
      </c>
      <c r="T311" s="19" t="str">
        <f t="shared" si="9"/>
        <v>B+</v>
      </c>
      <c r="U311" s="3" t="s">
        <v>223</v>
      </c>
      <c r="V311" s="4" t="str">
        <f>IF(ISBLANK(C311),,IFERROR(IF(VLOOKUP(B311,Standings!$A:$F, 6, 0)=VLOOKUP(C311,Standings!$A:$F, 6, 0), VLOOKUP(B311,Standings!$A:$F, 6, 0), "Non-con"), "FCS"))</f>
        <v>B1G</v>
      </c>
      <c r="W311" s="3" t="str">
        <f t="shared" si="10"/>
        <v>Northwestern</v>
      </c>
      <c r="X311" s="3" t="str">
        <f t="shared" si="11"/>
        <v>Ohio State</v>
      </c>
      <c r="Y311" s="30">
        <f>IF(D311=0,,IF(ISBLANK(Q311),,VLOOKUP(X311,Week15,2,FALSE)/(VLOOKUP(X311,Week15,2,FALSE)+VLOOKUP(W311,Week15,2,FALSE))+0.05)*100)</f>
        <v>61.12076621</v>
      </c>
      <c r="Z311" s="3" t="s">
        <v>26</v>
      </c>
      <c r="AA311" s="3">
        <v>22.0</v>
      </c>
      <c r="AB311" s="4" t="str">
        <f t="shared" si="20"/>
        <v>Northwestern</v>
      </c>
      <c r="AC311" s="3">
        <v>10.0</v>
      </c>
      <c r="AD311" s="3"/>
      <c r="AE311" s="3">
        <f t="shared" si="13"/>
        <v>12</v>
      </c>
      <c r="AF311" s="3" t="s">
        <v>233</v>
      </c>
      <c r="AG311" s="3">
        <f t="shared" si="133"/>
        <v>1</v>
      </c>
      <c r="AH311" s="3"/>
      <c r="AI311" s="7"/>
      <c r="AJ311" s="4"/>
      <c r="AK311" s="7"/>
      <c r="AL311" s="7"/>
      <c r="AM311" s="7"/>
      <c r="AN311" s="7"/>
      <c r="AO311" s="7"/>
      <c r="AP311" s="7"/>
      <c r="AQ311" s="7"/>
      <c r="AR311" s="7"/>
      <c r="AS311" s="7"/>
      <c r="AT311" s="7"/>
      <c r="AU311" s="7"/>
      <c r="AV311" s="7"/>
      <c r="AW311" s="7"/>
      <c r="AX311" s="7"/>
    </row>
    <row r="312" ht="12.75" hidden="1" customHeight="1">
      <c r="A312" s="3">
        <v>14.0</v>
      </c>
      <c r="B312" s="3" t="s">
        <v>162</v>
      </c>
      <c r="C312" s="3" t="s">
        <v>142</v>
      </c>
      <c r="D312" s="4">
        <f>IFERROR(VLOOKUP(B312,Week13,2,FALSE),0)</f>
        <v>44.91</v>
      </c>
      <c r="E312" s="4">
        <f>IF(ISBLANK(B312),,IFERROR(VLOOKUP(B312,CurrentRank!$B$2:$C$132,2,FALSE),0))</f>
        <v>51.75</v>
      </c>
      <c r="F312" s="4">
        <f>IFERROR(VLOOKUP(B312,Week13,3,FALSE),130)</f>
        <v>27</v>
      </c>
      <c r="G312" s="4">
        <f>IF(ISBLANK(B312),,IFERROR(VLOOKUP(B312,CurrentRank!$B$2:$D$132,3,FALSE),130))</f>
        <v>24</v>
      </c>
      <c r="H312" s="4">
        <f>IFERROR(VLOOKUP(C312,Week13,2,FALSE),0)</f>
        <v>35.19</v>
      </c>
      <c r="I312" s="4">
        <f>IF(ISBLANK(B312),,IFERROR(VLOOKUP(C312,CurrentRank!$B$2:$C$132,2,FALSE),0))</f>
        <v>35.28</v>
      </c>
      <c r="J312" s="4">
        <f>IFERROR(VLOOKUP(C312,Week13,3,FALSE),130)</f>
        <v>58</v>
      </c>
      <c r="K312" s="4">
        <f>IF(ISBLANK(C312),,IFERROR(VLOOKUP(C312,CurrentRank!$B$2:$D$132,3,FALSE),130))</f>
        <v>63</v>
      </c>
      <c r="L312" s="19">
        <f t="shared" ref="L312:M312" si="147">IF(ISBLANK(C312),,(D312+H312)*0.015)</f>
        <v>1.2015</v>
      </c>
      <c r="M312" s="19">
        <f t="shared" si="147"/>
        <v>1.30545</v>
      </c>
      <c r="N312" s="24">
        <f t="shared" si="140"/>
        <v>42.5</v>
      </c>
      <c r="O312" s="21">
        <f t="shared" si="4"/>
        <v>4.25925</v>
      </c>
      <c r="P312" s="21">
        <f t="shared" si="145"/>
        <v>7.63425</v>
      </c>
      <c r="Q312" s="22">
        <f t="shared" si="6"/>
        <v>0.76620375</v>
      </c>
      <c r="R312" s="25" t="str">
        <f t="shared" si="7"/>
        <v>C+</v>
      </c>
      <c r="S312" s="19" t="str">
        <f t="shared" si="8"/>
        <v/>
      </c>
      <c r="T312" s="19" t="str">
        <f t="shared" si="9"/>
        <v/>
      </c>
      <c r="U312" s="3" t="s">
        <v>203</v>
      </c>
      <c r="V312" s="4" t="str">
        <f>IF(ISBLANK(C312),,IFERROR(IF(VLOOKUP(B312,Standings!$A:$F, 6, 0)=VLOOKUP(C312,Standings!$A:$F, 6, 0), VLOOKUP(B312,Standings!$A:$F, 6, 0), "Non-con"), "FCS"))</f>
        <v>MAC</v>
      </c>
      <c r="W312" s="3" t="str">
        <f t="shared" si="10"/>
        <v>Ohio</v>
      </c>
      <c r="X312" s="3" t="str">
        <f t="shared" si="11"/>
        <v>Buffalo</v>
      </c>
      <c r="Y312" s="30">
        <f>IF(D312=0,,IF(ISBLANK(Q312),,VLOOKUP(X312,Week13,2,FALSE)/(VLOOKUP(X312,Week13,2,FALSE)+VLOOKUP(W312,Week13,2,FALSE))+0.05)*100)</f>
        <v>61.06741573</v>
      </c>
      <c r="Z312" s="3"/>
      <c r="AA312" s="3"/>
      <c r="AB312" s="4" t="str">
        <f t="shared" si="20"/>
        <v/>
      </c>
      <c r="AC312" s="3"/>
      <c r="AD312" s="3"/>
      <c r="AE312" s="3" t="str">
        <f t="shared" si="13"/>
        <v/>
      </c>
      <c r="AF312" s="3" t="s">
        <v>226</v>
      </c>
      <c r="AG312" s="3" t="str">
        <f t="shared" si="133"/>
        <v/>
      </c>
      <c r="AH312" s="3"/>
      <c r="AI312" s="7"/>
      <c r="AJ312" s="4"/>
      <c r="AK312" s="7"/>
      <c r="AL312" s="7"/>
      <c r="AM312" s="7"/>
      <c r="AN312" s="7"/>
      <c r="AO312" s="7"/>
      <c r="AP312" s="7"/>
      <c r="AQ312" s="7"/>
      <c r="AR312" s="7"/>
      <c r="AS312" s="7"/>
      <c r="AT312" s="7"/>
      <c r="AU312" s="7"/>
      <c r="AV312" s="7"/>
      <c r="AW312" s="7"/>
      <c r="AX312" s="7"/>
    </row>
    <row r="313" ht="12.75" customHeight="1">
      <c r="A313" s="3">
        <v>17.0</v>
      </c>
      <c r="B313" s="3" t="s">
        <v>132</v>
      </c>
      <c r="C313" s="3" t="s">
        <v>81</v>
      </c>
      <c r="D313" s="4">
        <f>IFERROR(VLOOKUP(B313,Week16,2,FALSE),0)</f>
        <v>56.96</v>
      </c>
      <c r="E313" s="4">
        <f>IF(ISBLANK(B313),,IFERROR(VLOOKUP(B313,CurrentRank!$B$2:$C$132,2,FALSE),0))</f>
        <v>37.38</v>
      </c>
      <c r="F313" s="4">
        <f>IFERROR(VLOOKUP(B313,Week16,3,FALSE),130)</f>
        <v>24</v>
      </c>
      <c r="G313" s="4">
        <f>IF(ISBLANK(B313),,IFERROR(VLOOKUP(B313,CurrentRank!$B$2:$D$132,3,FALSE),130))</f>
        <v>43</v>
      </c>
      <c r="H313" s="4">
        <f>IFERROR(VLOOKUP(C313,Week16,2,FALSE),0)</f>
        <v>33.28</v>
      </c>
      <c r="I313" s="4">
        <f>IF(ISBLANK(B313),,IFERROR(VLOOKUP(C313,CurrentRank!$B$2:$C$132,2,FALSE),0))</f>
        <v>33.91</v>
      </c>
      <c r="J313" s="4">
        <f>IFERROR(VLOOKUP(C313,Week16,3,FALSE),130)</f>
        <v>86</v>
      </c>
      <c r="K313" s="4">
        <f>IF(ISBLANK(C313),,IFERROR(VLOOKUP(C313,CurrentRank!$B$2:$D$132,3,FALSE),130))</f>
        <v>75</v>
      </c>
      <c r="L313" s="19">
        <f t="shared" ref="L313:L320" si="148">IF(U313= "Yes", 0, IF(ISBLANK(C313),,(D313+H313)*0.015))</f>
        <v>0</v>
      </c>
      <c r="M313" s="19">
        <f t="shared" ref="M313:M320" si="149">IF(U313= "Yes", 0, IF(ISBLANK(D313),,(E313+I313)*0.015))</f>
        <v>0</v>
      </c>
      <c r="N313" s="24">
        <f t="shared" si="140"/>
        <v>55</v>
      </c>
      <c r="O313" s="21">
        <f t="shared" si="4"/>
        <v>11.84</v>
      </c>
      <c r="P313" s="21">
        <f t="shared" si="145"/>
        <v>1.735</v>
      </c>
      <c r="Q313" s="22">
        <f t="shared" si="6"/>
        <v>0.6658</v>
      </c>
      <c r="R313" s="25" t="str">
        <f t="shared" si="7"/>
        <v>D+</v>
      </c>
      <c r="S313" s="19">
        <f t="shared" si="8"/>
        <v>0.715</v>
      </c>
      <c r="T313" s="19" t="str">
        <f t="shared" si="9"/>
        <v>C-</v>
      </c>
      <c r="U313" s="3" t="s">
        <v>223</v>
      </c>
      <c r="V313" s="4" t="str">
        <f>IF(ISBLANK(C313),,IFERROR(IF(VLOOKUP(B313,Standings!$A:$F, 6, 0)=VLOOKUP(C313,Standings!$A:$F, 6, 0), VLOOKUP(B313,Standings!$A:$F, 6, 0), "Non-con"), "FCS"))</f>
        <v>Non-con</v>
      </c>
      <c r="W313" s="3" t="str">
        <f t="shared" si="10"/>
        <v>Mississippi State</v>
      </c>
      <c r="X313" s="3" t="str">
        <f t="shared" si="11"/>
        <v>Tulsa</v>
      </c>
      <c r="Y313" s="30">
        <f>IF(D313=0,,IF(ISBLANK(Q313),,VLOOKUP(X313,Week16,2,FALSE)/(VLOOKUP(X313,Week16,2,FALSE)+VLOOKUP(W313,Week16,2,FALSE)))*100)</f>
        <v>63.12056738</v>
      </c>
      <c r="Z313" s="3" t="s">
        <v>81</v>
      </c>
      <c r="AA313" s="3">
        <v>28.0</v>
      </c>
      <c r="AB313" s="4" t="str">
        <f t="shared" si="20"/>
        <v>Tulsa</v>
      </c>
      <c r="AC313" s="3">
        <v>26.0</v>
      </c>
      <c r="AD313" s="3"/>
      <c r="AE313" s="3">
        <f t="shared" si="13"/>
        <v>2</v>
      </c>
      <c r="AF313" s="3" t="s">
        <v>224</v>
      </c>
      <c r="AG313" s="3">
        <f t="shared" si="133"/>
        <v>0</v>
      </c>
      <c r="AH313" s="3"/>
      <c r="AI313" s="7"/>
      <c r="AJ313" s="4" t="s">
        <v>262</v>
      </c>
      <c r="AK313" s="7"/>
      <c r="AL313" s="7"/>
      <c r="AM313" s="7"/>
      <c r="AN313" s="7"/>
      <c r="AO313" s="7"/>
      <c r="AP313" s="7"/>
      <c r="AQ313" s="7"/>
      <c r="AR313" s="7"/>
      <c r="AS313" s="7"/>
      <c r="AT313" s="7"/>
      <c r="AU313" s="7"/>
      <c r="AV313" s="7"/>
      <c r="AW313" s="7"/>
      <c r="AX313" s="7"/>
    </row>
    <row r="314" ht="12.75" hidden="1" customHeight="1">
      <c r="A314" s="3">
        <v>3.0</v>
      </c>
      <c r="B314" s="3" t="s">
        <v>86</v>
      </c>
      <c r="C314" s="3" t="s">
        <v>114</v>
      </c>
      <c r="D314" s="4">
        <f>IFERROR(VLOOKUP(B314,Week2,2,FALSE),0)</f>
        <v>39.81</v>
      </c>
      <c r="E314" s="4">
        <f>IF(ISBLANK(B314),,IFERROR(VLOOKUP(B314,CurrentRank!$B$2:$C$132,2,FALSE),0))</f>
        <v>33.56</v>
      </c>
      <c r="F314" s="4">
        <f>IFERROR(VLOOKUP(B314,Week2,3,FALSE),130)</f>
        <v>27</v>
      </c>
      <c r="G314" s="4">
        <f>IF(ISBLANK(B314),,IFERROR(VLOOKUP(B314,CurrentRank!$B$2:$D$132,3,FALSE),130))</f>
        <v>78</v>
      </c>
      <c r="H314" s="4">
        <f>IFERROR(VLOOKUP(C314,Week2,2,FALSE),0)</f>
        <v>31.38</v>
      </c>
      <c r="I314" s="4">
        <f>IF(ISBLANK(B314),,IFERROR(VLOOKUP(C314,CurrentRank!$B$2:$C$132,2,FALSE),0))</f>
        <v>29.9</v>
      </c>
      <c r="J314" s="4">
        <f>IFERROR(VLOOKUP(C314,Week2,3,FALSE),130)</f>
        <v>33</v>
      </c>
      <c r="K314" s="4">
        <f>IF(ISBLANK(C314),,IFERROR(VLOOKUP(C314,CurrentRank!$B$2:$D$132,3,FALSE),130))</f>
        <v>110</v>
      </c>
      <c r="L314" s="19">
        <f t="shared" si="148"/>
        <v>1.06785</v>
      </c>
      <c r="M314" s="19">
        <f t="shared" si="149"/>
        <v>0.9519</v>
      </c>
      <c r="N314" s="24">
        <f t="shared" si="140"/>
        <v>30</v>
      </c>
      <c r="O314" s="21">
        <f t="shared" si="4"/>
        <v>3.681075</v>
      </c>
      <c r="P314" s="21">
        <f t="shared" si="145"/>
        <v>1.296075</v>
      </c>
      <c r="Q314" s="22">
        <f t="shared" si="6"/>
        <v>0.831594625</v>
      </c>
      <c r="R314" s="25" t="str">
        <f t="shared" si="7"/>
        <v>B</v>
      </c>
      <c r="S314" s="19">
        <f t="shared" si="8"/>
        <v>0.7</v>
      </c>
      <c r="T314" s="19" t="str">
        <f t="shared" si="9"/>
        <v>C-</v>
      </c>
      <c r="U314" s="3" t="s">
        <v>203</v>
      </c>
      <c r="V314" s="4" t="str">
        <f>IF(ISBLANK(C314),,IFERROR(IF(VLOOKUP(B314,Standings!$A:$F, 6, 0)=VLOOKUP(C314,Standings!$A:$F, 6, 0), VLOOKUP(B314,Standings!$A:$F, 6, 0), "Non-con"), "FCS"))</f>
        <v>Non-con</v>
      </c>
      <c r="W314" s="3" t="str">
        <f t="shared" si="10"/>
        <v>North Texas</v>
      </c>
      <c r="X314" s="3" t="str">
        <f t="shared" si="11"/>
        <v>Southern Methodist</v>
      </c>
      <c r="Y314" s="30">
        <f>IF(D314=0,,IF(ISBLANK(Q314),,VLOOKUP(X314,Week2,2,FALSE)/(VLOOKUP(X314,Week2,2,FALSE)+VLOOKUP(W314,Week2,2,FALSE))+0.05)*100)</f>
        <v>60.92077539</v>
      </c>
      <c r="Z314" s="3" t="s">
        <v>86</v>
      </c>
      <c r="AA314" s="3">
        <v>65.0</v>
      </c>
      <c r="AB314" s="4" t="str">
        <f t="shared" si="20"/>
        <v>North Texas</v>
      </c>
      <c r="AC314" s="3">
        <v>35.0</v>
      </c>
      <c r="AD314" s="3"/>
      <c r="AE314" s="3">
        <f t="shared" si="13"/>
        <v>30</v>
      </c>
      <c r="AF314" s="3"/>
      <c r="AG314" s="3">
        <f t="shared" si="133"/>
        <v>1</v>
      </c>
      <c r="AH314" s="3"/>
      <c r="AI314" s="7"/>
      <c r="AJ314" s="4"/>
      <c r="AK314" s="7"/>
      <c r="AL314" s="7"/>
      <c r="AM314" s="7"/>
      <c r="AN314" s="7"/>
      <c r="AO314" s="7"/>
      <c r="AP314" s="7"/>
      <c r="AQ314" s="7"/>
      <c r="AR314" s="7"/>
      <c r="AS314" s="7"/>
      <c r="AT314" s="7"/>
      <c r="AU314" s="7"/>
      <c r="AV314" s="7"/>
      <c r="AW314" s="7"/>
      <c r="AX314" s="7"/>
    </row>
    <row r="315" ht="12.75" hidden="1" customHeight="1">
      <c r="A315" s="3">
        <v>12.0</v>
      </c>
      <c r="B315" s="3" t="s">
        <v>128</v>
      </c>
      <c r="C315" s="3" t="s">
        <v>94</v>
      </c>
      <c r="D315" s="4">
        <f>IFERROR(VLOOKUP(B315,Week11,2,FALSE),0)</f>
        <v>26.3</v>
      </c>
      <c r="E315" s="4">
        <f>IF(ISBLANK(B315),,IFERROR(VLOOKUP(B315,CurrentRank!$B$2:$C$132,2,FALSE),0))</f>
        <v>26.74</v>
      </c>
      <c r="F315" s="4">
        <f>IFERROR(VLOOKUP(B315,Week11,3,FALSE),130)</f>
        <v>122</v>
      </c>
      <c r="G315" s="4">
        <f>IF(ISBLANK(B315),,IFERROR(VLOOKUP(B315,CurrentRank!$B$2:$D$132,3,FALSE),130))</f>
        <v>123</v>
      </c>
      <c r="H315" s="4">
        <f>IFERROR(VLOOKUP(C315,Week11,2,FALSE),0)</f>
        <v>33.35</v>
      </c>
      <c r="I315" s="4">
        <f>IF(ISBLANK(B315),,IFERROR(VLOOKUP(C315,CurrentRank!$B$2:$C$132,2,FALSE),0))</f>
        <v>36.87</v>
      </c>
      <c r="J315" s="4">
        <f>IFERROR(VLOOKUP(C315,Week11,3,FALSE),130)</f>
        <v>76</v>
      </c>
      <c r="K315" s="4">
        <f>IF(ISBLANK(C315),,IFERROR(VLOOKUP(C315,CurrentRank!$B$2:$D$132,3,FALSE),130))</f>
        <v>48</v>
      </c>
      <c r="L315" s="19">
        <f t="shared" si="148"/>
        <v>0.89475</v>
      </c>
      <c r="M315" s="19">
        <f t="shared" si="149"/>
        <v>0.95415</v>
      </c>
      <c r="N315" s="24">
        <f t="shared" si="140"/>
        <v>99</v>
      </c>
      <c r="O315" s="21">
        <f t="shared" si="4"/>
        <v>-3.972375</v>
      </c>
      <c r="P315" s="21">
        <f t="shared" si="145"/>
        <v>-5.512375</v>
      </c>
      <c r="Q315" s="22">
        <f t="shared" si="6"/>
        <v>0.485138125</v>
      </c>
      <c r="R315" s="25" t="str">
        <f t="shared" si="7"/>
        <v>F</v>
      </c>
      <c r="S315" s="19">
        <f t="shared" si="8"/>
        <v>0.355</v>
      </c>
      <c r="T315" s="19" t="str">
        <f t="shared" si="9"/>
        <v>F</v>
      </c>
      <c r="U315" s="3" t="s">
        <v>203</v>
      </c>
      <c r="V315" s="4" t="str">
        <f>IF(ISBLANK(C315),,IFERROR(IF(VLOOKUP(B315,Standings!$A:$F, 6, 0)=VLOOKUP(C315,Standings!$A:$F, 6, 0), VLOOKUP(B315,Standings!$A:$F, 6, 0), "Non-con"), "FCS"))</f>
        <v>ACC</v>
      </c>
      <c r="W315" s="3" t="str">
        <f t="shared" si="10"/>
        <v>Syracuse</v>
      </c>
      <c r="X315" s="3" t="str">
        <f t="shared" si="11"/>
        <v>Louisville</v>
      </c>
      <c r="Y315" s="30">
        <f>IF(D315=0,,IF(ISBLANK(Q315),,VLOOKUP(X315,Week11,2,FALSE)/(VLOOKUP(X315,Week11,2,FALSE)+VLOOKUP(W315,Week11,2,FALSE))+0.05)*100)</f>
        <v>60.90947192</v>
      </c>
      <c r="Z315" s="3" t="s">
        <v>94</v>
      </c>
      <c r="AA315" s="3">
        <v>30.0</v>
      </c>
      <c r="AB315" s="4" t="str">
        <f t="shared" si="20"/>
        <v>Syracuse</v>
      </c>
      <c r="AC315" s="3">
        <v>0.0</v>
      </c>
      <c r="AD315" s="3"/>
      <c r="AE315" s="3">
        <f t="shared" si="13"/>
        <v>30</v>
      </c>
      <c r="AF315" s="3"/>
      <c r="AG315" s="3">
        <f t="shared" si="133"/>
        <v>1</v>
      </c>
      <c r="AH315" s="3"/>
      <c r="AI315" s="7"/>
      <c r="AJ315" s="4"/>
      <c r="AK315" s="7"/>
      <c r="AL315" s="7"/>
      <c r="AM315" s="7"/>
      <c r="AN315" s="7"/>
      <c r="AO315" s="7"/>
      <c r="AP315" s="7"/>
      <c r="AQ315" s="7"/>
      <c r="AR315" s="7"/>
      <c r="AS315" s="7"/>
      <c r="AT315" s="7"/>
      <c r="AU315" s="7"/>
      <c r="AV315" s="7"/>
      <c r="AW315" s="7"/>
      <c r="AX315" s="7"/>
    </row>
    <row r="316" ht="12.75" hidden="1" customHeight="1">
      <c r="A316" s="3">
        <v>6.0</v>
      </c>
      <c r="B316" s="3" t="s">
        <v>161</v>
      </c>
      <c r="C316" s="3" t="s">
        <v>181</v>
      </c>
      <c r="D316" s="4">
        <f>IFERROR(VLOOKUP(B316,Week5,2,FALSE),0)</f>
        <v>32.01</v>
      </c>
      <c r="E316" s="4">
        <f>IF(ISBLANK(B316),,IFERROR(VLOOKUP(B316,CurrentRank!$B$2:$C$132,2,FALSE),0))</f>
        <v>31.11</v>
      </c>
      <c r="F316" s="4">
        <f>IFERROR(VLOOKUP(B316,Week5,3,FALSE),130)</f>
        <v>57</v>
      </c>
      <c r="G316" s="4">
        <f>IF(ISBLANK(B316),,IFERROR(VLOOKUP(B316,CurrentRank!$B$2:$D$132,3,FALSE),130))</f>
        <v>100</v>
      </c>
      <c r="H316" s="4">
        <f>IFERROR(VLOOKUP(C316,Week5,2,FALSE),0)</f>
        <v>25.34</v>
      </c>
      <c r="I316" s="4">
        <f>IF(ISBLANK(B316),,IFERROR(VLOOKUP(C316,CurrentRank!$B$2:$C$132,2,FALSE),0))</f>
        <v>25.47</v>
      </c>
      <c r="J316" s="4">
        <f>IFERROR(VLOOKUP(C316,Week5,3,FALSE),130)</f>
        <v>125</v>
      </c>
      <c r="K316" s="4">
        <f>IF(ISBLANK(C316),,IFERROR(VLOOKUP(C316,CurrentRank!$B$2:$D$132,3,FALSE),130))</f>
        <v>125</v>
      </c>
      <c r="L316" s="19">
        <f t="shared" si="148"/>
        <v>0.86025</v>
      </c>
      <c r="M316" s="19">
        <f t="shared" si="149"/>
        <v>0.8487</v>
      </c>
      <c r="N316" s="24">
        <f t="shared" si="140"/>
        <v>91</v>
      </c>
      <c r="O316" s="21">
        <f t="shared" si="4"/>
        <v>2.904875</v>
      </c>
      <c r="P316" s="21">
        <f t="shared" si="145"/>
        <v>2.389875</v>
      </c>
      <c r="Q316" s="22">
        <f t="shared" si="6"/>
        <v>0.530475625</v>
      </c>
      <c r="R316" s="25" t="str">
        <f t="shared" si="7"/>
        <v>F</v>
      </c>
      <c r="S316" s="19">
        <f t="shared" si="8"/>
        <v>0.375</v>
      </c>
      <c r="T316" s="19" t="str">
        <f t="shared" si="9"/>
        <v>F</v>
      </c>
      <c r="U316" s="3" t="s">
        <v>203</v>
      </c>
      <c r="V316" s="4" t="str">
        <f>IF(ISBLANK(C316),,IFERROR(IF(VLOOKUP(B316,Standings!$A:$F, 6, 0)=VLOOKUP(C316,Standings!$A:$F, 6, 0), VLOOKUP(B316,Standings!$A:$F, 6, 0), "Non-con"), "FCS"))</f>
        <v>SEC</v>
      </c>
      <c r="W316" s="3" t="str">
        <f t="shared" si="10"/>
        <v>Vanderbilt</v>
      </c>
      <c r="X316" s="3" t="str">
        <f t="shared" si="11"/>
        <v>South Carolina</v>
      </c>
      <c r="Y316" s="30">
        <f>IF(D316=0,,IF(ISBLANK(Q316),,VLOOKUP(X316,Week5,2,FALSE)/(VLOOKUP(X316,Week5,2,FALSE)+VLOOKUP(W316,Week5,2,FALSE))+0.05)*100)</f>
        <v>60.81517001</v>
      </c>
      <c r="Z316" s="3" t="s">
        <v>161</v>
      </c>
      <c r="AA316" s="3">
        <v>41.0</v>
      </c>
      <c r="AB316" s="4" t="str">
        <f t="shared" si="20"/>
        <v>Vanderbilt</v>
      </c>
      <c r="AC316" s="3">
        <v>7.0</v>
      </c>
      <c r="AD316" s="3"/>
      <c r="AE316" s="3">
        <f t="shared" si="13"/>
        <v>34</v>
      </c>
      <c r="AF316" s="3"/>
      <c r="AG316" s="3">
        <f t="shared" si="133"/>
        <v>1</v>
      </c>
      <c r="AH316" s="3"/>
      <c r="AI316" s="7"/>
      <c r="AJ316" s="3" t="s">
        <v>263</v>
      </c>
      <c r="AK316" s="7"/>
      <c r="AL316" s="7"/>
      <c r="AM316" s="7"/>
      <c r="AN316" s="7"/>
      <c r="AO316" s="7"/>
      <c r="AP316" s="7"/>
      <c r="AQ316" s="7"/>
      <c r="AR316" s="7"/>
      <c r="AS316" s="7"/>
      <c r="AT316" s="7"/>
      <c r="AU316" s="7"/>
      <c r="AV316" s="7"/>
      <c r="AW316" s="7"/>
      <c r="AX316" s="7"/>
    </row>
    <row r="317" ht="12.75" hidden="1" customHeight="1">
      <c r="A317" s="3">
        <v>11.0</v>
      </c>
      <c r="B317" s="3" t="s">
        <v>124</v>
      </c>
      <c r="C317" s="3" t="s">
        <v>141</v>
      </c>
      <c r="D317" s="4">
        <f>IFERROR(VLOOKUP(B317,Week10,2,FALSE),0)</f>
        <v>39.02</v>
      </c>
      <c r="E317" s="4">
        <f>IF(ISBLANK(B317),,IFERROR(VLOOKUP(B317,CurrentRank!$B$2:$C$132,2,FALSE),0))</f>
        <v>33.33</v>
      </c>
      <c r="F317" s="4">
        <f>IFERROR(VLOOKUP(B317,Week10,3,FALSE),130)</f>
        <v>43</v>
      </c>
      <c r="G317" s="4">
        <f>IF(ISBLANK(B317),,IFERROR(VLOOKUP(B317,CurrentRank!$B$2:$D$132,3,FALSE),130))</f>
        <v>83</v>
      </c>
      <c r="H317" s="4">
        <f>IFERROR(VLOOKUP(C317,Week10,2,FALSE),0)</f>
        <v>30.94</v>
      </c>
      <c r="I317" s="4">
        <f>IF(ISBLANK(B317),,IFERROR(VLOOKUP(C317,CurrentRank!$B$2:$C$132,2,FALSE),0))</f>
        <v>30.89</v>
      </c>
      <c r="J317" s="4">
        <f>IFERROR(VLOOKUP(C317,Week10,3,FALSE),130)</f>
        <v>90</v>
      </c>
      <c r="K317" s="4">
        <f>IF(ISBLANK(C317),,IFERROR(VLOOKUP(C317,CurrentRank!$B$2:$D$132,3,FALSE),130))</f>
        <v>103</v>
      </c>
      <c r="L317" s="19">
        <f t="shared" si="148"/>
        <v>1.0494</v>
      </c>
      <c r="M317" s="19">
        <f t="shared" si="149"/>
        <v>0.9633</v>
      </c>
      <c r="N317" s="24">
        <f t="shared" si="140"/>
        <v>66.5</v>
      </c>
      <c r="O317" s="21">
        <f t="shared" si="4"/>
        <v>3.5153</v>
      </c>
      <c r="P317" s="21">
        <f t="shared" si="145"/>
        <v>0.6953</v>
      </c>
      <c r="Q317" s="22">
        <f t="shared" si="6"/>
        <v>0.6499235</v>
      </c>
      <c r="R317" s="25" t="str">
        <f t="shared" si="7"/>
        <v>D</v>
      </c>
      <c r="S317" s="19">
        <f t="shared" si="8"/>
        <v>0.5725</v>
      </c>
      <c r="T317" s="19" t="str">
        <f t="shared" si="9"/>
        <v>F</v>
      </c>
      <c r="U317" s="3" t="s">
        <v>203</v>
      </c>
      <c r="V317" s="4" t="str">
        <f>IF(ISBLANK(C317),,IFERROR(IF(VLOOKUP(B317,Standings!$A:$F, 6, 0)=VLOOKUP(C317,Standings!$A:$F, 6, 0), VLOOKUP(B317,Standings!$A:$F, 6, 0), "Non-con"), "FCS"))</f>
        <v>CUSA</v>
      </c>
      <c r="W317" s="3" t="str">
        <f t="shared" si="10"/>
        <v>Florida International</v>
      </c>
      <c r="X317" s="3" t="str">
        <f t="shared" si="11"/>
        <v>Florida Atlantic</v>
      </c>
      <c r="Y317" s="30">
        <f>IF(D317=0,,IF(ISBLANK(Q317),,VLOOKUP(X317,Week10,2,FALSE)/(VLOOKUP(X317,Week10,2,FALSE)+VLOOKUP(W317,Week10,2,FALSE))+0.05)*100)</f>
        <v>60.77472842</v>
      </c>
      <c r="Z317" s="3" t="s">
        <v>124</v>
      </c>
      <c r="AA317" s="3">
        <v>38.0</v>
      </c>
      <c r="AB317" s="4" t="str">
        <f t="shared" si="20"/>
        <v>Florida International</v>
      </c>
      <c r="AC317" s="3">
        <v>19.0</v>
      </c>
      <c r="AD317" s="3"/>
      <c r="AE317" s="3">
        <f t="shared" si="13"/>
        <v>19</v>
      </c>
      <c r="AF317" s="3"/>
      <c r="AG317" s="3">
        <f t="shared" si="133"/>
        <v>1</v>
      </c>
      <c r="AH317" s="3"/>
      <c r="AI317" s="7"/>
      <c r="AJ317" s="4"/>
      <c r="AK317" s="7"/>
      <c r="AL317" s="7"/>
      <c r="AM317" s="7"/>
      <c r="AN317" s="7"/>
      <c r="AO317" s="7"/>
      <c r="AP317" s="7"/>
      <c r="AQ317" s="7"/>
      <c r="AR317" s="7"/>
      <c r="AS317" s="7"/>
      <c r="AT317" s="7"/>
      <c r="AU317" s="7"/>
      <c r="AV317" s="7"/>
      <c r="AW317" s="7"/>
      <c r="AX317" s="7"/>
    </row>
    <row r="318" ht="12.75" hidden="1" customHeight="1">
      <c r="A318" s="3">
        <v>5.0</v>
      </c>
      <c r="B318" s="3" t="s">
        <v>131</v>
      </c>
      <c r="C318" s="3" t="s">
        <v>122</v>
      </c>
      <c r="D318" s="4">
        <f>IFERROR(VLOOKUP(B318,Week4,2,FALSE),0)</f>
        <v>33.52</v>
      </c>
      <c r="E318" s="4">
        <f>IF(ISBLANK(B318),,IFERROR(VLOOKUP(B318,CurrentRank!$B$2:$C$132,2,FALSE),0))</f>
        <v>33.34</v>
      </c>
      <c r="F318" s="4">
        <f>IFERROR(VLOOKUP(B318,Week4,3,FALSE),130)</f>
        <v>47</v>
      </c>
      <c r="G318" s="4">
        <f>IF(ISBLANK(B318),,IFERROR(VLOOKUP(B318,CurrentRank!$B$2:$D$132,3,FALSE),130))</f>
        <v>82</v>
      </c>
      <c r="H318" s="4">
        <f>IFERROR(VLOOKUP(C318,Week4,2,FALSE),0)</f>
        <v>26.58</v>
      </c>
      <c r="I318" s="4">
        <f>IF(ISBLANK(B318),,IFERROR(VLOOKUP(C318,CurrentRank!$B$2:$C$132,2,FALSE),0))</f>
        <v>25.95</v>
      </c>
      <c r="J318" s="4">
        <f>IFERROR(VLOOKUP(C318,Week4,3,FALSE),130)</f>
        <v>121</v>
      </c>
      <c r="K318" s="4">
        <f>IF(ISBLANK(C318),,IFERROR(VLOOKUP(C318,CurrentRank!$B$2:$D$132,3,FALSE),130))</f>
        <v>124</v>
      </c>
      <c r="L318" s="19">
        <f t="shared" si="148"/>
        <v>0.9015</v>
      </c>
      <c r="M318" s="19">
        <f t="shared" si="149"/>
        <v>0.88935</v>
      </c>
      <c r="N318" s="24">
        <f t="shared" si="140"/>
        <v>84</v>
      </c>
      <c r="O318" s="21">
        <f t="shared" si="4"/>
        <v>3.01925</v>
      </c>
      <c r="P318" s="21">
        <f t="shared" si="145"/>
        <v>3.24425</v>
      </c>
      <c r="Q318" s="22">
        <f t="shared" si="6"/>
        <v>0.56490375</v>
      </c>
      <c r="R318" s="25" t="str">
        <f t="shared" si="7"/>
        <v>F</v>
      </c>
      <c r="S318" s="19">
        <f t="shared" si="8"/>
        <v>0.555</v>
      </c>
      <c r="T318" s="19" t="str">
        <f t="shared" si="9"/>
        <v>F</v>
      </c>
      <c r="U318" s="3" t="s">
        <v>203</v>
      </c>
      <c r="V318" s="4" t="str">
        <f>IF(ISBLANK(C318),,IFERROR(IF(VLOOKUP(B318,Standings!$A:$F, 6, 0)=VLOOKUP(C318,Standings!$A:$F, 6, 0), VLOOKUP(B318,Standings!$A:$F, 6, 0), "Non-con"), "FCS"))</f>
        <v>SUN</v>
      </c>
      <c r="W318" s="3" t="str">
        <f t="shared" si="10"/>
        <v>UL-Monroe</v>
      </c>
      <c r="X318" s="3" t="str">
        <f t="shared" si="11"/>
        <v>Georgia Southern</v>
      </c>
      <c r="Y318" s="30">
        <f>IF(D318=0,,IF(ISBLANK(Q318),,VLOOKUP(X318,Week4,2,FALSE)/(VLOOKUP(X318,Week4,2,FALSE)+VLOOKUP(W318,Week4,2,FALSE))+0.05)*100)</f>
        <v>60.77371048</v>
      </c>
      <c r="Z318" s="3" t="s">
        <v>131</v>
      </c>
      <c r="AA318" s="3">
        <v>35.0</v>
      </c>
      <c r="AB318" s="4" t="str">
        <f t="shared" si="20"/>
        <v>UL-Monroe</v>
      </c>
      <c r="AC318" s="3">
        <v>30.0</v>
      </c>
      <c r="AD318" s="3"/>
      <c r="AE318" s="3">
        <f t="shared" si="13"/>
        <v>5</v>
      </c>
      <c r="AF318" s="3"/>
      <c r="AG318" s="3">
        <f t="shared" si="133"/>
        <v>1</v>
      </c>
      <c r="AH318" s="3"/>
      <c r="AI318" s="7"/>
      <c r="AJ318" s="3" t="s">
        <v>264</v>
      </c>
      <c r="AK318" s="7"/>
      <c r="AL318" s="7"/>
      <c r="AM318" s="7"/>
      <c r="AN318" s="7"/>
      <c r="AO318" s="7"/>
      <c r="AP318" s="7"/>
      <c r="AQ318" s="7"/>
      <c r="AR318" s="7"/>
      <c r="AS318" s="7"/>
      <c r="AT318" s="7"/>
      <c r="AU318" s="7"/>
      <c r="AV318" s="7"/>
      <c r="AW318" s="7"/>
      <c r="AX318" s="7"/>
    </row>
    <row r="319" ht="12.75" hidden="1" customHeight="1">
      <c r="A319" s="3">
        <v>13.0</v>
      </c>
      <c r="B319" s="3" t="s">
        <v>168</v>
      </c>
      <c r="C319" s="3" t="s">
        <v>125</v>
      </c>
      <c r="D319" s="4">
        <f>IFERROR(VLOOKUP(B319,Week12,2,FALSE),0)</f>
        <v>31.98</v>
      </c>
      <c r="E319" s="4">
        <f>IF(ISBLANK(B319),,IFERROR(VLOOKUP(B319,CurrentRank!$B$2:$C$132,2,FALSE),0))</f>
        <v>27.16</v>
      </c>
      <c r="F319" s="4">
        <f>IFERROR(VLOOKUP(B319,Week12,3,FALSE),130)</f>
        <v>83</v>
      </c>
      <c r="G319" s="4">
        <f>IF(ISBLANK(B319),,IFERROR(VLOOKUP(B319,CurrentRank!$B$2:$D$132,3,FALSE),130))</f>
        <v>122</v>
      </c>
      <c r="H319" s="4">
        <f>IFERROR(VLOOKUP(C319,Week12,2,FALSE),0)</f>
        <v>40.3</v>
      </c>
      <c r="I319" s="4">
        <f>IF(ISBLANK(B319),,IFERROR(VLOOKUP(C319,CurrentRank!$B$2:$C$132,2,FALSE),0))</f>
        <v>41.14</v>
      </c>
      <c r="J319" s="4">
        <f>IFERROR(VLOOKUP(C319,Week12,3,FALSE),130)</f>
        <v>38</v>
      </c>
      <c r="K319" s="4">
        <f>IF(ISBLANK(C319),,IFERROR(VLOOKUP(C319,CurrentRank!$B$2:$D$132,3,FALSE),130))</f>
        <v>31</v>
      </c>
      <c r="L319" s="19">
        <f t="shared" si="148"/>
        <v>1.0842</v>
      </c>
      <c r="M319" s="19">
        <f t="shared" si="149"/>
        <v>1.0245</v>
      </c>
      <c r="N319" s="24">
        <f t="shared" si="140"/>
        <v>60.5</v>
      </c>
      <c r="O319" s="21">
        <f t="shared" si="4"/>
        <v>-4.7021</v>
      </c>
      <c r="P319" s="21">
        <f t="shared" si="145"/>
        <v>-7.5321</v>
      </c>
      <c r="Q319" s="22">
        <f t="shared" si="6"/>
        <v>0.6739895</v>
      </c>
      <c r="R319" s="25" t="str">
        <f t="shared" si="7"/>
        <v>D+</v>
      </c>
      <c r="S319" s="19">
        <f t="shared" si="8"/>
        <v>0.6125</v>
      </c>
      <c r="T319" s="19" t="str">
        <f t="shared" si="9"/>
        <v>D-</v>
      </c>
      <c r="U319" s="3" t="s">
        <v>203</v>
      </c>
      <c r="V319" s="4" t="str">
        <f>IF(ISBLANK(C319),,IFERROR(IF(VLOOKUP(B319,Standings!$A:$F, 6, 0)=VLOOKUP(C319,Standings!$A:$F, 6, 0), VLOOKUP(B319,Standings!$A:$F, 6, 0), "Non-con"), "FCS"))</f>
        <v>PAC12</v>
      </c>
      <c r="W319" s="3" t="str">
        <f t="shared" si="10"/>
        <v>Arizona</v>
      </c>
      <c r="X319" s="3" t="str">
        <f t="shared" si="11"/>
        <v>UCLA</v>
      </c>
      <c r="Y319" s="30">
        <f>IF(D319=0,,IF(ISBLANK(Q319),,VLOOKUP(X319,Week12,2,FALSE)/(VLOOKUP(X319,Week12,2,FALSE)+VLOOKUP(W319,Week12,2,FALSE))+0.05)*100)</f>
        <v>60.75539568</v>
      </c>
      <c r="Z319" s="3" t="s">
        <v>125</v>
      </c>
      <c r="AA319" s="3">
        <v>27.0</v>
      </c>
      <c r="AB319" s="4" t="str">
        <f t="shared" si="20"/>
        <v>Arizona</v>
      </c>
      <c r="AC319" s="3">
        <v>10.0</v>
      </c>
      <c r="AD319" s="3"/>
      <c r="AE319" s="3">
        <f t="shared" si="13"/>
        <v>17</v>
      </c>
      <c r="AF319" s="3"/>
      <c r="AG319" s="3">
        <f t="shared" si="133"/>
        <v>1</v>
      </c>
      <c r="AH319" s="3"/>
      <c r="AI319" s="7"/>
      <c r="AJ319" s="4"/>
      <c r="AK319" s="7"/>
      <c r="AL319" s="7"/>
      <c r="AM319" s="7"/>
      <c r="AN319" s="7"/>
      <c r="AO319" s="7"/>
      <c r="AP319" s="7"/>
      <c r="AQ319" s="7"/>
      <c r="AR319" s="7"/>
      <c r="AS319" s="7"/>
      <c r="AT319" s="7"/>
      <c r="AU319" s="7"/>
      <c r="AV319" s="7"/>
      <c r="AW319" s="7"/>
      <c r="AX319" s="7"/>
    </row>
    <row r="320" ht="12.75" customHeight="1">
      <c r="A320" s="3">
        <v>7.0</v>
      </c>
      <c r="B320" s="3" t="s">
        <v>130</v>
      </c>
      <c r="C320" s="3" t="s">
        <v>148</v>
      </c>
      <c r="D320" s="4">
        <f>IFERROR(VLOOKUP(B320,Week6,2,FALSE),0)</f>
        <v>34.49</v>
      </c>
      <c r="E320" s="4">
        <f>IF(ISBLANK(B320),,IFERROR(VLOOKUP(B320,CurrentRank!$B$2:$C$132,2,FALSE),0))</f>
        <v>29.22</v>
      </c>
      <c r="F320" s="4">
        <f>IFERROR(VLOOKUP(B320,Week6,3,FALSE),130)</f>
        <v>55</v>
      </c>
      <c r="G320" s="4">
        <f>IF(ISBLANK(B320),,IFERROR(VLOOKUP(B320,CurrentRank!$B$2:$D$132,3,FALSE),130))</f>
        <v>116</v>
      </c>
      <c r="H320" s="4">
        <f>IFERROR(VLOOKUP(C320,Week6,2,FALSE),0)</f>
        <v>34.07</v>
      </c>
      <c r="I320" s="4">
        <f>IF(ISBLANK(B320),,IFERROR(VLOOKUP(C320,CurrentRank!$B$2:$C$132,2,FALSE),0))</f>
        <v>32.94</v>
      </c>
      <c r="J320" s="4">
        <f>IFERROR(VLOOKUP(C320,Week6,3,FALSE),130)</f>
        <v>56</v>
      </c>
      <c r="K320" s="4">
        <f>IF(ISBLANK(C320),,IFERROR(VLOOKUP(C320,CurrentRank!$B$2:$D$132,3,FALSE),130))</f>
        <v>87</v>
      </c>
      <c r="L320" s="19">
        <f t="shared" si="148"/>
        <v>1.0284</v>
      </c>
      <c r="M320" s="19">
        <f t="shared" si="149"/>
        <v>0.9324</v>
      </c>
      <c r="N320" s="24">
        <f t="shared" si="140"/>
        <v>55.5</v>
      </c>
      <c r="O320" s="21">
        <f t="shared" si="4"/>
        <v>-0.3042</v>
      </c>
      <c r="P320" s="21">
        <f t="shared" si="145"/>
        <v>-2.3742</v>
      </c>
      <c r="Q320" s="22">
        <f t="shared" si="6"/>
        <v>0.720979</v>
      </c>
      <c r="R320" s="25" t="str">
        <f t="shared" si="7"/>
        <v>C-</v>
      </c>
      <c r="S320" s="19">
        <f t="shared" si="8"/>
        <v>0.7025</v>
      </c>
      <c r="T320" s="19" t="str">
        <f t="shared" si="9"/>
        <v>C-</v>
      </c>
      <c r="U320" s="3" t="s">
        <v>203</v>
      </c>
      <c r="V320" s="4" t="str">
        <f>IF(ISBLANK(C320),,IFERROR(IF(VLOOKUP(B320,Standings!$A:$F, 6, 0)=VLOOKUP(C320,Standings!$A:$F, 6, 0), VLOOKUP(B320,Standings!$A:$F, 6, 0), "Non-con"), "FCS"))</f>
        <v>AAC</v>
      </c>
      <c r="W320" s="3" t="str">
        <f t="shared" si="10"/>
        <v>Navy</v>
      </c>
      <c r="X320" s="3" t="str">
        <f t="shared" si="11"/>
        <v>East Carolina</v>
      </c>
      <c r="Y320" s="30">
        <f>IF(D320=0,,IF(ISBLANK(Q320),,VLOOKUP(X320,Week6,2,FALSE)/(VLOOKUP(X320,Week6,2,FALSE)+VLOOKUP(W320,Week6,2,FALSE))+0.05)*100)</f>
        <v>54.69369895</v>
      </c>
      <c r="Z320" s="3" t="s">
        <v>130</v>
      </c>
      <c r="AA320" s="3">
        <v>27.0</v>
      </c>
      <c r="AB320" s="4" t="str">
        <f t="shared" si="20"/>
        <v>East Carolina</v>
      </c>
      <c r="AC320" s="3">
        <v>23.0</v>
      </c>
      <c r="AD320" s="3"/>
      <c r="AE320" s="3">
        <f t="shared" si="13"/>
        <v>4</v>
      </c>
      <c r="AF320" s="3"/>
      <c r="AG320" s="3">
        <f t="shared" si="133"/>
        <v>0</v>
      </c>
      <c r="AH320" s="3"/>
      <c r="AI320" s="7"/>
      <c r="AJ320" s="4"/>
      <c r="AK320" s="7"/>
      <c r="AL320" s="7"/>
      <c r="AM320" s="7"/>
      <c r="AN320" s="7"/>
      <c r="AO320" s="7"/>
      <c r="AP320" s="7"/>
      <c r="AQ320" s="7"/>
      <c r="AR320" s="7"/>
      <c r="AS320" s="7"/>
      <c r="AT320" s="7"/>
      <c r="AU320" s="7"/>
      <c r="AV320" s="7"/>
      <c r="AW320" s="7"/>
      <c r="AX320" s="7"/>
    </row>
    <row r="321" ht="12.75" hidden="1" customHeight="1">
      <c r="A321" s="3">
        <v>14.0</v>
      </c>
      <c r="B321" s="3" t="s">
        <v>150</v>
      </c>
      <c r="C321" s="3" t="s">
        <v>87</v>
      </c>
      <c r="D321" s="4">
        <f>IFERROR(VLOOKUP(B321,Week13,2,FALSE),0)</f>
        <v>36.11</v>
      </c>
      <c r="E321" s="4">
        <f>IF(ISBLANK(B321),,IFERROR(VLOOKUP(B321,CurrentRank!$B$2:$C$132,2,FALSE),0))</f>
        <v>33.72</v>
      </c>
      <c r="F321" s="4">
        <f>IFERROR(VLOOKUP(B321,Week13,3,FALSE),130)</f>
        <v>53</v>
      </c>
      <c r="G321" s="4">
        <f>IF(ISBLANK(B321),,IFERROR(VLOOKUP(B321,CurrentRank!$B$2:$D$132,3,FALSE),130))</f>
        <v>76</v>
      </c>
      <c r="H321" s="4">
        <f>IFERROR(VLOOKUP(C321,Week13,2,FALSE),0)</f>
        <v>28.77</v>
      </c>
      <c r="I321" s="4">
        <f>IF(ISBLANK(B321),,IFERROR(VLOOKUP(C321,CurrentRank!$B$2:$C$132,2,FALSE),0))</f>
        <v>31.54</v>
      </c>
      <c r="J321" s="4">
        <f>IFERROR(VLOOKUP(C321,Week13,3,FALSE),130)</f>
        <v>117</v>
      </c>
      <c r="K321" s="4">
        <f>IF(ISBLANK(C321),,IFERROR(VLOOKUP(C321,CurrentRank!$B$2:$D$132,3,FALSE),130))</f>
        <v>97</v>
      </c>
      <c r="L321" s="19">
        <f t="shared" ref="L321:M321" si="150">IF(ISBLANK(C321),,(D321+H321)*0.015)</f>
        <v>0.9732</v>
      </c>
      <c r="M321" s="19">
        <f t="shared" si="150"/>
        <v>0.9789</v>
      </c>
      <c r="N321" s="24">
        <f t="shared" si="140"/>
        <v>85</v>
      </c>
      <c r="O321" s="21">
        <f t="shared" si="4"/>
        <v>3.1834</v>
      </c>
      <c r="P321" s="21">
        <f t="shared" si="145"/>
        <v>0.6034</v>
      </c>
      <c r="Q321" s="22">
        <f t="shared" si="6"/>
        <v>0.559083</v>
      </c>
      <c r="R321" s="25" t="str">
        <f t="shared" si="7"/>
        <v>F</v>
      </c>
      <c r="S321" s="19" t="str">
        <f t="shared" si="8"/>
        <v/>
      </c>
      <c r="T321" s="19" t="str">
        <f t="shared" si="9"/>
        <v/>
      </c>
      <c r="U321" s="3" t="s">
        <v>203</v>
      </c>
      <c r="V321" s="4" t="str">
        <f>IF(ISBLANK(C321),,IFERROR(IF(VLOOKUP(B321,Standings!$A:$F, 6, 0)=VLOOKUP(C321,Standings!$A:$F, 6, 0), VLOOKUP(B321,Standings!$A:$F, 6, 0), "Non-con"), "FCS"))</f>
        <v>B1G</v>
      </c>
      <c r="W321" s="3" t="str">
        <f t="shared" si="10"/>
        <v>Michigan</v>
      </c>
      <c r="X321" s="3" t="str">
        <f t="shared" si="11"/>
        <v>Maryland</v>
      </c>
      <c r="Y321" s="30">
        <f>IF(D321=0,,IF(ISBLANK(Q321),,VLOOKUP(X321,Week13,2,FALSE)/(VLOOKUP(X321,Week13,2,FALSE)+VLOOKUP(W321,Week13,2,FALSE))+0.05)*100)</f>
        <v>60.65659679</v>
      </c>
      <c r="Z321" s="3"/>
      <c r="AA321" s="3"/>
      <c r="AB321" s="4" t="str">
        <f t="shared" si="20"/>
        <v/>
      </c>
      <c r="AC321" s="3"/>
      <c r="AD321" s="3"/>
      <c r="AE321" s="3" t="str">
        <f t="shared" si="13"/>
        <v/>
      </c>
      <c r="AF321" s="3" t="s">
        <v>226</v>
      </c>
      <c r="AG321" s="3" t="str">
        <f t="shared" si="133"/>
        <v/>
      </c>
      <c r="AH321" s="3"/>
      <c r="AI321" s="7"/>
      <c r="AJ321" s="4"/>
      <c r="AK321" s="7"/>
      <c r="AL321" s="7"/>
      <c r="AM321" s="7"/>
      <c r="AN321" s="7"/>
      <c r="AO321" s="7"/>
      <c r="AP321" s="7"/>
      <c r="AQ321" s="7"/>
      <c r="AR321" s="7"/>
      <c r="AS321" s="7"/>
      <c r="AT321" s="7"/>
      <c r="AU321" s="7"/>
      <c r="AV321" s="7"/>
      <c r="AW321" s="7"/>
      <c r="AX321" s="7"/>
    </row>
    <row r="322" ht="12.75" customHeight="1">
      <c r="A322" s="3">
        <v>8.0</v>
      </c>
      <c r="B322" s="3" t="s">
        <v>107</v>
      </c>
      <c r="C322" s="3" t="s">
        <v>182</v>
      </c>
      <c r="D322" s="4">
        <f>IFERROR(VLOOKUP(B322,Week7,2,FALSE),0)</f>
        <v>44.62</v>
      </c>
      <c r="E322" s="4">
        <f>IF(ISBLANK(B322),,IFERROR(VLOOKUP(B322,CurrentRank!$B$2:$C$132,2,FALSE),0))</f>
        <v>35.54</v>
      </c>
      <c r="F322" s="4">
        <f>IFERROR(VLOOKUP(B322,Week7,3,FALSE),130)</f>
        <v>27</v>
      </c>
      <c r="G322" s="4">
        <f>IF(ISBLANK(B322),,IFERROR(VLOOKUP(B322,CurrentRank!$B$2:$D$132,3,FALSE),130))</f>
        <v>57</v>
      </c>
      <c r="H322" s="4">
        <f>IFERROR(VLOOKUP(C322,Week7,2,FALSE),0)</f>
        <v>30.76</v>
      </c>
      <c r="I322" s="4">
        <f>IF(ISBLANK(B322),,IFERROR(VLOOKUP(C322,CurrentRank!$B$2:$C$132,2,FALSE),0))</f>
        <v>51.02</v>
      </c>
      <c r="J322" s="4">
        <f>IFERROR(VLOOKUP(C322,Week7,3,FALSE),130)</f>
        <v>72</v>
      </c>
      <c r="K322" s="4">
        <f>IF(ISBLANK(C322),,IFERROR(VLOOKUP(C322,CurrentRank!$B$2:$D$132,3,FALSE),130))</f>
        <v>25</v>
      </c>
      <c r="L322" s="19">
        <f>IF(U322= "Yes", 0, IF(ISBLANK(C322),,(D322+H322)*0.015))</f>
        <v>1.1307</v>
      </c>
      <c r="M322" s="19">
        <f>IF(U322= "Yes", 0, IF(ISBLANK(D322),,(E322+I322)*0.015))</f>
        <v>1.2984</v>
      </c>
      <c r="N322" s="24">
        <f t="shared" si="140"/>
        <v>49.5</v>
      </c>
      <c r="O322" s="21">
        <f t="shared" si="4"/>
        <v>6.36465</v>
      </c>
      <c r="P322" s="21">
        <f t="shared" si="145"/>
        <v>-8.30535</v>
      </c>
      <c r="Q322" s="22">
        <f t="shared" si="6"/>
        <v>0.72067675</v>
      </c>
      <c r="R322" s="25" t="str">
        <f t="shared" si="7"/>
        <v>C-</v>
      </c>
      <c r="S322" s="19">
        <f t="shared" si="8"/>
        <v>0.6975</v>
      </c>
      <c r="T322" s="19" t="str">
        <f t="shared" si="9"/>
        <v>C-</v>
      </c>
      <c r="U322" s="3" t="s">
        <v>203</v>
      </c>
      <c r="V322" s="4" t="str">
        <f>IF(ISBLANK(C322),,IFERROR(IF(VLOOKUP(B322,Standings!$A:$F, 6, 0)=VLOOKUP(C322,Standings!$A:$F, 6, 0), VLOOKUP(B322,Standings!$A:$F, 6, 0), "Non-con"), "FCS"))</f>
        <v>MWC</v>
      </c>
      <c r="W322" s="3" t="str">
        <f t="shared" si="10"/>
        <v>San Jose State</v>
      </c>
      <c r="X322" s="3" t="str">
        <f t="shared" si="11"/>
        <v>Air Force</v>
      </c>
      <c r="Y322" s="30">
        <f>IF(D322=0,,IF(ISBLANK(Q322),,VLOOKUP(X322,Week7,2,FALSE)/(VLOOKUP(X322,Week7,2,FALSE)+VLOOKUP(W322,Week7,2,FALSE))+0.05)*100)</f>
        <v>64.19342001</v>
      </c>
      <c r="Z322" s="3" t="s">
        <v>182</v>
      </c>
      <c r="AA322" s="3">
        <v>17.0</v>
      </c>
      <c r="AB322" s="4" t="str">
        <f t="shared" si="20"/>
        <v>Air Force</v>
      </c>
      <c r="AC322" s="3">
        <v>6.0</v>
      </c>
      <c r="AD322" s="3"/>
      <c r="AE322" s="3">
        <f t="shared" si="13"/>
        <v>11</v>
      </c>
      <c r="AF322" s="3"/>
      <c r="AG322" s="3">
        <f t="shared" si="133"/>
        <v>0</v>
      </c>
      <c r="AH322" s="3"/>
      <c r="AI322" s="7"/>
      <c r="AJ322" s="4"/>
      <c r="AK322" s="7"/>
      <c r="AL322" s="7"/>
      <c r="AM322" s="7"/>
      <c r="AN322" s="7"/>
      <c r="AO322" s="7"/>
      <c r="AP322" s="7"/>
      <c r="AQ322" s="7"/>
      <c r="AR322" s="7"/>
      <c r="AS322" s="7"/>
      <c r="AT322" s="7"/>
      <c r="AU322" s="7"/>
      <c r="AV322" s="7"/>
      <c r="AW322" s="7"/>
      <c r="AX322" s="7"/>
    </row>
    <row r="323" ht="12.75" hidden="1" customHeight="1">
      <c r="A323" s="3">
        <v>15.0</v>
      </c>
      <c r="B323" s="3" t="s">
        <v>179</v>
      </c>
      <c r="C323" s="3" t="s">
        <v>177</v>
      </c>
      <c r="D323" s="4">
        <f>IFERROR(VLOOKUP(B323,Week14,2,FALSE),0)</f>
        <v>36.18</v>
      </c>
      <c r="E323" s="4">
        <f>IF(ISBLANK(B323),,IFERROR(VLOOKUP(B323,CurrentRank!$B$2:$C$132,2,FALSE),0))</f>
        <v>37.85</v>
      </c>
      <c r="F323" s="4">
        <f>IFERROR(VLOOKUP(B323,Week14,3,FALSE),130)</f>
        <v>56</v>
      </c>
      <c r="G323" s="4">
        <f>IF(ISBLANK(B323),,IFERROR(VLOOKUP(B323,CurrentRank!$B$2:$D$132,3,FALSE),130))</f>
        <v>39</v>
      </c>
      <c r="H323" s="4">
        <f>IFERROR(VLOOKUP(C323,Week14,2,FALSE),0)</f>
        <v>28.84</v>
      </c>
      <c r="I323" s="4">
        <f>IF(ISBLANK(B323),,IFERROR(VLOOKUP(C323,CurrentRank!$B$2:$C$132,2,FALSE),0))</f>
        <v>29.15</v>
      </c>
      <c r="J323" s="4">
        <f>IFERROR(VLOOKUP(C323,Week14,3,FALSE),130)</f>
        <v>121</v>
      </c>
      <c r="K323" s="4">
        <f>IF(ISBLANK(C323),,IFERROR(VLOOKUP(C323,CurrentRank!$B$2:$D$132,3,FALSE),130))</f>
        <v>117</v>
      </c>
      <c r="L323" s="19">
        <f t="shared" ref="L323:M323" si="151">IF(ISBLANK(C323),,(D323+H323)*0.015)</f>
        <v>0.9753</v>
      </c>
      <c r="M323" s="19">
        <f t="shared" si="151"/>
        <v>1.005</v>
      </c>
      <c r="N323" s="24">
        <f t="shared" si="140"/>
        <v>88.5</v>
      </c>
      <c r="O323" s="21">
        <f t="shared" si="4"/>
        <v>3.18235</v>
      </c>
      <c r="P323" s="21">
        <f t="shared" si="145"/>
        <v>3.86235</v>
      </c>
      <c r="Q323" s="22">
        <f t="shared" si="6"/>
        <v>0.54158825</v>
      </c>
      <c r="R323" s="25" t="str">
        <f t="shared" si="7"/>
        <v>F</v>
      </c>
      <c r="S323" s="19" t="str">
        <f t="shared" si="8"/>
        <v/>
      </c>
      <c r="T323" s="19" t="str">
        <f t="shared" si="9"/>
        <v/>
      </c>
      <c r="U323" s="3" t="s">
        <v>203</v>
      </c>
      <c r="V323" s="4" t="str">
        <f>IF(ISBLANK(C323),,IFERROR(IF(VLOOKUP(B323,Standings!$A:$F, 6, 0)=VLOOKUP(C323,Standings!$A:$F, 6, 0), VLOOKUP(B323,Standings!$A:$F, 6, 0), "Non-con"), "FCS"))</f>
        <v>MAC</v>
      </c>
      <c r="W323" s="3" t="str">
        <f t="shared" si="10"/>
        <v>Bowling Green</v>
      </c>
      <c r="X323" s="3" t="str">
        <f t="shared" si="11"/>
        <v>Miami (OH)</v>
      </c>
      <c r="Y323" s="30">
        <f>IF(D323=0,,IF(ISBLANK(Q323),,VLOOKUP(X323,Week14,2,FALSE)/(VLOOKUP(X323,Week14,2,FALSE)+VLOOKUP(W323,Week14,2,FALSE))+0.05)*100)</f>
        <v>60.6444171</v>
      </c>
      <c r="Z323" s="3"/>
      <c r="AA323" s="3"/>
      <c r="AB323" s="4" t="str">
        <f t="shared" si="20"/>
        <v/>
      </c>
      <c r="AC323" s="3"/>
      <c r="AD323" s="3"/>
      <c r="AE323" s="3" t="str">
        <f t="shared" si="13"/>
        <v/>
      </c>
      <c r="AF323" s="3" t="s">
        <v>226</v>
      </c>
      <c r="AG323" s="3" t="str">
        <f t="shared" si="133"/>
        <v/>
      </c>
      <c r="AH323" s="3"/>
      <c r="AI323" s="7"/>
      <c r="AJ323" s="4"/>
      <c r="AK323" s="7"/>
      <c r="AL323" s="7"/>
      <c r="AM323" s="7"/>
      <c r="AN323" s="7"/>
      <c r="AO323" s="7"/>
      <c r="AP323" s="7"/>
      <c r="AQ323" s="7"/>
      <c r="AR323" s="7"/>
      <c r="AS323" s="7"/>
      <c r="AT323" s="7"/>
      <c r="AU323" s="7"/>
      <c r="AV323" s="7"/>
      <c r="AW323" s="7"/>
      <c r="AX323" s="7"/>
    </row>
    <row r="324" ht="12.75" customHeight="1">
      <c r="A324" s="3">
        <v>5.0</v>
      </c>
      <c r="B324" s="3" t="s">
        <v>113</v>
      </c>
      <c r="C324" s="3" t="s">
        <v>46</v>
      </c>
      <c r="D324" s="4">
        <f>IFERROR(VLOOKUP(B324,Week4,2,FALSE),0)</f>
        <v>30.84</v>
      </c>
      <c r="E324" s="4">
        <f>IF(ISBLANK(B324),,IFERROR(VLOOKUP(B324,CurrentRank!$B$2:$C$132,2,FALSE),0))</f>
        <v>41.9</v>
      </c>
      <c r="F324" s="4">
        <f>IFERROR(VLOOKUP(B324,Week4,3,FALSE),130)</f>
        <v>111</v>
      </c>
      <c r="G324" s="4">
        <f>IF(ISBLANK(B324),,IFERROR(VLOOKUP(B324,CurrentRank!$B$2:$D$132,3,FALSE),130))</f>
        <v>29</v>
      </c>
      <c r="H324" s="4">
        <f>IFERROR(VLOOKUP(C324,Week4,2,FALSE),0)</f>
        <v>78.34</v>
      </c>
      <c r="I324" s="4">
        <f>IF(ISBLANK(B324),,IFERROR(VLOOKUP(C324,CurrentRank!$B$2:$C$132,2,FALSE),0))</f>
        <v>62.29</v>
      </c>
      <c r="J324" s="4">
        <f>IFERROR(VLOOKUP(C324,Week4,3,FALSE),130)</f>
        <v>7</v>
      </c>
      <c r="K324" s="4">
        <f>IF(ISBLANK(C324),,IFERROR(VLOOKUP(C324,CurrentRank!$B$2:$D$132,3,FALSE),130))</f>
        <v>20</v>
      </c>
      <c r="L324" s="19">
        <f t="shared" ref="L324:L337" si="152">IF(U324= "Yes", 0, IF(ISBLANK(C324),,(D324+H324)*0.015))</f>
        <v>1.6377</v>
      </c>
      <c r="M324" s="19">
        <f t="shared" ref="M324:M337" si="153">IF(U324= "Yes", 0, IF(ISBLANK(D324),,(E324+I324)*0.015))</f>
        <v>1.56285</v>
      </c>
      <c r="N324" s="24">
        <f t="shared" si="140"/>
        <v>59</v>
      </c>
      <c r="O324" s="21">
        <f t="shared" si="4"/>
        <v>-24.56885</v>
      </c>
      <c r="P324" s="21">
        <f t="shared" si="145"/>
        <v>-11.01385</v>
      </c>
      <c r="Q324" s="22">
        <f t="shared" si="6"/>
        <v>0.58215575</v>
      </c>
      <c r="R324" s="25" t="str">
        <f t="shared" si="7"/>
        <v>F</v>
      </c>
      <c r="S324" s="19">
        <f t="shared" si="8"/>
        <v>0.695</v>
      </c>
      <c r="T324" s="19" t="str">
        <f t="shared" si="9"/>
        <v>C-</v>
      </c>
      <c r="U324" s="3" t="s">
        <v>203</v>
      </c>
      <c r="V324" s="4" t="str">
        <f>IF(ISBLANK(C324),,IFERROR(IF(VLOOKUP(B324,Standings!$A:$F, 6, 0)=VLOOKUP(C324,Standings!$A:$F, 6, 0), VLOOKUP(B324,Standings!$A:$F, 6, 0), "Non-con"), "FCS"))</f>
        <v>BIG12</v>
      </c>
      <c r="W324" s="3" t="str">
        <f t="shared" si="10"/>
        <v>TCU</v>
      </c>
      <c r="X324" s="3" t="str">
        <f t="shared" si="11"/>
        <v>Texas</v>
      </c>
      <c r="Y324" s="30">
        <f>IF(D324=0,,IF(ISBLANK(Q324),,VLOOKUP(X324,Week4,2,FALSE)/(VLOOKUP(X324,Week4,2,FALSE)+VLOOKUP(W324,Week4,2,FALSE))+0.05)*100)</f>
        <v>76.75306833</v>
      </c>
      <c r="Z324" s="3" t="s">
        <v>113</v>
      </c>
      <c r="AA324" s="3">
        <v>33.0</v>
      </c>
      <c r="AB324" s="4" t="str">
        <f t="shared" si="20"/>
        <v>Texas</v>
      </c>
      <c r="AC324" s="3">
        <v>31.0</v>
      </c>
      <c r="AD324" s="3"/>
      <c r="AE324" s="3">
        <f t="shared" si="13"/>
        <v>2</v>
      </c>
      <c r="AF324" s="3"/>
      <c r="AG324" s="3">
        <f t="shared" si="133"/>
        <v>0</v>
      </c>
      <c r="AH324" s="3"/>
      <c r="AI324" s="7"/>
      <c r="AJ324" s="4"/>
      <c r="AK324" s="7"/>
      <c r="AL324" s="7"/>
      <c r="AM324" s="7"/>
      <c r="AN324" s="7"/>
      <c r="AO324" s="7"/>
      <c r="AP324" s="7"/>
      <c r="AQ324" s="7"/>
      <c r="AR324" s="7"/>
      <c r="AS324" s="7"/>
      <c r="AT324" s="7"/>
      <c r="AU324" s="7"/>
      <c r="AV324" s="7"/>
      <c r="AW324" s="7"/>
      <c r="AX324" s="7"/>
    </row>
    <row r="325" ht="12.75" hidden="1" customHeight="1">
      <c r="A325" s="3">
        <v>17.0</v>
      </c>
      <c r="B325" s="3" t="s">
        <v>47</v>
      </c>
      <c r="C325" s="3" t="s">
        <v>73</v>
      </c>
      <c r="D325" s="4">
        <f>IFERROR(VLOOKUP(B325,Week16,2,FALSE),0)</f>
        <v>43.65</v>
      </c>
      <c r="E325" s="4">
        <f>IF(ISBLANK(B325),,IFERROR(VLOOKUP(B325,CurrentRank!$B$2:$C$132,2,FALSE),0))</f>
        <v>41.86</v>
      </c>
      <c r="F325" s="4">
        <f>IFERROR(VLOOKUP(B325,Week16,3,FALSE),130)</f>
        <v>29</v>
      </c>
      <c r="G325" s="4">
        <f>IF(ISBLANK(B325),,IFERROR(VLOOKUP(B325,CurrentRank!$B$2:$D$132,3,FALSE),130))</f>
        <v>30</v>
      </c>
      <c r="H325" s="4">
        <f>IFERROR(VLOOKUP(C325,Week16,2,FALSE),0)</f>
        <v>66.98</v>
      </c>
      <c r="I325" s="4">
        <f>IF(ISBLANK(B325),,IFERROR(VLOOKUP(C325,CurrentRank!$B$2:$C$132,2,FALSE),0))</f>
        <v>69.33</v>
      </c>
      <c r="J325" s="4">
        <f>IFERROR(VLOOKUP(C325,Week16,3,FALSE),130)</f>
        <v>17</v>
      </c>
      <c r="K325" s="4">
        <f>IF(ISBLANK(C325),,IFERROR(VLOOKUP(C325,CurrentRank!$B$2:$D$132,3,FALSE),130))</f>
        <v>15</v>
      </c>
      <c r="L325" s="19">
        <f t="shared" si="152"/>
        <v>0</v>
      </c>
      <c r="M325" s="19">
        <f t="shared" si="153"/>
        <v>0</v>
      </c>
      <c r="N325" s="24">
        <f t="shared" si="140"/>
        <v>23</v>
      </c>
      <c r="O325" s="21">
        <f t="shared" si="4"/>
        <v>-11.665</v>
      </c>
      <c r="P325" s="21">
        <f t="shared" si="145"/>
        <v>-13.735</v>
      </c>
      <c r="Q325" s="22">
        <f t="shared" si="6"/>
        <v>0.826675</v>
      </c>
      <c r="R325" s="25" t="str">
        <f t="shared" si="7"/>
        <v>B</v>
      </c>
      <c r="S325" s="19">
        <f t="shared" si="8"/>
        <v>0.755</v>
      </c>
      <c r="T325" s="19" t="str">
        <f t="shared" si="9"/>
        <v>C</v>
      </c>
      <c r="U325" s="3" t="s">
        <v>223</v>
      </c>
      <c r="V325" s="4" t="str">
        <f>IF(ISBLANK(C325),,IFERROR(IF(VLOOKUP(B325,Standings!$A:$F, 6, 0)=VLOOKUP(C325,Standings!$A:$F, 6, 0), VLOOKUP(B325,Standings!$A:$F, 6, 0), "Non-con"), "FCS"))</f>
        <v>Non-con</v>
      </c>
      <c r="W325" s="3" t="str">
        <f t="shared" si="10"/>
        <v>Central Florida</v>
      </c>
      <c r="X325" s="3" t="str">
        <f t="shared" si="11"/>
        <v>BYU</v>
      </c>
      <c r="Y325" s="30">
        <f>IF(D325=0,,IF(ISBLANK(Q325),,VLOOKUP(X325,Week16,2,FALSE)/(VLOOKUP(X325,Week16,2,FALSE)+VLOOKUP(W325,Week16,2,FALSE)))*100)</f>
        <v>60.5441562</v>
      </c>
      <c r="Z325" s="3" t="s">
        <v>73</v>
      </c>
      <c r="AA325" s="3">
        <v>49.0</v>
      </c>
      <c r="AB325" s="4" t="str">
        <f t="shared" si="20"/>
        <v>Central Florida</v>
      </c>
      <c r="AC325" s="3">
        <v>23.0</v>
      </c>
      <c r="AD325" s="3"/>
      <c r="AE325" s="3">
        <f t="shared" si="13"/>
        <v>26</v>
      </c>
      <c r="AF325" s="3" t="s">
        <v>224</v>
      </c>
      <c r="AG325" s="3">
        <f t="shared" si="133"/>
        <v>1</v>
      </c>
      <c r="AH325" s="3"/>
      <c r="AI325" s="7"/>
      <c r="AJ325" s="4" t="s">
        <v>140</v>
      </c>
      <c r="AK325" s="7"/>
      <c r="AL325" s="7"/>
      <c r="AM325" s="7"/>
      <c r="AN325" s="7"/>
      <c r="AO325" s="7"/>
      <c r="AP325" s="7"/>
      <c r="AQ325" s="7"/>
      <c r="AR325" s="7"/>
      <c r="AS325" s="7"/>
      <c r="AT325" s="7"/>
      <c r="AU325" s="7"/>
      <c r="AV325" s="7"/>
      <c r="AW325" s="7"/>
      <c r="AX325" s="7"/>
    </row>
    <row r="326" ht="12.75" hidden="1" customHeight="1">
      <c r="A326" s="3">
        <v>11.0</v>
      </c>
      <c r="B326" s="3" t="s">
        <v>139</v>
      </c>
      <c r="C326" s="3" t="s">
        <v>131</v>
      </c>
      <c r="D326" s="4">
        <f>IFERROR(VLOOKUP(B326,Week10,2,FALSE),0)</f>
        <v>28.82</v>
      </c>
      <c r="E326" s="4">
        <f>IF(ISBLANK(B326),,IFERROR(VLOOKUP(B326,CurrentRank!$B$2:$C$132,2,FALSE),0))</f>
        <v>28.86</v>
      </c>
      <c r="F326" s="4">
        <f>IFERROR(VLOOKUP(B326,Week10,3,FALSE),130)</f>
        <v>113</v>
      </c>
      <c r="G326" s="4">
        <f>IF(ISBLANK(B326),,IFERROR(VLOOKUP(B326,CurrentRank!$B$2:$D$132,3,FALSE),130))</f>
        <v>119</v>
      </c>
      <c r="H326" s="4">
        <f>IFERROR(VLOOKUP(C326,Week10,2,FALSE),0)</f>
        <v>36</v>
      </c>
      <c r="I326" s="4">
        <f>IF(ISBLANK(B326),,IFERROR(VLOOKUP(C326,CurrentRank!$B$2:$C$132,2,FALSE),0))</f>
        <v>33.34</v>
      </c>
      <c r="J326" s="4">
        <f>IFERROR(VLOOKUP(C326,Week10,3,FALSE),130)</f>
        <v>63</v>
      </c>
      <c r="K326" s="4">
        <f>IF(ISBLANK(C326),,IFERROR(VLOOKUP(C326,CurrentRank!$B$2:$D$132,3,FALSE),130))</f>
        <v>82</v>
      </c>
      <c r="L326" s="19">
        <f t="shared" si="152"/>
        <v>0.9723</v>
      </c>
      <c r="M326" s="19">
        <f t="shared" si="153"/>
        <v>0.933</v>
      </c>
      <c r="N326" s="24">
        <f t="shared" si="140"/>
        <v>88</v>
      </c>
      <c r="O326" s="21">
        <f t="shared" si="4"/>
        <v>-4.07615</v>
      </c>
      <c r="P326" s="21">
        <f t="shared" si="145"/>
        <v>-2.72615</v>
      </c>
      <c r="Q326" s="22">
        <f t="shared" si="6"/>
        <v>0.53961925</v>
      </c>
      <c r="R326" s="25" t="str">
        <f t="shared" si="7"/>
        <v>F</v>
      </c>
      <c r="S326" s="19">
        <f t="shared" si="8"/>
        <v>0.55</v>
      </c>
      <c r="T326" s="19" t="str">
        <f t="shared" si="9"/>
        <v>F</v>
      </c>
      <c r="U326" s="3" t="s">
        <v>203</v>
      </c>
      <c r="V326" s="4" t="str">
        <f>IF(ISBLANK(C326),,IFERROR(IF(VLOOKUP(B326,Standings!$A:$F, 6, 0)=VLOOKUP(C326,Standings!$A:$F, 6, 0), VLOOKUP(B326,Standings!$A:$F, 6, 0), "Non-con"), "FCS"))</f>
        <v>SUN</v>
      </c>
      <c r="W326" s="3" t="str">
        <f t="shared" si="10"/>
        <v>Texas State</v>
      </c>
      <c r="X326" s="3" t="str">
        <f t="shared" si="11"/>
        <v>Georgia Southern</v>
      </c>
      <c r="Y326" s="30">
        <f>IF(D326=0,,IF(ISBLANK(Q326),,VLOOKUP(X326,Week10,2,FALSE)/(VLOOKUP(X326,Week10,2,FALSE)+VLOOKUP(W326,Week10,2,FALSE))+0.05)*100)</f>
        <v>60.53841407</v>
      </c>
      <c r="Z326" s="3" t="s">
        <v>131</v>
      </c>
      <c r="AA326" s="3">
        <v>40.0</v>
      </c>
      <c r="AB326" s="4" t="str">
        <f t="shared" si="20"/>
        <v>Texas State</v>
      </c>
      <c r="AC326" s="3">
        <v>38.0</v>
      </c>
      <c r="AD326" s="3"/>
      <c r="AE326" s="3">
        <f t="shared" si="13"/>
        <v>2</v>
      </c>
      <c r="AF326" s="3"/>
      <c r="AG326" s="3">
        <f t="shared" si="133"/>
        <v>1</v>
      </c>
      <c r="AH326" s="3"/>
      <c r="AI326" s="7"/>
      <c r="AJ326" s="4" t="s">
        <v>166</v>
      </c>
      <c r="AK326" s="7"/>
      <c r="AL326" s="7"/>
      <c r="AM326" s="7"/>
      <c r="AN326" s="7"/>
      <c r="AO326" s="7"/>
      <c r="AP326" s="7"/>
      <c r="AQ326" s="7"/>
      <c r="AR326" s="7"/>
      <c r="AS326" s="7"/>
      <c r="AT326" s="7"/>
      <c r="AU326" s="7"/>
      <c r="AV326" s="7"/>
      <c r="AW326" s="7"/>
      <c r="AX326" s="7"/>
    </row>
    <row r="327" ht="12.75" customHeight="1">
      <c r="A327" s="3">
        <v>8.0</v>
      </c>
      <c r="B327" s="3" t="s">
        <v>104</v>
      </c>
      <c r="C327" s="3" t="s">
        <v>46</v>
      </c>
      <c r="D327" s="4">
        <f>IFERROR(VLOOKUP(B327,Week7,2,FALSE),0)</f>
        <v>38.58</v>
      </c>
      <c r="E327" s="4">
        <f>IF(ISBLANK(B327),,IFERROR(VLOOKUP(B327,CurrentRank!$B$2:$C$132,2,FALSE),0))</f>
        <v>31.08</v>
      </c>
      <c r="F327" s="4">
        <f>IFERROR(VLOOKUP(B327,Week7,3,FALSE),130)</f>
        <v>40</v>
      </c>
      <c r="G327" s="4">
        <f>IF(ISBLANK(B327),,IFERROR(VLOOKUP(B327,CurrentRank!$B$2:$D$132,3,FALSE),130))</f>
        <v>101</v>
      </c>
      <c r="H327" s="4">
        <f>IFERROR(VLOOKUP(C327,Week7,2,FALSE),0)</f>
        <v>32.5</v>
      </c>
      <c r="I327" s="4">
        <f>IF(ISBLANK(B327),,IFERROR(VLOOKUP(C327,CurrentRank!$B$2:$C$132,2,FALSE),0))</f>
        <v>62.29</v>
      </c>
      <c r="J327" s="4">
        <f>IFERROR(VLOOKUP(C327,Week7,3,FALSE),130)</f>
        <v>63</v>
      </c>
      <c r="K327" s="4">
        <f>IF(ISBLANK(C327),,IFERROR(VLOOKUP(C327,CurrentRank!$B$2:$D$132,3,FALSE),130))</f>
        <v>20</v>
      </c>
      <c r="L327" s="19">
        <f t="shared" si="152"/>
        <v>1.0662</v>
      </c>
      <c r="M327" s="19">
        <f t="shared" si="153"/>
        <v>1.40055</v>
      </c>
      <c r="N327" s="24">
        <f t="shared" si="140"/>
        <v>51.5</v>
      </c>
      <c r="O327" s="21">
        <f t="shared" si="4"/>
        <v>2.5069</v>
      </c>
      <c r="P327" s="21">
        <f t="shared" si="145"/>
        <v>-16.1381</v>
      </c>
      <c r="Q327" s="22">
        <f t="shared" si="6"/>
        <v>0.7299655</v>
      </c>
      <c r="R327" s="25" t="str">
        <f t="shared" si="7"/>
        <v>C</v>
      </c>
      <c r="S327" s="19">
        <f t="shared" si="8"/>
        <v>0.6875</v>
      </c>
      <c r="T327" s="19" t="str">
        <f t="shared" si="9"/>
        <v>D+</v>
      </c>
      <c r="U327" s="3" t="s">
        <v>203</v>
      </c>
      <c r="V327" s="4" t="str">
        <f>IF(ISBLANK(C327),,IFERROR(IF(VLOOKUP(B327,Standings!$A:$F, 6, 0)=VLOOKUP(C327,Standings!$A:$F, 6, 0), VLOOKUP(B327,Standings!$A:$F, 6, 0), "Non-con"), "FCS"))</f>
        <v>BIG12</v>
      </c>
      <c r="W327" s="3" t="str">
        <f t="shared" si="10"/>
        <v>Texas</v>
      </c>
      <c r="X327" s="3" t="str">
        <f t="shared" si="11"/>
        <v>Baylor</v>
      </c>
      <c r="Y327" s="30">
        <f>IF(D327=0,,IF(ISBLANK(Q327),,VLOOKUP(X327,Week7,2,FALSE)/(VLOOKUP(X327,Week7,2,FALSE)+VLOOKUP(W327,Week7,2,FALSE))+0.05)*100)</f>
        <v>59.27687113</v>
      </c>
      <c r="Z327" s="3" t="s">
        <v>46</v>
      </c>
      <c r="AA327" s="3">
        <v>27.0</v>
      </c>
      <c r="AB327" s="4" t="str">
        <f t="shared" si="20"/>
        <v>Baylor</v>
      </c>
      <c r="AC327" s="3">
        <v>16.0</v>
      </c>
      <c r="AD327" s="3"/>
      <c r="AE327" s="3">
        <f t="shared" si="13"/>
        <v>11</v>
      </c>
      <c r="AF327" s="3"/>
      <c r="AG327" s="3">
        <f t="shared" si="133"/>
        <v>0</v>
      </c>
      <c r="AH327" s="3"/>
      <c r="AI327" s="7"/>
      <c r="AJ327" s="4"/>
      <c r="AK327" s="7"/>
      <c r="AL327" s="7"/>
      <c r="AM327" s="7"/>
      <c r="AN327" s="7"/>
      <c r="AO327" s="7"/>
      <c r="AP327" s="7"/>
      <c r="AQ327" s="7"/>
      <c r="AR327" s="7"/>
      <c r="AS327" s="7"/>
      <c r="AT327" s="7"/>
      <c r="AU327" s="7"/>
      <c r="AV327" s="7"/>
      <c r="AW327" s="7"/>
      <c r="AX327" s="7"/>
    </row>
    <row r="328" ht="12.75" hidden="1" customHeight="1">
      <c r="A328" s="3">
        <v>5.0</v>
      </c>
      <c r="B328" s="3" t="s">
        <v>79</v>
      </c>
      <c r="C328" s="3" t="s">
        <v>23</v>
      </c>
      <c r="D328" s="4">
        <f>IFERROR(VLOOKUP(B328,Week4,2,FALSE),0)</f>
        <v>67.2</v>
      </c>
      <c r="E328" s="4">
        <f>IF(ISBLANK(B328),,IFERROR(VLOOKUP(B328,CurrentRank!$B$2:$C$132,2,FALSE),0))</f>
        <v>85.31</v>
      </c>
      <c r="F328" s="4">
        <f>IFERROR(VLOOKUP(B328,Week4,3,FALSE),130)</f>
        <v>15</v>
      </c>
      <c r="G328" s="4">
        <f>IF(ISBLANK(B328),,IFERROR(VLOOKUP(B328,CurrentRank!$B$2:$D$132,3,FALSE),130))</f>
        <v>3</v>
      </c>
      <c r="H328" s="4">
        <f>IFERROR(VLOOKUP(C328,Week4,2,FALSE),0)</f>
        <v>83.91</v>
      </c>
      <c r="I328" s="4">
        <f>IF(ISBLANK(B328),,IFERROR(VLOOKUP(C328,CurrentRank!$B$2:$C$132,2,FALSE),0))</f>
        <v>96.59</v>
      </c>
      <c r="J328" s="4">
        <f>IFERROR(VLOOKUP(C328,Week4,3,FALSE),130)</f>
        <v>2</v>
      </c>
      <c r="K328" s="4">
        <f>IF(ISBLANK(C328),,IFERROR(VLOOKUP(C328,CurrentRank!$B$2:$D$132,3,FALSE),130))</f>
        <v>1</v>
      </c>
      <c r="L328" s="19">
        <f t="shared" si="152"/>
        <v>2.26665</v>
      </c>
      <c r="M328" s="19">
        <f t="shared" si="153"/>
        <v>2.7285</v>
      </c>
      <c r="N328" s="24">
        <f t="shared" si="140"/>
        <v>8.5</v>
      </c>
      <c r="O328" s="21">
        <f t="shared" si="4"/>
        <v>-9.488325</v>
      </c>
      <c r="P328" s="21">
        <f t="shared" si="145"/>
        <v>-6.773325</v>
      </c>
      <c r="Q328" s="22">
        <f t="shared" si="6"/>
        <v>0.910058375</v>
      </c>
      <c r="R328" s="25" t="str">
        <f t="shared" si="7"/>
        <v>A-</v>
      </c>
      <c r="S328" s="19">
        <f t="shared" si="8"/>
        <v>0.8175</v>
      </c>
      <c r="T328" s="19" t="str">
        <f t="shared" si="9"/>
        <v>B-</v>
      </c>
      <c r="U328" s="3" t="s">
        <v>203</v>
      </c>
      <c r="V328" s="4" t="str">
        <f>IF(ISBLANK(C328),,IFERROR(IF(VLOOKUP(B328,Standings!$A:$F, 6, 0)=VLOOKUP(C328,Standings!$A:$F, 6, 0), VLOOKUP(B328,Standings!$A:$F, 6, 0), "Non-con"), "FCS"))</f>
        <v>SEC</v>
      </c>
      <c r="W328" s="3" t="str">
        <f t="shared" si="10"/>
        <v>Texas A&amp;M</v>
      </c>
      <c r="X328" s="3" t="str">
        <f t="shared" si="11"/>
        <v>Alabama</v>
      </c>
      <c r="Y328" s="30">
        <f>IF(D328=0,,IF(ISBLANK(Q328),,VLOOKUP(X328,Week4,2,FALSE)/(VLOOKUP(X328,Week4,2,FALSE)+VLOOKUP(W328,Week4,2,FALSE))+0.05)*100)</f>
        <v>60.52908477</v>
      </c>
      <c r="Z328" s="3" t="s">
        <v>23</v>
      </c>
      <c r="AA328" s="3">
        <v>52.0</v>
      </c>
      <c r="AB328" s="4" t="str">
        <f t="shared" si="20"/>
        <v>Texas A&amp;M</v>
      </c>
      <c r="AC328" s="3">
        <v>24.0</v>
      </c>
      <c r="AD328" s="3"/>
      <c r="AE328" s="3">
        <f t="shared" si="13"/>
        <v>28</v>
      </c>
      <c r="AF328" s="3"/>
      <c r="AG328" s="3">
        <f t="shared" si="133"/>
        <v>1</v>
      </c>
      <c r="AH328" s="3"/>
      <c r="AI328" s="7"/>
      <c r="AJ328" s="4"/>
      <c r="AK328" s="7"/>
      <c r="AL328" s="7"/>
      <c r="AM328" s="7"/>
      <c r="AN328" s="7"/>
      <c r="AO328" s="7"/>
      <c r="AP328" s="7"/>
      <c r="AQ328" s="7"/>
      <c r="AR328" s="7"/>
      <c r="AS328" s="7"/>
      <c r="AT328" s="7"/>
      <c r="AU328" s="7"/>
      <c r="AV328" s="7"/>
      <c r="AW328" s="7"/>
      <c r="AX328" s="7"/>
    </row>
    <row r="329" ht="12.75" hidden="1" customHeight="1">
      <c r="A329" s="3">
        <v>10.0</v>
      </c>
      <c r="B329" s="3" t="s">
        <v>73</v>
      </c>
      <c r="C329" s="3" t="s">
        <v>176</v>
      </c>
      <c r="D329" s="4">
        <f>IFERROR(VLOOKUP(B329,Week9,2,FALSE),0)</f>
        <v>77.89</v>
      </c>
      <c r="E329" s="4">
        <f>IF(ISBLANK(B329),,IFERROR(VLOOKUP(B329,CurrentRank!$B$2:$C$132,2,FALSE),0))</f>
        <v>69.33</v>
      </c>
      <c r="F329" s="4">
        <f>IFERROR(VLOOKUP(B329,Week9,3,FALSE),130)</f>
        <v>8</v>
      </c>
      <c r="G329" s="4">
        <f>IF(ISBLANK(B329),,IFERROR(VLOOKUP(B329,CurrentRank!$B$2:$D$132,3,FALSE),130))</f>
        <v>15</v>
      </c>
      <c r="H329" s="4">
        <f>IFERROR(VLOOKUP(C329,Week9,2,FALSE),0)</f>
        <v>62.5</v>
      </c>
      <c r="I329" s="4">
        <f>IF(ISBLANK(B329),,IFERROR(VLOOKUP(C329,CurrentRank!$B$2:$C$132,2,FALSE),0))</f>
        <v>38.02</v>
      </c>
      <c r="J329" s="4">
        <f>IFERROR(VLOOKUP(C329,Week9,3,FALSE),130)</f>
        <v>17</v>
      </c>
      <c r="K329" s="4">
        <f>IF(ISBLANK(C329),,IFERROR(VLOOKUP(C329,CurrentRank!$B$2:$D$132,3,FALSE),130))</f>
        <v>38</v>
      </c>
      <c r="L329" s="19">
        <f t="shared" si="152"/>
        <v>2.10585</v>
      </c>
      <c r="M329" s="19">
        <f t="shared" si="153"/>
        <v>1.61025</v>
      </c>
      <c r="N329" s="24">
        <f t="shared" si="140"/>
        <v>12.5</v>
      </c>
      <c r="O329" s="21">
        <f t="shared" si="4"/>
        <v>6.642075</v>
      </c>
      <c r="P329" s="21">
        <f t="shared" si="145"/>
        <v>14.602075</v>
      </c>
      <c r="Q329" s="22">
        <f t="shared" si="6"/>
        <v>0.904289625</v>
      </c>
      <c r="R329" s="25" t="str">
        <f t="shared" si="7"/>
        <v>A-</v>
      </c>
      <c r="S329" s="19">
        <f t="shared" si="8"/>
        <v>0.7675</v>
      </c>
      <c r="T329" s="19" t="str">
        <f t="shared" si="9"/>
        <v>C+</v>
      </c>
      <c r="U329" s="3" t="s">
        <v>203</v>
      </c>
      <c r="V329" s="4" t="str">
        <f>IF(ISBLANK(C329),,IFERROR(IF(VLOOKUP(B329,Standings!$A:$F, 6, 0)=VLOOKUP(C329,Standings!$A:$F, 6, 0), VLOOKUP(B329,Standings!$A:$F, 6, 0), "Non-con"), "FCS"))</f>
        <v>Non-con</v>
      </c>
      <c r="W329" s="3" t="str">
        <f t="shared" si="10"/>
        <v>Boise State</v>
      </c>
      <c r="X329" s="3" t="str">
        <f t="shared" si="11"/>
        <v>BYU</v>
      </c>
      <c r="Y329" s="30">
        <f>IF(D329=0,,IF(ISBLANK(Q329),,VLOOKUP(X329,Week9,2,FALSE)/(VLOOKUP(X329,Week9,2,FALSE)+VLOOKUP(W329,Week9,2,FALSE))+0.05)*100)</f>
        <v>60.48115963</v>
      </c>
      <c r="Z329" s="3" t="s">
        <v>73</v>
      </c>
      <c r="AA329" s="3">
        <v>51.0</v>
      </c>
      <c r="AB329" s="4" t="str">
        <f t="shared" si="20"/>
        <v>Boise State</v>
      </c>
      <c r="AC329" s="3">
        <v>17.0</v>
      </c>
      <c r="AD329" s="3"/>
      <c r="AE329" s="3">
        <f t="shared" si="13"/>
        <v>34</v>
      </c>
      <c r="AF329" s="3"/>
      <c r="AG329" s="3">
        <f t="shared" si="133"/>
        <v>1</v>
      </c>
      <c r="AH329" s="3"/>
      <c r="AI329" s="7"/>
      <c r="AJ329" s="4"/>
      <c r="AK329" s="7"/>
      <c r="AL329" s="7"/>
      <c r="AM329" s="7"/>
      <c r="AN329" s="7"/>
      <c r="AO329" s="7"/>
      <c r="AP329" s="7"/>
      <c r="AQ329" s="7"/>
      <c r="AR329" s="7"/>
      <c r="AS329" s="7"/>
      <c r="AT329" s="7"/>
      <c r="AU329" s="7"/>
      <c r="AV329" s="7"/>
      <c r="AW329" s="7"/>
      <c r="AX329" s="7"/>
    </row>
    <row r="330" ht="12.75" hidden="1" customHeight="1">
      <c r="A330" s="3">
        <v>6.0</v>
      </c>
      <c r="B330" s="3" t="s">
        <v>65</v>
      </c>
      <c r="C330" s="3" t="s">
        <v>33</v>
      </c>
      <c r="D330" s="4">
        <f>IFERROR(VLOOKUP(B330,Week5,2,FALSE),0)</f>
        <v>73.45</v>
      </c>
      <c r="E330" s="4">
        <f>IF(ISBLANK(B330),,IFERROR(VLOOKUP(B330,CurrentRank!$B$2:$C$132,2,FALSE),0))</f>
        <v>34.09</v>
      </c>
      <c r="F330" s="4">
        <f>IFERROR(VLOOKUP(B330,Week5,3,FALSE),130)</f>
        <v>9</v>
      </c>
      <c r="G330" s="4">
        <f>IF(ISBLANK(B330),,IFERROR(VLOOKUP(B330,CurrentRank!$B$2:$D$132,3,FALSE),130))</f>
        <v>74</v>
      </c>
      <c r="H330" s="4">
        <f>IFERROR(VLOOKUP(C330,Week5,2,FALSE),0)</f>
        <v>90.69</v>
      </c>
      <c r="I330" s="4">
        <f>IF(ISBLANK(B330),,IFERROR(VLOOKUP(C330,CurrentRank!$B$2:$C$132,2,FALSE),0))</f>
        <v>79.21</v>
      </c>
      <c r="J330" s="4">
        <f>IFERROR(VLOOKUP(C330,Week5,3,FALSE),130)</f>
        <v>2</v>
      </c>
      <c r="K330" s="4">
        <f>IF(ISBLANK(C330),,IFERROR(VLOOKUP(C330,CurrentRank!$B$2:$D$132,3,FALSE),130))</f>
        <v>6</v>
      </c>
      <c r="L330" s="19">
        <f t="shared" si="152"/>
        <v>2.4621</v>
      </c>
      <c r="M330" s="19">
        <f t="shared" si="153"/>
        <v>1.6995</v>
      </c>
      <c r="N330" s="24">
        <f t="shared" si="140"/>
        <v>5.5</v>
      </c>
      <c r="O330" s="21">
        <f t="shared" si="4"/>
        <v>-9.85105</v>
      </c>
      <c r="P330" s="21">
        <f t="shared" si="145"/>
        <v>-23.79105</v>
      </c>
      <c r="Q330" s="22">
        <f t="shared" si="6"/>
        <v>0.92324475</v>
      </c>
      <c r="R330" s="25" t="str">
        <f t="shared" si="7"/>
        <v>A-</v>
      </c>
      <c r="S330" s="19">
        <f t="shared" si="8"/>
        <v>0.8575</v>
      </c>
      <c r="T330" s="19" t="str">
        <f t="shared" si="9"/>
        <v>B</v>
      </c>
      <c r="U330" s="3" t="s">
        <v>203</v>
      </c>
      <c r="V330" s="4" t="str">
        <f>IF(ISBLANK(C330),,IFERROR(IF(VLOOKUP(B330,Standings!$A:$F, 6, 0)=VLOOKUP(C330,Standings!$A:$F, 6, 0), VLOOKUP(B330,Standings!$A:$F, 6, 0), "Non-con"), "FCS"))</f>
        <v>SEC</v>
      </c>
      <c r="W330" s="3" t="str">
        <f t="shared" si="10"/>
        <v>Tennessee</v>
      </c>
      <c r="X330" s="3" t="str">
        <f t="shared" si="11"/>
        <v>Georgia</v>
      </c>
      <c r="Y330" s="30">
        <f>IF(D330=0,,IF(ISBLANK(Q330),,VLOOKUP(X330,Week5,2,FALSE)/(VLOOKUP(X330,Week5,2,FALSE)+VLOOKUP(W330,Week5,2,FALSE))+0.05)*100)</f>
        <v>60.25161448</v>
      </c>
      <c r="Z330" s="3" t="s">
        <v>33</v>
      </c>
      <c r="AA330" s="3">
        <v>44.0</v>
      </c>
      <c r="AB330" s="4" t="str">
        <f t="shared" si="20"/>
        <v>Tennessee</v>
      </c>
      <c r="AC330" s="3">
        <v>21.0</v>
      </c>
      <c r="AD330" s="3"/>
      <c r="AE330" s="3">
        <f t="shared" si="13"/>
        <v>23</v>
      </c>
      <c r="AF330" s="3"/>
      <c r="AG330" s="3">
        <f t="shared" si="133"/>
        <v>1</v>
      </c>
      <c r="AH330" s="3"/>
      <c r="AI330" s="7"/>
      <c r="AJ330" s="4"/>
      <c r="AK330" s="7"/>
      <c r="AL330" s="7"/>
      <c r="AM330" s="7"/>
      <c r="AN330" s="7"/>
      <c r="AO330" s="7"/>
      <c r="AP330" s="7"/>
      <c r="AQ330" s="7"/>
      <c r="AR330" s="7"/>
      <c r="AS330" s="7"/>
      <c r="AT330" s="7"/>
      <c r="AU330" s="7"/>
      <c r="AV330" s="7"/>
      <c r="AW330" s="7"/>
      <c r="AX330" s="7"/>
    </row>
    <row r="331" ht="12.75" customHeight="1">
      <c r="A331" s="3">
        <v>11.0</v>
      </c>
      <c r="B331" s="3" t="s">
        <v>113</v>
      </c>
      <c r="C331" s="3" t="s">
        <v>117</v>
      </c>
      <c r="D331" s="4">
        <f>IFERROR(VLOOKUP(B331,Week10,2,FALSE),0)</f>
        <v>40.08</v>
      </c>
      <c r="E331" s="4">
        <f>IF(ISBLANK(B331),,IFERROR(VLOOKUP(B331,CurrentRank!$B$2:$C$132,2,FALSE),0))</f>
        <v>41.9</v>
      </c>
      <c r="F331" s="4">
        <f>IFERROR(VLOOKUP(B331,Week10,3,FALSE),130)</f>
        <v>36</v>
      </c>
      <c r="G331" s="4">
        <f>IF(ISBLANK(B331),,IFERROR(VLOOKUP(B331,CurrentRank!$B$2:$D$132,3,FALSE),130))</f>
        <v>29</v>
      </c>
      <c r="H331" s="4">
        <f>IFERROR(VLOOKUP(C331,Week10,2,FALSE),0)</f>
        <v>37.46</v>
      </c>
      <c r="I331" s="4">
        <f>IF(ISBLANK(B331),,IFERROR(VLOOKUP(C331,CurrentRank!$B$2:$C$132,2,FALSE),0))</f>
        <v>38.08</v>
      </c>
      <c r="J331" s="4">
        <f>IFERROR(VLOOKUP(C331,Week10,3,FALSE),130)</f>
        <v>54</v>
      </c>
      <c r="K331" s="4">
        <f>IF(ISBLANK(C331),,IFERROR(VLOOKUP(C331,CurrentRank!$B$2:$D$132,3,FALSE),130))</f>
        <v>37</v>
      </c>
      <c r="L331" s="19">
        <f t="shared" si="152"/>
        <v>1.1631</v>
      </c>
      <c r="M331" s="19">
        <f t="shared" si="153"/>
        <v>1.1997</v>
      </c>
      <c r="N331" s="24">
        <f t="shared" si="140"/>
        <v>45</v>
      </c>
      <c r="O331" s="21">
        <f t="shared" si="4"/>
        <v>0.72845</v>
      </c>
      <c r="P331" s="21">
        <f t="shared" si="145"/>
        <v>1.32845</v>
      </c>
      <c r="Q331" s="22">
        <f t="shared" si="6"/>
        <v>0.77135775</v>
      </c>
      <c r="R331" s="25" t="str">
        <f t="shared" si="7"/>
        <v>C+</v>
      </c>
      <c r="S331" s="19">
        <f t="shared" si="8"/>
        <v>0.685</v>
      </c>
      <c r="T331" s="19" t="str">
        <f t="shared" si="9"/>
        <v>D+</v>
      </c>
      <c r="U331" s="3" t="s">
        <v>203</v>
      </c>
      <c r="V331" s="4" t="str">
        <f>IF(ISBLANK(C331),,IFERROR(IF(VLOOKUP(B331,Standings!$A:$F, 6, 0)=VLOOKUP(C331,Standings!$A:$F, 6, 0), VLOOKUP(B331,Standings!$A:$F, 6, 0), "Non-con"), "FCS"))</f>
        <v>BIG12</v>
      </c>
      <c r="W331" s="3" t="str">
        <f t="shared" si="10"/>
        <v>West Virginia</v>
      </c>
      <c r="X331" s="3" t="str">
        <f t="shared" si="11"/>
        <v>TCU</v>
      </c>
      <c r="Y331" s="30">
        <f>IF(D331=0,,IF(ISBLANK(Q331),,VLOOKUP(X331,Week10,2,FALSE)/(VLOOKUP(X331,Week10,2,FALSE)+VLOOKUP(W331,Week10,2,FALSE))+0.05)*100)</f>
        <v>56.68945061</v>
      </c>
      <c r="Z331" s="3" t="s">
        <v>117</v>
      </c>
      <c r="AA331" s="3">
        <v>24.0</v>
      </c>
      <c r="AB331" s="4" t="str">
        <f t="shared" si="20"/>
        <v>TCU</v>
      </c>
      <c r="AC331" s="3">
        <v>6.0</v>
      </c>
      <c r="AD331" s="3"/>
      <c r="AE331" s="3">
        <f t="shared" si="13"/>
        <v>18</v>
      </c>
      <c r="AF331" s="3"/>
      <c r="AG331" s="3">
        <f t="shared" si="133"/>
        <v>0</v>
      </c>
      <c r="AH331" s="3"/>
      <c r="AI331" s="7"/>
      <c r="AJ331" s="3" t="s">
        <v>105</v>
      </c>
      <c r="AK331" s="7"/>
      <c r="AL331" s="7"/>
      <c r="AM331" s="7"/>
      <c r="AN331" s="7"/>
      <c r="AO331" s="7"/>
      <c r="AP331" s="7"/>
      <c r="AQ331" s="7"/>
      <c r="AR331" s="7"/>
      <c r="AS331" s="7"/>
      <c r="AT331" s="7"/>
      <c r="AU331" s="7"/>
      <c r="AV331" s="7"/>
      <c r="AW331" s="7"/>
      <c r="AX331" s="7"/>
    </row>
    <row r="332" ht="12.75" hidden="1" customHeight="1">
      <c r="A332" s="3">
        <v>17.0</v>
      </c>
      <c r="B332" s="3" t="s">
        <v>110</v>
      </c>
      <c r="C332" s="3" t="s">
        <v>131</v>
      </c>
      <c r="D332" s="4">
        <f>IFERROR(VLOOKUP(B332,Week16,2,FALSE),0)</f>
        <v>21.68</v>
      </c>
      <c r="E332" s="4">
        <f>IF(ISBLANK(B332),,IFERROR(VLOOKUP(B332,CurrentRank!$B$2:$C$132,2,FALSE),0))</f>
        <v>20.47</v>
      </c>
      <c r="F332" s="4">
        <f>IFERROR(VLOOKUP(B332,Week16,3,FALSE),130)</f>
        <v>127</v>
      </c>
      <c r="G332" s="4">
        <f>IF(ISBLANK(B332),,IFERROR(VLOOKUP(B332,CurrentRank!$B$2:$D$132,3,FALSE),130))</f>
        <v>128</v>
      </c>
      <c r="H332" s="4">
        <f>IFERROR(VLOOKUP(C332,Week16,2,FALSE),0)</f>
        <v>32.78</v>
      </c>
      <c r="I332" s="4">
        <f>IF(ISBLANK(B332),,IFERROR(VLOOKUP(C332,CurrentRank!$B$2:$C$132,2,FALSE),0))</f>
        <v>33.34</v>
      </c>
      <c r="J332" s="4">
        <f>IFERROR(VLOOKUP(C332,Week16,3,FALSE),130)</f>
        <v>89</v>
      </c>
      <c r="K332" s="4">
        <f>IF(ISBLANK(C332),,IFERROR(VLOOKUP(C332,CurrentRank!$B$2:$D$132,3,FALSE),130))</f>
        <v>82</v>
      </c>
      <c r="L332" s="19">
        <f t="shared" si="152"/>
        <v>0</v>
      </c>
      <c r="M332" s="19">
        <f t="shared" si="153"/>
        <v>0</v>
      </c>
      <c r="N332" s="24">
        <f t="shared" si="140"/>
        <v>108</v>
      </c>
      <c r="O332" s="21">
        <f t="shared" si="4"/>
        <v>-5.55</v>
      </c>
      <c r="P332" s="21">
        <f t="shared" si="145"/>
        <v>-6.435</v>
      </c>
      <c r="Q332" s="22">
        <f t="shared" si="6"/>
        <v>0.43225</v>
      </c>
      <c r="R332" s="25" t="str">
        <f t="shared" si="7"/>
        <v>F</v>
      </c>
      <c r="S332" s="19">
        <f t="shared" si="8"/>
        <v>0.285</v>
      </c>
      <c r="T332" s="19" t="str">
        <f t="shared" si="9"/>
        <v>F</v>
      </c>
      <c r="U332" s="3" t="s">
        <v>223</v>
      </c>
      <c r="V332" s="4" t="str">
        <f>IF(ISBLANK(C332),,IFERROR(IF(VLOOKUP(B332,Standings!$A:$F, 6, 0)=VLOOKUP(C332,Standings!$A:$F, 6, 0), VLOOKUP(B332,Standings!$A:$F, 6, 0), "Non-con"), "FCS"))</f>
        <v>Non-con</v>
      </c>
      <c r="W332" s="3" t="str">
        <f t="shared" si="10"/>
        <v>Louisiana Tech</v>
      </c>
      <c r="X332" s="3" t="str">
        <f t="shared" si="11"/>
        <v>Georgia Southern</v>
      </c>
      <c r="Y332" s="30">
        <f>IF(D332=0,,IF(ISBLANK(Q332),,VLOOKUP(X332,Week16,2,FALSE)/(VLOOKUP(X332,Week16,2,FALSE)+VLOOKUP(W332,Week16,2,FALSE)))*100)</f>
        <v>60.19096585</v>
      </c>
      <c r="Z332" s="3" t="s">
        <v>131</v>
      </c>
      <c r="AA332" s="3">
        <v>38.0</v>
      </c>
      <c r="AB332" s="4" t="str">
        <f t="shared" si="20"/>
        <v>Louisiana Tech</v>
      </c>
      <c r="AC332" s="3">
        <v>3.0</v>
      </c>
      <c r="AD332" s="3"/>
      <c r="AE332" s="3">
        <f t="shared" si="13"/>
        <v>35</v>
      </c>
      <c r="AF332" s="3" t="s">
        <v>224</v>
      </c>
      <c r="AG332" s="3">
        <f t="shared" si="133"/>
        <v>1</v>
      </c>
      <c r="AH332" s="3"/>
      <c r="AI332" s="7"/>
      <c r="AJ332" s="4"/>
      <c r="AK332" s="7"/>
      <c r="AL332" s="7"/>
      <c r="AM332" s="7"/>
      <c r="AN332" s="7"/>
      <c r="AO332" s="7"/>
      <c r="AP332" s="7"/>
      <c r="AQ332" s="7"/>
      <c r="AR332" s="7"/>
      <c r="AS332" s="7"/>
      <c r="AT332" s="7"/>
      <c r="AU332" s="7"/>
      <c r="AV332" s="7"/>
      <c r="AW332" s="7"/>
      <c r="AX332" s="7"/>
    </row>
    <row r="333" ht="12.75" hidden="1" customHeight="1">
      <c r="A333" s="3">
        <v>13.0</v>
      </c>
      <c r="B333" s="3" t="s">
        <v>173</v>
      </c>
      <c r="C333" s="3" t="s">
        <v>180</v>
      </c>
      <c r="D333" s="4">
        <f>IFERROR(VLOOKUP(B333,Week12,2,FALSE),0)</f>
        <v>36.55</v>
      </c>
      <c r="E333" s="4">
        <f>IF(ISBLANK(B333),,IFERROR(VLOOKUP(B333,CurrentRank!$B$2:$C$132,2,FALSE),0))</f>
        <v>34.13</v>
      </c>
      <c r="F333" s="4">
        <f>IFERROR(VLOOKUP(B333,Week12,3,FALSE),130)</f>
        <v>53</v>
      </c>
      <c r="G333" s="4">
        <f>IF(ISBLANK(B333),,IFERROR(VLOOKUP(B333,CurrentRank!$B$2:$D$132,3,FALSE),130))</f>
        <v>73</v>
      </c>
      <c r="H333" s="4">
        <f>IFERROR(VLOOKUP(C333,Week12,2,FALSE),0)</f>
        <v>44.96</v>
      </c>
      <c r="I333" s="4">
        <f>IF(ISBLANK(B333),,IFERROR(VLOOKUP(C333,CurrentRank!$B$2:$C$132,2,FALSE),0))</f>
        <v>35.77</v>
      </c>
      <c r="J333" s="4">
        <f>IFERROR(VLOOKUP(C333,Week12,3,FALSE),130)</f>
        <v>28</v>
      </c>
      <c r="K333" s="4">
        <f>IF(ISBLANK(C333),,IFERROR(VLOOKUP(C333,CurrentRank!$B$2:$D$132,3,FALSE),130))</f>
        <v>55</v>
      </c>
      <c r="L333" s="19">
        <f t="shared" si="152"/>
        <v>1.22265</v>
      </c>
      <c r="M333" s="19">
        <f t="shared" si="153"/>
        <v>1.0485</v>
      </c>
      <c r="N333" s="24">
        <f t="shared" si="140"/>
        <v>40.5</v>
      </c>
      <c r="O333" s="21">
        <f t="shared" si="4"/>
        <v>-4.816325</v>
      </c>
      <c r="P333" s="21">
        <f t="shared" si="145"/>
        <v>-1.431325</v>
      </c>
      <c r="Q333" s="22">
        <f t="shared" si="6"/>
        <v>0.773418375</v>
      </c>
      <c r="R333" s="25" t="str">
        <f t="shared" si="7"/>
        <v>C+</v>
      </c>
      <c r="S333" s="19">
        <f t="shared" si="8"/>
        <v>0.7475</v>
      </c>
      <c r="T333" s="19" t="str">
        <f t="shared" si="9"/>
        <v>C</v>
      </c>
      <c r="U333" s="3" t="s">
        <v>203</v>
      </c>
      <c r="V333" s="4" t="str">
        <f>IF(ISBLANK(C333),,IFERROR(IF(VLOOKUP(B333,Standings!$A:$F, 6, 0)=VLOOKUP(C333,Standings!$A:$F, 6, 0), VLOOKUP(B333,Standings!$A:$F, 6, 0), "Non-con"), "FCS"))</f>
        <v>Non-con</v>
      </c>
      <c r="W333" s="3" t="str">
        <f t="shared" si="10"/>
        <v>San Diego State</v>
      </c>
      <c r="X333" s="3" t="str">
        <f t="shared" si="11"/>
        <v>Colorado</v>
      </c>
      <c r="Y333" s="30">
        <f>IF(D333=0,,IF(ISBLANK(Q333),,VLOOKUP(X333,Week12,2,FALSE)/(VLOOKUP(X333,Week12,2,FALSE)+VLOOKUP(W333,Week12,2,FALSE))+0.05)*100)</f>
        <v>60.15887621</v>
      </c>
      <c r="Z333" s="3" t="s">
        <v>180</v>
      </c>
      <c r="AA333" s="3">
        <v>20.0</v>
      </c>
      <c r="AB333" s="4" t="str">
        <f t="shared" si="20"/>
        <v>San Diego State</v>
      </c>
      <c r="AC333" s="3">
        <v>10.0</v>
      </c>
      <c r="AD333" s="3"/>
      <c r="AE333" s="3">
        <f t="shared" si="13"/>
        <v>10</v>
      </c>
      <c r="AF333" s="3"/>
      <c r="AG333" s="3">
        <f t="shared" si="133"/>
        <v>1</v>
      </c>
      <c r="AH333" s="3"/>
      <c r="AI333" s="7"/>
      <c r="AJ333" s="4" t="s">
        <v>150</v>
      </c>
      <c r="AK333" s="7"/>
      <c r="AL333" s="7"/>
      <c r="AM333" s="7"/>
      <c r="AN333" s="7"/>
      <c r="AO333" s="7"/>
      <c r="AP333" s="7"/>
      <c r="AQ333" s="7"/>
      <c r="AR333" s="7"/>
      <c r="AS333" s="7"/>
      <c r="AT333" s="7"/>
      <c r="AU333" s="7"/>
      <c r="AV333" s="7"/>
      <c r="AW333" s="7"/>
      <c r="AX333" s="7"/>
    </row>
    <row r="334" ht="12.75" hidden="1" customHeight="1">
      <c r="A334" s="3">
        <v>15.0</v>
      </c>
      <c r="B334" s="3" t="s">
        <v>64</v>
      </c>
      <c r="C334" s="3" t="s">
        <v>81</v>
      </c>
      <c r="D334" s="4">
        <f>IFERROR(VLOOKUP(B334,Week14,2,FALSE),0)</f>
        <v>38.85</v>
      </c>
      <c r="E334" s="4">
        <f>IF(ISBLANK(B334),,IFERROR(VLOOKUP(B334,CurrentRank!$B$2:$C$132,2,FALSE),0))</f>
        <v>39.11</v>
      </c>
      <c r="F334" s="4">
        <f>IFERROR(VLOOKUP(B334,Week14,3,FALSE),130)</f>
        <v>40</v>
      </c>
      <c r="G334" s="4">
        <f>IF(ISBLANK(B334),,IFERROR(VLOOKUP(B334,CurrentRank!$B$2:$D$132,3,FALSE),130))</f>
        <v>36</v>
      </c>
      <c r="H334" s="4">
        <f>IFERROR(VLOOKUP(C334,Week14,2,FALSE),0)</f>
        <v>31.59</v>
      </c>
      <c r="I334" s="4">
        <f>IF(ISBLANK(B334),,IFERROR(VLOOKUP(C334,CurrentRank!$B$2:$C$132,2,FALSE),0))</f>
        <v>33.91</v>
      </c>
      <c r="J334" s="4">
        <f>IFERROR(VLOOKUP(C334,Week14,3,FALSE),130)</f>
        <v>98</v>
      </c>
      <c r="K334" s="4">
        <f>IF(ISBLANK(C334),,IFERROR(VLOOKUP(C334,CurrentRank!$B$2:$D$132,3,FALSE),130))</f>
        <v>75</v>
      </c>
      <c r="L334" s="19">
        <f t="shared" si="152"/>
        <v>1.0566</v>
      </c>
      <c r="M334" s="19">
        <f t="shared" si="153"/>
        <v>1.0953</v>
      </c>
      <c r="N334" s="24">
        <f t="shared" si="140"/>
        <v>69</v>
      </c>
      <c r="O334" s="21">
        <f t="shared" si="4"/>
        <v>3.1017</v>
      </c>
      <c r="P334" s="21">
        <f t="shared" si="145"/>
        <v>2.0717</v>
      </c>
      <c r="Q334" s="22">
        <f t="shared" si="6"/>
        <v>0.6394915</v>
      </c>
      <c r="R334" s="25" t="str">
        <f t="shared" si="7"/>
        <v>D</v>
      </c>
      <c r="S334" s="19">
        <f t="shared" si="8"/>
        <v>0.585</v>
      </c>
      <c r="T334" s="19" t="str">
        <f t="shared" si="9"/>
        <v>F</v>
      </c>
      <c r="U334" s="3" t="s">
        <v>203</v>
      </c>
      <c r="V334" s="4" t="str">
        <f>IF(ISBLANK(C334),,IFERROR(IF(VLOOKUP(B334,Standings!$A:$F, 6, 0)=VLOOKUP(C334,Standings!$A:$F, 6, 0), VLOOKUP(B334,Standings!$A:$F, 6, 0), "Non-con"), "FCS"))</f>
        <v>SEC</v>
      </c>
      <c r="W334" s="3" t="str">
        <f t="shared" si="10"/>
        <v>Mississippi State</v>
      </c>
      <c r="X334" s="3" t="str">
        <f t="shared" si="11"/>
        <v>Auburn</v>
      </c>
      <c r="Y334" s="30">
        <f>IF(D334=0,,IF(ISBLANK(Q334),,VLOOKUP(X334,Week14,2,FALSE)/(VLOOKUP(X334,Week14,2,FALSE)+VLOOKUP(W334,Week14,2,FALSE))+0.05)*100)</f>
        <v>60.15332198</v>
      </c>
      <c r="Z334" s="3" t="s">
        <v>64</v>
      </c>
      <c r="AA334" s="3">
        <v>24.0</v>
      </c>
      <c r="AB334" s="4" t="str">
        <f t="shared" si="20"/>
        <v>Mississippi State</v>
      </c>
      <c r="AC334" s="3">
        <v>10.0</v>
      </c>
      <c r="AD334" s="3"/>
      <c r="AE334" s="3">
        <f t="shared" si="13"/>
        <v>14</v>
      </c>
      <c r="AF334" s="3"/>
      <c r="AG334" s="3">
        <f t="shared" si="133"/>
        <v>1</v>
      </c>
      <c r="AH334" s="3"/>
      <c r="AI334" s="7"/>
      <c r="AJ334" s="4"/>
      <c r="AK334" s="7"/>
      <c r="AL334" s="7"/>
      <c r="AM334" s="7"/>
      <c r="AN334" s="7"/>
      <c r="AO334" s="7"/>
      <c r="AP334" s="7"/>
      <c r="AQ334" s="7"/>
      <c r="AR334" s="7"/>
      <c r="AS334" s="7"/>
      <c r="AT334" s="7"/>
      <c r="AU334" s="7"/>
      <c r="AV334" s="7"/>
      <c r="AW334" s="7"/>
      <c r="AX334" s="7"/>
    </row>
    <row r="335" ht="12.75" hidden="1" customHeight="1">
      <c r="A335" s="3">
        <v>12.0</v>
      </c>
      <c r="B335" s="3" t="s">
        <v>176</v>
      </c>
      <c r="C335" s="3" t="s">
        <v>186</v>
      </c>
      <c r="D335" s="4">
        <f>IFERROR(VLOOKUP(B335,Week11,2,FALSE),0)</f>
        <v>38.24</v>
      </c>
      <c r="E335" s="4">
        <f>IF(ISBLANK(B335),,IFERROR(VLOOKUP(B335,CurrentRank!$B$2:$C$132,2,FALSE),0))</f>
        <v>38.02</v>
      </c>
      <c r="F335" s="4">
        <f>IFERROR(VLOOKUP(B335,Week11,3,FALSE),130)</f>
        <v>49</v>
      </c>
      <c r="G335" s="4">
        <f>IF(ISBLANK(B335),,IFERROR(VLOOKUP(B335,CurrentRank!$B$2:$D$132,3,FALSE),130))</f>
        <v>38</v>
      </c>
      <c r="H335" s="4">
        <f>IFERROR(VLOOKUP(C335,Week11,2,FALSE),0)</f>
        <v>31.1</v>
      </c>
      <c r="I335" s="4">
        <f>IF(ISBLANK(B335),,IFERROR(VLOOKUP(C335,CurrentRank!$B$2:$C$132,2,FALSE),0))</f>
        <v>33.49</v>
      </c>
      <c r="J335" s="4">
        <f>IFERROR(VLOOKUP(C335,Week11,3,FALSE),130)</f>
        <v>95</v>
      </c>
      <c r="K335" s="4">
        <f>IF(ISBLANK(C335),,IFERROR(VLOOKUP(C335,CurrentRank!$B$2:$D$132,3,FALSE),130))</f>
        <v>79</v>
      </c>
      <c r="L335" s="19">
        <f t="shared" si="152"/>
        <v>1.0401</v>
      </c>
      <c r="M335" s="19">
        <f t="shared" si="153"/>
        <v>1.07265</v>
      </c>
      <c r="N335" s="24">
        <f t="shared" si="140"/>
        <v>72</v>
      </c>
      <c r="O335" s="21">
        <f t="shared" si="4"/>
        <v>3.04995</v>
      </c>
      <c r="P335" s="21">
        <f t="shared" si="145"/>
        <v>1.74495</v>
      </c>
      <c r="Q335" s="22">
        <f t="shared" si="6"/>
        <v>0.62475025</v>
      </c>
      <c r="R335" s="25" t="str">
        <f t="shared" si="7"/>
        <v>D-</v>
      </c>
      <c r="S335" s="19">
        <f t="shared" si="8"/>
        <v>0.6</v>
      </c>
      <c r="T335" s="19" t="str">
        <f t="shared" si="9"/>
        <v>D-</v>
      </c>
      <c r="U335" s="3" t="s">
        <v>203</v>
      </c>
      <c r="V335" s="4" t="str">
        <f>IF(ISBLANK(C335),,IFERROR(IF(VLOOKUP(B335,Standings!$A:$F, 6, 0)=VLOOKUP(C335,Standings!$A:$F, 6, 0), VLOOKUP(B335,Standings!$A:$F, 6, 0), "Non-con"), "FCS"))</f>
        <v>MWC</v>
      </c>
      <c r="W335" s="3" t="str">
        <f t="shared" si="10"/>
        <v>Hawaii</v>
      </c>
      <c r="X335" s="3" t="str">
        <f t="shared" si="11"/>
        <v>Boise State</v>
      </c>
      <c r="Y335" s="30">
        <f>IF(D335=0,,IF(ISBLANK(Q335),,VLOOKUP(X335,Week11,2,FALSE)/(VLOOKUP(X335,Week11,2,FALSE)+VLOOKUP(W335,Week11,2,FALSE))+0.05)*100)</f>
        <v>60.14854341</v>
      </c>
      <c r="Z335" s="3" t="s">
        <v>176</v>
      </c>
      <c r="AA335" s="3">
        <v>40.0</v>
      </c>
      <c r="AB335" s="4" t="str">
        <f t="shared" si="20"/>
        <v>Hawaii</v>
      </c>
      <c r="AC335" s="3">
        <v>32.0</v>
      </c>
      <c r="AD335" s="3"/>
      <c r="AE335" s="3">
        <f t="shared" si="13"/>
        <v>8</v>
      </c>
      <c r="AF335" s="3"/>
      <c r="AG335" s="3">
        <f t="shared" si="133"/>
        <v>1</v>
      </c>
      <c r="AH335" s="3"/>
      <c r="AI335" s="7"/>
      <c r="AJ335" s="4"/>
      <c r="AK335" s="7"/>
      <c r="AL335" s="7"/>
      <c r="AM335" s="7"/>
      <c r="AN335" s="7"/>
      <c r="AO335" s="7"/>
      <c r="AP335" s="7"/>
      <c r="AQ335" s="7"/>
      <c r="AR335" s="7"/>
      <c r="AS335" s="7"/>
      <c r="AT335" s="7"/>
      <c r="AU335" s="7"/>
      <c r="AV335" s="7"/>
      <c r="AW335" s="7"/>
      <c r="AX335" s="7"/>
    </row>
    <row r="336" ht="12.75" hidden="1" customHeight="1">
      <c r="A336" s="3">
        <v>15.0</v>
      </c>
      <c r="B336" s="3" t="s">
        <v>176</v>
      </c>
      <c r="C336" s="3" t="s">
        <v>175</v>
      </c>
      <c r="D336" s="4">
        <f>IFERROR(VLOOKUP(B336,Week14,2,FALSE),0)</f>
        <v>39.69</v>
      </c>
      <c r="E336" s="4">
        <f>IF(ISBLANK(B336),,IFERROR(VLOOKUP(B336,CurrentRank!$B$2:$C$132,2,FALSE),0))</f>
        <v>38.02</v>
      </c>
      <c r="F336" s="4">
        <f>IFERROR(VLOOKUP(B336,Week14,3,FALSE),130)</f>
        <v>38</v>
      </c>
      <c r="G336" s="4">
        <f>IF(ISBLANK(B336),,IFERROR(VLOOKUP(B336,CurrentRank!$B$2:$D$132,3,FALSE),130))</f>
        <v>38</v>
      </c>
      <c r="H336" s="4">
        <f>IFERROR(VLOOKUP(C336,Week14,2,FALSE),0)</f>
        <v>32.28</v>
      </c>
      <c r="I336" s="4">
        <f>IF(ISBLANK(B336),,IFERROR(VLOOKUP(C336,CurrentRank!$B$2:$C$132,2,FALSE),0))</f>
        <v>31.85</v>
      </c>
      <c r="J336" s="4">
        <f>IFERROR(VLOOKUP(C336,Week14,3,FALSE),130)</f>
        <v>94</v>
      </c>
      <c r="K336" s="4">
        <f>IF(ISBLANK(C336),,IFERROR(VLOOKUP(C336,CurrentRank!$B$2:$D$132,3,FALSE),130))</f>
        <v>95</v>
      </c>
      <c r="L336" s="19">
        <f t="shared" si="152"/>
        <v>1.07955</v>
      </c>
      <c r="M336" s="19">
        <f t="shared" si="153"/>
        <v>1.04805</v>
      </c>
      <c r="N336" s="24">
        <f t="shared" si="140"/>
        <v>66</v>
      </c>
      <c r="O336" s="21">
        <f t="shared" si="4"/>
        <v>3.165225</v>
      </c>
      <c r="P336" s="21">
        <f t="shared" si="145"/>
        <v>2.545225</v>
      </c>
      <c r="Q336" s="22">
        <f t="shared" si="6"/>
        <v>0.654173875</v>
      </c>
      <c r="R336" s="25" t="str">
        <f t="shared" si="7"/>
        <v>D</v>
      </c>
      <c r="S336" s="19">
        <f t="shared" si="8"/>
        <v>0.63</v>
      </c>
      <c r="T336" s="19" t="str">
        <f t="shared" si="9"/>
        <v>D</v>
      </c>
      <c r="U336" s="3" t="s">
        <v>203</v>
      </c>
      <c r="V336" s="4" t="str">
        <f>IF(ISBLANK(C336),,IFERROR(IF(VLOOKUP(B336,Standings!$A:$F, 6, 0)=VLOOKUP(C336,Standings!$A:$F, 6, 0), VLOOKUP(B336,Standings!$A:$F, 6, 0), "Non-con"), "FCS"))</f>
        <v>MWC</v>
      </c>
      <c r="W336" s="3" t="str">
        <f t="shared" si="10"/>
        <v>Wyoming</v>
      </c>
      <c r="X336" s="3" t="str">
        <f t="shared" si="11"/>
        <v>Boise State</v>
      </c>
      <c r="Y336" s="30">
        <f>IF(D336=0,,IF(ISBLANK(Q336),,VLOOKUP(X336,Week14,2,FALSE)/(VLOOKUP(X336,Week14,2,FALSE)+VLOOKUP(W336,Week14,2,FALSE))+0.05)*100)</f>
        <v>60.14797832</v>
      </c>
      <c r="Z336" s="3" t="s">
        <v>176</v>
      </c>
      <c r="AA336" s="3">
        <v>17.0</v>
      </c>
      <c r="AB336" s="4" t="str">
        <f t="shared" si="20"/>
        <v>Wyoming</v>
      </c>
      <c r="AC336" s="3">
        <v>9.0</v>
      </c>
      <c r="AD336" s="3"/>
      <c r="AE336" s="3">
        <f t="shared" si="13"/>
        <v>8</v>
      </c>
      <c r="AF336" s="3"/>
      <c r="AG336" s="3">
        <f t="shared" si="133"/>
        <v>1</v>
      </c>
      <c r="AH336" s="3"/>
      <c r="AI336" s="7"/>
      <c r="AJ336" s="4" t="s">
        <v>81</v>
      </c>
      <c r="AK336" s="7"/>
      <c r="AL336" s="7"/>
      <c r="AM336" s="7"/>
      <c r="AN336" s="7"/>
      <c r="AO336" s="7"/>
      <c r="AP336" s="7"/>
      <c r="AQ336" s="7"/>
      <c r="AR336" s="7"/>
      <c r="AS336" s="7"/>
      <c r="AT336" s="7"/>
      <c r="AU336" s="7"/>
      <c r="AV336" s="7"/>
      <c r="AW336" s="7"/>
      <c r="AX336" s="7"/>
    </row>
    <row r="337" ht="12.75" customHeight="1">
      <c r="A337" s="3">
        <v>9.0</v>
      </c>
      <c r="B337" s="3" t="s">
        <v>116</v>
      </c>
      <c r="C337" s="3" t="s">
        <v>117</v>
      </c>
      <c r="D337" s="4">
        <f>IFERROR(VLOOKUP(B337,Week8,2,FALSE),0)</f>
        <v>69.75</v>
      </c>
      <c r="E337" s="4">
        <f>IF(ISBLANK(B337),,IFERROR(VLOOKUP(B337,CurrentRank!$B$2:$C$132,2,FALSE),0))</f>
        <v>31.6</v>
      </c>
      <c r="F337" s="4">
        <f>IFERROR(VLOOKUP(B337,Week8,3,FALSE),130)</f>
        <v>14</v>
      </c>
      <c r="G337" s="4">
        <f>IF(ISBLANK(B337),,IFERROR(VLOOKUP(B337,CurrentRank!$B$2:$D$132,3,FALSE),130))</f>
        <v>96</v>
      </c>
      <c r="H337" s="4">
        <f>IFERROR(VLOOKUP(C337,Week8,2,FALSE),0)</f>
        <v>35.33</v>
      </c>
      <c r="I337" s="4">
        <f>IF(ISBLANK(B337),,IFERROR(VLOOKUP(C337,CurrentRank!$B$2:$C$132,2,FALSE),0))</f>
        <v>38.08</v>
      </c>
      <c r="J337" s="4">
        <f>IFERROR(VLOOKUP(C337,Week8,3,FALSE),130)</f>
        <v>59</v>
      </c>
      <c r="K337" s="4">
        <f>IF(ISBLANK(C337),,IFERROR(VLOOKUP(C337,CurrentRank!$B$2:$D$132,3,FALSE),130))</f>
        <v>37</v>
      </c>
      <c r="L337" s="19">
        <f t="shared" si="152"/>
        <v>1.5762</v>
      </c>
      <c r="M337" s="19">
        <f t="shared" si="153"/>
        <v>1.0452</v>
      </c>
      <c r="N337" s="24">
        <f t="shared" si="140"/>
        <v>36.5</v>
      </c>
      <c r="O337" s="21">
        <f t="shared" si="4"/>
        <v>16.4219</v>
      </c>
      <c r="P337" s="21">
        <f t="shared" si="145"/>
        <v>-4.0281</v>
      </c>
      <c r="Q337" s="22">
        <f t="shared" si="6"/>
        <v>0.7353905</v>
      </c>
      <c r="R337" s="25" t="str">
        <f t="shared" si="7"/>
        <v>C</v>
      </c>
      <c r="S337" s="19">
        <f t="shared" si="8"/>
        <v>0.6825</v>
      </c>
      <c r="T337" s="19" t="str">
        <f t="shared" si="9"/>
        <v>D+</v>
      </c>
      <c r="U337" s="3" t="s">
        <v>203</v>
      </c>
      <c r="V337" s="4" t="str">
        <f>IF(ISBLANK(C337),,IFERROR(IF(VLOOKUP(B337,Standings!$A:$F, 6, 0)=VLOOKUP(C337,Standings!$A:$F, 6, 0), VLOOKUP(B337,Standings!$A:$F, 6, 0), "Non-con"), "FCS"))</f>
        <v>BIG12</v>
      </c>
      <c r="W337" s="3" t="str">
        <f t="shared" si="10"/>
        <v>West Virginia</v>
      </c>
      <c r="X337" s="3" t="str">
        <f t="shared" si="11"/>
        <v>Kansas State</v>
      </c>
      <c r="Y337" s="30">
        <f>IF(D337=0,,IF(ISBLANK(Q337),,VLOOKUP(X337,Week8,2,FALSE)/(VLOOKUP(X337,Week8,2,FALSE)+VLOOKUP(W337,Week8,2,FALSE))+0.05)*100)</f>
        <v>71.37799772</v>
      </c>
      <c r="Z337" s="3" t="s">
        <v>117</v>
      </c>
      <c r="AA337" s="3">
        <v>37.0</v>
      </c>
      <c r="AB337" s="4" t="str">
        <f t="shared" si="20"/>
        <v>Kansas State</v>
      </c>
      <c r="AC337" s="3">
        <v>10.0</v>
      </c>
      <c r="AD337" s="3"/>
      <c r="AE337" s="3">
        <f t="shared" si="13"/>
        <v>27</v>
      </c>
      <c r="AF337" s="3"/>
      <c r="AG337" s="3">
        <f t="shared" si="133"/>
        <v>0</v>
      </c>
      <c r="AH337" s="3"/>
      <c r="AI337" s="7"/>
      <c r="AJ337" s="4"/>
      <c r="AK337" s="7"/>
      <c r="AL337" s="7"/>
      <c r="AM337" s="7"/>
      <c r="AN337" s="7"/>
      <c r="AO337" s="7"/>
      <c r="AP337" s="7"/>
      <c r="AQ337" s="7"/>
      <c r="AR337" s="7"/>
      <c r="AS337" s="7"/>
      <c r="AT337" s="7"/>
      <c r="AU337" s="7"/>
      <c r="AV337" s="7"/>
      <c r="AW337" s="7"/>
      <c r="AX337" s="7"/>
    </row>
    <row r="338" ht="12.75" hidden="1" customHeight="1">
      <c r="A338" s="3">
        <v>13.0</v>
      </c>
      <c r="B338" s="3" t="s">
        <v>65</v>
      </c>
      <c r="C338" s="3" t="s">
        <v>181</v>
      </c>
      <c r="D338" s="4">
        <f>IFERROR(VLOOKUP(B338,Week12,2,FALSE),0)</f>
        <v>31.56</v>
      </c>
      <c r="E338" s="4">
        <f>IF(ISBLANK(B338),,IFERROR(VLOOKUP(B338,CurrentRank!$B$2:$C$132,2,FALSE),0))</f>
        <v>34.09</v>
      </c>
      <c r="F338" s="4">
        <f>IFERROR(VLOOKUP(B338,Week12,3,FALSE),130)</f>
        <v>90</v>
      </c>
      <c r="G338" s="4">
        <f>IF(ISBLANK(B338),,IFERROR(VLOOKUP(B338,CurrentRank!$B$2:$D$132,3,FALSE),130))</f>
        <v>74</v>
      </c>
      <c r="H338" s="4">
        <f>IFERROR(VLOOKUP(C338,Week12,2,FALSE),0)</f>
        <v>25.68</v>
      </c>
      <c r="I338" s="4">
        <f>IF(ISBLANK(B338),,IFERROR(VLOOKUP(C338,CurrentRank!$B$2:$C$132,2,FALSE),0))</f>
        <v>25.47</v>
      </c>
      <c r="J338" s="4">
        <f>IFERROR(VLOOKUP(C338,Week12,3,FALSE),130)</f>
        <v>124</v>
      </c>
      <c r="K338" s="4">
        <f>IF(ISBLANK(C338),,IFERROR(VLOOKUP(C338,CurrentRank!$B$2:$D$132,3,FALSE),130))</f>
        <v>125</v>
      </c>
      <c r="L338" s="19">
        <f t="shared" ref="L338:M338" si="154">IF(ISBLANK(C338),,(D338+H338)*0.015)</f>
        <v>0.8586</v>
      </c>
      <c r="M338" s="19">
        <f t="shared" si="154"/>
        <v>0.8934</v>
      </c>
      <c r="N338" s="24">
        <f t="shared" si="140"/>
        <v>107</v>
      </c>
      <c r="O338" s="21">
        <f t="shared" si="4"/>
        <v>2.5107</v>
      </c>
      <c r="P338" s="21">
        <f t="shared" si="145"/>
        <v>3.8807</v>
      </c>
      <c r="Q338" s="22">
        <f t="shared" si="6"/>
        <v>0.4524465</v>
      </c>
      <c r="R338" s="25" t="str">
        <f t="shared" si="7"/>
        <v>F</v>
      </c>
      <c r="S338" s="19" t="str">
        <f t="shared" si="8"/>
        <v/>
      </c>
      <c r="T338" s="19" t="str">
        <f t="shared" si="9"/>
        <v/>
      </c>
      <c r="U338" s="3" t="s">
        <v>203</v>
      </c>
      <c r="V338" s="4" t="str">
        <f>IF(ISBLANK(C338),,IFERROR(IF(VLOOKUP(B338,Standings!$A:$F, 6, 0)=VLOOKUP(C338,Standings!$A:$F, 6, 0), VLOOKUP(B338,Standings!$A:$F, 6, 0), "Non-con"), "FCS"))</f>
        <v>SEC</v>
      </c>
      <c r="W338" s="3" t="str">
        <f t="shared" si="10"/>
        <v>Vanderbilt</v>
      </c>
      <c r="X338" s="3" t="str">
        <f t="shared" si="11"/>
        <v>Tennessee</v>
      </c>
      <c r="Y338" s="30">
        <f>IF(D338=0,,IF(ISBLANK(Q338),,VLOOKUP(X338,Week12,2,FALSE)/(VLOOKUP(X338,Week12,2,FALSE)+VLOOKUP(W338,Week12,2,FALSE))+0.05)*100)</f>
        <v>60.13626834</v>
      </c>
      <c r="Z338" s="3"/>
      <c r="AA338" s="3"/>
      <c r="AB338" s="4" t="str">
        <f t="shared" si="20"/>
        <v/>
      </c>
      <c r="AC338" s="3"/>
      <c r="AD338" s="3"/>
      <c r="AE338" s="3" t="str">
        <f t="shared" si="13"/>
        <v/>
      </c>
      <c r="AF338" s="3" t="s">
        <v>228</v>
      </c>
      <c r="AG338" s="3" t="str">
        <f t="shared" si="133"/>
        <v/>
      </c>
      <c r="AH338" s="3"/>
      <c r="AI338" s="7"/>
      <c r="AJ338" s="4"/>
      <c r="AK338" s="7"/>
      <c r="AL338" s="7"/>
      <c r="AM338" s="7"/>
      <c r="AN338" s="7"/>
      <c r="AO338" s="7"/>
      <c r="AP338" s="7"/>
      <c r="AQ338" s="7"/>
      <c r="AR338" s="7"/>
      <c r="AS338" s="7"/>
      <c r="AT338" s="7"/>
      <c r="AU338" s="7"/>
      <c r="AV338" s="7"/>
      <c r="AW338" s="7"/>
      <c r="AX338" s="7"/>
    </row>
    <row r="339" ht="12.75" hidden="1" customHeight="1">
      <c r="A339" s="3">
        <v>12.0</v>
      </c>
      <c r="B339" s="3" t="s">
        <v>168</v>
      </c>
      <c r="C339" s="3" t="s">
        <v>138</v>
      </c>
      <c r="D339" s="4">
        <f>IFERROR(VLOOKUP(B339,Week11,2,FALSE),0)</f>
        <v>34.05</v>
      </c>
      <c r="E339" s="4">
        <f>IF(ISBLANK(B339),,IFERROR(VLOOKUP(B339,CurrentRank!$B$2:$C$132,2,FALSE),0))</f>
        <v>27.16</v>
      </c>
      <c r="F339" s="4">
        <f>IFERROR(VLOOKUP(B339,Week11,3,FALSE),130)</f>
        <v>70</v>
      </c>
      <c r="G339" s="4">
        <f>IF(ISBLANK(B339),,IFERROR(VLOOKUP(B339,CurrentRank!$B$2:$D$132,3,FALSE),130))</f>
        <v>122</v>
      </c>
      <c r="H339" s="4">
        <f>IFERROR(VLOOKUP(C339,Week11,2,FALSE),0)</f>
        <v>41.81</v>
      </c>
      <c r="I339" s="4">
        <f>IF(ISBLANK(B339),,IFERROR(VLOOKUP(C339,CurrentRank!$B$2:$C$132,2,FALSE),0))</f>
        <v>40.47</v>
      </c>
      <c r="J339" s="4">
        <f>IFERROR(VLOOKUP(C339,Week11,3,FALSE),130)</f>
        <v>36</v>
      </c>
      <c r="K339" s="4">
        <f>IF(ISBLANK(C339),,IFERROR(VLOOKUP(C339,CurrentRank!$B$2:$D$132,3,FALSE),130))</f>
        <v>33</v>
      </c>
      <c r="L339" s="19">
        <f>IF(U339= "Yes", 0, IF(ISBLANK(C339),,(D339+H339)*0.015))</f>
        <v>1.1379</v>
      </c>
      <c r="M339" s="19">
        <f>IF(U339= "Yes", 0, IF(ISBLANK(D339),,(E339+I339)*0.015))</f>
        <v>1.01445</v>
      </c>
      <c r="N339" s="24">
        <f t="shared" si="140"/>
        <v>53</v>
      </c>
      <c r="O339" s="21">
        <f t="shared" si="4"/>
        <v>-4.44895</v>
      </c>
      <c r="P339" s="21">
        <f t="shared" si="145"/>
        <v>-7.22395</v>
      </c>
      <c r="Q339" s="22">
        <f t="shared" si="6"/>
        <v>0.71275525</v>
      </c>
      <c r="R339" s="25" t="str">
        <f t="shared" si="7"/>
        <v>C-</v>
      </c>
      <c r="S339" s="19">
        <f t="shared" si="8"/>
        <v>0.65</v>
      </c>
      <c r="T339" s="19" t="str">
        <f t="shared" si="9"/>
        <v>D</v>
      </c>
      <c r="U339" s="3" t="s">
        <v>203</v>
      </c>
      <c r="V339" s="4" t="str">
        <f>IF(ISBLANK(C339),,IFERROR(IF(VLOOKUP(B339,Standings!$A:$F, 6, 0)=VLOOKUP(C339,Standings!$A:$F, 6, 0), VLOOKUP(B339,Standings!$A:$F, 6, 0), "Non-con"), "FCS"))</f>
        <v>PAC12</v>
      </c>
      <c r="W339" s="3" t="str">
        <f t="shared" si="10"/>
        <v>Arizona</v>
      </c>
      <c r="X339" s="3" t="str">
        <f t="shared" si="11"/>
        <v>Washington</v>
      </c>
      <c r="Y339" s="30">
        <f>IF(D339=0,,IF(ISBLANK(Q339),,VLOOKUP(X339,Week11,2,FALSE)/(VLOOKUP(X339,Week11,2,FALSE)+VLOOKUP(W339,Week11,2,FALSE))+0.05)*100)</f>
        <v>60.11468495</v>
      </c>
      <c r="Z339" s="3" t="s">
        <v>138</v>
      </c>
      <c r="AA339" s="3">
        <v>44.0</v>
      </c>
      <c r="AB339" s="4" t="str">
        <f t="shared" si="20"/>
        <v>Arizona</v>
      </c>
      <c r="AC339" s="3">
        <v>27.0</v>
      </c>
      <c r="AD339" s="3"/>
      <c r="AE339" s="3">
        <f t="shared" si="13"/>
        <v>17</v>
      </c>
      <c r="AF339" s="3"/>
      <c r="AG339" s="3">
        <f t="shared" si="133"/>
        <v>1</v>
      </c>
      <c r="AH339" s="3"/>
      <c r="AI339" s="7"/>
      <c r="AJ339" s="4"/>
      <c r="AK339" s="7"/>
      <c r="AL339" s="7"/>
      <c r="AM339" s="7"/>
      <c r="AN339" s="7"/>
      <c r="AO339" s="7"/>
      <c r="AP339" s="7"/>
      <c r="AQ339" s="7"/>
      <c r="AR339" s="7"/>
      <c r="AS339" s="7"/>
      <c r="AT339" s="7"/>
      <c r="AU339" s="7"/>
      <c r="AV339" s="7"/>
      <c r="AW339" s="7"/>
      <c r="AX339" s="7"/>
    </row>
    <row r="340" ht="12.75" hidden="1" customHeight="1">
      <c r="A340" s="3">
        <v>10.0</v>
      </c>
      <c r="B340" s="3" t="s">
        <v>140</v>
      </c>
      <c r="C340" s="3" t="s">
        <v>200</v>
      </c>
      <c r="D340" s="4">
        <f>IFERROR(VLOOKUP(B340,CurrentRank!$B$2:$C$132,2,FALSE),0)</f>
        <v>22.5</v>
      </c>
      <c r="E340" s="4">
        <f>IF(ISBLANK(B340),,IFERROR(VLOOKUP(B340,CurrentRank!$B$2:$C$132,2,FALSE),0))</f>
        <v>22.5</v>
      </c>
      <c r="F340" s="4">
        <f>IFERROR(VLOOKUP(B340,Week9,3,FALSE),130)</f>
        <v>127</v>
      </c>
      <c r="G340" s="4">
        <f>IF(ISBLANK(B340),,IFERROR(VLOOKUP(B340,CurrentRank!$B$2:$D$132,3,FALSE),130))</f>
        <v>126</v>
      </c>
      <c r="H340" s="4">
        <f>IFERROR(VLOOKUP(C340,CurrentRank!$B$2:$C$132,2,FALSE),0)</f>
        <v>32.76</v>
      </c>
      <c r="I340" s="4">
        <f>IF(ISBLANK(B340),,IFERROR(VLOOKUP(C340,CurrentRank!$B$2:$C$132,2,FALSE),0))</f>
        <v>32.76</v>
      </c>
      <c r="J340" s="4">
        <f>IFERROR(VLOOKUP(C340,Week9,3,FALSE),130)</f>
        <v>111</v>
      </c>
      <c r="K340" s="4">
        <f>IF(ISBLANK(C340),,IFERROR(VLOOKUP(C340,CurrentRank!$B$2:$D$132,3,FALSE),130))</f>
        <v>89</v>
      </c>
      <c r="L340" s="19">
        <f t="shared" ref="L340:M340" si="155">IF(ISBLANK(C340),,(D340+H340)*0.015)</f>
        <v>0.8289</v>
      </c>
      <c r="M340" s="19">
        <f t="shared" si="155"/>
        <v>0.8289</v>
      </c>
      <c r="N340" s="24">
        <f t="shared" si="140"/>
        <v>119</v>
      </c>
      <c r="O340" s="21">
        <f t="shared" si="4"/>
        <v>-5.54445</v>
      </c>
      <c r="P340" s="24">
        <f>(D340-(H340+L340))/2</f>
        <v>-5.54445</v>
      </c>
      <c r="Q340" s="22">
        <f t="shared" si="6"/>
        <v>0.37727775</v>
      </c>
      <c r="R340" s="25" t="str">
        <f t="shared" si="7"/>
        <v>F</v>
      </c>
      <c r="S340" s="19" t="str">
        <f t="shared" si="8"/>
        <v/>
      </c>
      <c r="T340" s="19" t="str">
        <f t="shared" si="9"/>
        <v/>
      </c>
      <c r="U340" s="3" t="s">
        <v>203</v>
      </c>
      <c r="V340" s="4" t="str">
        <f>IFERROR(IF(VLOOKUP(B340,Standings!$A:$F, 6, 0)=VLOOKUP(C340,Standings!$A:$F, 6, 0), VLOOKUP(B340,Standings!$A:$F, 6, 0), "Non-con"), "FCS")</f>
        <v>CUSA</v>
      </c>
      <c r="W340" s="3" t="str">
        <f t="shared" si="10"/>
        <v>Charlotte</v>
      </c>
      <c r="X340" s="3" t="str">
        <f t="shared" si="11"/>
        <v>Middle Tennessee</v>
      </c>
      <c r="Y340" s="30">
        <f>IF(D340=0,,IF(ISBLANK(Q340),,VLOOKUP(X340,Week9,2,FALSE)/(VLOOKUP(X340,Week9,2,FALSE)+VLOOKUP(W340,Week9,2,FALSE))+0.05)*100)</f>
        <v>60.06317179</v>
      </c>
      <c r="Z340" s="3"/>
      <c r="AA340" s="3"/>
      <c r="AB340" s="4" t="str">
        <f t="shared" si="20"/>
        <v/>
      </c>
      <c r="AC340" s="3"/>
      <c r="AD340" s="3"/>
      <c r="AE340" s="3" t="str">
        <f t="shared" si="13"/>
        <v/>
      </c>
      <c r="AF340" s="3" t="s">
        <v>228</v>
      </c>
      <c r="AG340" s="3" t="str">
        <f t="shared" si="133"/>
        <v/>
      </c>
      <c r="AH340" s="3"/>
      <c r="AI340" s="7"/>
      <c r="AJ340" s="4"/>
      <c r="AK340" s="7"/>
      <c r="AL340" s="7"/>
      <c r="AM340" s="7"/>
      <c r="AN340" s="7"/>
      <c r="AO340" s="7"/>
      <c r="AP340" s="7"/>
      <c r="AQ340" s="7"/>
      <c r="AR340" s="7"/>
      <c r="AS340" s="7"/>
      <c r="AT340" s="7"/>
      <c r="AU340" s="7"/>
      <c r="AV340" s="7"/>
      <c r="AW340" s="7"/>
      <c r="AX340" s="7"/>
    </row>
    <row r="341" ht="12.75" hidden="1" customHeight="1">
      <c r="A341" s="3">
        <v>10.0</v>
      </c>
      <c r="B341" s="3" t="s">
        <v>122</v>
      </c>
      <c r="C341" s="3" t="s">
        <v>136</v>
      </c>
      <c r="D341" s="4">
        <f>IFERROR(VLOOKUP(B341,Week9,2,FALSE),0)</f>
        <v>25.58</v>
      </c>
      <c r="E341" s="4">
        <f>IF(ISBLANK(B341),,IFERROR(VLOOKUP(B341,CurrentRank!$B$2:$C$132,2,FALSE),0))</f>
        <v>25.95</v>
      </c>
      <c r="F341" s="4">
        <f>IFERROR(VLOOKUP(B341,Week9,3,FALSE),130)</f>
        <v>124</v>
      </c>
      <c r="G341" s="4">
        <f>IF(ISBLANK(B341),,IFERROR(VLOOKUP(B341,CurrentRank!$B$2:$D$132,3,FALSE),130))</f>
        <v>124</v>
      </c>
      <c r="H341" s="4">
        <f>IFERROR(VLOOKUP(C341,Week9,2,FALSE),0)</f>
        <v>31.34</v>
      </c>
      <c r="I341" s="4">
        <f>IF(ISBLANK(B341),,IFERROR(VLOOKUP(C341,CurrentRank!$B$2:$C$132,2,FALSE),0))</f>
        <v>35.33</v>
      </c>
      <c r="J341" s="4">
        <f>IFERROR(VLOOKUP(C341,Week9,3,FALSE),130)</f>
        <v>80</v>
      </c>
      <c r="K341" s="4">
        <f>IF(ISBLANK(C341),,IFERROR(VLOOKUP(C341,CurrentRank!$B$2:$D$132,3,FALSE),130))</f>
        <v>62</v>
      </c>
      <c r="L341" s="19">
        <f t="shared" ref="L341:L342" si="156">IF(U341= "Yes", 0, IF(ISBLANK(C341),,(D341+H341)*0.015))</f>
        <v>0.8538</v>
      </c>
      <c r="M341" s="19">
        <f t="shared" ref="M341:M342" si="157">IF(U341= "Yes", 0, IF(ISBLANK(D341),,(E341+I341)*0.015))</f>
        <v>0.9192</v>
      </c>
      <c r="N341" s="24">
        <f t="shared" si="140"/>
        <v>102</v>
      </c>
      <c r="O341" s="21">
        <f t="shared" si="4"/>
        <v>-3.3069</v>
      </c>
      <c r="P341" s="21">
        <f t="shared" ref="P341:P342" si="158">IF(ISBLANK(C341),,(E341-(I341+L341))/2)</f>
        <v>-5.1169</v>
      </c>
      <c r="Q341" s="22">
        <f t="shared" si="6"/>
        <v>0.4734655</v>
      </c>
      <c r="R341" s="25" t="str">
        <f t="shared" si="7"/>
        <v>F</v>
      </c>
      <c r="S341" s="19">
        <f t="shared" si="8"/>
        <v>0.4</v>
      </c>
      <c r="T341" s="19" t="str">
        <f t="shared" si="9"/>
        <v>F</v>
      </c>
      <c r="U341" s="3" t="s">
        <v>203</v>
      </c>
      <c r="V341" s="4" t="str">
        <f>IF(ISBLANK(C341),,IFERROR(IF(VLOOKUP(B341,Standings!$A:$F, 6, 0)=VLOOKUP(C341,Standings!$A:$F, 6, 0), VLOOKUP(B341,Standings!$A:$F, 6, 0), "Non-con"), "FCS"))</f>
        <v>SUN</v>
      </c>
      <c r="W341" s="3" t="str">
        <f t="shared" si="10"/>
        <v>UL-Monroe</v>
      </c>
      <c r="X341" s="3" t="str">
        <f t="shared" si="11"/>
        <v>Georgia State</v>
      </c>
      <c r="Y341" s="30">
        <f>IF(D341=0,,IF(ISBLANK(Q341),,VLOOKUP(X341,Week9,2,FALSE)/(VLOOKUP(X341,Week9,2,FALSE)+VLOOKUP(W341,Week9,2,FALSE))+0.05)*100)</f>
        <v>60.05973296</v>
      </c>
      <c r="Z341" s="3" t="s">
        <v>136</v>
      </c>
      <c r="AA341" s="3">
        <v>52.0</v>
      </c>
      <c r="AB341" s="4" t="str">
        <f t="shared" si="20"/>
        <v>UL-Monroe</v>
      </c>
      <c r="AC341" s="3">
        <v>34.0</v>
      </c>
      <c r="AD341" s="3"/>
      <c r="AE341" s="3">
        <f t="shared" si="13"/>
        <v>18</v>
      </c>
      <c r="AF341" s="3"/>
      <c r="AG341" s="3">
        <f t="shared" si="133"/>
        <v>1</v>
      </c>
      <c r="AH341" s="3"/>
      <c r="AI341" s="7"/>
      <c r="AJ341" s="4"/>
      <c r="AK341" s="7"/>
      <c r="AL341" s="7"/>
      <c r="AM341" s="7"/>
      <c r="AN341" s="7"/>
      <c r="AO341" s="7"/>
      <c r="AP341" s="7"/>
      <c r="AQ341" s="7"/>
      <c r="AR341" s="7"/>
      <c r="AS341" s="7"/>
      <c r="AT341" s="7"/>
      <c r="AU341" s="7"/>
      <c r="AV341" s="7"/>
      <c r="AW341" s="7"/>
      <c r="AX341" s="7"/>
    </row>
    <row r="342" ht="12.75" hidden="1" customHeight="1">
      <c r="A342" s="3">
        <v>7.0</v>
      </c>
      <c r="B342" s="3" t="s">
        <v>95</v>
      </c>
      <c r="C342" s="3" t="s">
        <v>110</v>
      </c>
      <c r="D342" s="4">
        <f>IFERROR(VLOOKUP(B342,Week6,2,FALSE),0)</f>
        <v>44.86</v>
      </c>
      <c r="E342" s="4">
        <f>IF(ISBLANK(B342),,IFERROR(VLOOKUP(B342,CurrentRank!$B$2:$C$132,2,FALSE),0))</f>
        <v>33.45</v>
      </c>
      <c r="F342" s="4">
        <f>IFERROR(VLOOKUP(B342,Week6,3,FALSE),130)</f>
        <v>28</v>
      </c>
      <c r="G342" s="4">
        <f>IF(ISBLANK(B342),,IFERROR(VLOOKUP(B342,CurrentRank!$B$2:$D$132,3,FALSE),130))</f>
        <v>81</v>
      </c>
      <c r="H342" s="4">
        <f>IFERROR(VLOOKUP(C342,Week6,2,FALSE),0)</f>
        <v>36.64</v>
      </c>
      <c r="I342" s="4">
        <f>IF(ISBLANK(B342),,IFERROR(VLOOKUP(C342,CurrentRank!$B$2:$C$132,2,FALSE),0))</f>
        <v>20.47</v>
      </c>
      <c r="J342" s="4">
        <f>IFERROR(VLOOKUP(C342,Week6,3,FALSE),130)</f>
        <v>48</v>
      </c>
      <c r="K342" s="4">
        <f>IF(ISBLANK(C342),,IFERROR(VLOOKUP(C342,CurrentRank!$B$2:$D$132,3,FALSE),130))</f>
        <v>128</v>
      </c>
      <c r="L342" s="19">
        <f t="shared" si="156"/>
        <v>1.2225</v>
      </c>
      <c r="M342" s="19">
        <f t="shared" si="157"/>
        <v>0.8088</v>
      </c>
      <c r="N342" s="24">
        <f t="shared" si="140"/>
        <v>38</v>
      </c>
      <c r="O342" s="21">
        <f t="shared" si="4"/>
        <v>3.49875</v>
      </c>
      <c r="P342" s="21">
        <f t="shared" si="158"/>
        <v>5.87875</v>
      </c>
      <c r="Q342" s="22">
        <f t="shared" si="6"/>
        <v>0.79250625</v>
      </c>
      <c r="R342" s="25" t="str">
        <f t="shared" si="7"/>
        <v>C+</v>
      </c>
      <c r="S342" s="19">
        <f t="shared" si="8"/>
        <v>0.72</v>
      </c>
      <c r="T342" s="19" t="str">
        <f t="shared" si="9"/>
        <v>C-</v>
      </c>
      <c r="U342" s="3" t="s">
        <v>203</v>
      </c>
      <c r="V342" s="4" t="str">
        <f>IF(ISBLANK(C342),,IFERROR(IF(VLOOKUP(B342,Standings!$A:$F, 6, 0)=VLOOKUP(C342,Standings!$A:$F, 6, 0), VLOOKUP(B342,Standings!$A:$F, 6, 0), "Non-con"), "FCS"))</f>
        <v>CUSA</v>
      </c>
      <c r="W342" s="3" t="str">
        <f t="shared" si="10"/>
        <v>Louisiana Tech</v>
      </c>
      <c r="X342" s="3" t="str">
        <f t="shared" si="11"/>
        <v>Marshall</v>
      </c>
      <c r="Y342" s="30">
        <f>IF(D342=0,,IF(ISBLANK(Q342),,VLOOKUP(X342,Week6,2,FALSE)/(VLOOKUP(X342,Week6,2,FALSE)+VLOOKUP(W342,Week6,2,FALSE))+0.05)*100)</f>
        <v>60.04294479</v>
      </c>
      <c r="Z342" s="3" t="s">
        <v>95</v>
      </c>
      <c r="AA342" s="3">
        <v>35.0</v>
      </c>
      <c r="AB342" s="4" t="str">
        <f t="shared" si="20"/>
        <v>Louisiana Tech</v>
      </c>
      <c r="AC342" s="3">
        <v>17.0</v>
      </c>
      <c r="AD342" s="3"/>
      <c r="AE342" s="3">
        <f t="shared" si="13"/>
        <v>18</v>
      </c>
      <c r="AF342" s="3"/>
      <c r="AG342" s="3">
        <f t="shared" si="133"/>
        <v>1</v>
      </c>
      <c r="AH342" s="3"/>
      <c r="AI342" s="7"/>
      <c r="AJ342" s="4"/>
      <c r="AK342" s="7"/>
      <c r="AL342" s="7"/>
      <c r="AM342" s="7"/>
      <c r="AN342" s="7"/>
      <c r="AO342" s="7"/>
      <c r="AP342" s="7"/>
      <c r="AQ342" s="7"/>
      <c r="AR342" s="7"/>
      <c r="AS342" s="7"/>
      <c r="AT342" s="7"/>
      <c r="AU342" s="7"/>
      <c r="AV342" s="7"/>
      <c r="AW342" s="7"/>
      <c r="AX342" s="7"/>
    </row>
    <row r="343" ht="12.75" hidden="1" customHeight="1">
      <c r="A343" s="3">
        <v>10.0</v>
      </c>
      <c r="B343" s="3" t="s">
        <v>105</v>
      </c>
      <c r="C343" s="3" t="s">
        <v>172</v>
      </c>
      <c r="D343" s="4">
        <f>IFERROR(VLOOKUP(B343,CurrentRank!$B$2:$C$132,2,FALSE),0)</f>
        <v>32.43</v>
      </c>
      <c r="E343" s="4">
        <f>IF(ISBLANK(B343),,IFERROR(VLOOKUP(B343,CurrentRank!$B$2:$C$132,2,FALSE),0))</f>
        <v>32.43</v>
      </c>
      <c r="F343" s="4">
        <f>IFERROR(VLOOKUP(B343,Week9,3,FALSE),130)</f>
        <v>112</v>
      </c>
      <c r="G343" s="4">
        <f>IF(ISBLANK(B343),,IFERROR(VLOOKUP(B343,CurrentRank!$B$2:$D$132,3,FALSE),130))</f>
        <v>90</v>
      </c>
      <c r="H343" s="4">
        <f>IFERROR(VLOOKUP(C343,CurrentRank!$B$2:$C$132,2,FALSE),0)</f>
        <v>33.49</v>
      </c>
      <c r="I343" s="4">
        <f>IF(ISBLANK(B343),,IFERROR(VLOOKUP(C343,CurrentRank!$B$2:$C$132,2,FALSE),0))</f>
        <v>33.49</v>
      </c>
      <c r="J343" s="4">
        <f>IFERROR(VLOOKUP(C343,Week9,3,FALSE),130)</f>
        <v>55</v>
      </c>
      <c r="K343" s="4">
        <f>IF(ISBLANK(C343),,IFERROR(VLOOKUP(C343,CurrentRank!$B$2:$D$132,3,FALSE),130))</f>
        <v>79</v>
      </c>
      <c r="L343" s="19">
        <f t="shared" ref="L343:M343" si="159">IF(ISBLANK(C343),,(D343+H343)*0.015)</f>
        <v>0.9888</v>
      </c>
      <c r="M343" s="19">
        <f t="shared" si="159"/>
        <v>0.9888</v>
      </c>
      <c r="N343" s="24">
        <f t="shared" si="140"/>
        <v>83.5</v>
      </c>
      <c r="O343" s="21">
        <f t="shared" si="4"/>
        <v>-1.0244</v>
      </c>
      <c r="P343" s="24">
        <f>(D343-(H343+L343))/2</f>
        <v>-1.0244</v>
      </c>
      <c r="Q343" s="22">
        <f t="shared" si="6"/>
        <v>0.577378</v>
      </c>
      <c r="R343" s="25" t="str">
        <f t="shared" si="7"/>
        <v>F</v>
      </c>
      <c r="S343" s="19" t="str">
        <f t="shared" si="8"/>
        <v/>
      </c>
      <c r="T343" s="19" t="str">
        <f t="shared" si="9"/>
        <v/>
      </c>
      <c r="U343" s="3" t="s">
        <v>203</v>
      </c>
      <c r="V343" s="4" t="str">
        <f>IFERROR(IF(VLOOKUP(B343,Standings!$A:$F, 6, 0)=VLOOKUP(C343,Standings!$A:$F, 6, 0), VLOOKUP(B343,Standings!$A:$F, 6, 0), "Non-con"), "FCS")</f>
        <v>CUSA</v>
      </c>
      <c r="W343" s="3" t="str">
        <f t="shared" si="10"/>
        <v>Texas-San Antonio</v>
      </c>
      <c r="X343" s="3" t="str">
        <f t="shared" si="11"/>
        <v>Rice</v>
      </c>
      <c r="Y343" s="30">
        <f>IF(D343=0,,IF(ISBLANK(Q343),,VLOOKUP(X343,Week9,2,FALSE)/(VLOOKUP(X343,Week9,2,FALSE)+VLOOKUP(W343,Week9,2,FALSE))+0.05)*100)</f>
        <v>60.03574759</v>
      </c>
      <c r="Z343" s="3"/>
      <c r="AA343" s="3"/>
      <c r="AB343" s="4" t="str">
        <f t="shared" si="20"/>
        <v/>
      </c>
      <c r="AC343" s="3"/>
      <c r="AD343" s="3"/>
      <c r="AE343" s="3" t="str">
        <f t="shared" si="13"/>
        <v/>
      </c>
      <c r="AF343" s="3" t="s">
        <v>228</v>
      </c>
      <c r="AG343" s="3" t="str">
        <f t="shared" si="133"/>
        <v/>
      </c>
      <c r="AH343" s="3"/>
      <c r="AI343" s="7"/>
      <c r="AJ343" s="4"/>
      <c r="AK343" s="7"/>
      <c r="AL343" s="7"/>
      <c r="AM343" s="7"/>
      <c r="AN343" s="7"/>
      <c r="AO343" s="7"/>
      <c r="AP343" s="7"/>
      <c r="AQ343" s="7"/>
      <c r="AR343" s="7"/>
      <c r="AS343" s="7"/>
      <c r="AT343" s="7"/>
      <c r="AU343" s="7"/>
      <c r="AV343" s="7"/>
      <c r="AW343" s="7"/>
      <c r="AX343" s="7"/>
    </row>
    <row r="344" ht="12.75" hidden="1" customHeight="1">
      <c r="A344" s="3">
        <v>14.0</v>
      </c>
      <c r="B344" s="3" t="s">
        <v>193</v>
      </c>
      <c r="C344" s="3" t="s">
        <v>140</v>
      </c>
      <c r="D344" s="4">
        <f>IFERROR(VLOOKUP(B344,Week13,2,FALSE),0)</f>
        <v>30.12</v>
      </c>
      <c r="E344" s="4">
        <f>IF(ISBLANK(B344),,IFERROR(VLOOKUP(B344,CurrentRank!$B$2:$C$132,2,FALSE),0))</f>
        <v>29.31</v>
      </c>
      <c r="F344" s="4">
        <f>IFERROR(VLOOKUP(B344,Week13,3,FALSE),130)</f>
        <v>110</v>
      </c>
      <c r="G344" s="4">
        <f>IF(ISBLANK(B344),,IFERROR(VLOOKUP(B344,CurrentRank!$B$2:$D$132,3,FALSE),130))</f>
        <v>115</v>
      </c>
      <c r="H344" s="4">
        <f>IFERROR(VLOOKUP(C344,Week13,2,FALSE),0)</f>
        <v>24.61</v>
      </c>
      <c r="I344" s="4">
        <f>IF(ISBLANK(B344),,IFERROR(VLOOKUP(C344,CurrentRank!$B$2:$C$132,2,FALSE),0))</f>
        <v>22.5</v>
      </c>
      <c r="J344" s="4">
        <f>IFERROR(VLOOKUP(C344,Week13,3,FALSE),130)</f>
        <v>127</v>
      </c>
      <c r="K344" s="4">
        <f>IF(ISBLANK(C344),,IFERROR(VLOOKUP(C344,CurrentRank!$B$2:$D$132,3,FALSE),130))</f>
        <v>126</v>
      </c>
      <c r="L344" s="19">
        <f t="shared" ref="L344:L346" si="160">IF(U344= "Yes", 0, IF(ISBLANK(C344),,(D344+H344)*0.015))</f>
        <v>0.82095</v>
      </c>
      <c r="M344" s="19">
        <f t="shared" ref="M344:M346" si="161">IF(U344= "Yes", 0, IF(ISBLANK(D344),,(E344+I344)*0.015))</f>
        <v>0.77715</v>
      </c>
      <c r="N344" s="24">
        <f t="shared" si="140"/>
        <v>118.5</v>
      </c>
      <c r="O344" s="21">
        <f t="shared" si="4"/>
        <v>2.344525</v>
      </c>
      <c r="P344" s="21">
        <f t="shared" ref="P344:P424" si="162">IF(ISBLANK(C344),,(E344-(I344+L344))/2)</f>
        <v>2.994525</v>
      </c>
      <c r="Q344" s="22">
        <f t="shared" si="6"/>
        <v>0.395777375</v>
      </c>
      <c r="R344" s="25" t="str">
        <f t="shared" si="7"/>
        <v>F</v>
      </c>
      <c r="S344" s="19">
        <f t="shared" si="8"/>
        <v>0.3175</v>
      </c>
      <c r="T344" s="19" t="str">
        <f t="shared" si="9"/>
        <v>F</v>
      </c>
      <c r="U344" s="3" t="s">
        <v>203</v>
      </c>
      <c r="V344" s="4" t="str">
        <f>IF(ISBLANK(C344),,IFERROR(IF(VLOOKUP(B344,Standings!$A:$F, 6, 0)=VLOOKUP(C344,Standings!$A:$F, 6, 0), VLOOKUP(B344,Standings!$A:$F, 6, 0), "Non-con"), "FCS"))</f>
        <v>CUSA</v>
      </c>
      <c r="W344" s="3" t="str">
        <f t="shared" si="10"/>
        <v>Charlotte</v>
      </c>
      <c r="X344" s="3" t="str">
        <f t="shared" si="11"/>
        <v>Western Kentucky</v>
      </c>
      <c r="Y344" s="30">
        <f>IF(D344=0,,IF(ISBLANK(Q344),,VLOOKUP(X344,Week13,2,FALSE)/(VLOOKUP(X344,Week13,2,FALSE)+VLOOKUP(W344,Week13,2,FALSE))+0.05)*100)</f>
        <v>60.0338023</v>
      </c>
      <c r="Z344" s="3" t="s">
        <v>193</v>
      </c>
      <c r="AA344" s="3">
        <v>37.0</v>
      </c>
      <c r="AB344" s="4" t="str">
        <f t="shared" si="20"/>
        <v>Charlotte</v>
      </c>
      <c r="AC344" s="3">
        <v>19.0</v>
      </c>
      <c r="AD344" s="3"/>
      <c r="AE344" s="3">
        <f t="shared" si="13"/>
        <v>18</v>
      </c>
      <c r="AF344" s="3"/>
      <c r="AG344" s="3">
        <f t="shared" si="133"/>
        <v>1</v>
      </c>
      <c r="AH344" s="3"/>
      <c r="AI344" s="7"/>
      <c r="AJ344" s="4"/>
      <c r="AK344" s="7"/>
      <c r="AL344" s="7"/>
      <c r="AM344" s="7"/>
      <c r="AN344" s="7"/>
      <c r="AO344" s="7"/>
      <c r="AP344" s="7"/>
      <c r="AQ344" s="7"/>
      <c r="AR344" s="7"/>
      <c r="AS344" s="7"/>
      <c r="AT344" s="7"/>
      <c r="AU344" s="7"/>
      <c r="AV344" s="7"/>
      <c r="AW344" s="7"/>
      <c r="AX344" s="7"/>
    </row>
    <row r="345" ht="12.75" customHeight="1">
      <c r="A345" s="3">
        <v>4.0</v>
      </c>
      <c r="B345" s="3" t="s">
        <v>116</v>
      </c>
      <c r="C345" s="3" t="s">
        <v>51</v>
      </c>
      <c r="D345" s="4">
        <f>IFERROR(VLOOKUP(B345,Week3,2,FALSE),0)</f>
        <v>30.34</v>
      </c>
      <c r="E345" s="4">
        <f>IF(ISBLANK(B345),,IFERROR(VLOOKUP(B345,CurrentRank!$B$2:$C$132,2,FALSE),0))</f>
        <v>31.6</v>
      </c>
      <c r="F345" s="4">
        <f>IFERROR(VLOOKUP(B345,Week3,3,FALSE),130)</f>
        <v>116</v>
      </c>
      <c r="G345" s="4">
        <f>IF(ISBLANK(B345),,IFERROR(VLOOKUP(B345,CurrentRank!$B$2:$D$132,3,FALSE),130))</f>
        <v>96</v>
      </c>
      <c r="H345" s="4">
        <f>IFERROR(VLOOKUP(C345,Week3,2,FALSE),0)</f>
        <v>71.06</v>
      </c>
      <c r="I345" s="4">
        <f>IF(ISBLANK(B345),,IFERROR(VLOOKUP(C345,CurrentRank!$B$2:$C$132,2,FALSE),0))</f>
        <v>81.57</v>
      </c>
      <c r="J345" s="4">
        <f>IFERROR(VLOOKUP(C345,Week3,3,FALSE),130)</f>
        <v>7</v>
      </c>
      <c r="K345" s="4">
        <f>IF(ISBLANK(C345),,IFERROR(VLOOKUP(C345,CurrentRank!$B$2:$D$132,3,FALSE),130))</f>
        <v>5</v>
      </c>
      <c r="L345" s="19">
        <f t="shared" si="160"/>
        <v>1.521</v>
      </c>
      <c r="M345" s="19">
        <f t="shared" si="161"/>
        <v>1.69755</v>
      </c>
      <c r="N345" s="24">
        <f t="shared" si="140"/>
        <v>61.5</v>
      </c>
      <c r="O345" s="21">
        <f t="shared" si="4"/>
        <v>-21.1205</v>
      </c>
      <c r="P345" s="21">
        <f t="shared" si="162"/>
        <v>-25.7455</v>
      </c>
      <c r="Q345" s="22">
        <f t="shared" si="6"/>
        <v>0.5868975</v>
      </c>
      <c r="R345" s="25" t="str">
        <f t="shared" si="7"/>
        <v>F</v>
      </c>
      <c r="S345" s="19">
        <f t="shared" si="8"/>
        <v>0.6775</v>
      </c>
      <c r="T345" s="19" t="str">
        <f t="shared" si="9"/>
        <v>D+</v>
      </c>
      <c r="U345" s="3" t="s">
        <v>203</v>
      </c>
      <c r="V345" s="4" t="str">
        <f>IF(ISBLANK(C345),,IFERROR(IF(VLOOKUP(B345,Standings!$A:$F, 6, 0)=VLOOKUP(C345,Standings!$A:$F, 6, 0), VLOOKUP(B345,Standings!$A:$F, 6, 0), "Non-con"), "FCS"))</f>
        <v>BIG12</v>
      </c>
      <c r="W345" s="3" t="str">
        <f t="shared" si="10"/>
        <v>Kansas State</v>
      </c>
      <c r="X345" s="3" t="str">
        <f t="shared" si="11"/>
        <v>Oklahoma</v>
      </c>
      <c r="Y345" s="30">
        <f>IF(D345=0,,IF(ISBLANK(Q345),,VLOOKUP(X345,Week3,2,FALSE)/(VLOOKUP(X345,Week3,2,FALSE)+VLOOKUP(W345,Week3,2,FALSE))+0.05)*100)</f>
        <v>75.07889546</v>
      </c>
      <c r="Z345" s="3" t="s">
        <v>116</v>
      </c>
      <c r="AA345" s="3">
        <v>38.0</v>
      </c>
      <c r="AB345" s="4" t="str">
        <f t="shared" si="20"/>
        <v>Oklahoma</v>
      </c>
      <c r="AC345" s="3">
        <v>35.0</v>
      </c>
      <c r="AD345" s="3"/>
      <c r="AE345" s="3">
        <f t="shared" si="13"/>
        <v>3</v>
      </c>
      <c r="AF345" s="3"/>
      <c r="AG345" s="3">
        <f t="shared" si="133"/>
        <v>0</v>
      </c>
      <c r="AH345" s="3"/>
      <c r="AI345" s="7"/>
      <c r="AJ345" s="4"/>
      <c r="AK345" s="7"/>
      <c r="AL345" s="7"/>
      <c r="AM345" s="7"/>
      <c r="AN345" s="7"/>
      <c r="AO345" s="7"/>
      <c r="AP345" s="7"/>
      <c r="AQ345" s="7"/>
      <c r="AR345" s="7"/>
      <c r="AS345" s="7"/>
      <c r="AT345" s="7"/>
      <c r="AU345" s="7"/>
      <c r="AV345" s="7"/>
      <c r="AW345" s="7"/>
      <c r="AX345" s="7"/>
    </row>
    <row r="346" ht="12.75" customHeight="1">
      <c r="A346" s="3">
        <v>8.0</v>
      </c>
      <c r="B346" s="3" t="s">
        <v>110</v>
      </c>
      <c r="C346" s="3" t="s">
        <v>105</v>
      </c>
      <c r="D346" s="4">
        <f>IFERROR(VLOOKUP(B346,Week7,2,FALSE),0)</f>
        <v>34.96</v>
      </c>
      <c r="E346" s="4">
        <f>IF(ISBLANK(B346),,IFERROR(VLOOKUP(B346,CurrentRank!$B$2:$C$132,2,FALSE),0))</f>
        <v>20.47</v>
      </c>
      <c r="F346" s="4">
        <f>IFERROR(VLOOKUP(B346,Week7,3,FALSE),130)</f>
        <v>56</v>
      </c>
      <c r="G346" s="4">
        <f>IF(ISBLANK(B346),,IFERROR(VLOOKUP(B346,CurrentRank!$B$2:$D$132,3,FALSE),130))</f>
        <v>128</v>
      </c>
      <c r="H346" s="4">
        <f>IFERROR(VLOOKUP(C346,Week7,2,FALSE),0)</f>
        <v>31.18</v>
      </c>
      <c r="I346" s="4">
        <f>IF(ISBLANK(B346),,IFERROR(VLOOKUP(C346,CurrentRank!$B$2:$C$132,2,FALSE),0))</f>
        <v>32.43</v>
      </c>
      <c r="J346" s="4">
        <f>IFERROR(VLOOKUP(C346,Week7,3,FALSE),130)</f>
        <v>71</v>
      </c>
      <c r="K346" s="4">
        <f>IF(ISBLANK(C346),,IFERROR(VLOOKUP(C346,CurrentRank!$B$2:$D$132,3,FALSE),130))</f>
        <v>90</v>
      </c>
      <c r="L346" s="19">
        <f t="shared" si="160"/>
        <v>0.9921</v>
      </c>
      <c r="M346" s="19">
        <f t="shared" si="161"/>
        <v>0.7935</v>
      </c>
      <c r="N346" s="24">
        <f t="shared" si="140"/>
        <v>63.5</v>
      </c>
      <c r="O346" s="21">
        <f t="shared" si="4"/>
        <v>1.39395</v>
      </c>
      <c r="P346" s="21">
        <f t="shared" si="162"/>
        <v>-6.47605</v>
      </c>
      <c r="Q346" s="22">
        <f t="shared" si="6"/>
        <v>0.67553025</v>
      </c>
      <c r="R346" s="25" t="str">
        <f t="shared" si="7"/>
        <v>D+</v>
      </c>
      <c r="S346" s="19">
        <f t="shared" si="8"/>
        <v>0.6775</v>
      </c>
      <c r="T346" s="19" t="str">
        <f t="shared" si="9"/>
        <v>D+</v>
      </c>
      <c r="U346" s="3" t="s">
        <v>203</v>
      </c>
      <c r="V346" s="4" t="str">
        <f>IF(ISBLANK(C346),,IFERROR(IF(VLOOKUP(B346,Standings!$A:$F, 6, 0)=VLOOKUP(C346,Standings!$A:$F, 6, 0), VLOOKUP(B346,Standings!$A:$F, 6, 0), "Non-con"), "FCS"))</f>
        <v>CUSA</v>
      </c>
      <c r="W346" s="3" t="str">
        <f t="shared" si="10"/>
        <v>Texas-San Antonio</v>
      </c>
      <c r="X346" s="3" t="str">
        <f t="shared" si="11"/>
        <v>Louisiana Tech</v>
      </c>
      <c r="Y346" s="30">
        <f>IF(D346=0,,IF(ISBLANK(Q346),,VLOOKUP(X346,Week7,2,FALSE)/(VLOOKUP(X346,Week7,2,FALSE)+VLOOKUP(W346,Week7,2,FALSE))+0.05)*100)</f>
        <v>57.85757484</v>
      </c>
      <c r="Z346" s="3" t="s">
        <v>105</v>
      </c>
      <c r="AA346" s="3">
        <v>27.0</v>
      </c>
      <c r="AB346" s="4" t="str">
        <f t="shared" si="20"/>
        <v>Louisiana Tech</v>
      </c>
      <c r="AC346" s="3">
        <v>26.0</v>
      </c>
      <c r="AD346" s="3"/>
      <c r="AE346" s="3">
        <f t="shared" si="13"/>
        <v>1</v>
      </c>
      <c r="AF346" s="3"/>
      <c r="AG346" s="3">
        <f t="shared" si="133"/>
        <v>0</v>
      </c>
      <c r="AH346" s="3"/>
      <c r="AI346" s="7"/>
      <c r="AJ346" s="4"/>
      <c r="AK346" s="7"/>
      <c r="AL346" s="7"/>
      <c r="AM346" s="7"/>
      <c r="AN346" s="7"/>
      <c r="AO346" s="7"/>
      <c r="AP346" s="7"/>
      <c r="AQ346" s="7"/>
      <c r="AR346" s="7"/>
      <c r="AS346" s="7"/>
      <c r="AT346" s="7"/>
      <c r="AU346" s="7"/>
      <c r="AV346" s="7"/>
      <c r="AW346" s="7"/>
      <c r="AX346" s="7"/>
    </row>
    <row r="347" ht="12.75" hidden="1" customHeight="1">
      <c r="A347" s="3">
        <v>14.0</v>
      </c>
      <c r="B347" s="3" t="s">
        <v>129</v>
      </c>
      <c r="C347" s="3" t="s">
        <v>53</v>
      </c>
      <c r="D347" s="4">
        <f>IFERROR(VLOOKUP(B347,Week13,2,FALSE),0)</f>
        <v>41.43</v>
      </c>
      <c r="E347" s="4">
        <f>IF(ISBLANK(B347),,IFERROR(VLOOKUP(B347,CurrentRank!$B$2:$C$132,2,FALSE),0))</f>
        <v>39.96</v>
      </c>
      <c r="F347" s="4">
        <f>IFERROR(VLOOKUP(B347,Week13,3,FALSE),130)</f>
        <v>30</v>
      </c>
      <c r="G347" s="4">
        <f>IF(ISBLANK(B347),,IFERROR(VLOOKUP(B347,CurrentRank!$B$2:$D$132,3,FALSE),130))</f>
        <v>35</v>
      </c>
      <c r="H347" s="4">
        <f>IFERROR(VLOOKUP(C347,Week13,2,FALSE),0)</f>
        <v>33.97</v>
      </c>
      <c r="I347" s="4">
        <f>IF(ISBLANK(B347),,IFERROR(VLOOKUP(C347,CurrentRank!$B$2:$C$132,2,FALSE),0))</f>
        <v>37.27</v>
      </c>
      <c r="J347" s="4">
        <f>IFERROR(VLOOKUP(C347,Week13,3,FALSE),130)</f>
        <v>71</v>
      </c>
      <c r="K347" s="4">
        <f>IF(ISBLANK(C347),,IFERROR(VLOOKUP(C347,CurrentRank!$B$2:$D$132,3,FALSE),130))</f>
        <v>45</v>
      </c>
      <c r="L347" s="19">
        <f t="shared" ref="L347:M347" si="163">IF(ISBLANK(C347),,(D347+H347)*0.015)</f>
        <v>1.131</v>
      </c>
      <c r="M347" s="19">
        <f t="shared" si="163"/>
        <v>1.15845</v>
      </c>
      <c r="N347" s="24">
        <f t="shared" si="140"/>
        <v>50.5</v>
      </c>
      <c r="O347" s="21">
        <f t="shared" si="4"/>
        <v>3.1645</v>
      </c>
      <c r="P347" s="21">
        <f t="shared" si="162"/>
        <v>0.7795</v>
      </c>
      <c r="Q347" s="22">
        <f t="shared" si="6"/>
        <v>0.7316775</v>
      </c>
      <c r="R347" s="25" t="str">
        <f t="shared" si="7"/>
        <v>C</v>
      </c>
      <c r="S347" s="19" t="str">
        <f t="shared" si="8"/>
        <v/>
      </c>
      <c r="T347" s="19" t="str">
        <f t="shared" si="9"/>
        <v/>
      </c>
      <c r="U347" s="3" t="s">
        <v>203</v>
      </c>
      <c r="V347" s="4" t="str">
        <f>IF(ISBLANK(C347),,IFERROR(IF(VLOOKUP(B347,Standings!$A:$F, 6, 0)=VLOOKUP(C347,Standings!$A:$F, 6, 0), VLOOKUP(B347,Standings!$A:$F, 6, 0), "Non-con"), "FCS"))</f>
        <v>SEC</v>
      </c>
      <c r="W347" s="3" t="str">
        <f t="shared" si="10"/>
        <v>LSU</v>
      </c>
      <c r="X347" s="3" t="str">
        <f t="shared" si="11"/>
        <v>Mississippi</v>
      </c>
      <c r="Y347" s="30">
        <f>IF(D347=0,,IF(ISBLANK(Q347),,VLOOKUP(X347,Week13,2,FALSE)/(VLOOKUP(X347,Week13,2,FALSE)+VLOOKUP(W347,Week13,2,FALSE))+0.05)*100)</f>
        <v>59.9469496</v>
      </c>
      <c r="Z347" s="3"/>
      <c r="AA347" s="3"/>
      <c r="AB347" s="4" t="str">
        <f t="shared" si="20"/>
        <v/>
      </c>
      <c r="AC347" s="3"/>
      <c r="AD347" s="3"/>
      <c r="AE347" s="3" t="str">
        <f t="shared" si="13"/>
        <v/>
      </c>
      <c r="AF347" s="3" t="s">
        <v>228</v>
      </c>
      <c r="AG347" s="3" t="str">
        <f t="shared" si="133"/>
        <v/>
      </c>
      <c r="AH347" s="3"/>
      <c r="AI347" s="7"/>
      <c r="AJ347" s="4"/>
      <c r="AK347" s="7"/>
      <c r="AL347" s="7"/>
      <c r="AM347" s="7"/>
      <c r="AN347" s="7"/>
      <c r="AO347" s="7"/>
      <c r="AP347" s="7"/>
      <c r="AQ347" s="7"/>
      <c r="AR347" s="7"/>
      <c r="AS347" s="7"/>
      <c r="AT347" s="7"/>
      <c r="AU347" s="7"/>
      <c r="AV347" s="7"/>
      <c r="AW347" s="7"/>
      <c r="AX347" s="7"/>
    </row>
    <row r="348" ht="12.75" customHeight="1">
      <c r="A348" s="3">
        <v>13.0</v>
      </c>
      <c r="B348" s="3" t="s">
        <v>134</v>
      </c>
      <c r="C348" s="3" t="s">
        <v>126</v>
      </c>
      <c r="D348" s="4">
        <f>IFERROR(VLOOKUP(B348,Week12,2,FALSE),0)</f>
        <v>34.29</v>
      </c>
      <c r="E348" s="4">
        <f>IF(ISBLANK(B348),,IFERROR(VLOOKUP(B348,CurrentRank!$B$2:$C$132,2,FALSE),0))</f>
        <v>60.69</v>
      </c>
      <c r="F348" s="4">
        <f>IFERROR(VLOOKUP(B348,Week12,3,FALSE),130)</f>
        <v>67</v>
      </c>
      <c r="G348" s="4">
        <f>IF(ISBLANK(B348),,IFERROR(VLOOKUP(B348,CurrentRank!$B$2:$D$132,3,FALSE),130))</f>
        <v>21</v>
      </c>
      <c r="H348" s="4">
        <f>IFERROR(VLOOKUP(C348,Week12,2,FALSE),0)</f>
        <v>35.95</v>
      </c>
      <c r="I348" s="4">
        <f>IF(ISBLANK(B348),,IFERROR(VLOOKUP(C348,CurrentRank!$B$2:$C$132,2,FALSE),0))</f>
        <v>36.79</v>
      </c>
      <c r="J348" s="4">
        <f>IFERROR(VLOOKUP(C348,Week12,3,FALSE),130)</f>
        <v>56</v>
      </c>
      <c r="K348" s="4">
        <f>IF(ISBLANK(C348),,IFERROR(VLOOKUP(C348,CurrentRank!$B$2:$D$132,3,FALSE),130))</f>
        <v>49</v>
      </c>
      <c r="L348" s="19">
        <f t="shared" ref="L348:L368" si="164">IF(U348= "Yes", 0, IF(ISBLANK(C348),,(D348+H348)*0.015))</f>
        <v>1.0536</v>
      </c>
      <c r="M348" s="19">
        <f t="shared" ref="M348:M368" si="165">IF(U348= "Yes", 0, IF(ISBLANK(D348),,(E348+I348)*0.015))</f>
        <v>1.4622</v>
      </c>
      <c r="N348" s="24">
        <f t="shared" si="140"/>
        <v>61.5</v>
      </c>
      <c r="O348" s="21">
        <f t="shared" si="4"/>
        <v>-1.3568</v>
      </c>
      <c r="P348" s="21">
        <f t="shared" si="162"/>
        <v>11.4232</v>
      </c>
      <c r="Q348" s="22">
        <f t="shared" si="6"/>
        <v>0.685716</v>
      </c>
      <c r="R348" s="25" t="str">
        <f t="shared" si="7"/>
        <v>D+</v>
      </c>
      <c r="S348" s="19">
        <f t="shared" si="8"/>
        <v>0.6775</v>
      </c>
      <c r="T348" s="19" t="str">
        <f t="shared" si="9"/>
        <v>D+</v>
      </c>
      <c r="U348" s="3" t="s">
        <v>203</v>
      </c>
      <c r="V348" s="4" t="str">
        <f>IF(ISBLANK(C348),,IFERROR(IF(VLOOKUP(B348,Standings!$A:$F, 6, 0)=VLOOKUP(C348,Standings!$A:$F, 6, 0), VLOOKUP(B348,Standings!$A:$F, 6, 0), "Non-con"), "FCS"))</f>
        <v>MAC</v>
      </c>
      <c r="W348" s="3" t="str">
        <f t="shared" si="10"/>
        <v>Ball State</v>
      </c>
      <c r="X348" s="3" t="str">
        <f t="shared" si="11"/>
        <v>Toledo</v>
      </c>
      <c r="Y348" s="30">
        <f>IF(D348=0,,IF(ISBLANK(Q348),,VLOOKUP(X348,Week12,2,FALSE)/(VLOOKUP(X348,Week12,2,FALSE)+VLOOKUP(W348,Week12,2,FALSE))+0.05)*100)</f>
        <v>56.18166287</v>
      </c>
      <c r="Z348" s="3" t="s">
        <v>134</v>
      </c>
      <c r="AA348" s="3">
        <v>27.0</v>
      </c>
      <c r="AB348" s="4" t="str">
        <f t="shared" si="20"/>
        <v>Toledo</v>
      </c>
      <c r="AC348" s="3">
        <v>24.0</v>
      </c>
      <c r="AD348" s="3"/>
      <c r="AE348" s="3">
        <f t="shared" si="13"/>
        <v>3</v>
      </c>
      <c r="AF348" s="3"/>
      <c r="AG348" s="3">
        <f t="shared" si="133"/>
        <v>0</v>
      </c>
      <c r="AH348" s="3"/>
      <c r="AI348" s="7"/>
      <c r="AJ348" s="3" t="s">
        <v>265</v>
      </c>
      <c r="AK348" s="7"/>
      <c r="AL348" s="7"/>
      <c r="AM348" s="7"/>
      <c r="AN348" s="7"/>
      <c r="AO348" s="7"/>
      <c r="AP348" s="7"/>
      <c r="AQ348" s="7"/>
      <c r="AR348" s="7"/>
      <c r="AS348" s="7"/>
      <c r="AT348" s="7"/>
      <c r="AU348" s="7"/>
      <c r="AV348" s="7"/>
      <c r="AW348" s="7"/>
      <c r="AX348" s="7"/>
    </row>
    <row r="349" ht="12.75" hidden="1" customHeight="1">
      <c r="A349" s="3">
        <v>3.0</v>
      </c>
      <c r="B349" s="3" t="s">
        <v>106</v>
      </c>
      <c r="C349" s="3" t="s">
        <v>193</v>
      </c>
      <c r="D349" s="4">
        <f>IFERROR(VLOOKUP(B349,Week2,2,FALSE),0)</f>
        <v>27.07</v>
      </c>
      <c r="E349" s="4">
        <f>IF(ISBLANK(B349),,IFERROR(VLOOKUP(B349,CurrentRank!$B$2:$C$132,2,FALSE),0))</f>
        <v>65.58</v>
      </c>
      <c r="F349" s="4">
        <f>IFERROR(VLOOKUP(B349,Week2,3,FALSE),130)</f>
        <v>41</v>
      </c>
      <c r="G349" s="4">
        <f>IF(ISBLANK(B349),,IFERROR(VLOOKUP(B349,CurrentRank!$B$2:$D$132,3,FALSE),130))</f>
        <v>17</v>
      </c>
      <c r="H349" s="4">
        <f>IFERROR(VLOOKUP(C349,Week2,2,FALSE),0)</f>
        <v>22.24</v>
      </c>
      <c r="I349" s="4">
        <f>IF(ISBLANK(B349),,IFERROR(VLOOKUP(C349,CurrentRank!$B$2:$C$132,2,FALSE),0))</f>
        <v>29.31</v>
      </c>
      <c r="J349" s="4">
        <f>IFERROR(VLOOKUP(C349,Week2,3,FALSE),130)</f>
        <v>123</v>
      </c>
      <c r="K349" s="4">
        <f>IF(ISBLANK(C349),,IFERROR(VLOOKUP(C349,CurrentRank!$B$2:$D$132,3,FALSE),130))</f>
        <v>115</v>
      </c>
      <c r="L349" s="19">
        <f t="shared" si="164"/>
        <v>0.73965</v>
      </c>
      <c r="M349" s="19">
        <f t="shared" si="165"/>
        <v>1.42335</v>
      </c>
      <c r="N349" s="24">
        <f t="shared" si="140"/>
        <v>82</v>
      </c>
      <c r="O349" s="21">
        <f t="shared" si="4"/>
        <v>2.045175</v>
      </c>
      <c r="P349" s="21">
        <f t="shared" si="162"/>
        <v>17.765175</v>
      </c>
      <c r="Q349" s="22">
        <f t="shared" si="6"/>
        <v>0.579774125</v>
      </c>
      <c r="R349" s="25" t="str">
        <f t="shared" si="7"/>
        <v>F</v>
      </c>
      <c r="S349" s="19">
        <f t="shared" si="8"/>
        <v>0.56</v>
      </c>
      <c r="T349" s="19" t="str">
        <f t="shared" si="9"/>
        <v>F</v>
      </c>
      <c r="U349" s="3" t="s">
        <v>203</v>
      </c>
      <c r="V349" s="4" t="str">
        <f>IF(ISBLANK(C349),,IFERROR(IF(VLOOKUP(B349,Standings!$A:$F, 6, 0)=VLOOKUP(C349,Standings!$A:$F, 6, 0), VLOOKUP(B349,Standings!$A:$F, 6, 0), "Non-con"), "FCS"))</f>
        <v>Non-con</v>
      </c>
      <c r="W349" s="3" t="str">
        <f t="shared" si="10"/>
        <v>Western Kentucky</v>
      </c>
      <c r="X349" s="3" t="str">
        <f t="shared" si="11"/>
        <v>Liberty</v>
      </c>
      <c r="Y349" s="30">
        <f>IF(D349=0,,IF(ISBLANK(Q349),,VLOOKUP(X349,Week2,2,FALSE)/(VLOOKUP(X349,Week2,2,FALSE)+VLOOKUP(W349,Week2,2,FALSE))+0.05)*100)</f>
        <v>59.8975867</v>
      </c>
      <c r="Z349" s="3" t="s">
        <v>106</v>
      </c>
      <c r="AA349" s="3">
        <v>30.0</v>
      </c>
      <c r="AB349" s="4" t="str">
        <f t="shared" si="20"/>
        <v>Western Kentucky</v>
      </c>
      <c r="AC349" s="3">
        <v>24.0</v>
      </c>
      <c r="AD349" s="3"/>
      <c r="AE349" s="3">
        <f t="shared" si="13"/>
        <v>6</v>
      </c>
      <c r="AF349" s="3"/>
      <c r="AG349" s="3">
        <f t="shared" si="133"/>
        <v>1</v>
      </c>
      <c r="AH349" s="3"/>
      <c r="AI349" s="7"/>
      <c r="AJ349" s="4"/>
      <c r="AK349" s="7"/>
      <c r="AL349" s="7"/>
      <c r="AM349" s="7"/>
      <c r="AN349" s="7"/>
      <c r="AO349" s="7"/>
      <c r="AP349" s="7"/>
      <c r="AQ349" s="7"/>
      <c r="AR349" s="7"/>
      <c r="AS349" s="7"/>
      <c r="AT349" s="7"/>
      <c r="AU349" s="7"/>
      <c r="AV349" s="7"/>
      <c r="AW349" s="7"/>
      <c r="AX349" s="7"/>
    </row>
    <row r="350" ht="12.75" hidden="1" customHeight="1">
      <c r="A350" s="3">
        <v>3.0</v>
      </c>
      <c r="B350" s="3" t="s">
        <v>40</v>
      </c>
      <c r="C350" s="3" t="s">
        <v>94</v>
      </c>
      <c r="D350" s="4">
        <f>IFERROR(VLOOKUP(B350,Week2,2,FALSE),0)</f>
        <v>58.98</v>
      </c>
      <c r="E350" s="4">
        <f>IF(ISBLANK(B350),,IFERROR(VLOOKUP(B350,CurrentRank!$B$2:$C$132,2,FALSE),0))</f>
        <v>57.15</v>
      </c>
      <c r="F350" s="4">
        <f>IFERROR(VLOOKUP(B350,Week2,3,FALSE),130)</f>
        <v>12</v>
      </c>
      <c r="G350" s="4">
        <f>IF(ISBLANK(B350),,IFERROR(VLOOKUP(B350,CurrentRank!$B$2:$D$132,3,FALSE),130))</f>
        <v>23</v>
      </c>
      <c r="H350" s="4">
        <f>IFERROR(VLOOKUP(C350,Week2,2,FALSE),0)</f>
        <v>48.5</v>
      </c>
      <c r="I350" s="4">
        <f>IF(ISBLANK(B350),,IFERROR(VLOOKUP(C350,CurrentRank!$B$2:$C$132,2,FALSE),0))</f>
        <v>36.87</v>
      </c>
      <c r="J350" s="4">
        <f>IFERROR(VLOOKUP(C350,Week2,3,FALSE),130)</f>
        <v>21</v>
      </c>
      <c r="K350" s="4">
        <f>IF(ISBLANK(C350),,IFERROR(VLOOKUP(C350,CurrentRank!$B$2:$D$132,3,FALSE),130))</f>
        <v>48</v>
      </c>
      <c r="L350" s="19">
        <f t="shared" si="164"/>
        <v>1.6122</v>
      </c>
      <c r="M350" s="19">
        <f t="shared" si="165"/>
        <v>1.4103</v>
      </c>
      <c r="N350" s="24">
        <f t="shared" si="140"/>
        <v>16.5</v>
      </c>
      <c r="O350" s="21">
        <f t="shared" si="4"/>
        <v>4.4339</v>
      </c>
      <c r="P350" s="21">
        <f t="shared" si="162"/>
        <v>9.3339</v>
      </c>
      <c r="Q350" s="22">
        <f t="shared" si="6"/>
        <v>0.8953305</v>
      </c>
      <c r="R350" s="25" t="str">
        <f t="shared" si="7"/>
        <v>A-</v>
      </c>
      <c r="S350" s="19">
        <f t="shared" si="8"/>
        <v>0.8525</v>
      </c>
      <c r="T350" s="19" t="str">
        <f t="shared" si="9"/>
        <v>B</v>
      </c>
      <c r="U350" s="3" t="s">
        <v>203</v>
      </c>
      <c r="V350" s="4" t="str">
        <f>IF(ISBLANK(C350),,IFERROR(IF(VLOOKUP(B350,Standings!$A:$F, 6, 0)=VLOOKUP(C350,Standings!$A:$F, 6, 0), VLOOKUP(B350,Standings!$A:$F, 6, 0), "Non-con"), "FCS"))</f>
        <v>ACC</v>
      </c>
      <c r="W350" s="3" t="str">
        <f t="shared" si="10"/>
        <v>Louisville</v>
      </c>
      <c r="X350" s="3" t="str">
        <f t="shared" si="11"/>
        <v>Miami</v>
      </c>
      <c r="Y350" s="30">
        <f>IF(D350=0,,IF(ISBLANK(Q350),,VLOOKUP(X350,Week2,2,FALSE)/(VLOOKUP(X350,Week2,2,FALSE)+VLOOKUP(W350,Week2,2,FALSE))+0.05)*100)</f>
        <v>59.87532564</v>
      </c>
      <c r="Z350" s="3" t="s">
        <v>40</v>
      </c>
      <c r="AA350" s="3">
        <v>47.0</v>
      </c>
      <c r="AB350" s="4" t="str">
        <f t="shared" si="20"/>
        <v>Louisville</v>
      </c>
      <c r="AC350" s="3">
        <v>34.0</v>
      </c>
      <c r="AD350" s="3"/>
      <c r="AE350" s="3">
        <f t="shared" si="13"/>
        <v>13</v>
      </c>
      <c r="AF350" s="3"/>
      <c r="AG350" s="3">
        <f t="shared" si="133"/>
        <v>1</v>
      </c>
      <c r="AH350" s="3"/>
      <c r="AI350" s="7"/>
      <c r="AJ350" s="4"/>
      <c r="AK350" s="7"/>
      <c r="AL350" s="7"/>
      <c r="AM350" s="7"/>
      <c r="AN350" s="7"/>
      <c r="AO350" s="7"/>
      <c r="AP350" s="7"/>
      <c r="AQ350" s="7"/>
      <c r="AR350" s="7"/>
      <c r="AS350" s="7"/>
      <c r="AT350" s="7"/>
      <c r="AU350" s="7"/>
      <c r="AV350" s="7"/>
      <c r="AW350" s="7"/>
      <c r="AX350" s="7"/>
    </row>
    <row r="351" ht="12.75" hidden="1" customHeight="1">
      <c r="A351" s="3">
        <v>13.0</v>
      </c>
      <c r="B351" s="3" t="s">
        <v>92</v>
      </c>
      <c r="C351" s="3" t="s">
        <v>46</v>
      </c>
      <c r="D351" s="4">
        <f>IFERROR(VLOOKUP(B351,Week12,2,FALSE),0)</f>
        <v>69.12</v>
      </c>
      <c r="E351" s="4">
        <f>IF(ISBLANK(B351),,IFERROR(VLOOKUP(B351,CurrentRank!$B$2:$C$132,2,FALSE),0))</f>
        <v>73.64</v>
      </c>
      <c r="F351" s="4">
        <f>IFERROR(VLOOKUP(B351,Week12,3,FALSE),130)</f>
        <v>17</v>
      </c>
      <c r="G351" s="4">
        <f>IF(ISBLANK(B351),,IFERROR(VLOOKUP(B351,CurrentRank!$B$2:$D$132,3,FALSE),130))</f>
        <v>8</v>
      </c>
      <c r="H351" s="4">
        <f>IFERROR(VLOOKUP(C351,Week12,2,FALSE),0)</f>
        <v>56.97</v>
      </c>
      <c r="I351" s="4">
        <f>IF(ISBLANK(B351),,IFERROR(VLOOKUP(C351,CurrentRank!$B$2:$C$132,2,FALSE),0))</f>
        <v>62.29</v>
      </c>
      <c r="J351" s="4">
        <f>IFERROR(VLOOKUP(C351,Week12,3,FALSE),130)</f>
        <v>23</v>
      </c>
      <c r="K351" s="4">
        <f>IF(ISBLANK(C351),,IFERROR(VLOOKUP(C351,CurrentRank!$B$2:$D$132,3,FALSE),130))</f>
        <v>20</v>
      </c>
      <c r="L351" s="19">
        <f t="shared" si="164"/>
        <v>1.89135</v>
      </c>
      <c r="M351" s="19">
        <f t="shared" si="165"/>
        <v>2.03895</v>
      </c>
      <c r="N351" s="24">
        <f t="shared" si="140"/>
        <v>20</v>
      </c>
      <c r="O351" s="21">
        <f t="shared" si="4"/>
        <v>5.129325</v>
      </c>
      <c r="P351" s="21">
        <f t="shared" si="162"/>
        <v>4.729325</v>
      </c>
      <c r="Q351" s="22">
        <f t="shared" si="6"/>
        <v>0.874353375</v>
      </c>
      <c r="R351" s="25" t="str">
        <f t="shared" si="7"/>
        <v>B+</v>
      </c>
      <c r="S351" s="19">
        <f t="shared" si="8"/>
        <v>0.885</v>
      </c>
      <c r="T351" s="19" t="str">
        <f t="shared" si="9"/>
        <v>B+</v>
      </c>
      <c r="U351" s="3" t="s">
        <v>203</v>
      </c>
      <c r="V351" s="4" t="str">
        <f>IF(ISBLANK(C351),,IFERROR(IF(VLOOKUP(B351,Standings!$A:$F, 6, 0)=VLOOKUP(C351,Standings!$A:$F, 6, 0), VLOOKUP(B351,Standings!$A:$F, 6, 0), "Non-con"), "FCS"))</f>
        <v>BIG12</v>
      </c>
      <c r="W351" s="3" t="str">
        <f t="shared" si="10"/>
        <v>Texas</v>
      </c>
      <c r="X351" s="3" t="str">
        <f t="shared" si="11"/>
        <v>Iowa State</v>
      </c>
      <c r="Y351" s="30">
        <f>IF(D351=0,,IF(ISBLANK(Q351),,VLOOKUP(X351,Week12,2,FALSE)/(VLOOKUP(X351,Week12,2,FALSE)+VLOOKUP(W351,Week12,2,FALSE))+0.05)*100)</f>
        <v>59.81798715</v>
      </c>
      <c r="Z351" s="3" t="s">
        <v>92</v>
      </c>
      <c r="AA351" s="3">
        <v>23.0</v>
      </c>
      <c r="AB351" s="4" t="str">
        <f t="shared" si="20"/>
        <v>Texas</v>
      </c>
      <c r="AC351" s="3">
        <v>20.0</v>
      </c>
      <c r="AD351" s="3"/>
      <c r="AE351" s="3">
        <f t="shared" si="13"/>
        <v>3</v>
      </c>
      <c r="AF351" s="3"/>
      <c r="AG351" s="3">
        <f t="shared" si="133"/>
        <v>1</v>
      </c>
      <c r="AH351" s="3"/>
      <c r="AI351" s="7"/>
      <c r="AJ351" s="4" t="s">
        <v>60</v>
      </c>
      <c r="AK351" s="7"/>
      <c r="AL351" s="7"/>
      <c r="AM351" s="7"/>
      <c r="AN351" s="7"/>
      <c r="AO351" s="7"/>
      <c r="AP351" s="7"/>
      <c r="AQ351" s="7"/>
      <c r="AR351" s="7"/>
      <c r="AS351" s="7"/>
      <c r="AT351" s="7"/>
      <c r="AU351" s="7"/>
      <c r="AV351" s="7"/>
      <c r="AW351" s="7"/>
      <c r="AX351" s="7"/>
    </row>
    <row r="352" ht="12.75" customHeight="1">
      <c r="A352" s="3">
        <v>7.0</v>
      </c>
      <c r="B352" s="3" t="s">
        <v>38</v>
      </c>
      <c r="C352" s="3" t="s">
        <v>147</v>
      </c>
      <c r="D352" s="4">
        <f>IFERROR(VLOOKUP(B352,Week6,2,FALSE),0)</f>
        <v>84.52</v>
      </c>
      <c r="E352" s="4">
        <f>IF(ISBLANK(B352),,IFERROR(VLOOKUP(B352,CurrentRank!$B$2:$C$132,2,FALSE),0))</f>
        <v>63.1</v>
      </c>
      <c r="F352" s="4">
        <f>IFERROR(VLOOKUP(B352,Week6,3,FALSE),130)</f>
        <v>4</v>
      </c>
      <c r="G352" s="4">
        <f>IF(ISBLANK(B352),,IFERROR(VLOOKUP(B352,CurrentRank!$B$2:$D$132,3,FALSE),130))</f>
        <v>18</v>
      </c>
      <c r="H352" s="4">
        <f>IFERROR(VLOOKUP(C352,Week6,2,FALSE),0)</f>
        <v>27.29</v>
      </c>
      <c r="I352" s="4">
        <f>IF(ISBLANK(B352),,IFERROR(VLOOKUP(C352,CurrentRank!$B$2:$C$132,2,FALSE),0))</f>
        <v>32.08</v>
      </c>
      <c r="J352" s="4">
        <f>IFERROR(VLOOKUP(C352,Week6,3,FALSE),130)</f>
        <v>124</v>
      </c>
      <c r="K352" s="4">
        <f>IF(ISBLANK(C352),,IFERROR(VLOOKUP(C352,CurrentRank!$B$2:$D$132,3,FALSE),130))</f>
        <v>93</v>
      </c>
      <c r="L352" s="19">
        <f t="shared" si="164"/>
        <v>1.67715</v>
      </c>
      <c r="M352" s="19">
        <f t="shared" si="165"/>
        <v>1.4277</v>
      </c>
      <c r="N352" s="24">
        <f t="shared" si="140"/>
        <v>64</v>
      </c>
      <c r="O352" s="21">
        <f t="shared" si="4"/>
        <v>27.776425</v>
      </c>
      <c r="P352" s="21">
        <f t="shared" si="162"/>
        <v>14.671425</v>
      </c>
      <c r="Q352" s="22">
        <f t="shared" si="6"/>
        <v>0.541117875</v>
      </c>
      <c r="R352" s="25" t="str">
        <f t="shared" si="7"/>
        <v>F</v>
      </c>
      <c r="S352" s="19">
        <f t="shared" si="8"/>
        <v>0.665</v>
      </c>
      <c r="T352" s="19" t="str">
        <f t="shared" si="9"/>
        <v>D+</v>
      </c>
      <c r="U352" s="3" t="s">
        <v>203</v>
      </c>
      <c r="V352" s="4" t="str">
        <f>IF(ISBLANK(C352),,IFERROR(IF(VLOOKUP(B352,Standings!$A:$F, 6, 0)=VLOOKUP(C352,Standings!$A:$F, 6, 0), VLOOKUP(B352,Standings!$A:$F, 6, 0), "Non-con"), "FCS"))</f>
        <v>ACC</v>
      </c>
      <c r="W352" s="3" t="str">
        <f t="shared" si="10"/>
        <v>Florida State</v>
      </c>
      <c r="X352" s="3" t="str">
        <f t="shared" si="11"/>
        <v>North Carolina</v>
      </c>
      <c r="Y352" s="30">
        <f>IF(D352=0,,IF(ISBLANK(Q352),,VLOOKUP(X352,Week6,2,FALSE)/(VLOOKUP(X352,Week6,2,FALSE)+VLOOKUP(W352,Week6,2,FALSE))+0.05)*100)</f>
        <v>80.59252303</v>
      </c>
      <c r="Z352" s="3" t="s">
        <v>147</v>
      </c>
      <c r="AA352" s="3">
        <v>31.0</v>
      </c>
      <c r="AB352" s="4" t="str">
        <f t="shared" si="20"/>
        <v>North Carolina</v>
      </c>
      <c r="AC352" s="3">
        <v>28.0</v>
      </c>
      <c r="AD352" s="3"/>
      <c r="AE352" s="3">
        <f t="shared" si="13"/>
        <v>3</v>
      </c>
      <c r="AF352" s="3"/>
      <c r="AG352" s="3">
        <f t="shared" si="133"/>
        <v>0</v>
      </c>
      <c r="AH352" s="3"/>
      <c r="AI352" s="7"/>
      <c r="AJ352" s="4"/>
      <c r="AK352" s="7"/>
      <c r="AL352" s="7"/>
      <c r="AM352" s="7"/>
      <c r="AN352" s="7"/>
      <c r="AO352" s="7"/>
      <c r="AP352" s="7"/>
      <c r="AQ352" s="7"/>
      <c r="AR352" s="7"/>
      <c r="AS352" s="7"/>
      <c r="AT352" s="7"/>
      <c r="AU352" s="7"/>
      <c r="AV352" s="7"/>
      <c r="AW352" s="7"/>
      <c r="AX352" s="7"/>
    </row>
    <row r="353" ht="12.75" hidden="1" customHeight="1">
      <c r="A353" s="3">
        <v>12.0</v>
      </c>
      <c r="B353" s="3" t="s">
        <v>105</v>
      </c>
      <c r="C353" s="3" t="s">
        <v>170</v>
      </c>
      <c r="D353" s="4">
        <f>IFERROR(VLOOKUP(B353,Week11,2,FALSE),0)</f>
        <v>29.97</v>
      </c>
      <c r="E353" s="4">
        <f>IF(ISBLANK(B353),,IFERROR(VLOOKUP(B353,CurrentRank!$B$2:$C$132,2,FALSE),0))</f>
        <v>32.43</v>
      </c>
      <c r="F353" s="4">
        <f>IFERROR(VLOOKUP(B353,Week11,3,FALSE),130)</f>
        <v>107</v>
      </c>
      <c r="G353" s="4">
        <f>IF(ISBLANK(B353),,IFERROR(VLOOKUP(B353,CurrentRank!$B$2:$D$132,3,FALSE),130))</f>
        <v>90</v>
      </c>
      <c r="H353" s="4">
        <f>IFERROR(VLOOKUP(C353,Week11,2,FALSE),0)</f>
        <v>24.77</v>
      </c>
      <c r="I353" s="4">
        <f>IF(ISBLANK(B353),,IFERROR(VLOOKUP(C353,CurrentRank!$B$2:$C$132,2,FALSE),0))</f>
        <v>28.08</v>
      </c>
      <c r="J353" s="4">
        <f>IFERROR(VLOOKUP(C353,Week11,3,FALSE),130)</f>
        <v>126</v>
      </c>
      <c r="K353" s="4">
        <f>IF(ISBLANK(C353),,IFERROR(VLOOKUP(C353,CurrentRank!$B$2:$D$132,3,FALSE),130))</f>
        <v>121</v>
      </c>
      <c r="L353" s="19">
        <f t="shared" si="164"/>
        <v>0.8211</v>
      </c>
      <c r="M353" s="19">
        <f t="shared" si="165"/>
        <v>0.90765</v>
      </c>
      <c r="N353" s="24">
        <f t="shared" si="140"/>
        <v>116.5</v>
      </c>
      <c r="O353" s="21">
        <f t="shared" si="4"/>
        <v>2.18945</v>
      </c>
      <c r="P353" s="21">
        <f t="shared" si="162"/>
        <v>1.76445</v>
      </c>
      <c r="Q353" s="22">
        <f t="shared" si="6"/>
        <v>0.40655275</v>
      </c>
      <c r="R353" s="25" t="str">
        <f t="shared" si="7"/>
        <v>F</v>
      </c>
      <c r="S353" s="19">
        <f t="shared" si="8"/>
        <v>0.4025</v>
      </c>
      <c r="T353" s="19" t="str">
        <f t="shared" si="9"/>
        <v>F</v>
      </c>
      <c r="U353" s="3" t="s">
        <v>203</v>
      </c>
      <c r="V353" s="4" t="str">
        <f>IF(ISBLANK(C353),,IFERROR(IF(VLOOKUP(B353,Standings!$A:$F, 6, 0)=VLOOKUP(C353,Standings!$A:$F, 6, 0), VLOOKUP(B353,Standings!$A:$F, 6, 0), "Non-con"), "FCS"))</f>
        <v>CUSA</v>
      </c>
      <c r="W353" s="3" t="str">
        <f t="shared" si="10"/>
        <v>Southern Mississippi</v>
      </c>
      <c r="X353" s="3" t="str">
        <f t="shared" si="11"/>
        <v>Texas-San Antonio</v>
      </c>
      <c r="Y353" s="30">
        <f>IF(D353=0,,IF(ISBLANK(Q353),,VLOOKUP(X353,Week11,2,FALSE)/(VLOOKUP(X353,Week11,2,FALSE)+VLOOKUP(W353,Week11,2,FALSE))+0.05)*100)</f>
        <v>59.74972598</v>
      </c>
      <c r="Z353" s="3" t="s">
        <v>105</v>
      </c>
      <c r="AA353" s="3">
        <v>23.0</v>
      </c>
      <c r="AB353" s="4" t="str">
        <f t="shared" si="20"/>
        <v>Southern Mississippi</v>
      </c>
      <c r="AC353" s="3">
        <v>20.0</v>
      </c>
      <c r="AD353" s="3"/>
      <c r="AE353" s="3">
        <f t="shared" si="13"/>
        <v>3</v>
      </c>
      <c r="AF353" s="3"/>
      <c r="AG353" s="3">
        <f t="shared" si="133"/>
        <v>1</v>
      </c>
      <c r="AH353" s="3"/>
      <c r="AI353" s="7"/>
      <c r="AJ353" s="4"/>
      <c r="AK353" s="7"/>
      <c r="AL353" s="7"/>
      <c r="AM353" s="7"/>
      <c r="AN353" s="7"/>
      <c r="AO353" s="7"/>
      <c r="AP353" s="7"/>
      <c r="AQ353" s="7"/>
      <c r="AR353" s="7"/>
      <c r="AS353" s="7"/>
      <c r="AT353" s="7"/>
      <c r="AU353" s="7"/>
      <c r="AV353" s="7"/>
      <c r="AW353" s="7"/>
      <c r="AX353" s="7"/>
    </row>
    <row r="354" ht="12.75" customHeight="1">
      <c r="A354" s="3">
        <v>9.0</v>
      </c>
      <c r="B354" s="3" t="s">
        <v>102</v>
      </c>
      <c r="C354" s="3" t="s">
        <v>131</v>
      </c>
      <c r="D354" s="4">
        <f>IFERROR(VLOOKUP(B354,Week8,2,FALSE),0)</f>
        <v>36.11</v>
      </c>
      <c r="E354" s="4">
        <f>IF(ISBLANK(B354),,IFERROR(VLOOKUP(B354,CurrentRank!$B$2:$C$132,2,FALSE),0))</f>
        <v>31.07</v>
      </c>
      <c r="F354" s="4">
        <f>IFERROR(VLOOKUP(B354,Week8,3,FALSE),130)</f>
        <v>54</v>
      </c>
      <c r="G354" s="4">
        <f>IF(ISBLANK(B354),,IFERROR(VLOOKUP(B354,CurrentRank!$B$2:$D$132,3,FALSE),130))</f>
        <v>102</v>
      </c>
      <c r="H354" s="4">
        <f>IFERROR(VLOOKUP(C354,Week8,2,FALSE),0)</f>
        <v>33.32</v>
      </c>
      <c r="I354" s="4">
        <f>IF(ISBLANK(B354),,IFERROR(VLOOKUP(C354,CurrentRank!$B$2:$C$132,2,FALSE),0))</f>
        <v>33.34</v>
      </c>
      <c r="J354" s="4">
        <f>IFERROR(VLOOKUP(C354,Week8,3,FALSE),130)</f>
        <v>66</v>
      </c>
      <c r="K354" s="4">
        <f>IF(ISBLANK(C354),,IFERROR(VLOOKUP(C354,CurrentRank!$B$2:$D$132,3,FALSE),130))</f>
        <v>82</v>
      </c>
      <c r="L354" s="19">
        <f t="shared" si="164"/>
        <v>1.04145</v>
      </c>
      <c r="M354" s="19">
        <f t="shared" si="165"/>
        <v>0.96615</v>
      </c>
      <c r="N354" s="24">
        <f t="shared" si="140"/>
        <v>60</v>
      </c>
      <c r="O354" s="21">
        <f t="shared" si="4"/>
        <v>0.874275</v>
      </c>
      <c r="P354" s="21">
        <f t="shared" si="162"/>
        <v>-1.655725</v>
      </c>
      <c r="Q354" s="22">
        <f t="shared" si="6"/>
        <v>0.695628625</v>
      </c>
      <c r="R354" s="25" t="str">
        <f t="shared" si="7"/>
        <v>C-</v>
      </c>
      <c r="S354" s="19">
        <f t="shared" si="8"/>
        <v>0.665</v>
      </c>
      <c r="T354" s="19" t="str">
        <f t="shared" si="9"/>
        <v>D+</v>
      </c>
      <c r="U354" s="3" t="s">
        <v>203</v>
      </c>
      <c r="V354" s="4" t="str">
        <f>IF(ISBLANK(C354),,IFERROR(IF(VLOOKUP(B354,Standings!$A:$F, 6, 0)=VLOOKUP(C354,Standings!$A:$F, 6, 0), VLOOKUP(B354,Standings!$A:$F, 6, 0), "Non-con"), "FCS"))</f>
        <v>SUN</v>
      </c>
      <c r="W354" s="3" t="str">
        <f t="shared" si="10"/>
        <v>Georgia Southern</v>
      </c>
      <c r="X354" s="3" t="str">
        <f t="shared" si="11"/>
        <v>South Alabama</v>
      </c>
      <c r="Y354" s="30">
        <f>IF(D354=0,,IF(ISBLANK(Q354),,VLOOKUP(X354,Week8,2,FALSE)/(VLOOKUP(X354,Week8,2,FALSE)+VLOOKUP(W354,Week8,2,FALSE))+0.05)*100)</f>
        <v>57.00921792</v>
      </c>
      <c r="Z354" s="3" t="s">
        <v>131</v>
      </c>
      <c r="AA354" s="3">
        <v>24.0</v>
      </c>
      <c r="AB354" s="4" t="str">
        <f t="shared" si="20"/>
        <v>South Alabama</v>
      </c>
      <c r="AC354" s="3">
        <v>17.0</v>
      </c>
      <c r="AD354" s="3"/>
      <c r="AE354" s="3">
        <f t="shared" si="13"/>
        <v>7</v>
      </c>
      <c r="AF354" s="3"/>
      <c r="AG354" s="3">
        <f t="shared" si="133"/>
        <v>0</v>
      </c>
      <c r="AH354" s="3"/>
      <c r="AI354" s="7"/>
      <c r="AJ354" s="4"/>
      <c r="AK354" s="7"/>
      <c r="AL354" s="7"/>
      <c r="AM354" s="7"/>
      <c r="AN354" s="7"/>
      <c r="AO354" s="7"/>
      <c r="AP354" s="7"/>
      <c r="AQ354" s="7"/>
      <c r="AR354" s="7"/>
      <c r="AS354" s="7"/>
      <c r="AT354" s="7"/>
      <c r="AU354" s="7"/>
      <c r="AV354" s="7"/>
      <c r="AW354" s="7"/>
      <c r="AX354" s="7"/>
    </row>
    <row r="355" ht="12.75" hidden="1" customHeight="1">
      <c r="A355" s="3">
        <v>9.0</v>
      </c>
      <c r="B355" s="3" t="s">
        <v>148</v>
      </c>
      <c r="C355" s="3" t="s">
        <v>132</v>
      </c>
      <c r="D355" s="4">
        <f>IFERROR(VLOOKUP(B355,Week8,2,FALSE),0)</f>
        <v>32.26</v>
      </c>
      <c r="E355" s="4">
        <f>IF(ISBLANK(B355),,IFERROR(VLOOKUP(B355,CurrentRank!$B$2:$C$132,2,FALSE),0))</f>
        <v>32.94</v>
      </c>
      <c r="F355" s="4">
        <f>IFERROR(VLOOKUP(B355,Week8,3,FALSE),130)</f>
        <v>69</v>
      </c>
      <c r="G355" s="4">
        <f>IF(ISBLANK(B355),,IFERROR(VLOOKUP(B355,CurrentRank!$B$2:$D$132,3,FALSE),130))</f>
        <v>87</v>
      </c>
      <c r="H355" s="4">
        <f>IFERROR(VLOOKUP(C355,Week8,2,FALSE),0)</f>
        <v>38.93</v>
      </c>
      <c r="I355" s="4">
        <f>IF(ISBLANK(B355),,IFERROR(VLOOKUP(C355,CurrentRank!$B$2:$C$132,2,FALSE),0))</f>
        <v>37.38</v>
      </c>
      <c r="J355" s="4">
        <f>IFERROR(VLOOKUP(C355,Week8,3,FALSE),130)</f>
        <v>41</v>
      </c>
      <c r="K355" s="4">
        <f>IF(ISBLANK(C355),,IFERROR(VLOOKUP(C355,CurrentRank!$B$2:$D$132,3,FALSE),130))</f>
        <v>43</v>
      </c>
      <c r="L355" s="19">
        <f t="shared" si="164"/>
        <v>1.06785</v>
      </c>
      <c r="M355" s="19">
        <f t="shared" si="165"/>
        <v>1.0548</v>
      </c>
      <c r="N355" s="24">
        <f t="shared" si="140"/>
        <v>55</v>
      </c>
      <c r="O355" s="21">
        <f t="shared" si="4"/>
        <v>-3.868925</v>
      </c>
      <c r="P355" s="21">
        <f t="shared" si="162"/>
        <v>-2.753925</v>
      </c>
      <c r="Q355" s="22">
        <f t="shared" si="6"/>
        <v>0.705655375</v>
      </c>
      <c r="R355" s="25" t="str">
        <f t="shared" si="7"/>
        <v>C-</v>
      </c>
      <c r="S355" s="19">
        <f t="shared" si="8"/>
        <v>0.705</v>
      </c>
      <c r="T355" s="19" t="str">
        <f t="shared" si="9"/>
        <v>C-</v>
      </c>
      <c r="U355" s="3" t="s">
        <v>203</v>
      </c>
      <c r="V355" s="4" t="str">
        <f>IF(ISBLANK(C355),,IFERROR(IF(VLOOKUP(B355,Standings!$A:$F, 6, 0)=VLOOKUP(C355,Standings!$A:$F, 6, 0), VLOOKUP(B355,Standings!$A:$F, 6, 0), "Non-con"), "FCS"))</f>
        <v>AAC</v>
      </c>
      <c r="W355" s="3" t="str">
        <f t="shared" si="10"/>
        <v>East Carolina</v>
      </c>
      <c r="X355" s="3" t="str">
        <f t="shared" si="11"/>
        <v>Tulsa</v>
      </c>
      <c r="Y355" s="30">
        <f>IF(D355=0,,IF(ISBLANK(Q355),,VLOOKUP(X355,Week8,2,FALSE)/(VLOOKUP(X355,Week8,2,FALSE)+VLOOKUP(W355,Week8,2,FALSE))+0.05)*100)</f>
        <v>59.68464672</v>
      </c>
      <c r="Z355" s="3" t="s">
        <v>132</v>
      </c>
      <c r="AA355" s="3">
        <v>34.0</v>
      </c>
      <c r="AB355" s="4" t="str">
        <f t="shared" si="20"/>
        <v>East Carolina</v>
      </c>
      <c r="AC355" s="3">
        <v>30.0</v>
      </c>
      <c r="AD355" s="3"/>
      <c r="AE355" s="3">
        <f t="shared" si="13"/>
        <v>4</v>
      </c>
      <c r="AF355" s="3"/>
      <c r="AG355" s="3">
        <f t="shared" si="133"/>
        <v>1</v>
      </c>
      <c r="AH355" s="3"/>
      <c r="AI355" s="7"/>
      <c r="AJ355" s="4"/>
      <c r="AK355" s="7"/>
      <c r="AL355" s="7"/>
      <c r="AM355" s="7"/>
      <c r="AN355" s="7"/>
      <c r="AO355" s="7"/>
      <c r="AP355" s="7"/>
      <c r="AQ355" s="7"/>
      <c r="AR355" s="7"/>
      <c r="AS355" s="7"/>
      <c r="AT355" s="7"/>
      <c r="AU355" s="7"/>
      <c r="AV355" s="7"/>
      <c r="AW355" s="7"/>
      <c r="AX355" s="7"/>
    </row>
    <row r="356" ht="12.75" hidden="1" customHeight="1">
      <c r="A356" s="3">
        <v>10.0</v>
      </c>
      <c r="B356" s="3" t="s">
        <v>117</v>
      </c>
      <c r="C356" s="3" t="s">
        <v>46</v>
      </c>
      <c r="D356" s="4">
        <f>IFERROR(VLOOKUP(B356,Week9,2,FALSE),0)</f>
        <v>38.09</v>
      </c>
      <c r="E356" s="4">
        <f>IF(ISBLANK(B356),,IFERROR(VLOOKUP(B356,CurrentRank!$B$2:$C$132,2,FALSE),0))</f>
        <v>38.08</v>
      </c>
      <c r="F356" s="4">
        <f>IFERROR(VLOOKUP(B356,Week9,3,FALSE),130)</f>
        <v>45</v>
      </c>
      <c r="G356" s="4">
        <f>IF(ISBLANK(B356),,IFERROR(VLOOKUP(B356,CurrentRank!$B$2:$D$132,3,FALSE),130))</f>
        <v>37</v>
      </c>
      <c r="H356" s="4">
        <f>IFERROR(VLOOKUP(C356,Week9,2,FALSE),0)</f>
        <v>45.9</v>
      </c>
      <c r="I356" s="4">
        <f>IF(ISBLANK(B356),,IFERROR(VLOOKUP(C356,CurrentRank!$B$2:$C$132,2,FALSE),0))</f>
        <v>62.29</v>
      </c>
      <c r="J356" s="4">
        <f>IFERROR(VLOOKUP(C356,Week9,3,FALSE),130)</f>
        <v>27</v>
      </c>
      <c r="K356" s="4">
        <f>IF(ISBLANK(C356),,IFERROR(VLOOKUP(C356,CurrentRank!$B$2:$D$132,3,FALSE),130))</f>
        <v>20</v>
      </c>
      <c r="L356" s="19">
        <f t="shared" si="164"/>
        <v>1.25985</v>
      </c>
      <c r="M356" s="19">
        <f t="shared" si="165"/>
        <v>1.50555</v>
      </c>
      <c r="N356" s="24">
        <f t="shared" si="140"/>
        <v>36</v>
      </c>
      <c r="O356" s="21">
        <f t="shared" si="4"/>
        <v>-4.534925</v>
      </c>
      <c r="P356" s="21">
        <f t="shared" si="162"/>
        <v>-12.734925</v>
      </c>
      <c r="Q356" s="22">
        <f t="shared" si="6"/>
        <v>0.797325375</v>
      </c>
      <c r="R356" s="25" t="str">
        <f t="shared" si="7"/>
        <v>B-</v>
      </c>
      <c r="S356" s="19">
        <f t="shared" si="8"/>
        <v>0.8</v>
      </c>
      <c r="T356" s="19" t="str">
        <f t="shared" si="9"/>
        <v>B-</v>
      </c>
      <c r="U356" s="3" t="s">
        <v>203</v>
      </c>
      <c r="V356" s="4" t="str">
        <f>IF(ISBLANK(C356),,IFERROR(IF(VLOOKUP(B356,Standings!$A:$F, 6, 0)=VLOOKUP(C356,Standings!$A:$F, 6, 0), VLOOKUP(B356,Standings!$A:$F, 6, 0), "Non-con"), "FCS"))</f>
        <v>BIG12</v>
      </c>
      <c r="W356" s="3" t="str">
        <f t="shared" si="10"/>
        <v>West Virginia</v>
      </c>
      <c r="X356" s="3" t="str">
        <f t="shared" si="11"/>
        <v>Texas</v>
      </c>
      <c r="Y356" s="30">
        <f>IF(D356=0,,IF(ISBLANK(Q356),,VLOOKUP(X356,Week9,2,FALSE)/(VLOOKUP(X356,Week9,2,FALSE)+VLOOKUP(W356,Week9,2,FALSE))+0.05)*100)</f>
        <v>59.64936302</v>
      </c>
      <c r="Z356" s="3" t="s">
        <v>46</v>
      </c>
      <c r="AA356" s="3">
        <v>17.0</v>
      </c>
      <c r="AB356" s="4" t="str">
        <f t="shared" si="20"/>
        <v>West Virginia</v>
      </c>
      <c r="AC356" s="3">
        <v>13.0</v>
      </c>
      <c r="AD356" s="3"/>
      <c r="AE356" s="3">
        <f t="shared" si="13"/>
        <v>4</v>
      </c>
      <c r="AF356" s="3"/>
      <c r="AG356" s="3">
        <f t="shared" si="133"/>
        <v>1</v>
      </c>
      <c r="AH356" s="3"/>
      <c r="AI356" s="7"/>
      <c r="AJ356" s="4" t="s">
        <v>95</v>
      </c>
      <c r="AK356" s="7"/>
      <c r="AL356" s="7"/>
      <c r="AM356" s="7"/>
      <c r="AN356" s="7"/>
      <c r="AO356" s="7"/>
      <c r="AP356" s="7"/>
      <c r="AQ356" s="7"/>
      <c r="AR356" s="7"/>
      <c r="AS356" s="7"/>
      <c r="AT356" s="7"/>
      <c r="AU356" s="7"/>
      <c r="AV356" s="7"/>
      <c r="AW356" s="7"/>
      <c r="AX356" s="7"/>
    </row>
    <row r="357" ht="12.75" hidden="1" customHeight="1">
      <c r="A357" s="3">
        <v>13.0</v>
      </c>
      <c r="B357" s="3" t="s">
        <v>60</v>
      </c>
      <c r="C357" s="3" t="s">
        <v>130</v>
      </c>
      <c r="D357" s="4">
        <f>IFERROR(VLOOKUP(B357,Week12,2,FALSE),0)</f>
        <v>35.97</v>
      </c>
      <c r="E357" s="4">
        <f>IF(ISBLANK(B357),,IFERROR(VLOOKUP(B357,CurrentRank!$B$2:$C$132,2,FALSE),0))</f>
        <v>35.34</v>
      </c>
      <c r="F357" s="4">
        <f>IFERROR(VLOOKUP(B357,Week12,3,FALSE),130)</f>
        <v>55</v>
      </c>
      <c r="G357" s="4">
        <f>IF(ISBLANK(B357),,IFERROR(VLOOKUP(B357,CurrentRank!$B$2:$D$132,3,FALSE),130))</f>
        <v>61</v>
      </c>
      <c r="H357" s="4">
        <f>IFERROR(VLOOKUP(C357,Week12,2,FALSE),0)</f>
        <v>29.86</v>
      </c>
      <c r="I357" s="4">
        <f>IF(ISBLANK(B357),,IFERROR(VLOOKUP(C357,CurrentRank!$B$2:$C$132,2,FALSE),0))</f>
        <v>29.22</v>
      </c>
      <c r="J357" s="4">
        <f>IFERROR(VLOOKUP(C357,Week12,3,FALSE),130)</f>
        <v>109</v>
      </c>
      <c r="K357" s="4">
        <f>IF(ISBLANK(C357),,IFERROR(VLOOKUP(C357,CurrentRank!$B$2:$D$132,3,FALSE),130))</f>
        <v>116</v>
      </c>
      <c r="L357" s="19">
        <f t="shared" si="164"/>
        <v>0.98745</v>
      </c>
      <c r="M357" s="19">
        <f t="shared" si="165"/>
        <v>0.9684</v>
      </c>
      <c r="N357" s="24">
        <f t="shared" si="140"/>
        <v>82</v>
      </c>
      <c r="O357" s="21">
        <f t="shared" si="4"/>
        <v>2.561275</v>
      </c>
      <c r="P357" s="21">
        <f t="shared" si="162"/>
        <v>2.566275</v>
      </c>
      <c r="Q357" s="22">
        <f t="shared" si="6"/>
        <v>0.577193625</v>
      </c>
      <c r="R357" s="25" t="str">
        <f t="shared" si="7"/>
        <v>F</v>
      </c>
      <c r="S357" s="19">
        <f t="shared" si="8"/>
        <v>0.575</v>
      </c>
      <c r="T357" s="19" t="str">
        <f t="shared" si="9"/>
        <v>F</v>
      </c>
      <c r="U357" s="3" t="s">
        <v>203</v>
      </c>
      <c r="V357" s="4" t="str">
        <f>IF(ISBLANK(C357),,IFERROR(IF(VLOOKUP(B357,Standings!$A:$F, 6, 0)=VLOOKUP(C357,Standings!$A:$F, 6, 0), VLOOKUP(B357,Standings!$A:$F, 6, 0), "Non-con"), "FCS"))</f>
        <v>AAC</v>
      </c>
      <c r="W357" s="3" t="str">
        <f t="shared" si="10"/>
        <v>Navy</v>
      </c>
      <c r="X357" s="3" t="str">
        <f t="shared" si="11"/>
        <v>Memphis</v>
      </c>
      <c r="Y357" s="30">
        <f>IF(D357=0,,IF(ISBLANK(Q357),,VLOOKUP(X357,Week12,2,FALSE)/(VLOOKUP(X357,Week12,2,FALSE)+VLOOKUP(W357,Week12,2,FALSE))+0.05)*100)</f>
        <v>59.6407413</v>
      </c>
      <c r="Z357" s="3" t="s">
        <v>60</v>
      </c>
      <c r="AA357" s="3">
        <v>10.0</v>
      </c>
      <c r="AB357" s="4" t="str">
        <f t="shared" si="20"/>
        <v>Navy</v>
      </c>
      <c r="AC357" s="3">
        <v>7.0</v>
      </c>
      <c r="AD357" s="3"/>
      <c r="AE357" s="3">
        <f t="shared" si="13"/>
        <v>3</v>
      </c>
      <c r="AF357" s="3"/>
      <c r="AG357" s="3">
        <f t="shared" si="133"/>
        <v>1</v>
      </c>
      <c r="AH357" s="3"/>
      <c r="AI357" s="7"/>
      <c r="AJ357" s="4"/>
      <c r="AK357" s="7"/>
      <c r="AL357" s="7"/>
      <c r="AM357" s="7"/>
      <c r="AN357" s="7"/>
      <c r="AO357" s="7"/>
      <c r="AP357" s="7"/>
      <c r="AQ357" s="7"/>
      <c r="AR357" s="7"/>
      <c r="AS357" s="7"/>
      <c r="AT357" s="7"/>
      <c r="AU357" s="7"/>
      <c r="AV357" s="7"/>
      <c r="AW357" s="7"/>
      <c r="AX357" s="7"/>
    </row>
    <row r="358" ht="12.75" customHeight="1">
      <c r="A358" s="3">
        <v>14.0</v>
      </c>
      <c r="B358" s="3" t="s">
        <v>62</v>
      </c>
      <c r="C358" s="3" t="s">
        <v>171</v>
      </c>
      <c r="D358" s="4">
        <f>IFERROR(VLOOKUP(B358,Week13,2,FALSE),0)</f>
        <v>68.09</v>
      </c>
      <c r="E358" s="4">
        <f>IF(ISBLANK(B358),,IFERROR(VLOOKUP(B358,CurrentRank!$B$2:$C$132,2,FALSE),0))</f>
        <v>37.34</v>
      </c>
      <c r="F358" s="4">
        <f>IFERROR(VLOOKUP(B358,Week13,3,FALSE),130)</f>
        <v>16</v>
      </c>
      <c r="G358" s="4">
        <f>IF(ISBLANK(B358),,IFERROR(VLOOKUP(B358,CurrentRank!$B$2:$D$132,3,FALSE),130))</f>
        <v>44</v>
      </c>
      <c r="H358" s="4">
        <f>IFERROR(VLOOKUP(C358,Week13,2,FALSE),0)</f>
        <v>29.71</v>
      </c>
      <c r="I358" s="4">
        <f>IF(ISBLANK(B358),,IFERROR(VLOOKUP(C358,CurrentRank!$B$2:$C$132,2,FALSE),0))</f>
        <v>36.35</v>
      </c>
      <c r="J358" s="4">
        <f>IFERROR(VLOOKUP(C358,Week13,3,FALSE),130)</f>
        <v>112</v>
      </c>
      <c r="K358" s="4">
        <f>IF(ISBLANK(C358),,IFERROR(VLOOKUP(C358,CurrentRank!$B$2:$D$132,3,FALSE),130))</f>
        <v>53</v>
      </c>
      <c r="L358" s="19">
        <f t="shared" si="164"/>
        <v>1.467</v>
      </c>
      <c r="M358" s="19">
        <f t="shared" si="165"/>
        <v>1.10535</v>
      </c>
      <c r="N358" s="24">
        <f t="shared" si="140"/>
        <v>64</v>
      </c>
      <c r="O358" s="21">
        <f t="shared" si="4"/>
        <v>18.4565</v>
      </c>
      <c r="P358" s="21">
        <f t="shared" si="162"/>
        <v>-0.2385</v>
      </c>
      <c r="Q358" s="22">
        <f t="shared" si="6"/>
        <v>0.5877175</v>
      </c>
      <c r="R358" s="25" t="str">
        <f t="shared" si="7"/>
        <v>F</v>
      </c>
      <c r="S358" s="19">
        <f t="shared" si="8"/>
        <v>0.66</v>
      </c>
      <c r="T358" s="19" t="str">
        <f t="shared" si="9"/>
        <v>D</v>
      </c>
      <c r="U358" s="3" t="s">
        <v>203</v>
      </c>
      <c r="V358" s="4" t="str">
        <f>IF(ISBLANK(C358),,IFERROR(IF(VLOOKUP(B358,Standings!$A:$F, 6, 0)=VLOOKUP(C358,Standings!$A:$F, 6, 0), VLOOKUP(B358,Standings!$A:$F, 6, 0), "Non-con"), "FCS"))</f>
        <v>PAC12</v>
      </c>
      <c r="W358" s="3" t="str">
        <f t="shared" si="10"/>
        <v>California</v>
      </c>
      <c r="X358" s="3" t="str">
        <f t="shared" si="11"/>
        <v>Oregon</v>
      </c>
      <c r="Y358" s="30">
        <f>IF(D358=0,,IF(ISBLANK(Q358),,VLOOKUP(X358,Week13,2,FALSE)/(VLOOKUP(X358,Week13,2,FALSE)+VLOOKUP(W358,Week13,2,FALSE))+0.05)*100)</f>
        <v>74.62167689</v>
      </c>
      <c r="Z358" s="3" t="s">
        <v>171</v>
      </c>
      <c r="AA358" s="3">
        <v>21.0</v>
      </c>
      <c r="AB358" s="4" t="str">
        <f t="shared" si="20"/>
        <v>Oregon</v>
      </c>
      <c r="AC358" s="3">
        <v>17.0</v>
      </c>
      <c r="AD358" s="3"/>
      <c r="AE358" s="3">
        <f t="shared" si="13"/>
        <v>4</v>
      </c>
      <c r="AF358" s="3"/>
      <c r="AG358" s="3">
        <f t="shared" si="133"/>
        <v>0</v>
      </c>
      <c r="AH358" s="3"/>
      <c r="AI358" s="7"/>
      <c r="AJ358" s="4"/>
      <c r="AK358" s="7"/>
      <c r="AL358" s="7"/>
      <c r="AM358" s="7"/>
      <c r="AN358" s="7"/>
      <c r="AO358" s="7"/>
      <c r="AP358" s="7"/>
      <c r="AQ358" s="7"/>
      <c r="AR358" s="7"/>
      <c r="AS358" s="7"/>
      <c r="AT358" s="7"/>
      <c r="AU358" s="7"/>
      <c r="AV358" s="7"/>
      <c r="AW358" s="7"/>
      <c r="AX358" s="7"/>
    </row>
    <row r="359" ht="12.75" hidden="1" customHeight="1">
      <c r="A359" s="3">
        <v>8.0</v>
      </c>
      <c r="B359" s="3" t="s">
        <v>103</v>
      </c>
      <c r="C359" s="3" t="s">
        <v>47</v>
      </c>
      <c r="D359" s="4">
        <f>IFERROR(VLOOKUP(B359,Week7,2,FALSE),0)</f>
        <v>32.38</v>
      </c>
      <c r="E359" s="4">
        <f>IF(ISBLANK(B359),,IFERROR(VLOOKUP(B359,CurrentRank!$B$2:$C$132,2,FALSE),0))</f>
        <v>34.42</v>
      </c>
      <c r="F359" s="4">
        <f>IFERROR(VLOOKUP(B359,Week7,3,FALSE),130)</f>
        <v>65</v>
      </c>
      <c r="G359" s="4">
        <f>IF(ISBLANK(B359),,IFERROR(VLOOKUP(B359,CurrentRank!$B$2:$D$132,3,FALSE),130))</f>
        <v>70</v>
      </c>
      <c r="H359" s="4">
        <f>IFERROR(VLOOKUP(C359,Week7,2,FALSE),0)</f>
        <v>38.98</v>
      </c>
      <c r="I359" s="4">
        <f>IF(ISBLANK(B359),,IFERROR(VLOOKUP(C359,CurrentRank!$B$2:$C$132,2,FALSE),0))</f>
        <v>41.86</v>
      </c>
      <c r="J359" s="4">
        <f>IFERROR(VLOOKUP(C359,Week7,3,FALSE),130)</f>
        <v>39</v>
      </c>
      <c r="K359" s="4">
        <f>IF(ISBLANK(C359),,IFERROR(VLOOKUP(C359,CurrentRank!$B$2:$D$132,3,FALSE),130))</f>
        <v>30</v>
      </c>
      <c r="L359" s="19">
        <f t="shared" si="164"/>
        <v>1.0704</v>
      </c>
      <c r="M359" s="19">
        <f t="shared" si="165"/>
        <v>1.1442</v>
      </c>
      <c r="N359" s="24">
        <f t="shared" si="140"/>
        <v>52</v>
      </c>
      <c r="O359" s="21">
        <f t="shared" si="4"/>
        <v>-3.8352</v>
      </c>
      <c r="P359" s="21">
        <f t="shared" si="162"/>
        <v>-4.2552</v>
      </c>
      <c r="Q359" s="22">
        <f t="shared" si="6"/>
        <v>0.720824</v>
      </c>
      <c r="R359" s="25" t="str">
        <f t="shared" si="7"/>
        <v>C-</v>
      </c>
      <c r="S359" s="19">
        <f t="shared" si="8"/>
        <v>0.655</v>
      </c>
      <c r="T359" s="19" t="str">
        <f t="shared" si="9"/>
        <v>D</v>
      </c>
      <c r="U359" s="3" t="s">
        <v>203</v>
      </c>
      <c r="V359" s="4" t="str">
        <f>IF(ISBLANK(C359),,IFERROR(IF(VLOOKUP(B359,Standings!$A:$F, 6, 0)=VLOOKUP(C359,Standings!$A:$F, 6, 0), VLOOKUP(B359,Standings!$A:$F, 6, 0), "Non-con"), "FCS"))</f>
        <v>AAC</v>
      </c>
      <c r="W359" s="3" t="str">
        <f t="shared" si="10"/>
        <v>Tulane</v>
      </c>
      <c r="X359" s="3" t="str">
        <f t="shared" si="11"/>
        <v>Central Florida</v>
      </c>
      <c r="Y359" s="30">
        <f>IF(D359=0,,IF(ISBLANK(Q359),,VLOOKUP(X359,Week7,2,FALSE)/(VLOOKUP(X359,Week7,2,FALSE)+VLOOKUP(W359,Week7,2,FALSE))+0.05)*100)</f>
        <v>59.62443946</v>
      </c>
      <c r="Z359" s="3" t="s">
        <v>47</v>
      </c>
      <c r="AA359" s="3">
        <v>51.0</v>
      </c>
      <c r="AB359" s="4" t="str">
        <f t="shared" si="20"/>
        <v>Tulane</v>
      </c>
      <c r="AC359" s="3">
        <v>34.0</v>
      </c>
      <c r="AD359" s="3"/>
      <c r="AE359" s="3">
        <f t="shared" si="13"/>
        <v>17</v>
      </c>
      <c r="AF359" s="3"/>
      <c r="AG359" s="3">
        <f t="shared" si="133"/>
        <v>1</v>
      </c>
      <c r="AH359" s="3"/>
      <c r="AI359" s="7"/>
      <c r="AJ359" s="4" t="s">
        <v>38</v>
      </c>
      <c r="AK359" s="7"/>
      <c r="AL359" s="7"/>
      <c r="AM359" s="7"/>
      <c r="AN359" s="7"/>
      <c r="AO359" s="7"/>
      <c r="AP359" s="7"/>
      <c r="AQ359" s="7"/>
      <c r="AR359" s="7"/>
      <c r="AS359" s="7"/>
      <c r="AT359" s="7"/>
      <c r="AU359" s="7"/>
      <c r="AV359" s="7"/>
      <c r="AW359" s="7"/>
      <c r="AX359" s="7"/>
    </row>
    <row r="360" ht="12.75" hidden="1" customHeight="1">
      <c r="A360" s="3">
        <v>6.0</v>
      </c>
      <c r="B360" s="3" t="s">
        <v>89</v>
      </c>
      <c r="C360" s="3" t="s">
        <v>101</v>
      </c>
      <c r="D360" s="4">
        <f>IFERROR(VLOOKUP(B360,Week5,2,FALSE),0)</f>
        <v>34.79</v>
      </c>
      <c r="E360" s="4">
        <f>IF(ISBLANK(B360),,IFERROR(VLOOKUP(B360,CurrentRank!$B$2:$C$132,2,FALSE),0))</f>
        <v>35.74</v>
      </c>
      <c r="F360" s="4">
        <f>IFERROR(VLOOKUP(B360,Week5,3,FALSE),130)</f>
        <v>50</v>
      </c>
      <c r="G360" s="4">
        <f>IF(ISBLANK(B360),,IFERROR(VLOOKUP(B360,CurrentRank!$B$2:$D$132,3,FALSE),130))</f>
        <v>56</v>
      </c>
      <c r="H360" s="4">
        <f>IFERROR(VLOOKUP(C360,Week5,2,FALSE),0)</f>
        <v>41.86</v>
      </c>
      <c r="I360" s="4">
        <f>IF(ISBLANK(B360),,IFERROR(VLOOKUP(C360,CurrentRank!$B$2:$C$132,2,FALSE),0))</f>
        <v>36.62</v>
      </c>
      <c r="J360" s="4">
        <f>IFERROR(VLOOKUP(C360,Week5,3,FALSE),130)</f>
        <v>30</v>
      </c>
      <c r="K360" s="4">
        <f>IF(ISBLANK(C360),,IFERROR(VLOOKUP(C360,CurrentRank!$B$2:$D$132,3,FALSE),130))</f>
        <v>50</v>
      </c>
      <c r="L360" s="19">
        <f t="shared" si="164"/>
        <v>1.14975</v>
      </c>
      <c r="M360" s="19">
        <f t="shared" si="165"/>
        <v>1.0854</v>
      </c>
      <c r="N360" s="24">
        <f t="shared" si="140"/>
        <v>40</v>
      </c>
      <c r="O360" s="21">
        <f t="shared" si="4"/>
        <v>-4.109875</v>
      </c>
      <c r="P360" s="21">
        <f t="shared" si="162"/>
        <v>-1.014875</v>
      </c>
      <c r="Q360" s="22">
        <f t="shared" si="6"/>
        <v>0.779450625</v>
      </c>
      <c r="R360" s="25" t="str">
        <f t="shared" si="7"/>
        <v>C+</v>
      </c>
      <c r="S360" s="19">
        <f t="shared" si="8"/>
        <v>0.795</v>
      </c>
      <c r="T360" s="19" t="str">
        <f t="shared" si="9"/>
        <v>B-</v>
      </c>
      <c r="U360" s="3" t="s">
        <v>203</v>
      </c>
      <c r="V360" s="4" t="str">
        <f>IF(ISBLANK(C360),,IFERROR(IF(VLOOKUP(B360,Standings!$A:$F, 6, 0)=VLOOKUP(C360,Standings!$A:$F, 6, 0), VLOOKUP(B360,Standings!$A:$F, 6, 0), "Non-con"), "FCS"))</f>
        <v>ACC</v>
      </c>
      <c r="W360" s="3" t="str">
        <f t="shared" si="10"/>
        <v>Pittsburgh</v>
      </c>
      <c r="X360" s="3" t="str">
        <f t="shared" si="11"/>
        <v>Boston College</v>
      </c>
      <c r="Y360" s="30">
        <f>IF(D360=0,,IF(ISBLANK(Q360),,VLOOKUP(X360,Week5,2,FALSE)/(VLOOKUP(X360,Week5,2,FALSE)+VLOOKUP(W360,Week5,2,FALSE))+0.05)*100)</f>
        <v>59.61187215</v>
      </c>
      <c r="Z360" s="3" t="s">
        <v>101</v>
      </c>
      <c r="AA360" s="3">
        <v>31.0</v>
      </c>
      <c r="AB360" s="4" t="str">
        <f t="shared" si="20"/>
        <v>Pittsburgh</v>
      </c>
      <c r="AC360" s="3">
        <v>30.0</v>
      </c>
      <c r="AD360" s="3"/>
      <c r="AE360" s="3">
        <f t="shared" si="13"/>
        <v>1</v>
      </c>
      <c r="AF360" s="3"/>
      <c r="AG360" s="3">
        <f t="shared" si="133"/>
        <v>1</v>
      </c>
      <c r="AH360" s="3"/>
      <c r="AI360" s="7"/>
      <c r="AJ360" s="4"/>
      <c r="AK360" s="7"/>
      <c r="AL360" s="7"/>
      <c r="AM360" s="7"/>
      <c r="AN360" s="7"/>
      <c r="AO360" s="7"/>
      <c r="AP360" s="7"/>
      <c r="AQ360" s="7"/>
      <c r="AR360" s="7"/>
      <c r="AS360" s="7"/>
      <c r="AT360" s="7"/>
      <c r="AU360" s="7"/>
      <c r="AV360" s="7"/>
      <c r="AW360" s="7"/>
      <c r="AX360" s="7"/>
    </row>
    <row r="361" ht="12.75" hidden="1" customHeight="1">
      <c r="A361" s="3">
        <v>13.0</v>
      </c>
      <c r="B361" s="3" t="s">
        <v>193</v>
      </c>
      <c r="C361" s="3" t="s">
        <v>140</v>
      </c>
      <c r="D361" s="4">
        <f>IFERROR(VLOOKUP(B361,Week12,2,FALSE),0)</f>
        <v>29.32</v>
      </c>
      <c r="E361" s="4">
        <f>IF(ISBLANK(B361),,IFERROR(VLOOKUP(B361,CurrentRank!$B$2:$C$132,2,FALSE),0))</f>
        <v>29.31</v>
      </c>
      <c r="F361" s="4">
        <f>IFERROR(VLOOKUP(B361,Week12,3,FALSE),130)</f>
        <v>113</v>
      </c>
      <c r="G361" s="4">
        <f>IF(ISBLANK(B361),,IFERROR(VLOOKUP(B361,CurrentRank!$B$2:$D$132,3,FALSE),130))</f>
        <v>115</v>
      </c>
      <c r="H361" s="4">
        <f>IFERROR(VLOOKUP(C361,Week12,2,FALSE),0)</f>
        <v>24.38</v>
      </c>
      <c r="I361" s="4">
        <f>IF(ISBLANK(B361),,IFERROR(VLOOKUP(C361,CurrentRank!$B$2:$C$132,2,FALSE),0))</f>
        <v>22.5</v>
      </c>
      <c r="J361" s="4">
        <f>IFERROR(VLOOKUP(C361,Week12,3,FALSE),130)</f>
        <v>127</v>
      </c>
      <c r="K361" s="4">
        <f>IF(ISBLANK(C361),,IFERROR(VLOOKUP(C361,CurrentRank!$B$2:$D$132,3,FALSE),130))</f>
        <v>126</v>
      </c>
      <c r="L361" s="19">
        <f t="shared" si="164"/>
        <v>0.8055</v>
      </c>
      <c r="M361" s="19">
        <f t="shared" si="165"/>
        <v>0.77715</v>
      </c>
      <c r="N361" s="24">
        <f t="shared" si="140"/>
        <v>120</v>
      </c>
      <c r="O361" s="21">
        <f t="shared" si="4"/>
        <v>2.06725</v>
      </c>
      <c r="P361" s="21">
        <f t="shared" si="162"/>
        <v>3.00225</v>
      </c>
      <c r="Q361" s="22">
        <f t="shared" si="6"/>
        <v>0.38966375</v>
      </c>
      <c r="R361" s="25" t="str">
        <f t="shared" si="7"/>
        <v>F</v>
      </c>
      <c r="S361" s="19">
        <f t="shared" si="8"/>
        <v>0.31</v>
      </c>
      <c r="T361" s="19" t="str">
        <f t="shared" si="9"/>
        <v>F</v>
      </c>
      <c r="U361" s="3" t="s">
        <v>203</v>
      </c>
      <c r="V361" s="4" t="str">
        <f>IF(ISBLANK(C361),,IFERROR(IF(VLOOKUP(B361,Standings!$A:$F, 6, 0)=VLOOKUP(C361,Standings!$A:$F, 6, 0), VLOOKUP(B361,Standings!$A:$F, 6, 0), "Non-con"), "FCS"))</f>
        <v>CUSA</v>
      </c>
      <c r="W361" s="3" t="str">
        <f t="shared" si="10"/>
        <v>Charlotte</v>
      </c>
      <c r="X361" s="3" t="str">
        <f t="shared" si="11"/>
        <v>Western Kentucky</v>
      </c>
      <c r="Y361" s="30">
        <f>IF(D361=0,,IF(ISBLANK(Q361),,VLOOKUP(X361,Week12,2,FALSE)/(VLOOKUP(X361,Week12,2,FALSE)+VLOOKUP(W361,Week12,2,FALSE))+0.05)*100)</f>
        <v>59.59962756</v>
      </c>
      <c r="Z361" s="3" t="s">
        <v>193</v>
      </c>
      <c r="AA361" s="3">
        <v>37.0</v>
      </c>
      <c r="AB361" s="4" t="str">
        <f t="shared" si="20"/>
        <v>Charlotte</v>
      </c>
      <c r="AC361" s="3">
        <v>19.0</v>
      </c>
      <c r="AD361" s="3"/>
      <c r="AE361" s="3">
        <f t="shared" si="13"/>
        <v>18</v>
      </c>
      <c r="AF361" s="3"/>
      <c r="AG361" s="3">
        <f t="shared" si="133"/>
        <v>1</v>
      </c>
      <c r="AH361" s="3"/>
      <c r="AI361" s="7"/>
      <c r="AJ361" s="4"/>
      <c r="AK361" s="7"/>
      <c r="AL361" s="7"/>
      <c r="AM361" s="7"/>
      <c r="AN361" s="7"/>
      <c r="AO361" s="7"/>
      <c r="AP361" s="7"/>
      <c r="AQ361" s="7"/>
      <c r="AR361" s="7"/>
      <c r="AS361" s="7"/>
      <c r="AT361" s="7"/>
      <c r="AU361" s="7"/>
      <c r="AV361" s="7"/>
      <c r="AW361" s="7"/>
      <c r="AX361" s="7"/>
    </row>
    <row r="362" ht="12.75" hidden="1" customHeight="1">
      <c r="A362" s="3">
        <v>10.0</v>
      </c>
      <c r="B362" s="3" t="s">
        <v>65</v>
      </c>
      <c r="C362" s="3" t="s">
        <v>118</v>
      </c>
      <c r="D362" s="4">
        <f>IFERROR(VLOOKUP(B362,Week9,2,FALSE),0)</f>
        <v>33.03</v>
      </c>
      <c r="E362" s="4">
        <f>IF(ISBLANK(B362),,IFERROR(VLOOKUP(B362,CurrentRank!$B$2:$C$132,2,FALSE),0))</f>
        <v>34.09</v>
      </c>
      <c r="F362" s="4">
        <f>IFERROR(VLOOKUP(B362,Week9,3,FALSE),130)</f>
        <v>71</v>
      </c>
      <c r="G362" s="4">
        <f>IF(ISBLANK(B362),,IFERROR(VLOOKUP(B362,CurrentRank!$B$2:$D$132,3,FALSE),130))</f>
        <v>74</v>
      </c>
      <c r="H362" s="4">
        <f>IFERROR(VLOOKUP(C362,Week9,2,FALSE),0)</f>
        <v>39.63</v>
      </c>
      <c r="I362" s="4">
        <f>IF(ISBLANK(B362),,IFERROR(VLOOKUP(C362,CurrentRank!$B$2:$C$132,2,FALSE),0))</f>
        <v>35.17</v>
      </c>
      <c r="J362" s="4">
        <f>IFERROR(VLOOKUP(C362,Week9,3,FALSE),130)</f>
        <v>39</v>
      </c>
      <c r="K362" s="4">
        <f>IF(ISBLANK(C362),,IFERROR(VLOOKUP(C362,CurrentRank!$B$2:$D$132,3,FALSE),130))</f>
        <v>65</v>
      </c>
      <c r="L362" s="19">
        <f t="shared" si="164"/>
        <v>1.0899</v>
      </c>
      <c r="M362" s="19">
        <f t="shared" si="165"/>
        <v>1.0389</v>
      </c>
      <c r="N362" s="24">
        <f t="shared" si="140"/>
        <v>55</v>
      </c>
      <c r="O362" s="21">
        <f t="shared" si="4"/>
        <v>-3.84495</v>
      </c>
      <c r="P362" s="21">
        <f t="shared" si="162"/>
        <v>-1.08495</v>
      </c>
      <c r="Q362" s="22">
        <f t="shared" si="6"/>
        <v>0.70577525</v>
      </c>
      <c r="R362" s="25" t="str">
        <f t="shared" si="7"/>
        <v>C-</v>
      </c>
      <c r="S362" s="19">
        <f t="shared" si="8"/>
        <v>0.67</v>
      </c>
      <c r="T362" s="19" t="str">
        <f t="shared" si="9"/>
        <v>D+</v>
      </c>
      <c r="U362" s="3" t="s">
        <v>203</v>
      </c>
      <c r="V362" s="4" t="str">
        <f>IF(ISBLANK(C362),,IFERROR(IF(VLOOKUP(B362,Standings!$A:$F, 6, 0)=VLOOKUP(C362,Standings!$A:$F, 6, 0), VLOOKUP(B362,Standings!$A:$F, 6, 0), "Non-con"), "FCS"))</f>
        <v>SEC</v>
      </c>
      <c r="W362" s="3" t="str">
        <f t="shared" si="10"/>
        <v>Tennessee</v>
      </c>
      <c r="X362" s="3" t="str">
        <f t="shared" si="11"/>
        <v>Arkansas</v>
      </c>
      <c r="Y362" s="30">
        <f>IF(D362=0,,IF(ISBLANK(Q362),,VLOOKUP(X362,Week9,2,FALSE)/(VLOOKUP(X362,Week9,2,FALSE)+VLOOKUP(W362,Week9,2,FALSE))+0.05)*100)</f>
        <v>59.54170107</v>
      </c>
      <c r="Z362" s="3" t="s">
        <v>118</v>
      </c>
      <c r="AA362" s="3">
        <v>24.0</v>
      </c>
      <c r="AB362" s="4" t="str">
        <f t="shared" si="20"/>
        <v>Tennessee</v>
      </c>
      <c r="AC362" s="3">
        <v>13.0</v>
      </c>
      <c r="AD362" s="3"/>
      <c r="AE362" s="3">
        <f t="shared" si="13"/>
        <v>11</v>
      </c>
      <c r="AF362" s="3"/>
      <c r="AG362" s="3">
        <f t="shared" si="133"/>
        <v>1</v>
      </c>
      <c r="AH362" s="3"/>
      <c r="AI362" s="7"/>
      <c r="AJ362" s="4" t="s">
        <v>40</v>
      </c>
      <c r="AK362" s="7"/>
      <c r="AL362" s="7"/>
      <c r="AM362" s="7"/>
      <c r="AN362" s="7"/>
      <c r="AO362" s="7"/>
      <c r="AP362" s="7"/>
      <c r="AQ362" s="7"/>
      <c r="AR362" s="7"/>
      <c r="AS362" s="7"/>
      <c r="AT362" s="7"/>
      <c r="AU362" s="7"/>
      <c r="AV362" s="7"/>
      <c r="AW362" s="7"/>
      <c r="AX362" s="7"/>
    </row>
    <row r="363" ht="12.75" hidden="1" customHeight="1">
      <c r="A363" s="3">
        <v>14.0</v>
      </c>
      <c r="B363" s="3" t="s">
        <v>125</v>
      </c>
      <c r="C363" s="3" t="s">
        <v>194</v>
      </c>
      <c r="D363" s="4">
        <f>IFERROR(VLOOKUP(B363,Week13,2,FALSE),0)</f>
        <v>42.45</v>
      </c>
      <c r="E363" s="4">
        <f>IF(ISBLANK(B363),,IFERROR(VLOOKUP(B363,CurrentRank!$B$2:$C$132,2,FALSE),0))</f>
        <v>41.14</v>
      </c>
      <c r="F363" s="4">
        <f>IFERROR(VLOOKUP(B363,Week13,3,FALSE),130)</f>
        <v>29</v>
      </c>
      <c r="G363" s="4">
        <f>IF(ISBLANK(B363),,IFERROR(VLOOKUP(B363,CurrentRank!$B$2:$D$132,3,FALSE),130))</f>
        <v>31</v>
      </c>
      <c r="H363" s="4">
        <f>IFERROR(VLOOKUP(C363,Week13,2,FALSE),0)</f>
        <v>35.47</v>
      </c>
      <c r="I363" s="4">
        <f>IF(ISBLANK(B363),,IFERROR(VLOOKUP(C363,CurrentRank!$B$2:$C$132,2,FALSE),0))</f>
        <v>44.06</v>
      </c>
      <c r="J363" s="4">
        <f>IFERROR(VLOOKUP(C363,Week13,3,FALSE),130)</f>
        <v>56</v>
      </c>
      <c r="K363" s="4">
        <f>IF(ISBLANK(C363),,IFERROR(VLOOKUP(C363,CurrentRank!$B$2:$D$132,3,FALSE),130))</f>
        <v>26</v>
      </c>
      <c r="L363" s="19">
        <f t="shared" si="164"/>
        <v>1.1688</v>
      </c>
      <c r="M363" s="19">
        <f t="shared" si="165"/>
        <v>1.278</v>
      </c>
      <c r="N363" s="24">
        <f t="shared" si="140"/>
        <v>42.5</v>
      </c>
      <c r="O363" s="21">
        <f t="shared" si="4"/>
        <v>2.9056</v>
      </c>
      <c r="P363" s="21">
        <f t="shared" si="162"/>
        <v>-2.0444</v>
      </c>
      <c r="Q363" s="22">
        <f t="shared" si="6"/>
        <v>0.772972</v>
      </c>
      <c r="R363" s="25" t="str">
        <f t="shared" si="7"/>
        <v>C+</v>
      </c>
      <c r="S363" s="19">
        <f t="shared" si="8"/>
        <v>0.7525</v>
      </c>
      <c r="T363" s="19" t="str">
        <f t="shared" si="9"/>
        <v>C</v>
      </c>
      <c r="U363" s="3" t="s">
        <v>203</v>
      </c>
      <c r="V363" s="4" t="str">
        <f>IF(ISBLANK(C363),,IFERROR(IF(VLOOKUP(B363,Standings!$A:$F, 6, 0)=VLOOKUP(C363,Standings!$A:$F, 6, 0), VLOOKUP(B363,Standings!$A:$F, 6, 0), "Non-con"), "FCS"))</f>
        <v>PAC12</v>
      </c>
      <c r="W363" s="3" t="str">
        <f t="shared" si="10"/>
        <v>Arizona State</v>
      </c>
      <c r="X363" s="3" t="str">
        <f t="shared" si="11"/>
        <v>UCLA</v>
      </c>
      <c r="Y363" s="30">
        <f>IF(D363=0,,IF(ISBLANK(Q363),,VLOOKUP(X363,Week13,2,FALSE)/(VLOOKUP(X363,Week13,2,FALSE)+VLOOKUP(W363,Week13,2,FALSE))+0.05)*100)</f>
        <v>59.47895277</v>
      </c>
      <c r="Z363" s="3" t="s">
        <v>125</v>
      </c>
      <c r="AA363" s="3">
        <v>25.0</v>
      </c>
      <c r="AB363" s="4" t="str">
        <f t="shared" si="20"/>
        <v>Arizona State</v>
      </c>
      <c r="AC363" s="3">
        <v>18.0</v>
      </c>
      <c r="AD363" s="3"/>
      <c r="AE363" s="3">
        <f t="shared" si="13"/>
        <v>7</v>
      </c>
      <c r="AF363" s="3"/>
      <c r="AG363" s="3">
        <f t="shared" si="133"/>
        <v>1</v>
      </c>
      <c r="AH363" s="3"/>
      <c r="AI363" s="7"/>
      <c r="AJ363" s="4"/>
      <c r="AK363" s="7"/>
      <c r="AL363" s="7"/>
      <c r="AM363" s="7"/>
      <c r="AN363" s="7"/>
      <c r="AO363" s="7"/>
      <c r="AP363" s="7"/>
      <c r="AQ363" s="7"/>
      <c r="AR363" s="7"/>
      <c r="AS363" s="7"/>
      <c r="AT363" s="7"/>
      <c r="AU363" s="7"/>
      <c r="AV363" s="7"/>
      <c r="AW363" s="7"/>
      <c r="AX363" s="7"/>
    </row>
    <row r="364" ht="12.75" hidden="1" customHeight="1">
      <c r="A364" s="3">
        <v>5.0</v>
      </c>
      <c r="B364" s="3" t="s">
        <v>115</v>
      </c>
      <c r="C364" s="3" t="s">
        <v>100</v>
      </c>
      <c r="D364" s="4">
        <f>IFERROR(VLOOKUP(B364,Week4,2,FALSE),0)</f>
        <v>40.21</v>
      </c>
      <c r="E364" s="4">
        <f>IF(ISBLANK(B364),,IFERROR(VLOOKUP(B364,CurrentRank!$B$2:$C$132,2,FALSE),0))</f>
        <v>32.29</v>
      </c>
      <c r="F364" s="4">
        <f>IFERROR(VLOOKUP(B364,Week4,3,FALSE),130)</f>
        <v>37</v>
      </c>
      <c r="G364" s="4">
        <f>IF(ISBLANK(B364),,IFERROR(VLOOKUP(B364,CurrentRank!$B$2:$D$132,3,FALSE),130))</f>
        <v>91</v>
      </c>
      <c r="H364" s="4">
        <f>IFERROR(VLOOKUP(C364,Week4,2,FALSE),0)</f>
        <v>47.99</v>
      </c>
      <c r="I364" s="4">
        <f>IF(ISBLANK(B364),,IFERROR(VLOOKUP(C364,CurrentRank!$B$2:$C$132,2,FALSE),0))</f>
        <v>69.98</v>
      </c>
      <c r="J364" s="4">
        <f>IFERROR(VLOOKUP(C364,Week4,3,FALSE),130)</f>
        <v>27</v>
      </c>
      <c r="K364" s="4">
        <f>IF(ISBLANK(C364),,IFERROR(VLOOKUP(C364,CurrentRank!$B$2:$D$132,3,FALSE),130))</f>
        <v>13</v>
      </c>
      <c r="L364" s="19">
        <f t="shared" si="164"/>
        <v>1.323</v>
      </c>
      <c r="M364" s="19">
        <f t="shared" si="165"/>
        <v>1.53405</v>
      </c>
      <c r="N364" s="24">
        <f t="shared" si="140"/>
        <v>32</v>
      </c>
      <c r="O364" s="21">
        <f t="shared" si="4"/>
        <v>-4.5515</v>
      </c>
      <c r="P364" s="21">
        <f t="shared" si="162"/>
        <v>-19.5065</v>
      </c>
      <c r="Q364" s="22">
        <f t="shared" si="6"/>
        <v>0.8172425</v>
      </c>
      <c r="R364" s="25" t="str">
        <f t="shared" si="7"/>
        <v>B-</v>
      </c>
      <c r="S364" s="19">
        <f t="shared" si="8"/>
        <v>0.695</v>
      </c>
      <c r="T364" s="19" t="str">
        <f t="shared" si="9"/>
        <v>C-</v>
      </c>
      <c r="U364" s="3" t="s">
        <v>203</v>
      </c>
      <c r="V364" s="4" t="str">
        <f>IF(ISBLANK(C364),,IFERROR(IF(VLOOKUP(B364,Standings!$A:$F, 6, 0)=VLOOKUP(C364,Standings!$A:$F, 6, 0), VLOOKUP(B364,Standings!$A:$F, 6, 0), "Non-con"), "FCS"))</f>
        <v>SUN</v>
      </c>
      <c r="W364" s="3" t="str">
        <f t="shared" si="10"/>
        <v>Arkansas State</v>
      </c>
      <c r="X364" s="3" t="str">
        <f t="shared" si="11"/>
        <v>Coastal Carolina</v>
      </c>
      <c r="Y364" s="30">
        <f>IF(D364=0,,IF(ISBLANK(Q364),,VLOOKUP(X364,Week4,2,FALSE)/(VLOOKUP(X364,Week4,2,FALSE)+VLOOKUP(W364,Week4,2,FALSE))+0.05)*100)</f>
        <v>59.41043084</v>
      </c>
      <c r="Z364" s="3" t="s">
        <v>100</v>
      </c>
      <c r="AA364" s="3">
        <v>52.0</v>
      </c>
      <c r="AB364" s="4" t="str">
        <f t="shared" si="20"/>
        <v>Arkansas State</v>
      </c>
      <c r="AC364" s="3">
        <v>23.0</v>
      </c>
      <c r="AD364" s="3"/>
      <c r="AE364" s="3">
        <f t="shared" si="13"/>
        <v>29</v>
      </c>
      <c r="AF364" s="3"/>
      <c r="AG364" s="3">
        <f t="shared" si="133"/>
        <v>1</v>
      </c>
      <c r="AH364" s="3"/>
      <c r="AI364" s="7"/>
      <c r="AJ364" s="4"/>
      <c r="AK364" s="7"/>
      <c r="AL364" s="7"/>
      <c r="AM364" s="7"/>
      <c r="AN364" s="7"/>
      <c r="AO364" s="7"/>
      <c r="AP364" s="7"/>
      <c r="AQ364" s="7"/>
      <c r="AR364" s="7"/>
      <c r="AS364" s="7"/>
      <c r="AT364" s="7"/>
      <c r="AU364" s="7"/>
      <c r="AV364" s="7"/>
      <c r="AW364" s="7"/>
      <c r="AX364" s="7"/>
    </row>
    <row r="365" ht="12.75" hidden="1" customHeight="1">
      <c r="A365" s="3">
        <v>17.0</v>
      </c>
      <c r="B365" s="3" t="s">
        <v>62</v>
      </c>
      <c r="C365" s="3" t="s">
        <v>92</v>
      </c>
      <c r="D365" s="4">
        <f>IFERROR(VLOOKUP(B365,Week16,2,FALSE),0)</f>
        <v>47.81</v>
      </c>
      <c r="E365" s="4">
        <f>IF(ISBLANK(B365),,IFERROR(VLOOKUP(B365,CurrentRank!$B$2:$C$132,2,FALSE),0))</f>
        <v>37.34</v>
      </c>
      <c r="F365" s="4">
        <f>IFERROR(VLOOKUP(B365,Week16,3,FALSE),130)</f>
        <v>25</v>
      </c>
      <c r="G365" s="4">
        <f>IF(ISBLANK(B365),,IFERROR(VLOOKUP(B365,CurrentRank!$B$2:$D$132,3,FALSE),130))</f>
        <v>44</v>
      </c>
      <c r="H365" s="4">
        <f>IFERROR(VLOOKUP(C365,Week16,2,FALSE),0)</f>
        <v>69.88</v>
      </c>
      <c r="I365" s="4">
        <f>IF(ISBLANK(B365),,IFERROR(VLOOKUP(C365,CurrentRank!$B$2:$C$132,2,FALSE),0))</f>
        <v>73.64</v>
      </c>
      <c r="J365" s="4">
        <f>IFERROR(VLOOKUP(C365,Week16,3,FALSE),130)</f>
        <v>14</v>
      </c>
      <c r="K365" s="4">
        <f>IF(ISBLANK(C365),,IFERROR(VLOOKUP(C365,CurrentRank!$B$2:$D$132,3,FALSE),130))</f>
        <v>8</v>
      </c>
      <c r="L365" s="19">
        <f t="shared" si="164"/>
        <v>0</v>
      </c>
      <c r="M365" s="19">
        <f t="shared" si="165"/>
        <v>0</v>
      </c>
      <c r="N365" s="24">
        <f t="shared" si="140"/>
        <v>19.5</v>
      </c>
      <c r="O365" s="21">
        <f t="shared" si="4"/>
        <v>-11.035</v>
      </c>
      <c r="P365" s="21">
        <f t="shared" si="162"/>
        <v>-18.15</v>
      </c>
      <c r="Q365" s="22">
        <f t="shared" si="6"/>
        <v>0.847325</v>
      </c>
      <c r="R365" s="25" t="str">
        <f t="shared" si="7"/>
        <v>B</v>
      </c>
      <c r="S365" s="19">
        <f t="shared" si="8"/>
        <v>0.8175</v>
      </c>
      <c r="T365" s="19" t="str">
        <f t="shared" si="9"/>
        <v>B-</v>
      </c>
      <c r="U365" s="3" t="s">
        <v>223</v>
      </c>
      <c r="V365" s="4" t="str">
        <f>IF(ISBLANK(C365),,IFERROR(IF(VLOOKUP(B365,Standings!$A:$F, 6, 0)=VLOOKUP(C365,Standings!$A:$F, 6, 0), VLOOKUP(B365,Standings!$A:$F, 6, 0), "Non-con"), "FCS"))</f>
        <v>Non-con</v>
      </c>
      <c r="W365" s="3" t="str">
        <f t="shared" si="10"/>
        <v>Oregon</v>
      </c>
      <c r="X365" s="3" t="str">
        <f t="shared" si="11"/>
        <v>Iowa State</v>
      </c>
      <c r="Y365" s="30">
        <f>IF(D365=0,,IF(ISBLANK(Q365),,VLOOKUP(X365,Week16,2,FALSE)/(VLOOKUP(X365,Week16,2,FALSE)+VLOOKUP(W365,Week16,2,FALSE)))*100)</f>
        <v>59.37632764</v>
      </c>
      <c r="Z365" s="3" t="s">
        <v>92</v>
      </c>
      <c r="AA365" s="3">
        <v>34.0</v>
      </c>
      <c r="AB365" s="4" t="str">
        <f t="shared" si="20"/>
        <v>Oregon</v>
      </c>
      <c r="AC365" s="3">
        <v>17.0</v>
      </c>
      <c r="AD365" s="3"/>
      <c r="AE365" s="3">
        <f t="shared" si="13"/>
        <v>17</v>
      </c>
      <c r="AF365" s="3" t="s">
        <v>224</v>
      </c>
      <c r="AG365" s="3">
        <f t="shared" si="133"/>
        <v>1</v>
      </c>
      <c r="AH365" s="3"/>
      <c r="AI365" s="7"/>
      <c r="AJ365" s="4"/>
      <c r="AK365" s="7"/>
      <c r="AL365" s="7"/>
      <c r="AM365" s="7"/>
      <c r="AN365" s="7"/>
      <c r="AO365" s="7"/>
      <c r="AP365" s="7"/>
      <c r="AQ365" s="7"/>
      <c r="AR365" s="7"/>
      <c r="AS365" s="7"/>
      <c r="AT365" s="7"/>
      <c r="AU365" s="7"/>
      <c r="AV365" s="7"/>
      <c r="AW365" s="7"/>
      <c r="AX365" s="7"/>
    </row>
    <row r="366" ht="12.75" hidden="1" customHeight="1">
      <c r="A366" s="3">
        <v>5.0</v>
      </c>
      <c r="B366" s="3" t="s">
        <v>127</v>
      </c>
      <c r="C366" s="3" t="s">
        <v>116</v>
      </c>
      <c r="D366" s="4">
        <f>IFERROR(VLOOKUP(B366,Week4,2,FALSE),0)</f>
        <v>31.27</v>
      </c>
      <c r="E366" s="4">
        <f>IF(ISBLANK(B366),,IFERROR(VLOOKUP(B366,CurrentRank!$B$2:$C$132,2,FALSE),0))</f>
        <v>35.27</v>
      </c>
      <c r="F366" s="4">
        <f>IFERROR(VLOOKUP(B366,Week4,3,FALSE),130)</f>
        <v>57</v>
      </c>
      <c r="G366" s="4">
        <f>IF(ISBLANK(B366),,IFERROR(VLOOKUP(B366,CurrentRank!$B$2:$D$132,3,FALSE),130))</f>
        <v>64</v>
      </c>
      <c r="H366" s="4">
        <f>IFERROR(VLOOKUP(C366,Week4,2,FALSE),0)</f>
        <v>37.23</v>
      </c>
      <c r="I366" s="4">
        <f>IF(ISBLANK(B366),,IFERROR(VLOOKUP(C366,CurrentRank!$B$2:$C$132,2,FALSE),0))</f>
        <v>31.6</v>
      </c>
      <c r="J366" s="4">
        <f>IFERROR(VLOOKUP(C366,Week4,3,FALSE),130)</f>
        <v>40</v>
      </c>
      <c r="K366" s="4">
        <f>IF(ISBLANK(C366),,IFERROR(VLOOKUP(C366,CurrentRank!$B$2:$D$132,3,FALSE),130))</f>
        <v>96</v>
      </c>
      <c r="L366" s="19">
        <f t="shared" si="164"/>
        <v>1.0275</v>
      </c>
      <c r="M366" s="19">
        <f t="shared" si="165"/>
        <v>1.00305</v>
      </c>
      <c r="N366" s="24">
        <f t="shared" si="140"/>
        <v>48.5</v>
      </c>
      <c r="O366" s="21">
        <f t="shared" si="4"/>
        <v>-3.49375</v>
      </c>
      <c r="P366" s="21">
        <f t="shared" si="162"/>
        <v>1.32125</v>
      </c>
      <c r="Q366" s="22">
        <f t="shared" si="6"/>
        <v>0.74003125</v>
      </c>
      <c r="R366" s="25" t="str">
        <f t="shared" si="7"/>
        <v>C</v>
      </c>
      <c r="S366" s="19">
        <f t="shared" si="8"/>
        <v>0.7075</v>
      </c>
      <c r="T366" s="19" t="str">
        <f t="shared" si="9"/>
        <v>C-</v>
      </c>
      <c r="U366" s="3" t="s">
        <v>203</v>
      </c>
      <c r="V366" s="4" t="str">
        <f>IF(ISBLANK(C366),,IFERROR(IF(VLOOKUP(B366,Standings!$A:$F, 6, 0)=VLOOKUP(C366,Standings!$A:$F, 6, 0), VLOOKUP(B366,Standings!$A:$F, 6, 0), "Non-con"), "FCS"))</f>
        <v>BIG12</v>
      </c>
      <c r="W366" s="3" t="str">
        <f t="shared" si="10"/>
        <v>Texas Tech</v>
      </c>
      <c r="X366" s="3" t="str">
        <f t="shared" si="11"/>
        <v>Kansas State</v>
      </c>
      <c r="Y366" s="30">
        <f>IF(D366=0,,IF(ISBLANK(Q366),,VLOOKUP(X366,Week4,2,FALSE)/(VLOOKUP(X366,Week4,2,FALSE)+VLOOKUP(W366,Week4,2,FALSE))+0.05)*100)</f>
        <v>59.35036496</v>
      </c>
      <c r="Z366" s="3" t="s">
        <v>116</v>
      </c>
      <c r="AA366" s="3">
        <v>31.0</v>
      </c>
      <c r="AB366" s="4" t="str">
        <f t="shared" si="20"/>
        <v>Texas Tech</v>
      </c>
      <c r="AC366" s="3">
        <v>21.0</v>
      </c>
      <c r="AD366" s="3"/>
      <c r="AE366" s="3">
        <f t="shared" si="13"/>
        <v>10</v>
      </c>
      <c r="AF366" s="3"/>
      <c r="AG366" s="3">
        <f t="shared" si="133"/>
        <v>1</v>
      </c>
      <c r="AH366" s="3"/>
      <c r="AI366" s="7"/>
      <c r="AJ366" s="4"/>
      <c r="AK366" s="7"/>
      <c r="AL366" s="7"/>
      <c r="AM366" s="7"/>
      <c r="AN366" s="7"/>
      <c r="AO366" s="7"/>
      <c r="AP366" s="7"/>
      <c r="AQ366" s="7"/>
      <c r="AR366" s="7"/>
      <c r="AS366" s="7"/>
      <c r="AT366" s="7"/>
      <c r="AU366" s="7"/>
      <c r="AV366" s="7"/>
      <c r="AW366" s="7"/>
      <c r="AX366" s="7"/>
    </row>
    <row r="367" ht="12.75" hidden="1" customHeight="1">
      <c r="A367" s="3">
        <v>14.0</v>
      </c>
      <c r="B367" s="3" t="s">
        <v>122</v>
      </c>
      <c r="C367" s="3" t="s">
        <v>115</v>
      </c>
      <c r="D367" s="4">
        <f>IFERROR(VLOOKUP(B367,Week13,2,FALSE),0)</f>
        <v>25.29</v>
      </c>
      <c r="E367" s="4">
        <f>IF(ISBLANK(B367),,IFERROR(VLOOKUP(B367,CurrentRank!$B$2:$C$132,2,FALSE),0))</f>
        <v>25.95</v>
      </c>
      <c r="F367" s="4">
        <f>IFERROR(VLOOKUP(B367,Week13,3,FALSE),130)</f>
        <v>124</v>
      </c>
      <c r="G367" s="4">
        <f>IF(ISBLANK(B367),,IFERROR(VLOOKUP(B367,CurrentRank!$B$2:$D$132,3,FALSE),130))</f>
        <v>124</v>
      </c>
      <c r="H367" s="4">
        <f>IFERROR(VLOOKUP(C367,Week13,2,FALSE),0)</f>
        <v>30.1</v>
      </c>
      <c r="I367" s="4">
        <f>IF(ISBLANK(B367),,IFERROR(VLOOKUP(C367,CurrentRank!$B$2:$C$132,2,FALSE),0))</f>
        <v>32.29</v>
      </c>
      <c r="J367" s="4">
        <f>IFERROR(VLOOKUP(C367,Week13,3,FALSE),130)</f>
        <v>111</v>
      </c>
      <c r="K367" s="4">
        <f>IF(ISBLANK(C367),,IFERROR(VLOOKUP(C367,CurrentRank!$B$2:$D$132,3,FALSE),130))</f>
        <v>91</v>
      </c>
      <c r="L367" s="19">
        <f t="shared" si="164"/>
        <v>0.83085</v>
      </c>
      <c r="M367" s="19">
        <f t="shared" si="165"/>
        <v>0.8736</v>
      </c>
      <c r="N367" s="24">
        <f t="shared" si="140"/>
        <v>117.5</v>
      </c>
      <c r="O367" s="21">
        <f t="shared" si="4"/>
        <v>-2.820425</v>
      </c>
      <c r="P367" s="21">
        <f t="shared" si="162"/>
        <v>-3.585425</v>
      </c>
      <c r="Q367" s="22">
        <f t="shared" si="6"/>
        <v>0.398397875</v>
      </c>
      <c r="R367" s="25" t="str">
        <f t="shared" si="7"/>
        <v>F</v>
      </c>
      <c r="S367" s="19">
        <f t="shared" si="8"/>
        <v>0.2475</v>
      </c>
      <c r="T367" s="19" t="str">
        <f t="shared" si="9"/>
        <v>F</v>
      </c>
      <c r="U367" s="3" t="s">
        <v>203</v>
      </c>
      <c r="V367" s="4" t="str">
        <f>IF(ISBLANK(C367),,IFERROR(IF(VLOOKUP(B367,Standings!$A:$F, 6, 0)=VLOOKUP(C367,Standings!$A:$F, 6, 0), VLOOKUP(B367,Standings!$A:$F, 6, 0), "Non-con"), "FCS"))</f>
        <v>SUN</v>
      </c>
      <c r="W367" s="3" t="str">
        <f t="shared" si="10"/>
        <v>UL-Monroe</v>
      </c>
      <c r="X367" s="3" t="str">
        <f t="shared" si="11"/>
        <v>Arkansas State</v>
      </c>
      <c r="Y367" s="30">
        <f>IF(D367=0,,IF(ISBLANK(Q367),,VLOOKUP(X367,Week13,2,FALSE)/(VLOOKUP(X367,Week13,2,FALSE)+VLOOKUP(W367,Week13,2,FALSE))+0.05)*100)</f>
        <v>59.34193898</v>
      </c>
      <c r="Z367" s="3" t="s">
        <v>115</v>
      </c>
      <c r="AA367" s="3">
        <v>48.0</v>
      </c>
      <c r="AB367" s="4" t="str">
        <f t="shared" si="20"/>
        <v>UL-Monroe</v>
      </c>
      <c r="AC367" s="3">
        <v>15.0</v>
      </c>
      <c r="AD367" s="3"/>
      <c r="AE367" s="3">
        <f t="shared" si="13"/>
        <v>33</v>
      </c>
      <c r="AF367" s="3"/>
      <c r="AG367" s="3">
        <f t="shared" si="133"/>
        <v>1</v>
      </c>
      <c r="AH367" s="3"/>
      <c r="AI367" s="7"/>
      <c r="AJ367" s="4"/>
      <c r="AK367" s="7"/>
      <c r="AL367" s="7"/>
      <c r="AM367" s="7"/>
      <c r="AN367" s="7"/>
      <c r="AO367" s="7"/>
      <c r="AP367" s="7"/>
      <c r="AQ367" s="7"/>
      <c r="AR367" s="7"/>
      <c r="AS367" s="7"/>
      <c r="AT367" s="7"/>
      <c r="AU367" s="7"/>
      <c r="AV367" s="7"/>
      <c r="AW367" s="7"/>
      <c r="AX367" s="7"/>
    </row>
    <row r="368" ht="12.75" customHeight="1">
      <c r="A368" s="3">
        <v>12.0</v>
      </c>
      <c r="B368" s="3" t="s">
        <v>131</v>
      </c>
      <c r="C368" s="3" t="s">
        <v>88</v>
      </c>
      <c r="D368" s="4">
        <f>IFERROR(VLOOKUP(B368,Week11,2,FALSE),0)</f>
        <v>36.62</v>
      </c>
      <c r="E368" s="4">
        <f>IF(ISBLANK(B368),,IFERROR(VLOOKUP(B368,CurrentRank!$B$2:$C$132,2,FALSE),0))</f>
        <v>33.34</v>
      </c>
      <c r="F368" s="4">
        <f>IFERROR(VLOOKUP(B368,Week11,3,FALSE),130)</f>
        <v>55</v>
      </c>
      <c r="G368" s="4">
        <f>IF(ISBLANK(B368),,IFERROR(VLOOKUP(B368,CurrentRank!$B$2:$D$132,3,FALSE),130))</f>
        <v>82</v>
      </c>
      <c r="H368" s="4">
        <f>IFERROR(VLOOKUP(C368,Week11,2,FALSE),0)</f>
        <v>32.82</v>
      </c>
      <c r="I368" s="4">
        <f>IF(ISBLANK(B368),,IFERROR(VLOOKUP(C368,CurrentRank!$B$2:$C$132,2,FALSE),0))</f>
        <v>33.11</v>
      </c>
      <c r="J368" s="4">
        <f>IFERROR(VLOOKUP(C368,Week11,3,FALSE),130)</f>
        <v>79</v>
      </c>
      <c r="K368" s="4">
        <f>IF(ISBLANK(C368),,IFERROR(VLOOKUP(C368,CurrentRank!$B$2:$D$132,3,FALSE),130))</f>
        <v>85</v>
      </c>
      <c r="L368" s="19">
        <f t="shared" si="164"/>
        <v>1.0416</v>
      </c>
      <c r="M368" s="19">
        <f t="shared" si="165"/>
        <v>0.99675</v>
      </c>
      <c r="N368" s="24">
        <f t="shared" si="140"/>
        <v>67</v>
      </c>
      <c r="O368" s="21">
        <f t="shared" si="4"/>
        <v>1.3792</v>
      </c>
      <c r="P368" s="21">
        <f t="shared" si="162"/>
        <v>-0.4058</v>
      </c>
      <c r="Q368" s="22">
        <f t="shared" si="6"/>
        <v>0.658104</v>
      </c>
      <c r="R368" s="25" t="str">
        <f t="shared" si="7"/>
        <v>D</v>
      </c>
      <c r="S368" s="19">
        <f t="shared" si="8"/>
        <v>0.66</v>
      </c>
      <c r="T368" s="19" t="str">
        <f t="shared" si="9"/>
        <v>D</v>
      </c>
      <c r="U368" s="3" t="s">
        <v>203</v>
      </c>
      <c r="V368" s="4" t="str">
        <f>IF(ISBLANK(C368),,IFERROR(IF(VLOOKUP(B368,Standings!$A:$F, 6, 0)=VLOOKUP(C368,Standings!$A:$F, 6, 0), VLOOKUP(B368,Standings!$A:$F, 6, 0), "Non-con"), "FCS"))</f>
        <v>Non-con</v>
      </c>
      <c r="W368" s="3" t="str">
        <f t="shared" si="10"/>
        <v>Army</v>
      </c>
      <c r="X368" s="3" t="str">
        <f t="shared" si="11"/>
        <v>Georgia Southern</v>
      </c>
      <c r="Y368" s="30">
        <f>IF(D368=0,,IF(ISBLANK(Q368),,VLOOKUP(X368,Week11,2,FALSE)/(VLOOKUP(X368,Week11,2,FALSE)+VLOOKUP(W368,Week11,2,FALSE))+0.05)*100)</f>
        <v>57.73617512</v>
      </c>
      <c r="Z368" s="3" t="s">
        <v>88</v>
      </c>
      <c r="AA368" s="3">
        <v>28.0</v>
      </c>
      <c r="AB368" s="4" t="str">
        <f t="shared" si="20"/>
        <v>Georgia Southern</v>
      </c>
      <c r="AC368" s="3">
        <v>27.0</v>
      </c>
      <c r="AD368" s="3"/>
      <c r="AE368" s="3">
        <f t="shared" si="13"/>
        <v>1</v>
      </c>
      <c r="AF368" s="3"/>
      <c r="AG368" s="3">
        <f t="shared" si="133"/>
        <v>0</v>
      </c>
      <c r="AH368" s="3"/>
      <c r="AI368" s="7"/>
      <c r="AJ368" s="4"/>
      <c r="AK368" s="7"/>
      <c r="AL368" s="7"/>
      <c r="AM368" s="7"/>
      <c r="AN368" s="7"/>
      <c r="AO368" s="7"/>
      <c r="AP368" s="7"/>
      <c r="AQ368" s="7"/>
      <c r="AR368" s="7"/>
      <c r="AS368" s="7"/>
      <c r="AT368" s="7"/>
      <c r="AU368" s="7"/>
      <c r="AV368" s="7"/>
      <c r="AW368" s="7"/>
      <c r="AX368" s="7"/>
    </row>
    <row r="369" ht="12.75" hidden="1" customHeight="1">
      <c r="A369" s="3">
        <v>11.0</v>
      </c>
      <c r="B369" s="3" t="s">
        <v>60</v>
      </c>
      <c r="C369" s="3" t="s">
        <v>130</v>
      </c>
      <c r="D369" s="4">
        <f>IFERROR(VLOOKUP(B369,CurrentRank!$B$2:$C$132,2,FALSE),0)</f>
        <v>35.34</v>
      </c>
      <c r="E369" s="4">
        <f>IF(ISBLANK(B369),,IFERROR(VLOOKUP(B369,CurrentRank!$B$2:$C$132,2,FALSE),0))</f>
        <v>35.34</v>
      </c>
      <c r="F369" s="4">
        <f>IFERROR(VLOOKUP(B369,Week10,3,FALSE),130)</f>
        <v>56</v>
      </c>
      <c r="G369" s="4">
        <f>IF(ISBLANK(B369),,IFERROR(VLOOKUP(B369,CurrentRank!$B$2:$D$132,3,FALSE),130))</f>
        <v>61</v>
      </c>
      <c r="H369" s="4">
        <f>IFERROR(VLOOKUP(C369,CurrentRank!$B$2:$C$132,2,FALSE),0)</f>
        <v>29.22</v>
      </c>
      <c r="I369" s="4">
        <f>IF(ISBLANK(B369),,IFERROR(VLOOKUP(C369,CurrentRank!$B$2:$C$132,2,FALSE),0))</f>
        <v>29.22</v>
      </c>
      <c r="J369" s="4">
        <f>IFERROR(VLOOKUP(C369,Week10,3,FALSE),130)</f>
        <v>88</v>
      </c>
      <c r="K369" s="4">
        <f>IF(ISBLANK(C369),,IFERROR(VLOOKUP(C369,CurrentRank!$B$2:$D$132,3,FALSE),130))</f>
        <v>116</v>
      </c>
      <c r="L369" s="19">
        <f t="shared" ref="L369:M369" si="166">IF(ISBLANK(C369),,(D369+H369)*0.015)</f>
        <v>0.9684</v>
      </c>
      <c r="M369" s="19">
        <f t="shared" si="166"/>
        <v>0.9684</v>
      </c>
      <c r="N369" s="24">
        <f t="shared" si="140"/>
        <v>72</v>
      </c>
      <c r="O369" s="21">
        <f t="shared" si="4"/>
        <v>2.5758</v>
      </c>
      <c r="P369" s="21">
        <f t="shared" si="162"/>
        <v>2.5758</v>
      </c>
      <c r="Q369" s="22">
        <f t="shared" si="6"/>
        <v>0.627121</v>
      </c>
      <c r="R369" s="25" t="str">
        <f t="shared" si="7"/>
        <v>D</v>
      </c>
      <c r="S369" s="19" t="str">
        <f t="shared" si="8"/>
        <v/>
      </c>
      <c r="T369" s="19" t="str">
        <f t="shared" si="9"/>
        <v/>
      </c>
      <c r="U369" s="3" t="s">
        <v>203</v>
      </c>
      <c r="V369" s="4" t="str">
        <f>IFERROR(IF(VLOOKUP(B369,Standings!$A:$F, 6, 0)=VLOOKUP(C369,Standings!$A:$F, 6, 0), VLOOKUP(B369,Standings!$A:$F, 6, 0), "Non-con"), "FCS")</f>
        <v>AAC</v>
      </c>
      <c r="W369" s="3" t="str">
        <f t="shared" si="10"/>
        <v>Navy</v>
      </c>
      <c r="X369" s="3" t="str">
        <f t="shared" si="11"/>
        <v>Memphis</v>
      </c>
      <c r="Y369" s="30">
        <f>IF(D369=0,,IF(ISBLANK(Q369),,VLOOKUP(X369,Week10,2,FALSE)/(VLOOKUP(X369,Week10,2,FALSE)+VLOOKUP(W369,Week10,2,FALSE))+0.05)*100)</f>
        <v>59.27356693</v>
      </c>
      <c r="Z369" s="3"/>
      <c r="AA369" s="3"/>
      <c r="AB369" s="4" t="str">
        <f t="shared" si="20"/>
        <v/>
      </c>
      <c r="AC369" s="3"/>
      <c r="AD369" s="3"/>
      <c r="AE369" s="3" t="str">
        <f t="shared" si="13"/>
        <v/>
      </c>
      <c r="AF369" s="3" t="s">
        <v>228</v>
      </c>
      <c r="AG369" s="3" t="str">
        <f t="shared" si="133"/>
        <v/>
      </c>
      <c r="AH369" s="3"/>
      <c r="AI369" s="7"/>
      <c r="AJ369" s="4"/>
      <c r="AK369" s="7"/>
      <c r="AL369" s="7"/>
      <c r="AM369" s="7"/>
      <c r="AN369" s="7"/>
      <c r="AO369" s="7"/>
      <c r="AP369" s="7"/>
      <c r="AQ369" s="7"/>
      <c r="AR369" s="7"/>
      <c r="AS369" s="7"/>
      <c r="AT369" s="7"/>
      <c r="AU369" s="7"/>
      <c r="AV369" s="7"/>
      <c r="AW369" s="7"/>
      <c r="AX369" s="7"/>
    </row>
    <row r="370" ht="12.75" customHeight="1">
      <c r="A370" s="3">
        <v>9.0</v>
      </c>
      <c r="B370" s="3" t="s">
        <v>145</v>
      </c>
      <c r="C370" s="3" t="s">
        <v>87</v>
      </c>
      <c r="D370" s="4">
        <f>IFERROR(VLOOKUP(B370,Week8,2,FALSE),0)</f>
        <v>27.33</v>
      </c>
      <c r="E370" s="4">
        <f>IF(ISBLANK(B370),,IFERROR(VLOOKUP(B370,CurrentRank!$B$2:$C$132,2,FALSE),0))</f>
        <v>29.42</v>
      </c>
      <c r="F370" s="4">
        <f>IFERROR(VLOOKUP(B370,Week8,3,FALSE),130)</f>
        <v>120</v>
      </c>
      <c r="G370" s="4">
        <f>IF(ISBLANK(B370),,IFERROR(VLOOKUP(B370,CurrentRank!$B$2:$D$132,3,FALSE),130))</f>
        <v>114</v>
      </c>
      <c r="H370" s="4">
        <f>IFERROR(VLOOKUP(C370,Week8,2,FALSE),0)</f>
        <v>73.56</v>
      </c>
      <c r="I370" s="4">
        <f>IF(ISBLANK(B370),,IFERROR(VLOOKUP(C370,CurrentRank!$B$2:$C$132,2,FALSE),0))</f>
        <v>31.54</v>
      </c>
      <c r="J370" s="4">
        <f>IFERROR(VLOOKUP(C370,Week8,3,FALSE),130)</f>
        <v>11</v>
      </c>
      <c r="K370" s="4">
        <f>IF(ISBLANK(C370),,IFERROR(VLOOKUP(C370,CurrentRank!$B$2:$D$132,3,FALSE),130))</f>
        <v>97</v>
      </c>
      <c r="L370" s="19">
        <f t="shared" ref="L370:L388" si="167">IF(U370= "Yes", 0, IF(ISBLANK(C370),,(D370+H370)*0.015))</f>
        <v>1.51335</v>
      </c>
      <c r="M370" s="19">
        <f t="shared" ref="M370:M388" si="168">IF(U370= "Yes", 0, IF(ISBLANK(D370),,(E370+I370)*0.015))</f>
        <v>0.9144</v>
      </c>
      <c r="N370" s="24">
        <f t="shared" si="140"/>
        <v>65.5</v>
      </c>
      <c r="O370" s="21">
        <f t="shared" si="4"/>
        <v>-23.871675</v>
      </c>
      <c r="P370" s="21">
        <f t="shared" si="162"/>
        <v>-1.816675</v>
      </c>
      <c r="Q370" s="22">
        <f t="shared" si="6"/>
        <v>0.553141625</v>
      </c>
      <c r="R370" s="25" t="str">
        <f t="shared" si="7"/>
        <v>F</v>
      </c>
      <c r="S370" s="19">
        <f t="shared" si="8"/>
        <v>0.6575</v>
      </c>
      <c r="T370" s="19" t="str">
        <f t="shared" si="9"/>
        <v>D</v>
      </c>
      <c r="U370" s="3" t="s">
        <v>203</v>
      </c>
      <c r="V370" s="4" t="str">
        <f>IF(ISBLANK(C370),,IFERROR(IF(VLOOKUP(B370,Standings!$A:$F, 6, 0)=VLOOKUP(C370,Standings!$A:$F, 6, 0), VLOOKUP(B370,Standings!$A:$F, 6, 0), "Non-con"), "FCS"))</f>
        <v>B1G</v>
      </c>
      <c r="W370" s="3" t="str">
        <f t="shared" si="10"/>
        <v>Michigan State</v>
      </c>
      <c r="X370" s="3" t="str">
        <f t="shared" si="11"/>
        <v>Michigan</v>
      </c>
      <c r="Y370" s="30">
        <f>IF(D370=0,,IF(ISBLANK(Q370),,VLOOKUP(X370,Week8,2,FALSE)/(VLOOKUP(X370,Week8,2,FALSE)+VLOOKUP(W370,Week8,2,FALSE))+0.05)*100)</f>
        <v>77.91109129</v>
      </c>
      <c r="Z370" s="3" t="s">
        <v>145</v>
      </c>
      <c r="AA370" s="3">
        <v>27.0</v>
      </c>
      <c r="AB370" s="4" t="str">
        <f t="shared" si="20"/>
        <v>Michigan</v>
      </c>
      <c r="AC370" s="3">
        <v>24.0</v>
      </c>
      <c r="AD370" s="3"/>
      <c r="AE370" s="3">
        <f t="shared" si="13"/>
        <v>3</v>
      </c>
      <c r="AF370" s="3"/>
      <c r="AG370" s="3">
        <f t="shared" si="133"/>
        <v>0</v>
      </c>
      <c r="AH370" s="3"/>
      <c r="AI370" s="7"/>
      <c r="AJ370" s="4"/>
      <c r="AM370" s="7"/>
      <c r="AN370" s="7"/>
      <c r="AO370" s="7"/>
      <c r="AP370" s="7"/>
      <c r="AQ370" s="7"/>
      <c r="AR370" s="7"/>
      <c r="AS370" s="7"/>
      <c r="AT370" s="7"/>
      <c r="AU370" s="7"/>
      <c r="AV370" s="7"/>
      <c r="AW370" s="7"/>
      <c r="AX370" s="7"/>
    </row>
    <row r="371" ht="12.75" hidden="1" customHeight="1">
      <c r="A371" s="3">
        <v>12.0</v>
      </c>
      <c r="B371" s="3" t="s">
        <v>173</v>
      </c>
      <c r="C371" s="3" t="s">
        <v>164</v>
      </c>
      <c r="D371" s="4">
        <f>IFERROR(VLOOKUP(B371,Week11,2,FALSE),0)</f>
        <v>36.86</v>
      </c>
      <c r="E371" s="4">
        <f>IF(ISBLANK(B371),,IFERROR(VLOOKUP(B371,CurrentRank!$B$2:$C$132,2,FALSE),0))</f>
        <v>34.13</v>
      </c>
      <c r="F371" s="4">
        <f>IFERROR(VLOOKUP(B371,Week11,3,FALSE),130)</f>
        <v>54</v>
      </c>
      <c r="G371" s="4">
        <f>IF(ISBLANK(B371),,IFERROR(VLOOKUP(B371,CurrentRank!$B$2:$D$132,3,FALSE),130))</f>
        <v>73</v>
      </c>
      <c r="H371" s="4">
        <f>IFERROR(VLOOKUP(C371,Week11,2,FALSE),0)</f>
        <v>43.71</v>
      </c>
      <c r="I371" s="4">
        <f>IF(ISBLANK(B371),,IFERROR(VLOOKUP(C371,CurrentRank!$B$2:$C$132,2,FALSE),0))</f>
        <v>37.5</v>
      </c>
      <c r="J371" s="4">
        <f>IFERROR(VLOOKUP(C371,Week11,3,FALSE),130)</f>
        <v>31</v>
      </c>
      <c r="K371" s="4">
        <f>IF(ISBLANK(C371),,IFERROR(VLOOKUP(C371,CurrentRank!$B$2:$D$132,3,FALSE),130))</f>
        <v>41</v>
      </c>
      <c r="L371" s="19">
        <f t="shared" si="167"/>
        <v>1.20855</v>
      </c>
      <c r="M371" s="19">
        <f t="shared" si="168"/>
        <v>1.07445</v>
      </c>
      <c r="N371" s="24">
        <f t="shared" si="140"/>
        <v>42.5</v>
      </c>
      <c r="O371" s="21">
        <f t="shared" si="4"/>
        <v>-4.029275</v>
      </c>
      <c r="P371" s="21">
        <f t="shared" si="162"/>
        <v>-2.289275</v>
      </c>
      <c r="Q371" s="22">
        <f t="shared" si="6"/>
        <v>0.767353625</v>
      </c>
      <c r="R371" s="25" t="str">
        <f t="shared" si="7"/>
        <v>C+</v>
      </c>
      <c r="S371" s="19">
        <f t="shared" si="8"/>
        <v>0.7625</v>
      </c>
      <c r="T371" s="19" t="str">
        <f t="shared" si="9"/>
        <v>C</v>
      </c>
      <c r="U371" s="3" t="s">
        <v>203</v>
      </c>
      <c r="V371" s="4" t="str">
        <f>IF(ISBLANK(C371),,IFERROR(IF(VLOOKUP(B371,Standings!$A:$F, 6, 0)=VLOOKUP(C371,Standings!$A:$F, 6, 0), VLOOKUP(B371,Standings!$A:$F, 6, 0), "Non-con"), "FCS"))</f>
        <v>MWC</v>
      </c>
      <c r="W371" s="3" t="str">
        <f t="shared" si="10"/>
        <v>San Diego State</v>
      </c>
      <c r="X371" s="3" t="str">
        <f t="shared" si="11"/>
        <v>Nevada</v>
      </c>
      <c r="Y371" s="30">
        <f>IF(D371=0,,IF(ISBLANK(Q371),,VLOOKUP(X371,Week11,2,FALSE)/(VLOOKUP(X371,Week11,2,FALSE)+VLOOKUP(W371,Week11,2,FALSE))+0.05)*100)</f>
        <v>59.2509619</v>
      </c>
      <c r="Z371" s="3" t="s">
        <v>164</v>
      </c>
      <c r="AA371" s="3">
        <v>26.0</v>
      </c>
      <c r="AB371" s="4" t="str">
        <f t="shared" si="20"/>
        <v>San Diego State</v>
      </c>
      <c r="AC371" s="3">
        <v>21.0</v>
      </c>
      <c r="AD371" s="3"/>
      <c r="AE371" s="3">
        <f t="shared" si="13"/>
        <v>5</v>
      </c>
      <c r="AF371" s="3"/>
      <c r="AG371" s="3">
        <f t="shared" si="133"/>
        <v>1</v>
      </c>
      <c r="AH371" s="3"/>
      <c r="AI371" s="7"/>
      <c r="AJ371" s="4" t="s">
        <v>69</v>
      </c>
      <c r="AK371" s="7"/>
      <c r="AL371" s="7"/>
      <c r="AM371" s="7"/>
      <c r="AN371" s="7"/>
      <c r="AO371" s="7"/>
      <c r="AP371" s="7"/>
      <c r="AQ371" s="7"/>
      <c r="AR371" s="7"/>
      <c r="AS371" s="7"/>
      <c r="AT371" s="7"/>
      <c r="AU371" s="7"/>
      <c r="AV371" s="7"/>
      <c r="AW371" s="7"/>
      <c r="AX371" s="7"/>
    </row>
    <row r="372" ht="12.75" hidden="1" customHeight="1">
      <c r="A372" s="3">
        <v>16.0</v>
      </c>
      <c r="B372" s="3" t="s">
        <v>194</v>
      </c>
      <c r="C372" s="3" t="s">
        <v>160</v>
      </c>
      <c r="D372" s="4">
        <f>IFERROR(VLOOKUP(B372,Week15,2,FALSE),0)</f>
        <v>42.33</v>
      </c>
      <c r="E372" s="4">
        <f>IF(ISBLANK(B372),,IFERROR(VLOOKUP(B372,CurrentRank!$B$2:$C$132,2,FALSE),0))</f>
        <v>44.06</v>
      </c>
      <c r="F372" s="4">
        <f>IFERROR(VLOOKUP(B372,Week15,3,FALSE),130)</f>
        <v>29</v>
      </c>
      <c r="G372" s="4">
        <f>IF(ISBLANK(B372),,IFERROR(VLOOKUP(B372,CurrentRank!$B$2:$D$132,3,FALSE),130))</f>
        <v>26</v>
      </c>
      <c r="H372" s="4">
        <f>IFERROR(VLOOKUP(C372,Week15,2,FALSE),0)</f>
        <v>35.7</v>
      </c>
      <c r="I372" s="4">
        <f>IF(ISBLANK(B372),,IFERROR(VLOOKUP(C372,CurrentRank!$B$2:$C$132,2,FALSE),0))</f>
        <v>34.87</v>
      </c>
      <c r="J372" s="4">
        <f>IFERROR(VLOOKUP(C372,Week15,3,FALSE),130)</f>
        <v>62</v>
      </c>
      <c r="K372" s="4">
        <f>IF(ISBLANK(C372),,IFERROR(VLOOKUP(C372,CurrentRank!$B$2:$D$132,3,FALSE),130))</f>
        <v>66</v>
      </c>
      <c r="L372" s="19">
        <f t="shared" si="167"/>
        <v>1.17045</v>
      </c>
      <c r="M372" s="19">
        <f t="shared" si="168"/>
        <v>1.18395</v>
      </c>
      <c r="N372" s="24">
        <f t="shared" si="140"/>
        <v>45.5</v>
      </c>
      <c r="O372" s="21">
        <f t="shared" si="4"/>
        <v>2.729775</v>
      </c>
      <c r="P372" s="21">
        <f t="shared" si="162"/>
        <v>4.009775</v>
      </c>
      <c r="Q372" s="22">
        <f t="shared" si="6"/>
        <v>0.758851125</v>
      </c>
      <c r="R372" s="25" t="str">
        <f t="shared" si="7"/>
        <v>C</v>
      </c>
      <c r="S372" s="19">
        <f t="shared" si="8"/>
        <v>0.7075</v>
      </c>
      <c r="T372" s="19" t="str">
        <f t="shared" si="9"/>
        <v>C-</v>
      </c>
      <c r="U372" s="3" t="s">
        <v>203</v>
      </c>
      <c r="V372" s="4" t="str">
        <f>IF(ISBLANK(C372),,IFERROR(IF(VLOOKUP(B372,Standings!$A:$F, 6, 0)=VLOOKUP(C372,Standings!$A:$F, 6, 0), VLOOKUP(B372,Standings!$A:$F, 6, 0), "Non-con"), "FCS"))</f>
        <v>PAC12</v>
      </c>
      <c r="W372" s="3" t="str">
        <f t="shared" si="10"/>
        <v>Oregon State</v>
      </c>
      <c r="X372" s="3" t="str">
        <f t="shared" si="11"/>
        <v>Arizona State</v>
      </c>
      <c r="Y372" s="30">
        <f>IF(D372=0,,IF(ISBLANK(Q372),,VLOOKUP(X372,Week15,2,FALSE)/(VLOOKUP(X372,Week15,2,FALSE)+VLOOKUP(W372,Week15,2,FALSE))+0.05)*100)</f>
        <v>59.24836601</v>
      </c>
      <c r="Z372" s="3" t="s">
        <v>194</v>
      </c>
      <c r="AA372" s="3">
        <v>46.0</v>
      </c>
      <c r="AB372" s="4" t="str">
        <f t="shared" si="20"/>
        <v>Oregon State</v>
      </c>
      <c r="AC372" s="3">
        <v>33.0</v>
      </c>
      <c r="AD372" s="3"/>
      <c r="AE372" s="3">
        <f t="shared" si="13"/>
        <v>13</v>
      </c>
      <c r="AF372" s="3"/>
      <c r="AG372" s="3">
        <f t="shared" si="133"/>
        <v>1</v>
      </c>
      <c r="AH372" s="3"/>
      <c r="AI372" s="7"/>
      <c r="AJ372" s="4"/>
      <c r="AK372" s="7"/>
      <c r="AL372" s="7"/>
      <c r="AM372" s="7"/>
      <c r="AN372" s="7"/>
      <c r="AO372" s="7"/>
      <c r="AP372" s="7"/>
      <c r="AQ372" s="7"/>
      <c r="AR372" s="7"/>
      <c r="AS372" s="7"/>
      <c r="AT372" s="7"/>
      <c r="AU372" s="7"/>
      <c r="AV372" s="7"/>
      <c r="AW372" s="7"/>
      <c r="AX372" s="7"/>
    </row>
    <row r="373" ht="12.75" hidden="1" customHeight="1">
      <c r="A373" s="3">
        <v>15.0</v>
      </c>
      <c r="B373" s="3" t="s">
        <v>110</v>
      </c>
      <c r="C373" s="3" t="s">
        <v>113</v>
      </c>
      <c r="D373" s="4">
        <f>IFERROR(VLOOKUP(B373,Week14,2,FALSE),0)</f>
        <v>34.5</v>
      </c>
      <c r="E373" s="4">
        <f>IF(ISBLANK(B373),,IFERROR(VLOOKUP(B373,CurrentRank!$B$2:$C$132,2,FALSE),0))</f>
        <v>20.47</v>
      </c>
      <c r="F373" s="4">
        <f>IFERROR(VLOOKUP(B373,Week14,3,FALSE),130)</f>
        <v>76</v>
      </c>
      <c r="G373" s="4">
        <f>IF(ISBLANK(B373),,IFERROR(VLOOKUP(B373,CurrentRank!$B$2:$D$132,3,FALSE),130))</f>
        <v>128</v>
      </c>
      <c r="H373" s="4">
        <f>IFERROR(VLOOKUP(C373,Week14,2,FALSE),0)</f>
        <v>40.87</v>
      </c>
      <c r="I373" s="4">
        <f>IF(ISBLANK(B373),,IFERROR(VLOOKUP(C373,CurrentRank!$B$2:$C$132,2,FALSE),0))</f>
        <v>41.9</v>
      </c>
      <c r="J373" s="4">
        <f>IFERROR(VLOOKUP(C373,Week14,3,FALSE),130)</f>
        <v>34</v>
      </c>
      <c r="K373" s="4">
        <f>IF(ISBLANK(C373),,IFERROR(VLOOKUP(C373,CurrentRank!$B$2:$D$132,3,FALSE),130))</f>
        <v>29</v>
      </c>
      <c r="L373" s="19">
        <f t="shared" si="167"/>
        <v>1.13055</v>
      </c>
      <c r="M373" s="19">
        <f t="shared" si="168"/>
        <v>0.93555</v>
      </c>
      <c r="N373" s="24">
        <f t="shared" si="140"/>
        <v>55</v>
      </c>
      <c r="O373" s="21">
        <f t="shared" si="4"/>
        <v>-3.750275</v>
      </c>
      <c r="P373" s="21">
        <f t="shared" si="162"/>
        <v>-11.280275</v>
      </c>
      <c r="Q373" s="22">
        <f t="shared" si="6"/>
        <v>0.706248625</v>
      </c>
      <c r="R373" s="25" t="str">
        <f t="shared" si="7"/>
        <v>C-</v>
      </c>
      <c r="S373" s="19">
        <f t="shared" si="8"/>
        <v>0.515</v>
      </c>
      <c r="T373" s="19" t="str">
        <f t="shared" si="9"/>
        <v>F</v>
      </c>
      <c r="U373" s="3" t="s">
        <v>203</v>
      </c>
      <c r="V373" s="4" t="str">
        <f>IF(ISBLANK(C373),,IFERROR(IF(VLOOKUP(B373,Standings!$A:$F, 6, 0)=VLOOKUP(C373,Standings!$A:$F, 6, 0), VLOOKUP(B373,Standings!$A:$F, 6, 0), "Non-con"), "FCS"))</f>
        <v>Non-con</v>
      </c>
      <c r="W373" s="3" t="str">
        <f t="shared" si="10"/>
        <v>Louisiana Tech</v>
      </c>
      <c r="X373" s="3" t="str">
        <f t="shared" si="11"/>
        <v>TCU</v>
      </c>
      <c r="Y373" s="30">
        <f>IF(D373=0,,IF(ISBLANK(Q373),,VLOOKUP(X373,Week14,2,FALSE)/(VLOOKUP(X373,Week14,2,FALSE)+VLOOKUP(W373,Week14,2,FALSE))+0.05)*100)</f>
        <v>59.22581929</v>
      </c>
      <c r="Z373" s="3" t="s">
        <v>113</v>
      </c>
      <c r="AA373" s="3">
        <v>52.0</v>
      </c>
      <c r="AB373" s="4" t="str">
        <f t="shared" si="20"/>
        <v>Louisiana Tech</v>
      </c>
      <c r="AC373" s="3">
        <v>10.0</v>
      </c>
      <c r="AD373" s="3"/>
      <c r="AE373" s="3">
        <f t="shared" si="13"/>
        <v>42</v>
      </c>
      <c r="AF373" s="3"/>
      <c r="AG373" s="3">
        <f t="shared" si="133"/>
        <v>1</v>
      </c>
      <c r="AH373" s="3"/>
      <c r="AI373" s="7"/>
      <c r="AJ373" s="4" t="s">
        <v>113</v>
      </c>
      <c r="AK373" s="7"/>
      <c r="AL373" s="7"/>
      <c r="AM373" s="7"/>
      <c r="AN373" s="7"/>
      <c r="AO373" s="7"/>
      <c r="AP373" s="7"/>
      <c r="AQ373" s="7"/>
      <c r="AR373" s="7"/>
      <c r="AS373" s="7"/>
      <c r="AT373" s="7"/>
      <c r="AU373" s="7"/>
      <c r="AV373" s="7"/>
      <c r="AW373" s="7"/>
      <c r="AX373" s="7"/>
    </row>
    <row r="374" ht="12.75" customHeight="1">
      <c r="A374" s="3">
        <v>12.0</v>
      </c>
      <c r="B374" s="3" t="s">
        <v>53</v>
      </c>
      <c r="C374" s="3" t="s">
        <v>118</v>
      </c>
      <c r="D374" s="4">
        <f>IFERROR(VLOOKUP(B374,Week11,2,FALSE),0)</f>
        <v>32.2</v>
      </c>
      <c r="E374" s="4">
        <f>IF(ISBLANK(B374),,IFERROR(VLOOKUP(B374,CurrentRank!$B$2:$C$132,2,FALSE),0))</f>
        <v>37.27</v>
      </c>
      <c r="F374" s="4">
        <f>IFERROR(VLOOKUP(B374,Week11,3,FALSE),130)</f>
        <v>86</v>
      </c>
      <c r="G374" s="4">
        <f>IF(ISBLANK(B374),,IFERROR(VLOOKUP(B374,CurrentRank!$B$2:$D$132,3,FALSE),130))</f>
        <v>45</v>
      </c>
      <c r="H374" s="4">
        <f>IFERROR(VLOOKUP(C374,Week11,2,FALSE),0)</f>
        <v>39.06</v>
      </c>
      <c r="I374" s="4">
        <f>IF(ISBLANK(B374),,IFERROR(VLOOKUP(C374,CurrentRank!$B$2:$C$132,2,FALSE),0))</f>
        <v>35.17</v>
      </c>
      <c r="J374" s="4">
        <f>IFERROR(VLOOKUP(C374,Week11,3,FALSE),130)</f>
        <v>45</v>
      </c>
      <c r="K374" s="4">
        <f>IF(ISBLANK(C374),,IFERROR(VLOOKUP(C374,CurrentRank!$B$2:$D$132,3,FALSE),130))</f>
        <v>65</v>
      </c>
      <c r="L374" s="19">
        <f t="shared" si="167"/>
        <v>1.0689</v>
      </c>
      <c r="M374" s="19">
        <f t="shared" si="168"/>
        <v>1.0866</v>
      </c>
      <c r="N374" s="24">
        <f t="shared" si="140"/>
        <v>65.5</v>
      </c>
      <c r="O374" s="21">
        <f t="shared" si="4"/>
        <v>-3.96445</v>
      </c>
      <c r="P374" s="21">
        <f t="shared" si="162"/>
        <v>0.51555</v>
      </c>
      <c r="Q374" s="22">
        <f t="shared" si="6"/>
        <v>0.65267775</v>
      </c>
      <c r="R374" s="25" t="str">
        <f t="shared" si="7"/>
        <v>D</v>
      </c>
      <c r="S374" s="19">
        <f t="shared" si="8"/>
        <v>0.6575</v>
      </c>
      <c r="T374" s="19" t="str">
        <f t="shared" si="9"/>
        <v>D</v>
      </c>
      <c r="U374" s="3" t="s">
        <v>203</v>
      </c>
      <c r="V374" s="4" t="str">
        <f>IF(ISBLANK(C374),,IFERROR(IF(VLOOKUP(B374,Standings!$A:$F, 6, 0)=VLOOKUP(C374,Standings!$A:$F, 6, 0), VLOOKUP(B374,Standings!$A:$F, 6, 0), "Non-con"), "FCS"))</f>
        <v>SEC</v>
      </c>
      <c r="W374" s="3" t="str">
        <f t="shared" si="10"/>
        <v>LSU</v>
      </c>
      <c r="X374" s="3" t="str">
        <f t="shared" si="11"/>
        <v>Arkansas</v>
      </c>
      <c r="Y374" s="30">
        <f>IF(D374=0,,IF(ISBLANK(Q374),,VLOOKUP(X374,Week11,2,FALSE)/(VLOOKUP(X374,Week11,2,FALSE)+VLOOKUP(W374,Week11,2,FALSE))+0.05)*100)</f>
        <v>59.81335953</v>
      </c>
      <c r="Z374" s="3" t="s">
        <v>53</v>
      </c>
      <c r="AA374" s="3">
        <v>27.0</v>
      </c>
      <c r="AB374" s="4" t="str">
        <f t="shared" si="20"/>
        <v>Arkansas</v>
      </c>
      <c r="AC374" s="3">
        <v>24.0</v>
      </c>
      <c r="AD374" s="3"/>
      <c r="AE374" s="3">
        <f t="shared" si="13"/>
        <v>3</v>
      </c>
      <c r="AF374" s="3"/>
      <c r="AG374" s="3">
        <f t="shared" si="133"/>
        <v>0</v>
      </c>
      <c r="AH374" s="3"/>
      <c r="AI374" s="7"/>
      <c r="AJ374" s="4"/>
      <c r="AK374" s="7"/>
      <c r="AL374" s="7"/>
      <c r="AM374" s="7"/>
      <c r="AN374" s="7"/>
      <c r="AO374" s="7"/>
      <c r="AP374" s="7"/>
      <c r="AQ374" s="7"/>
      <c r="AR374" s="7"/>
      <c r="AS374" s="7"/>
      <c r="AT374" s="7"/>
      <c r="AU374" s="7"/>
      <c r="AV374" s="7"/>
      <c r="AW374" s="7"/>
      <c r="AX374" s="7"/>
    </row>
    <row r="375" ht="12.75" customHeight="1">
      <c r="A375" s="3">
        <v>9.0</v>
      </c>
      <c r="B375" s="3" t="s">
        <v>113</v>
      </c>
      <c r="C375" s="3" t="s">
        <v>104</v>
      </c>
      <c r="D375" s="4">
        <f>IFERROR(VLOOKUP(B375,Week8,2,FALSE),0)</f>
        <v>34.84</v>
      </c>
      <c r="E375" s="4">
        <f>IF(ISBLANK(B375),,IFERROR(VLOOKUP(B375,CurrentRank!$B$2:$C$132,2,FALSE),0))</f>
        <v>41.9</v>
      </c>
      <c r="F375" s="4">
        <f>IFERROR(VLOOKUP(B375,Week8,3,FALSE),130)</f>
        <v>60</v>
      </c>
      <c r="G375" s="4">
        <f>IF(ISBLANK(B375),,IFERROR(VLOOKUP(B375,CurrentRank!$B$2:$D$132,3,FALSE),130))</f>
        <v>29</v>
      </c>
      <c r="H375" s="4">
        <f>IFERROR(VLOOKUP(C375,Week8,2,FALSE),0)</f>
        <v>35.93</v>
      </c>
      <c r="I375" s="4">
        <f>IF(ISBLANK(B375),,IFERROR(VLOOKUP(C375,CurrentRank!$B$2:$C$132,2,FALSE),0))</f>
        <v>31.08</v>
      </c>
      <c r="J375" s="4">
        <f>IFERROR(VLOOKUP(C375,Week8,3,FALSE),130)</f>
        <v>57</v>
      </c>
      <c r="K375" s="4">
        <f>IF(ISBLANK(C375),,IFERROR(VLOOKUP(C375,CurrentRank!$B$2:$D$132,3,FALSE),130))</f>
        <v>101</v>
      </c>
      <c r="L375" s="19">
        <f t="shared" si="167"/>
        <v>1.06155</v>
      </c>
      <c r="M375" s="19">
        <f t="shared" si="168"/>
        <v>1.0947</v>
      </c>
      <c r="N375" s="24">
        <f t="shared" si="140"/>
        <v>58.5</v>
      </c>
      <c r="O375" s="21">
        <f t="shared" si="4"/>
        <v>-1.075775</v>
      </c>
      <c r="P375" s="21">
        <f t="shared" si="162"/>
        <v>4.879225</v>
      </c>
      <c r="Q375" s="22">
        <f t="shared" si="6"/>
        <v>0.702121125</v>
      </c>
      <c r="R375" s="25" t="str">
        <f t="shared" si="7"/>
        <v>C-</v>
      </c>
      <c r="S375" s="19">
        <f t="shared" si="8"/>
        <v>0.6575</v>
      </c>
      <c r="T375" s="19" t="str">
        <f t="shared" si="9"/>
        <v>D</v>
      </c>
      <c r="U375" s="3" t="s">
        <v>203</v>
      </c>
      <c r="V375" s="4" t="str">
        <f>IF(ISBLANK(C375),,IFERROR(IF(VLOOKUP(B375,Standings!$A:$F, 6, 0)=VLOOKUP(C375,Standings!$A:$F, 6, 0), VLOOKUP(B375,Standings!$A:$F, 6, 0), "Non-con"), "FCS"))</f>
        <v>BIG12</v>
      </c>
      <c r="W375" s="3" t="str">
        <f t="shared" si="10"/>
        <v>TCU</v>
      </c>
      <c r="X375" s="3" t="str">
        <f t="shared" si="11"/>
        <v>Baylor</v>
      </c>
      <c r="Y375" s="30">
        <f>IF(D375=0,,IF(ISBLANK(Q375),,VLOOKUP(X375,Week8,2,FALSE)/(VLOOKUP(X375,Week8,2,FALSE)+VLOOKUP(W375,Week8,2,FALSE))+0.05)*100)</f>
        <v>55.77010032</v>
      </c>
      <c r="Z375" s="3" t="s">
        <v>113</v>
      </c>
      <c r="AA375" s="3">
        <v>33.0</v>
      </c>
      <c r="AB375" s="4" t="str">
        <f t="shared" si="20"/>
        <v>Baylor</v>
      </c>
      <c r="AC375" s="3">
        <v>23.0</v>
      </c>
      <c r="AD375" s="3"/>
      <c r="AE375" s="3">
        <f t="shared" si="13"/>
        <v>10</v>
      </c>
      <c r="AF375" s="3"/>
      <c r="AG375" s="3">
        <f t="shared" si="133"/>
        <v>0</v>
      </c>
      <c r="AH375" s="3"/>
      <c r="AI375" s="7"/>
      <c r="AJ375" s="4" t="s">
        <v>266</v>
      </c>
      <c r="AK375" s="7"/>
      <c r="AL375" s="7"/>
      <c r="AM375" s="7"/>
      <c r="AN375" s="7"/>
      <c r="AO375" s="7"/>
      <c r="AP375" s="7"/>
      <c r="AQ375" s="7"/>
      <c r="AR375" s="7"/>
      <c r="AS375" s="7"/>
      <c r="AT375" s="7"/>
      <c r="AU375" s="7"/>
      <c r="AV375" s="7"/>
      <c r="AW375" s="7"/>
      <c r="AX375" s="7"/>
    </row>
    <row r="376" ht="12.75" customHeight="1">
      <c r="A376" s="3">
        <v>15.0</v>
      </c>
      <c r="B376" s="3" t="s">
        <v>112</v>
      </c>
      <c r="C376" s="3" t="s">
        <v>82</v>
      </c>
      <c r="D376" s="4">
        <f>IFERROR(VLOOKUP(B376,Week14,2,FALSE),0)</f>
        <v>41.39</v>
      </c>
      <c r="E376" s="4">
        <f>IF(ISBLANK(B376),,IFERROR(VLOOKUP(B376,CurrentRank!$B$2:$C$132,2,FALSE),0))</f>
        <v>36.98</v>
      </c>
      <c r="F376" s="4">
        <f>IFERROR(VLOOKUP(B376,Week14,3,FALSE),130)</f>
        <v>31</v>
      </c>
      <c r="G376" s="4">
        <f>IF(ISBLANK(B376),,IFERROR(VLOOKUP(B376,CurrentRank!$B$2:$D$132,3,FALSE),130))</f>
        <v>46</v>
      </c>
      <c r="H376" s="4">
        <f>IFERROR(VLOOKUP(C376,Week14,2,FALSE),0)</f>
        <v>35.04</v>
      </c>
      <c r="I376" s="4">
        <f>IF(ISBLANK(B376),,IFERROR(VLOOKUP(C376,CurrentRank!$B$2:$C$132,2,FALSE),0))</f>
        <v>36.12</v>
      </c>
      <c r="J376" s="4">
        <f>IFERROR(VLOOKUP(C376,Week14,3,FALSE),130)</f>
        <v>70</v>
      </c>
      <c r="K376" s="4">
        <f>IF(ISBLANK(C376),,IFERROR(VLOOKUP(C376,CurrentRank!$B$2:$D$132,3,FALSE),130))</f>
        <v>54</v>
      </c>
      <c r="L376" s="19">
        <f t="shared" si="167"/>
        <v>1.14645</v>
      </c>
      <c r="M376" s="19">
        <f t="shared" si="168"/>
        <v>1.0965</v>
      </c>
      <c r="N376" s="24">
        <f t="shared" si="140"/>
        <v>50.5</v>
      </c>
      <c r="O376" s="21">
        <f t="shared" si="4"/>
        <v>2.601775</v>
      </c>
      <c r="P376" s="21">
        <f t="shared" si="162"/>
        <v>-0.143225</v>
      </c>
      <c r="Q376" s="22">
        <f t="shared" si="6"/>
        <v>0.734491125</v>
      </c>
      <c r="R376" s="25" t="str">
        <f t="shared" si="7"/>
        <v>C</v>
      </c>
      <c r="S376" s="19">
        <f t="shared" si="8"/>
        <v>0.6575</v>
      </c>
      <c r="T376" s="19" t="str">
        <f t="shared" si="9"/>
        <v>D</v>
      </c>
      <c r="U376" s="3" t="s">
        <v>203</v>
      </c>
      <c r="V376" s="4" t="str">
        <f>IF(ISBLANK(C376),,IFERROR(IF(VLOOKUP(B376,Standings!$A:$F, 6, 0)=VLOOKUP(C376,Standings!$A:$F, 6, 0), VLOOKUP(B376,Standings!$A:$F, 6, 0), "Non-con"), "FCS"))</f>
        <v>ACC</v>
      </c>
      <c r="W376" s="3" t="str">
        <f t="shared" si="10"/>
        <v>Virginia Tech</v>
      </c>
      <c r="X376" s="3" t="str">
        <f t="shared" si="11"/>
        <v>Virginia</v>
      </c>
      <c r="Y376" s="30">
        <f>IF(D376=0,,IF(ISBLANK(Q376),,VLOOKUP(X376,Week14,2,FALSE)/(VLOOKUP(X376,Week14,2,FALSE)+VLOOKUP(W376,Week14,2,FALSE))+0.05)*100)</f>
        <v>59.15412796</v>
      </c>
      <c r="Z376" s="3" t="s">
        <v>82</v>
      </c>
      <c r="AA376" s="3">
        <v>33.0</v>
      </c>
      <c r="AB376" s="4" t="str">
        <f t="shared" si="20"/>
        <v>Virginia</v>
      </c>
      <c r="AC376" s="3">
        <v>15.0</v>
      </c>
      <c r="AD376" s="3"/>
      <c r="AE376" s="3">
        <f t="shared" si="13"/>
        <v>18</v>
      </c>
      <c r="AF376" s="3"/>
      <c r="AG376" s="3">
        <f t="shared" si="133"/>
        <v>0</v>
      </c>
      <c r="AH376" s="3"/>
      <c r="AI376" s="7"/>
      <c r="AJ376" s="4" t="s">
        <v>267</v>
      </c>
      <c r="AK376" s="7"/>
      <c r="AL376" s="7"/>
      <c r="AM376" s="7"/>
      <c r="AN376" s="7"/>
      <c r="AO376" s="7"/>
      <c r="AP376" s="7"/>
      <c r="AQ376" s="7"/>
      <c r="AR376" s="7"/>
      <c r="AS376" s="7"/>
      <c r="AT376" s="7"/>
      <c r="AU376" s="7"/>
      <c r="AV376" s="7"/>
      <c r="AW376" s="7"/>
      <c r="AX376" s="7"/>
    </row>
    <row r="377" ht="12.75" customHeight="1">
      <c r="A377" s="3">
        <v>15.0</v>
      </c>
      <c r="B377" s="3" t="s">
        <v>166</v>
      </c>
      <c r="C377" s="3" t="s">
        <v>150</v>
      </c>
      <c r="D377" s="4">
        <f>IFERROR(VLOOKUP(B377,Week14,2,FALSE),0)</f>
        <v>32.7</v>
      </c>
      <c r="E377" s="4">
        <f>IF(ISBLANK(B377),,IFERROR(VLOOKUP(B377,CurrentRank!$B$2:$C$132,2,FALSE),0))</f>
        <v>31.48</v>
      </c>
      <c r="F377" s="4">
        <f>IFERROR(VLOOKUP(B377,Week14,3,FALSE),130)</f>
        <v>92</v>
      </c>
      <c r="G377" s="4">
        <f>IF(ISBLANK(B377),,IFERROR(VLOOKUP(B377,CurrentRank!$B$2:$D$132,3,FALSE),130))</f>
        <v>99</v>
      </c>
      <c r="H377" s="4">
        <f>IFERROR(VLOOKUP(C377,Week14,2,FALSE),0)</f>
        <v>36.91</v>
      </c>
      <c r="I377" s="4">
        <f>IF(ISBLANK(B377),,IFERROR(VLOOKUP(C377,CurrentRank!$B$2:$C$132,2,FALSE),0))</f>
        <v>33.72</v>
      </c>
      <c r="J377" s="4">
        <f>IFERROR(VLOOKUP(C377,Week14,3,FALSE),130)</f>
        <v>48</v>
      </c>
      <c r="K377" s="4">
        <f>IF(ISBLANK(C377),,IFERROR(VLOOKUP(C377,CurrentRank!$B$2:$D$132,3,FALSE),130))</f>
        <v>76</v>
      </c>
      <c r="L377" s="19">
        <f t="shared" si="167"/>
        <v>1.04415</v>
      </c>
      <c r="M377" s="19">
        <f t="shared" si="168"/>
        <v>0.978</v>
      </c>
      <c r="N377" s="24">
        <f t="shared" si="140"/>
        <v>70</v>
      </c>
      <c r="O377" s="21">
        <f t="shared" si="4"/>
        <v>-2.627075</v>
      </c>
      <c r="P377" s="21">
        <f t="shared" si="162"/>
        <v>-1.642075</v>
      </c>
      <c r="Q377" s="22">
        <f t="shared" si="6"/>
        <v>0.636864625</v>
      </c>
      <c r="R377" s="25" t="str">
        <f t="shared" si="7"/>
        <v>D</v>
      </c>
      <c r="S377" s="19">
        <f t="shared" si="8"/>
        <v>0.655</v>
      </c>
      <c r="T377" s="19" t="str">
        <f t="shared" si="9"/>
        <v>D</v>
      </c>
      <c r="U377" s="3" t="s">
        <v>203</v>
      </c>
      <c r="V377" s="4" t="str">
        <f>IF(ISBLANK(C377),,IFERROR(IF(VLOOKUP(B377,Standings!$A:$F, 6, 0)=VLOOKUP(C377,Standings!$A:$F, 6, 0), VLOOKUP(B377,Standings!$A:$F, 6, 0), "Non-con"), "FCS"))</f>
        <v>B1G</v>
      </c>
      <c r="W377" s="3" t="str">
        <f t="shared" si="10"/>
        <v>Rutgers</v>
      </c>
      <c r="X377" s="3" t="str">
        <f t="shared" si="11"/>
        <v>Maryland</v>
      </c>
      <c r="Y377" s="30">
        <f>IF(D377=0,,IF(ISBLANK(Q377),,VLOOKUP(X377,Week14,2,FALSE)/(VLOOKUP(X377,Week14,2,FALSE)+VLOOKUP(W377,Week14,2,FALSE))+0.05)*100)</f>
        <v>58.02399081</v>
      </c>
      <c r="Z377" s="3" t="s">
        <v>166</v>
      </c>
      <c r="AA377" s="3">
        <v>27.0</v>
      </c>
      <c r="AB377" s="4" t="str">
        <f t="shared" si="20"/>
        <v>Maryland</v>
      </c>
      <c r="AC377" s="3">
        <v>24.0</v>
      </c>
      <c r="AD377" s="3">
        <v>1.0</v>
      </c>
      <c r="AE377" s="3">
        <f t="shared" si="13"/>
        <v>3</v>
      </c>
      <c r="AF377" s="3"/>
      <c r="AG377" s="3">
        <f t="shared" si="133"/>
        <v>0</v>
      </c>
      <c r="AH377" s="3"/>
      <c r="AI377" s="7"/>
      <c r="AJ377" s="4"/>
      <c r="AK377" s="7"/>
      <c r="AL377" s="7"/>
      <c r="AM377" s="7"/>
      <c r="AN377" s="7"/>
      <c r="AO377" s="7"/>
      <c r="AP377" s="7"/>
      <c r="AQ377" s="7"/>
      <c r="AR377" s="7"/>
      <c r="AS377" s="7"/>
      <c r="AT377" s="7"/>
      <c r="AU377" s="7"/>
      <c r="AV377" s="7"/>
      <c r="AW377" s="7"/>
      <c r="AX377" s="7"/>
    </row>
    <row r="378" ht="12.75" customHeight="1">
      <c r="A378" s="3">
        <v>14.0</v>
      </c>
      <c r="B378" s="3" t="s">
        <v>134</v>
      </c>
      <c r="C378" s="3" t="s">
        <v>157</v>
      </c>
      <c r="D378" s="4">
        <f>IFERROR(VLOOKUP(B378,Week13,2,FALSE),0)</f>
        <v>37.49</v>
      </c>
      <c r="E378" s="4">
        <f>IF(ISBLANK(B378),,IFERROR(VLOOKUP(B378,CurrentRank!$B$2:$C$132,2,FALSE),0))</f>
        <v>60.69</v>
      </c>
      <c r="F378" s="4">
        <f>IFERROR(VLOOKUP(B378,Week13,3,FALSE),130)</f>
        <v>44</v>
      </c>
      <c r="G378" s="4">
        <f>IF(ISBLANK(B378),,IFERROR(VLOOKUP(B378,CurrentRank!$B$2:$D$132,3,FALSE),130))</f>
        <v>21</v>
      </c>
      <c r="H378" s="4">
        <f>IFERROR(VLOOKUP(C378,Week13,2,FALSE),0)</f>
        <v>37.06</v>
      </c>
      <c r="I378" s="4">
        <f>IF(ISBLANK(B378),,IFERROR(VLOOKUP(C378,CurrentRank!$B$2:$C$132,2,FALSE),0))</f>
        <v>33.69</v>
      </c>
      <c r="J378" s="4">
        <f>IFERROR(VLOOKUP(C378,Week13,3,FALSE),130)</f>
        <v>45</v>
      </c>
      <c r="K378" s="4">
        <f>IF(ISBLANK(C378),,IFERROR(VLOOKUP(C378,CurrentRank!$B$2:$D$132,3,FALSE),130))</f>
        <v>77</v>
      </c>
      <c r="L378" s="19">
        <f t="shared" si="167"/>
        <v>1.11825</v>
      </c>
      <c r="M378" s="19">
        <f t="shared" si="168"/>
        <v>1.4157</v>
      </c>
      <c r="N378" s="24">
        <f t="shared" si="140"/>
        <v>44.5</v>
      </c>
      <c r="O378" s="21">
        <f t="shared" si="4"/>
        <v>-0.344125</v>
      </c>
      <c r="P378" s="21">
        <f t="shared" si="162"/>
        <v>12.940875</v>
      </c>
      <c r="Q378" s="22">
        <f t="shared" si="6"/>
        <v>0.775779375</v>
      </c>
      <c r="R378" s="25" t="str">
        <f t="shared" si="7"/>
        <v>C+</v>
      </c>
      <c r="S378" s="19">
        <f t="shared" si="8"/>
        <v>0.6525</v>
      </c>
      <c r="T378" s="19" t="str">
        <f t="shared" si="9"/>
        <v>D</v>
      </c>
      <c r="U378" s="3" t="s">
        <v>203</v>
      </c>
      <c r="V378" s="4" t="str">
        <f>IF(ISBLANK(C378),,IFERROR(IF(VLOOKUP(B378,Standings!$A:$F, 6, 0)=VLOOKUP(C378,Standings!$A:$F, 6, 0), VLOOKUP(B378,Standings!$A:$F, 6, 0), "Non-con"), "FCS"))</f>
        <v>MAC</v>
      </c>
      <c r="W378" s="3" t="str">
        <f t="shared" si="10"/>
        <v>Ball State</v>
      </c>
      <c r="X378" s="3" t="str">
        <f t="shared" si="11"/>
        <v>Central Michigan</v>
      </c>
      <c r="Y378" s="30">
        <f>IF(D378=0,,IF(ISBLANK(Q378),,VLOOKUP(X378,Week13,2,FALSE)/(VLOOKUP(X378,Week13,2,FALSE)+VLOOKUP(W378,Week13,2,FALSE))+0.05)*100)</f>
        <v>54.71160295</v>
      </c>
      <c r="Z378" s="3" t="s">
        <v>134</v>
      </c>
      <c r="AA378" s="3">
        <v>45.0</v>
      </c>
      <c r="AB378" s="4" t="str">
        <f t="shared" si="20"/>
        <v>Central Michigan</v>
      </c>
      <c r="AC378" s="3">
        <v>20.0</v>
      </c>
      <c r="AD378" s="3"/>
      <c r="AE378" s="3">
        <f t="shared" si="13"/>
        <v>25</v>
      </c>
      <c r="AF378" s="3"/>
      <c r="AG378" s="3">
        <f t="shared" si="133"/>
        <v>0</v>
      </c>
      <c r="AH378" s="3"/>
      <c r="AI378" s="7"/>
      <c r="AJ378" s="4"/>
      <c r="AK378" s="7"/>
      <c r="AL378" s="7"/>
      <c r="AM378" s="7"/>
      <c r="AN378" s="7"/>
      <c r="AO378" s="7"/>
      <c r="AP378" s="7"/>
      <c r="AQ378" s="7"/>
      <c r="AR378" s="7"/>
      <c r="AS378" s="7"/>
      <c r="AT378" s="7"/>
      <c r="AU378" s="7"/>
      <c r="AV378" s="7"/>
      <c r="AW378" s="7"/>
      <c r="AX378" s="7"/>
    </row>
    <row r="379" ht="12.75" hidden="1" customHeight="1">
      <c r="A379" s="3">
        <v>16.0</v>
      </c>
      <c r="B379" s="3" t="s">
        <v>137</v>
      </c>
      <c r="C379" s="3" t="s">
        <v>57</v>
      </c>
      <c r="D379" s="4">
        <f>IFERROR(VLOOKUP(B379,Week15,2,FALSE),0)</f>
        <v>32.48</v>
      </c>
      <c r="E379" s="4">
        <f>IF(ISBLANK(B379),,IFERROR(VLOOKUP(B379,CurrentRank!$B$2:$C$132,2,FALSE),0))</f>
        <v>31.52</v>
      </c>
      <c r="F379" s="4">
        <f>IFERROR(VLOOKUP(B379,Week15,3,FALSE),130)</f>
        <v>89</v>
      </c>
      <c r="G379" s="4">
        <f>IF(ISBLANK(B379),,IFERROR(VLOOKUP(B379,CurrentRank!$B$2:$D$132,3,FALSE),130))</f>
        <v>98</v>
      </c>
      <c r="H379" s="4">
        <f>IFERROR(VLOOKUP(C379,Week15,2,FALSE),0)</f>
        <v>38.34</v>
      </c>
      <c r="I379" s="4">
        <f>IF(ISBLANK(B379),,IFERROR(VLOOKUP(C379,CurrentRank!$B$2:$C$132,2,FALSE),0))</f>
        <v>40.05</v>
      </c>
      <c r="J379" s="4">
        <f>IFERROR(VLOOKUP(C379,Week15,3,FALSE),130)</f>
        <v>41</v>
      </c>
      <c r="K379" s="4">
        <f>IF(ISBLANK(C379),,IFERROR(VLOOKUP(C379,CurrentRank!$B$2:$D$132,3,FALSE),130))</f>
        <v>34</v>
      </c>
      <c r="L379" s="19">
        <f t="shared" si="167"/>
        <v>1.0623</v>
      </c>
      <c r="M379" s="19">
        <f t="shared" si="168"/>
        <v>1.07355</v>
      </c>
      <c r="N379" s="24">
        <f t="shared" si="140"/>
        <v>65</v>
      </c>
      <c r="O379" s="21">
        <f t="shared" si="4"/>
        <v>-3.46115</v>
      </c>
      <c r="P379" s="21">
        <f t="shared" si="162"/>
        <v>-4.79615</v>
      </c>
      <c r="Q379" s="22">
        <f t="shared" si="6"/>
        <v>0.65769425</v>
      </c>
      <c r="R379" s="25" t="str">
        <f t="shared" si="7"/>
        <v>D</v>
      </c>
      <c r="S379" s="19">
        <f t="shared" si="8"/>
        <v>0.5</v>
      </c>
      <c r="T379" s="19" t="str">
        <f t="shared" si="9"/>
        <v>F</v>
      </c>
      <c r="U379" s="3" t="s">
        <v>203</v>
      </c>
      <c r="V379" s="4" t="str">
        <f>IF(ISBLANK(C379),,IFERROR(IF(VLOOKUP(B379,Standings!$A:$F, 6, 0)=VLOOKUP(C379,Standings!$A:$F, 6, 0), VLOOKUP(B379,Standings!$A:$F, 6, 0), "Non-con"), "FCS"))</f>
        <v>B1G</v>
      </c>
      <c r="W379" s="3" t="str">
        <f t="shared" si="10"/>
        <v>Illinois</v>
      </c>
      <c r="X379" s="3" t="str">
        <f t="shared" si="11"/>
        <v>Penn State</v>
      </c>
      <c r="Y379" s="30">
        <f>IF(D379=0,,IF(ISBLANK(Q379),,VLOOKUP(X379,Week15,2,FALSE)/(VLOOKUP(X379,Week15,2,FALSE)+VLOOKUP(W379,Week15,2,FALSE))+0.05)*100)</f>
        <v>59.13724936</v>
      </c>
      <c r="Z379" s="3" t="s">
        <v>57</v>
      </c>
      <c r="AA379" s="3">
        <v>56.0</v>
      </c>
      <c r="AB379" s="4" t="str">
        <f t="shared" si="20"/>
        <v>Illinois</v>
      </c>
      <c r="AC379" s="3">
        <v>21.0</v>
      </c>
      <c r="AD379" s="3"/>
      <c r="AE379" s="3">
        <f t="shared" si="13"/>
        <v>35</v>
      </c>
      <c r="AF379" s="3"/>
      <c r="AG379" s="3">
        <f t="shared" si="133"/>
        <v>1</v>
      </c>
      <c r="AH379" s="3"/>
      <c r="AI379" s="7"/>
      <c r="AJ379" s="4"/>
      <c r="AK379" s="7"/>
      <c r="AL379" s="7"/>
      <c r="AM379" s="7"/>
      <c r="AN379" s="7"/>
      <c r="AO379" s="7"/>
      <c r="AP379" s="7"/>
      <c r="AQ379" s="7"/>
      <c r="AR379" s="7"/>
      <c r="AS379" s="7"/>
      <c r="AT379" s="7"/>
      <c r="AU379" s="7"/>
      <c r="AV379" s="7"/>
      <c r="AW379" s="7"/>
      <c r="AX379" s="7"/>
    </row>
    <row r="380" ht="12.75" hidden="1" customHeight="1">
      <c r="A380" s="3">
        <v>11.0</v>
      </c>
      <c r="B380" s="3" t="s">
        <v>136</v>
      </c>
      <c r="C380" s="3" t="s">
        <v>98</v>
      </c>
      <c r="D380" s="4">
        <f>IFERROR(VLOOKUP(B380,Week10,2,FALSE),0)</f>
        <v>33.39</v>
      </c>
      <c r="E380" s="4">
        <f>IF(ISBLANK(B380),,IFERROR(VLOOKUP(B380,CurrentRank!$B$2:$C$132,2,FALSE),0))</f>
        <v>35.33</v>
      </c>
      <c r="F380" s="4">
        <f>IFERROR(VLOOKUP(B380,Week10,3,FALSE),130)</f>
        <v>74</v>
      </c>
      <c r="G380" s="4">
        <f>IF(ISBLANK(B380),,IFERROR(VLOOKUP(B380,CurrentRank!$B$2:$D$132,3,FALSE),130))</f>
        <v>62</v>
      </c>
      <c r="H380" s="4">
        <f>IFERROR(VLOOKUP(C380,Week10,2,FALSE),0)</f>
        <v>39.37</v>
      </c>
      <c r="I380" s="4">
        <f>IF(ISBLANK(B380),,IFERROR(VLOOKUP(C380,CurrentRank!$B$2:$C$132,2,FALSE),0))</f>
        <v>37.44</v>
      </c>
      <c r="J380" s="4">
        <f>IFERROR(VLOOKUP(C380,Week10,3,FALSE),130)</f>
        <v>41</v>
      </c>
      <c r="K380" s="4">
        <f>IF(ISBLANK(C380),,IFERROR(VLOOKUP(C380,CurrentRank!$B$2:$D$132,3,FALSE),130))</f>
        <v>42</v>
      </c>
      <c r="L380" s="19">
        <f t="shared" si="167"/>
        <v>1.0914</v>
      </c>
      <c r="M380" s="19">
        <f t="shared" si="168"/>
        <v>1.09155</v>
      </c>
      <c r="N380" s="24">
        <f t="shared" si="140"/>
        <v>57.5</v>
      </c>
      <c r="O380" s="21">
        <f t="shared" si="4"/>
        <v>-3.5357</v>
      </c>
      <c r="P380" s="21">
        <f t="shared" si="162"/>
        <v>-1.6007</v>
      </c>
      <c r="Q380" s="22">
        <f t="shared" si="6"/>
        <v>0.6948215</v>
      </c>
      <c r="R380" s="25" t="str">
        <f t="shared" si="7"/>
        <v>D+</v>
      </c>
      <c r="S380" s="19">
        <f t="shared" si="8"/>
        <v>0.6925</v>
      </c>
      <c r="T380" s="19" t="str">
        <f t="shared" si="9"/>
        <v>D+</v>
      </c>
      <c r="U380" s="3" t="s">
        <v>203</v>
      </c>
      <c r="V380" s="4" t="str">
        <f>IF(ISBLANK(C380),,IFERROR(IF(VLOOKUP(B380,Standings!$A:$F, 6, 0)=VLOOKUP(C380,Standings!$A:$F, 6, 0), VLOOKUP(B380,Standings!$A:$F, 6, 0), "Non-con"), "FCS"))</f>
        <v>SUN</v>
      </c>
      <c r="W380" s="3" t="str">
        <f t="shared" si="10"/>
        <v>Georgia State</v>
      </c>
      <c r="X380" s="3" t="str">
        <f t="shared" si="11"/>
        <v>Appalachian State</v>
      </c>
      <c r="Y380" s="30">
        <f>IF(D380=0,,IF(ISBLANK(Q380),,VLOOKUP(X380,Week10,2,FALSE)/(VLOOKUP(X380,Week10,2,FALSE)+VLOOKUP(W380,Week10,2,FALSE))+0.05)*100)</f>
        <v>59.10940077</v>
      </c>
      <c r="Z380" s="3" t="s">
        <v>98</v>
      </c>
      <c r="AA380" s="3">
        <v>17.0</v>
      </c>
      <c r="AB380" s="4" t="str">
        <f t="shared" si="20"/>
        <v>Georgia State</v>
      </c>
      <c r="AC380" s="3">
        <v>13.0</v>
      </c>
      <c r="AD380" s="3"/>
      <c r="AE380" s="3">
        <f t="shared" si="13"/>
        <v>4</v>
      </c>
      <c r="AF380" s="3"/>
      <c r="AG380" s="3">
        <f t="shared" si="133"/>
        <v>1</v>
      </c>
      <c r="AH380" s="3"/>
      <c r="AI380" s="7"/>
      <c r="AJ380" s="4"/>
      <c r="AK380" s="7"/>
      <c r="AL380" s="7"/>
      <c r="AM380" s="7"/>
      <c r="AN380" s="7"/>
      <c r="AO380" s="7"/>
      <c r="AP380" s="7"/>
      <c r="AQ380" s="7"/>
      <c r="AR380" s="7"/>
      <c r="AS380" s="7"/>
      <c r="AT380" s="7"/>
      <c r="AU380" s="7"/>
      <c r="AV380" s="7"/>
      <c r="AW380" s="7"/>
      <c r="AX380" s="7"/>
    </row>
    <row r="381" ht="12.75" customHeight="1">
      <c r="A381" s="3">
        <v>14.0</v>
      </c>
      <c r="B381" s="3" t="s">
        <v>169</v>
      </c>
      <c r="C381" s="3" t="s">
        <v>151</v>
      </c>
      <c r="D381" s="4">
        <f>IFERROR(VLOOKUP(B381,Week13,2,FALSE),0)</f>
        <v>31.49</v>
      </c>
      <c r="E381" s="4">
        <f>IF(ISBLANK(B381),,IFERROR(VLOOKUP(B381,CurrentRank!$B$2:$C$132,2,FALSE),0))</f>
        <v>34.3</v>
      </c>
      <c r="F381" s="4">
        <f>IFERROR(VLOOKUP(B381,Week13,3,FALSE),130)</f>
        <v>90</v>
      </c>
      <c r="G381" s="4">
        <f>IF(ISBLANK(B381),,IFERROR(VLOOKUP(B381,CurrentRank!$B$2:$D$132,3,FALSE),130))</f>
        <v>71</v>
      </c>
      <c r="H381" s="4">
        <f>IFERROR(VLOOKUP(C381,Week13,2,FALSE),0)</f>
        <v>44.32</v>
      </c>
      <c r="I381" s="4">
        <f>IF(ISBLANK(B381),,IFERROR(VLOOKUP(C381,CurrentRank!$B$2:$C$132,2,FALSE),0))</f>
        <v>34.83</v>
      </c>
      <c r="J381" s="4">
        <f>IFERROR(VLOOKUP(C381,Week13,3,FALSE),130)</f>
        <v>28</v>
      </c>
      <c r="K381" s="4">
        <f>IF(ISBLANK(C381),,IFERROR(VLOOKUP(C381,CurrentRank!$B$2:$D$132,3,FALSE),130))</f>
        <v>67</v>
      </c>
      <c r="L381" s="19">
        <f t="shared" si="167"/>
        <v>1.13715</v>
      </c>
      <c r="M381" s="19">
        <f t="shared" si="168"/>
        <v>1.03695</v>
      </c>
      <c r="N381" s="24">
        <f t="shared" si="140"/>
        <v>59</v>
      </c>
      <c r="O381" s="21">
        <f t="shared" si="4"/>
        <v>-6.983575</v>
      </c>
      <c r="P381" s="21">
        <f t="shared" si="162"/>
        <v>-0.833575</v>
      </c>
      <c r="Q381" s="22">
        <f t="shared" si="6"/>
        <v>0.670082125</v>
      </c>
      <c r="R381" s="25" t="str">
        <f t="shared" si="7"/>
        <v>D+</v>
      </c>
      <c r="S381" s="19">
        <f t="shared" si="8"/>
        <v>0.65</v>
      </c>
      <c r="T381" s="19" t="str">
        <f t="shared" si="9"/>
        <v>D</v>
      </c>
      <c r="U381" s="3" t="s">
        <v>203</v>
      </c>
      <c r="V381" s="4" t="str">
        <f>IF(ISBLANK(C381),,IFERROR(IF(VLOOKUP(B381,Standings!$A:$F, 6, 0)=VLOOKUP(C381,Standings!$A:$F, 6, 0), VLOOKUP(B381,Standings!$A:$F, 6, 0), "Non-con"), "FCS"))</f>
        <v>MAC</v>
      </c>
      <c r="W381" s="3" t="str">
        <f t="shared" si="10"/>
        <v>Eastern Michigan</v>
      </c>
      <c r="X381" s="3" t="str">
        <f t="shared" si="11"/>
        <v>Western Michigan</v>
      </c>
      <c r="Y381" s="30">
        <f>IF(D381=0,,IF(ISBLANK(Q381),,VLOOKUP(X381,Week13,2,FALSE)/(VLOOKUP(X381,Week13,2,FALSE)+VLOOKUP(W381,Week13,2,FALSE))+0.05)*100)</f>
        <v>63.46194433</v>
      </c>
      <c r="Z381" s="3" t="s">
        <v>169</v>
      </c>
      <c r="AA381" s="3">
        <v>53.0</v>
      </c>
      <c r="AB381" s="4" t="str">
        <f t="shared" si="20"/>
        <v>Western Michigan</v>
      </c>
      <c r="AC381" s="3">
        <v>42.0</v>
      </c>
      <c r="AD381" s="3"/>
      <c r="AE381" s="3">
        <f t="shared" si="13"/>
        <v>11</v>
      </c>
      <c r="AF381" s="3"/>
      <c r="AG381" s="3">
        <f t="shared" si="133"/>
        <v>0</v>
      </c>
      <c r="AH381" s="3"/>
      <c r="AI381" s="7"/>
      <c r="AJ381" s="4"/>
      <c r="AK381" s="7"/>
      <c r="AL381" s="7"/>
      <c r="AM381" s="7"/>
      <c r="AN381" s="7"/>
      <c r="AO381" s="7"/>
      <c r="AP381" s="7"/>
      <c r="AQ381" s="7"/>
      <c r="AR381" s="7"/>
      <c r="AS381" s="7"/>
      <c r="AT381" s="7"/>
      <c r="AU381" s="7"/>
      <c r="AV381" s="7"/>
      <c r="AW381" s="7"/>
      <c r="AX381" s="7"/>
    </row>
    <row r="382" ht="12.75" hidden="1" customHeight="1">
      <c r="A382" s="3">
        <v>3.0</v>
      </c>
      <c r="B382" s="3" t="s">
        <v>101</v>
      </c>
      <c r="C382" s="3" t="s">
        <v>187</v>
      </c>
      <c r="D382" s="4">
        <f>IFERROR(VLOOKUP(B382,Week2,2,FALSE),0)</f>
        <v>27.07</v>
      </c>
      <c r="E382" s="4">
        <f>IF(ISBLANK(B382),,IFERROR(VLOOKUP(B382,CurrentRank!$B$2:$C$132,2,FALSE),0))</f>
        <v>36.62</v>
      </c>
      <c r="F382" s="4">
        <f>IFERROR(VLOOKUP(B382,Week2,3,FALSE),130)</f>
        <v>41</v>
      </c>
      <c r="G382" s="4">
        <f>IF(ISBLANK(B382),,IFERROR(VLOOKUP(B382,CurrentRank!$B$2:$D$132,3,FALSE),130))</f>
        <v>50</v>
      </c>
      <c r="H382" s="4">
        <f>IFERROR(VLOOKUP(C382,Week2,2,FALSE),0)</f>
        <v>22.97</v>
      </c>
      <c r="I382" s="4">
        <f>IF(ISBLANK(B382),,IFERROR(VLOOKUP(C382,CurrentRank!$B$2:$C$132,2,FALSE),0))</f>
        <v>28.66</v>
      </c>
      <c r="J382" s="4">
        <f>IFERROR(VLOOKUP(C382,Week2,3,FALSE),130)</f>
        <v>121</v>
      </c>
      <c r="K382" s="4">
        <f>IF(ISBLANK(C382),,IFERROR(VLOOKUP(C382,CurrentRank!$B$2:$D$132,3,FALSE),130))</f>
        <v>120</v>
      </c>
      <c r="L382" s="19">
        <f t="shared" si="167"/>
        <v>0.7506</v>
      </c>
      <c r="M382" s="19">
        <f t="shared" si="168"/>
        <v>0.9792</v>
      </c>
      <c r="N382" s="24">
        <f t="shared" si="140"/>
        <v>81</v>
      </c>
      <c r="O382" s="21">
        <f t="shared" si="4"/>
        <v>1.6747</v>
      </c>
      <c r="P382" s="21">
        <f t="shared" si="162"/>
        <v>3.6047</v>
      </c>
      <c r="Q382" s="22">
        <f t="shared" si="6"/>
        <v>0.5866265</v>
      </c>
      <c r="R382" s="25" t="str">
        <f t="shared" si="7"/>
        <v>F</v>
      </c>
      <c r="S382" s="19">
        <f t="shared" si="8"/>
        <v>0.495</v>
      </c>
      <c r="T382" s="19" t="str">
        <f t="shared" si="9"/>
        <v>F</v>
      </c>
      <c r="U382" s="3" t="s">
        <v>203</v>
      </c>
      <c r="V382" s="4" t="str">
        <f>IF(ISBLANK(C382),,IFERROR(IF(VLOOKUP(B382,Standings!$A:$F, 6, 0)=VLOOKUP(C382,Standings!$A:$F, 6, 0), VLOOKUP(B382,Standings!$A:$F, 6, 0), "Non-con"), "FCS"))</f>
        <v>ACC</v>
      </c>
      <c r="W382" s="3" t="str">
        <f t="shared" si="10"/>
        <v>Duke</v>
      </c>
      <c r="X382" s="3" t="str">
        <f t="shared" si="11"/>
        <v>Boston College</v>
      </c>
      <c r="Y382" s="30">
        <f>IF(D382=0,,IF(ISBLANK(Q382),,VLOOKUP(X382,Week2,2,FALSE)/(VLOOKUP(X382,Week2,2,FALSE)+VLOOKUP(W382,Week2,2,FALSE))+0.05)*100)</f>
        <v>59.09672262</v>
      </c>
      <c r="Z382" s="3" t="s">
        <v>101</v>
      </c>
      <c r="AA382" s="3">
        <v>26.0</v>
      </c>
      <c r="AB382" s="4" t="str">
        <f t="shared" si="20"/>
        <v>Duke</v>
      </c>
      <c r="AC382" s="3">
        <v>6.0</v>
      </c>
      <c r="AD382" s="3"/>
      <c r="AE382" s="3">
        <f t="shared" si="13"/>
        <v>20</v>
      </c>
      <c r="AF382" s="3"/>
      <c r="AG382" s="3">
        <f t="shared" si="133"/>
        <v>1</v>
      </c>
      <c r="AH382" s="3"/>
      <c r="AI382" s="7"/>
      <c r="AJ382" s="4" t="s">
        <v>122</v>
      </c>
      <c r="AK382" s="7"/>
      <c r="AL382" s="7"/>
      <c r="AM382" s="7"/>
      <c r="AN382" s="7"/>
      <c r="AO382" s="7"/>
      <c r="AP382" s="7"/>
      <c r="AQ382" s="7"/>
      <c r="AR382" s="7"/>
      <c r="AS382" s="7"/>
      <c r="AT382" s="7"/>
      <c r="AU382" s="7"/>
      <c r="AV382" s="7"/>
      <c r="AW382" s="7"/>
      <c r="AX382" s="7"/>
    </row>
    <row r="383" ht="12.75" hidden="1" customHeight="1">
      <c r="A383" s="3">
        <v>10.0</v>
      </c>
      <c r="B383" s="3" t="s">
        <v>127</v>
      </c>
      <c r="C383" s="3" t="s">
        <v>113</v>
      </c>
      <c r="D383" s="4">
        <f>IFERROR(VLOOKUP(B383,Week9,2,FALSE),0)</f>
        <v>32.16</v>
      </c>
      <c r="E383" s="4">
        <f>IF(ISBLANK(B383),,IFERROR(VLOOKUP(B383,CurrentRank!$B$2:$C$132,2,FALSE),0))</f>
        <v>35.27</v>
      </c>
      <c r="F383" s="4">
        <f>IFERROR(VLOOKUP(B383,Week9,3,FALSE),130)</f>
        <v>77</v>
      </c>
      <c r="G383" s="4">
        <f>IF(ISBLANK(B383),,IFERROR(VLOOKUP(B383,CurrentRank!$B$2:$D$132,3,FALSE),130))</f>
        <v>64</v>
      </c>
      <c r="H383" s="4">
        <f>IFERROR(VLOOKUP(C383,Week9,2,FALSE),0)</f>
        <v>37.9</v>
      </c>
      <c r="I383" s="4">
        <f>IF(ISBLANK(B383),,IFERROR(VLOOKUP(C383,CurrentRank!$B$2:$C$132,2,FALSE),0))</f>
        <v>41.9</v>
      </c>
      <c r="J383" s="4">
        <f>IFERROR(VLOOKUP(C383,Week9,3,FALSE),130)</f>
        <v>47</v>
      </c>
      <c r="K383" s="4">
        <f>IF(ISBLANK(C383),,IFERROR(VLOOKUP(C383,CurrentRank!$B$2:$D$132,3,FALSE),130))</f>
        <v>29</v>
      </c>
      <c r="L383" s="19">
        <f t="shared" si="167"/>
        <v>1.0509</v>
      </c>
      <c r="M383" s="19">
        <f t="shared" si="168"/>
        <v>1.15755</v>
      </c>
      <c r="N383" s="24">
        <f t="shared" si="140"/>
        <v>62</v>
      </c>
      <c r="O383" s="21">
        <f t="shared" si="4"/>
        <v>-3.39545</v>
      </c>
      <c r="P383" s="21">
        <f t="shared" si="162"/>
        <v>-3.84045</v>
      </c>
      <c r="Q383" s="22">
        <f t="shared" si="6"/>
        <v>0.67302275</v>
      </c>
      <c r="R383" s="25" t="str">
        <f t="shared" si="7"/>
        <v>D+</v>
      </c>
      <c r="S383" s="19">
        <f t="shared" si="8"/>
        <v>0.61</v>
      </c>
      <c r="T383" s="19" t="str">
        <f t="shared" si="9"/>
        <v>D-</v>
      </c>
      <c r="U383" s="3" t="s">
        <v>203</v>
      </c>
      <c r="V383" s="4" t="str">
        <f>IF(ISBLANK(C383),,IFERROR(IF(VLOOKUP(B383,Standings!$A:$F, 6, 0)=VLOOKUP(C383,Standings!$A:$F, 6, 0), VLOOKUP(B383,Standings!$A:$F, 6, 0), "Non-con"), "FCS"))</f>
        <v>BIG12</v>
      </c>
      <c r="W383" s="3" t="str">
        <f t="shared" si="10"/>
        <v>Texas Tech</v>
      </c>
      <c r="X383" s="3" t="str">
        <f t="shared" si="11"/>
        <v>TCU</v>
      </c>
      <c r="Y383" s="30">
        <f>IF(D383=0,,IF(ISBLANK(Q383),,VLOOKUP(X383,Week9,2,FALSE)/(VLOOKUP(X383,Week9,2,FALSE)+VLOOKUP(W383,Week9,2,FALSE))+0.05)*100)</f>
        <v>59.09648872</v>
      </c>
      <c r="Z383" s="3" t="s">
        <v>113</v>
      </c>
      <c r="AA383" s="3">
        <v>34.0</v>
      </c>
      <c r="AB383" s="4" t="str">
        <f t="shared" si="20"/>
        <v>Texas Tech</v>
      </c>
      <c r="AC383" s="3">
        <v>18.0</v>
      </c>
      <c r="AD383" s="3"/>
      <c r="AE383" s="3">
        <f t="shared" si="13"/>
        <v>16</v>
      </c>
      <c r="AF383" s="3"/>
      <c r="AG383" s="3">
        <f t="shared" si="133"/>
        <v>1</v>
      </c>
      <c r="AH383" s="3"/>
      <c r="AI383" s="7"/>
      <c r="AJ383" s="4" t="s">
        <v>268</v>
      </c>
      <c r="AK383" s="7"/>
      <c r="AL383" s="7"/>
      <c r="AM383" s="7"/>
      <c r="AN383" s="7"/>
      <c r="AO383" s="7"/>
      <c r="AP383" s="7"/>
      <c r="AQ383" s="7"/>
      <c r="AR383" s="7"/>
      <c r="AS383" s="7"/>
      <c r="AT383" s="7"/>
      <c r="AU383" s="7"/>
      <c r="AV383" s="7"/>
      <c r="AW383" s="7"/>
      <c r="AX383" s="7"/>
    </row>
    <row r="384" ht="12.75" hidden="1" customHeight="1">
      <c r="A384" s="3">
        <v>12.0</v>
      </c>
      <c r="B384" s="3" t="s">
        <v>171</v>
      </c>
      <c r="C384" s="3" t="s">
        <v>160</v>
      </c>
      <c r="D384" s="4">
        <f>IFERROR(VLOOKUP(B384,Week11,2,FALSE),0)</f>
        <v>25.56</v>
      </c>
      <c r="E384" s="4">
        <f>IF(ISBLANK(B384),,IFERROR(VLOOKUP(B384,CurrentRank!$B$2:$C$132,2,FALSE),0))</f>
        <v>36.35</v>
      </c>
      <c r="F384" s="4">
        <f>IFERROR(VLOOKUP(B384,Week11,3,FALSE),130)</f>
        <v>124</v>
      </c>
      <c r="G384" s="4">
        <f>IF(ISBLANK(B384),,IFERROR(VLOOKUP(B384,CurrentRank!$B$2:$D$132,3,FALSE),130))</f>
        <v>53</v>
      </c>
      <c r="H384" s="4">
        <f>IFERROR(VLOOKUP(C384,Week11,2,FALSE),0)</f>
        <v>29.98</v>
      </c>
      <c r="I384" s="4">
        <f>IF(ISBLANK(B384),,IFERROR(VLOOKUP(C384,CurrentRank!$B$2:$C$132,2,FALSE),0))</f>
        <v>34.87</v>
      </c>
      <c r="J384" s="4">
        <f>IFERROR(VLOOKUP(C384,Week11,3,FALSE),130)</f>
        <v>106</v>
      </c>
      <c r="K384" s="4">
        <f>IF(ISBLANK(C384),,IFERROR(VLOOKUP(C384,CurrentRank!$B$2:$D$132,3,FALSE),130))</f>
        <v>66</v>
      </c>
      <c r="L384" s="19">
        <f t="shared" si="167"/>
        <v>0.8331</v>
      </c>
      <c r="M384" s="19">
        <f t="shared" si="168"/>
        <v>1.0683</v>
      </c>
      <c r="N384" s="24">
        <f t="shared" si="140"/>
        <v>115</v>
      </c>
      <c r="O384" s="21">
        <f t="shared" si="4"/>
        <v>-2.62655</v>
      </c>
      <c r="P384" s="21">
        <f t="shared" si="162"/>
        <v>0.32345</v>
      </c>
      <c r="Q384" s="22">
        <f t="shared" si="6"/>
        <v>0.41186725</v>
      </c>
      <c r="R384" s="25" t="str">
        <f t="shared" si="7"/>
        <v>F</v>
      </c>
      <c r="S384" s="19">
        <f t="shared" si="8"/>
        <v>0.405</v>
      </c>
      <c r="T384" s="19" t="str">
        <f t="shared" si="9"/>
        <v>F</v>
      </c>
      <c r="U384" s="3" t="s">
        <v>203</v>
      </c>
      <c r="V384" s="4" t="str">
        <f>IF(ISBLANK(C384),,IFERROR(IF(VLOOKUP(B384,Standings!$A:$F, 6, 0)=VLOOKUP(C384,Standings!$A:$F, 6, 0), VLOOKUP(B384,Standings!$A:$F, 6, 0), "Non-con"), "FCS"))</f>
        <v>PAC12</v>
      </c>
      <c r="W384" s="3" t="str">
        <f t="shared" si="10"/>
        <v>California</v>
      </c>
      <c r="X384" s="3" t="str">
        <f t="shared" si="11"/>
        <v>Oregon State</v>
      </c>
      <c r="Y384" s="30">
        <f>IF(D384=0,,IF(ISBLANK(Q384),,VLOOKUP(X384,Week11,2,FALSE)/(VLOOKUP(X384,Week11,2,FALSE)+VLOOKUP(W384,Week11,2,FALSE))+0.05)*100)</f>
        <v>58.97911415</v>
      </c>
      <c r="Z384" s="3" t="s">
        <v>160</v>
      </c>
      <c r="AA384" s="3">
        <v>31.0</v>
      </c>
      <c r="AB384" s="4" t="str">
        <f t="shared" si="20"/>
        <v>California</v>
      </c>
      <c r="AC384" s="3">
        <v>27.0</v>
      </c>
      <c r="AD384" s="3"/>
      <c r="AE384" s="3">
        <f t="shared" si="13"/>
        <v>4</v>
      </c>
      <c r="AF384" s="3"/>
      <c r="AG384" s="3">
        <f t="shared" si="133"/>
        <v>1</v>
      </c>
      <c r="AH384" s="3"/>
      <c r="AI384" s="7"/>
      <c r="AJ384" s="4"/>
      <c r="AK384" s="7"/>
      <c r="AL384" s="7"/>
      <c r="AM384" s="7"/>
      <c r="AN384" s="7"/>
      <c r="AO384" s="7"/>
      <c r="AP384" s="7"/>
      <c r="AQ384" s="7"/>
      <c r="AR384" s="7"/>
      <c r="AS384" s="7"/>
      <c r="AT384" s="7"/>
      <c r="AU384" s="7"/>
      <c r="AV384" s="7"/>
      <c r="AW384" s="7"/>
      <c r="AX384" s="7"/>
    </row>
    <row r="385" ht="12.75" customHeight="1">
      <c r="A385" s="3">
        <v>13.0</v>
      </c>
      <c r="B385" s="3" t="s">
        <v>164</v>
      </c>
      <c r="C385" s="3" t="s">
        <v>186</v>
      </c>
      <c r="D385" s="4">
        <f>IFERROR(VLOOKUP(B385,Week12,2,FALSE),0)</f>
        <v>43.28</v>
      </c>
      <c r="E385" s="4">
        <f>IF(ISBLANK(B385),,IFERROR(VLOOKUP(B385,CurrentRank!$B$2:$C$132,2,FALSE),0))</f>
        <v>37.5</v>
      </c>
      <c r="F385" s="4">
        <f>IFERROR(VLOOKUP(B385,Week12,3,FALSE),130)</f>
        <v>31</v>
      </c>
      <c r="G385" s="4">
        <f>IF(ISBLANK(B385),,IFERROR(VLOOKUP(B385,CurrentRank!$B$2:$D$132,3,FALSE),130))</f>
        <v>41</v>
      </c>
      <c r="H385" s="4">
        <f>IFERROR(VLOOKUP(C385,Week12,2,FALSE),0)</f>
        <v>30.14</v>
      </c>
      <c r="I385" s="4">
        <f>IF(ISBLANK(B385),,IFERROR(VLOOKUP(C385,CurrentRank!$B$2:$C$132,2,FALSE),0))</f>
        <v>33.49</v>
      </c>
      <c r="J385" s="4">
        <f>IFERROR(VLOOKUP(C385,Week12,3,FALSE),130)</f>
        <v>105</v>
      </c>
      <c r="K385" s="4">
        <f>IF(ISBLANK(C385),,IFERROR(VLOOKUP(C385,CurrentRank!$B$2:$D$132,3,FALSE),130))</f>
        <v>79</v>
      </c>
      <c r="L385" s="19">
        <f t="shared" si="167"/>
        <v>1.1013</v>
      </c>
      <c r="M385" s="19">
        <f t="shared" si="168"/>
        <v>1.06485</v>
      </c>
      <c r="N385" s="24">
        <f t="shared" si="140"/>
        <v>68</v>
      </c>
      <c r="O385" s="21">
        <f t="shared" si="4"/>
        <v>6.01935</v>
      </c>
      <c r="P385" s="21">
        <f t="shared" si="162"/>
        <v>1.45435</v>
      </c>
      <c r="Q385" s="22">
        <f t="shared" si="6"/>
        <v>0.62990325</v>
      </c>
      <c r="R385" s="25" t="str">
        <f t="shared" si="7"/>
        <v>D</v>
      </c>
      <c r="S385" s="19">
        <f t="shared" si="8"/>
        <v>0.645</v>
      </c>
      <c r="T385" s="19" t="str">
        <f t="shared" si="9"/>
        <v>D</v>
      </c>
      <c r="U385" s="3" t="s">
        <v>203</v>
      </c>
      <c r="V385" s="4" t="str">
        <f>IF(ISBLANK(C385),,IFERROR(IF(VLOOKUP(B385,Standings!$A:$F, 6, 0)=VLOOKUP(C385,Standings!$A:$F, 6, 0), VLOOKUP(B385,Standings!$A:$F, 6, 0), "Non-con"), "FCS"))</f>
        <v>MWC</v>
      </c>
      <c r="W385" s="3" t="str">
        <f t="shared" si="10"/>
        <v>Hawaii</v>
      </c>
      <c r="X385" s="3" t="str">
        <f t="shared" si="11"/>
        <v>Nevada</v>
      </c>
      <c r="Y385" s="30">
        <f>IF(D385=0,,IF(ISBLANK(Q385),,VLOOKUP(X385,Week12,2,FALSE)/(VLOOKUP(X385,Week12,2,FALSE)+VLOOKUP(W385,Week12,2,FALSE))+0.05)*100)</f>
        <v>63.94851539</v>
      </c>
      <c r="Z385" s="3" t="s">
        <v>186</v>
      </c>
      <c r="AA385" s="3">
        <v>24.0</v>
      </c>
      <c r="AB385" s="4" t="str">
        <f t="shared" si="20"/>
        <v>Nevada</v>
      </c>
      <c r="AC385" s="3">
        <v>21.0</v>
      </c>
      <c r="AD385" s="3"/>
      <c r="AE385" s="3">
        <f t="shared" si="13"/>
        <v>3</v>
      </c>
      <c r="AF385" s="3"/>
      <c r="AG385" s="3">
        <f t="shared" si="133"/>
        <v>0</v>
      </c>
      <c r="AH385" s="3"/>
      <c r="AI385" s="7"/>
      <c r="AJ385" s="4" t="s">
        <v>128</v>
      </c>
      <c r="AK385" s="7"/>
      <c r="AL385" s="7"/>
      <c r="AM385" s="7"/>
      <c r="AN385" s="7"/>
      <c r="AO385" s="7"/>
      <c r="AP385" s="7"/>
      <c r="AQ385" s="7"/>
      <c r="AR385" s="7"/>
      <c r="AS385" s="7"/>
      <c r="AT385" s="7"/>
      <c r="AU385" s="7"/>
      <c r="AV385" s="7"/>
      <c r="AW385" s="7"/>
      <c r="AX385" s="7"/>
    </row>
    <row r="386" ht="12.75" customHeight="1">
      <c r="A386" s="3">
        <v>15.0</v>
      </c>
      <c r="B386" s="3" t="s">
        <v>93</v>
      </c>
      <c r="C386" s="3" t="s">
        <v>94</v>
      </c>
      <c r="D386" s="4">
        <f>IFERROR(VLOOKUP(B386,Week14,2,FALSE),0)</f>
        <v>41.63</v>
      </c>
      <c r="E386" s="4">
        <f>IF(ISBLANK(B386),,IFERROR(VLOOKUP(B386,CurrentRank!$B$2:$C$132,2,FALSE),0))</f>
        <v>36.48</v>
      </c>
      <c r="F386" s="4">
        <f>IFERROR(VLOOKUP(B386,Week14,3,FALSE),130)</f>
        <v>30</v>
      </c>
      <c r="G386" s="4">
        <f>IF(ISBLANK(B386),,IFERROR(VLOOKUP(B386,CurrentRank!$B$2:$D$132,3,FALSE),130))</f>
        <v>52</v>
      </c>
      <c r="H386" s="4">
        <f>IFERROR(VLOOKUP(C386,Week14,2,FALSE),0)</f>
        <v>35.31</v>
      </c>
      <c r="I386" s="4">
        <f>IF(ISBLANK(B386),,IFERROR(VLOOKUP(C386,CurrentRank!$B$2:$C$132,2,FALSE),0))</f>
        <v>36.87</v>
      </c>
      <c r="J386" s="4">
        <f>IFERROR(VLOOKUP(C386,Week14,3,FALSE),130)</f>
        <v>64</v>
      </c>
      <c r="K386" s="4">
        <f>IF(ISBLANK(C386),,IFERROR(VLOOKUP(C386,CurrentRank!$B$2:$D$132,3,FALSE),130))</f>
        <v>48</v>
      </c>
      <c r="L386" s="19">
        <f t="shared" si="167"/>
        <v>1.1541</v>
      </c>
      <c r="M386" s="19">
        <f t="shared" si="168"/>
        <v>1.10025</v>
      </c>
      <c r="N386" s="24">
        <f t="shared" si="140"/>
        <v>47</v>
      </c>
      <c r="O386" s="21">
        <f t="shared" si="4"/>
        <v>2.58295</v>
      </c>
      <c r="P386" s="21">
        <f t="shared" si="162"/>
        <v>-0.77205</v>
      </c>
      <c r="Q386" s="22">
        <f t="shared" si="6"/>
        <v>0.75208525</v>
      </c>
      <c r="R386" s="25" t="str">
        <f t="shared" si="7"/>
        <v>C</v>
      </c>
      <c r="S386" s="19">
        <f t="shared" si="8"/>
        <v>0.645</v>
      </c>
      <c r="T386" s="19" t="str">
        <f t="shared" si="9"/>
        <v>D</v>
      </c>
      <c r="U386" s="3" t="s">
        <v>203</v>
      </c>
      <c r="V386" s="4" t="str">
        <f>IF(ISBLANK(C386),,IFERROR(IF(VLOOKUP(B386,Standings!$A:$F, 6, 0)=VLOOKUP(C386,Standings!$A:$F, 6, 0), VLOOKUP(B386,Standings!$A:$F, 6, 0), "Non-con"), "FCS"))</f>
        <v>ACC</v>
      </c>
      <c r="W386" s="3" t="str">
        <f t="shared" si="10"/>
        <v>Louisville</v>
      </c>
      <c r="X386" s="3" t="str">
        <f t="shared" si="11"/>
        <v>Wake Forest</v>
      </c>
      <c r="Y386" s="30">
        <f>IF(D386=0,,IF(ISBLANK(Q386),,VLOOKUP(X386,Week14,2,FALSE)/(VLOOKUP(X386,Week14,2,FALSE)+VLOOKUP(W386,Week14,2,FALSE))+0.05)*100)</f>
        <v>59.10709644</v>
      </c>
      <c r="Z386" s="3" t="s">
        <v>94</v>
      </c>
      <c r="AA386" s="3">
        <v>45.0</v>
      </c>
      <c r="AB386" s="4" t="str">
        <f t="shared" si="20"/>
        <v>Wake Forest</v>
      </c>
      <c r="AC386" s="3">
        <v>21.0</v>
      </c>
      <c r="AD386" s="3"/>
      <c r="AE386" s="3">
        <f t="shared" si="13"/>
        <v>24</v>
      </c>
      <c r="AF386" s="3"/>
      <c r="AG386" s="3">
        <f t="shared" si="133"/>
        <v>0</v>
      </c>
      <c r="AH386" s="3"/>
      <c r="AI386" s="7"/>
      <c r="AJ386" s="4" t="s">
        <v>156</v>
      </c>
      <c r="AK386" s="7"/>
      <c r="AL386" s="7"/>
      <c r="AM386" s="7"/>
      <c r="AN386" s="7"/>
      <c r="AO386" s="7"/>
      <c r="AP386" s="7"/>
      <c r="AQ386" s="7"/>
      <c r="AR386" s="7"/>
      <c r="AS386" s="7"/>
      <c r="AT386" s="7"/>
      <c r="AU386" s="7"/>
      <c r="AV386" s="7"/>
      <c r="AW386" s="7"/>
      <c r="AX386" s="7"/>
    </row>
    <row r="387" ht="12.75" customHeight="1">
      <c r="A387" s="3">
        <v>8.0</v>
      </c>
      <c r="B387" s="3" t="s">
        <v>51</v>
      </c>
      <c r="C387" s="3" t="s">
        <v>113</v>
      </c>
      <c r="D387" s="4">
        <f>IFERROR(VLOOKUP(B387,Week7,2,FALSE),0)</f>
        <v>33.98</v>
      </c>
      <c r="E387" s="4">
        <f>IF(ISBLANK(B387),,IFERROR(VLOOKUP(B387,CurrentRank!$B$2:$C$132,2,FALSE),0))</f>
        <v>81.57</v>
      </c>
      <c r="F387" s="4">
        <f>IFERROR(VLOOKUP(B387,Week7,3,FALSE),130)</f>
        <v>60</v>
      </c>
      <c r="G387" s="4">
        <f>IF(ISBLANK(B387),,IFERROR(VLOOKUP(B387,CurrentRank!$B$2:$D$132,3,FALSE),130))</f>
        <v>5</v>
      </c>
      <c r="H387" s="4">
        <f>IFERROR(VLOOKUP(C387,Week7,2,FALSE),0)</f>
        <v>37.38</v>
      </c>
      <c r="I387" s="4">
        <f>IF(ISBLANK(B387),,IFERROR(VLOOKUP(C387,CurrentRank!$B$2:$C$132,2,FALSE),0))</f>
        <v>41.9</v>
      </c>
      <c r="J387" s="4">
        <f>IFERROR(VLOOKUP(C387,Week7,3,FALSE),130)</f>
        <v>45</v>
      </c>
      <c r="K387" s="4">
        <f>IF(ISBLANK(C387),,IFERROR(VLOOKUP(C387,CurrentRank!$B$2:$D$132,3,FALSE),130))</f>
        <v>29</v>
      </c>
      <c r="L387" s="19">
        <f t="shared" si="167"/>
        <v>1.0704</v>
      </c>
      <c r="M387" s="19">
        <f t="shared" si="168"/>
        <v>1.85205</v>
      </c>
      <c r="N387" s="24">
        <f t="shared" si="140"/>
        <v>52.5</v>
      </c>
      <c r="O387" s="21">
        <f t="shared" si="4"/>
        <v>-2.2352</v>
      </c>
      <c r="P387" s="21">
        <f t="shared" si="162"/>
        <v>19.2998</v>
      </c>
      <c r="Q387" s="22">
        <f t="shared" si="6"/>
        <v>0.726324</v>
      </c>
      <c r="R387" s="25" t="str">
        <f t="shared" si="7"/>
        <v>C</v>
      </c>
      <c r="S387" s="19">
        <f t="shared" si="8"/>
        <v>0.6425</v>
      </c>
      <c r="T387" s="19" t="str">
        <f t="shared" si="9"/>
        <v>D</v>
      </c>
      <c r="U387" s="3" t="s">
        <v>203</v>
      </c>
      <c r="V387" s="4" t="str">
        <f>IF(ISBLANK(C387),,IFERROR(IF(VLOOKUP(B387,Standings!$A:$F, 6, 0)=VLOOKUP(C387,Standings!$A:$F, 6, 0), VLOOKUP(B387,Standings!$A:$F, 6, 0), "Non-con"), "FCS"))</f>
        <v>BIG12</v>
      </c>
      <c r="W387" s="3" t="str">
        <f t="shared" si="10"/>
        <v>Oklahoma</v>
      </c>
      <c r="X387" s="3" t="str">
        <f t="shared" si="11"/>
        <v>TCU</v>
      </c>
      <c r="Y387" s="30">
        <f>IF(D387=0,,IF(ISBLANK(Q387),,VLOOKUP(X387,Week7,2,FALSE)/(VLOOKUP(X387,Week7,2,FALSE)+VLOOKUP(W387,Week7,2,FALSE))+0.05)*100)</f>
        <v>57.382287</v>
      </c>
      <c r="Z387" s="3" t="s">
        <v>51</v>
      </c>
      <c r="AA387" s="3">
        <v>33.0</v>
      </c>
      <c r="AB387" s="4" t="str">
        <f t="shared" si="20"/>
        <v>TCU</v>
      </c>
      <c r="AC387" s="3">
        <v>14.0</v>
      </c>
      <c r="AD387" s="3"/>
      <c r="AE387" s="3">
        <f t="shared" si="13"/>
        <v>19</v>
      </c>
      <c r="AF387" s="3"/>
      <c r="AG387" s="3">
        <f t="shared" si="133"/>
        <v>0</v>
      </c>
      <c r="AH387" s="3"/>
      <c r="AI387" s="7"/>
      <c r="AJ387" s="4"/>
      <c r="AK387" s="7"/>
      <c r="AL387" s="7"/>
      <c r="AM387" s="7"/>
      <c r="AN387" s="7"/>
      <c r="AO387" s="7"/>
      <c r="AP387" s="7"/>
      <c r="AQ387" s="7"/>
      <c r="AR387" s="7"/>
      <c r="AS387" s="7"/>
      <c r="AT387" s="7"/>
      <c r="AU387" s="7"/>
      <c r="AV387" s="7"/>
      <c r="AW387" s="7"/>
      <c r="AX387" s="7"/>
    </row>
    <row r="388" ht="12.75" hidden="1" customHeight="1">
      <c r="A388" s="3">
        <v>15.0</v>
      </c>
      <c r="B388" s="3" t="s">
        <v>74</v>
      </c>
      <c r="C388" s="3" t="s">
        <v>97</v>
      </c>
      <c r="D388" s="4">
        <f>IFERROR(VLOOKUP(B388,Week14,2,FALSE),0)</f>
        <v>58.11</v>
      </c>
      <c r="E388" s="4">
        <f>IF(ISBLANK(B388),,IFERROR(VLOOKUP(B388,CurrentRank!$B$2:$C$132,2,FALSE),0))</f>
        <v>41.11</v>
      </c>
      <c r="F388" s="4">
        <f>IFERROR(VLOOKUP(B388,Week14,3,FALSE),130)</f>
        <v>23</v>
      </c>
      <c r="G388" s="4">
        <f>IF(ISBLANK(B388),,IFERROR(VLOOKUP(B388,CurrentRank!$B$2:$D$132,3,FALSE),130))</f>
        <v>32</v>
      </c>
      <c r="H388" s="4">
        <f>IFERROR(VLOOKUP(C388,Week14,2,FALSE),0)</f>
        <v>67.88</v>
      </c>
      <c r="I388" s="4">
        <f>IF(ISBLANK(B388),,IFERROR(VLOOKUP(C388,CurrentRank!$B$2:$C$132,2,FALSE),0))</f>
        <v>71.81</v>
      </c>
      <c r="J388" s="4">
        <f>IFERROR(VLOOKUP(C388,Week14,3,FALSE),130)</f>
        <v>16</v>
      </c>
      <c r="K388" s="4">
        <f>IF(ISBLANK(C388),,IFERROR(VLOOKUP(C388,CurrentRank!$B$2:$D$132,3,FALSE),130))</f>
        <v>12</v>
      </c>
      <c r="L388" s="19">
        <f t="shared" si="167"/>
        <v>1.88985</v>
      </c>
      <c r="M388" s="19">
        <f t="shared" si="168"/>
        <v>1.6938</v>
      </c>
      <c r="N388" s="24">
        <f t="shared" si="140"/>
        <v>19.5</v>
      </c>
      <c r="O388" s="21">
        <f t="shared" si="4"/>
        <v>-5.829925</v>
      </c>
      <c r="P388" s="21">
        <f t="shared" si="162"/>
        <v>-16.294925</v>
      </c>
      <c r="Q388" s="22">
        <f t="shared" si="6"/>
        <v>0.873350375</v>
      </c>
      <c r="R388" s="25" t="str">
        <f t="shared" si="7"/>
        <v>B+</v>
      </c>
      <c r="S388" s="19">
        <f t="shared" si="8"/>
        <v>0.7975</v>
      </c>
      <c r="T388" s="19" t="str">
        <f t="shared" si="9"/>
        <v>B-</v>
      </c>
      <c r="U388" s="3" t="s">
        <v>203</v>
      </c>
      <c r="V388" s="4" t="str">
        <f>IF(ISBLANK(C388),,IFERROR(IF(VLOOKUP(B388,Standings!$A:$F, 6, 0)=VLOOKUP(C388,Standings!$A:$F, 6, 0), VLOOKUP(B388,Standings!$A:$F, 6, 0), "Non-con"), "FCS"))</f>
        <v>B1G</v>
      </c>
      <c r="W388" s="3" t="str">
        <f t="shared" si="10"/>
        <v>Wisconsin</v>
      </c>
      <c r="X388" s="3" t="str">
        <f t="shared" si="11"/>
        <v>Iowa</v>
      </c>
      <c r="Y388" s="30">
        <f>IF(D388=0,,IF(ISBLANK(Q388),,VLOOKUP(X388,Week14,2,FALSE)/(VLOOKUP(X388,Week14,2,FALSE)+VLOOKUP(W388,Week14,2,FALSE))+0.05)*100)</f>
        <v>58.87729185</v>
      </c>
      <c r="Z388" s="3" t="s">
        <v>97</v>
      </c>
      <c r="AA388" s="3">
        <v>28.0</v>
      </c>
      <c r="AB388" s="4" t="str">
        <f t="shared" si="20"/>
        <v>Wisconsin</v>
      </c>
      <c r="AC388" s="3">
        <v>7.0</v>
      </c>
      <c r="AD388" s="3"/>
      <c r="AE388" s="3">
        <f t="shared" si="13"/>
        <v>21</v>
      </c>
      <c r="AF388" s="3"/>
      <c r="AG388" s="3">
        <f t="shared" si="133"/>
        <v>1</v>
      </c>
      <c r="AH388" s="3"/>
      <c r="AI388" s="7"/>
      <c r="AJ388" s="4" t="s">
        <v>157</v>
      </c>
      <c r="AK388" s="7"/>
      <c r="AL388" s="7"/>
      <c r="AM388" s="7"/>
      <c r="AN388" s="7"/>
      <c r="AO388" s="7"/>
      <c r="AP388" s="7"/>
      <c r="AQ388" s="7"/>
      <c r="AR388" s="7"/>
      <c r="AS388" s="7"/>
      <c r="AT388" s="7"/>
      <c r="AU388" s="7"/>
      <c r="AV388" s="7"/>
      <c r="AW388" s="7"/>
      <c r="AX388" s="7"/>
    </row>
    <row r="389" ht="12.75" hidden="1" customHeight="1">
      <c r="A389" s="3">
        <v>16.0</v>
      </c>
      <c r="B389" s="3" t="s">
        <v>147</v>
      </c>
      <c r="C389" s="3" t="s">
        <v>93</v>
      </c>
      <c r="D389" s="4">
        <f>IFERROR(VLOOKUP(B389,Week15,2,FALSE),0)</f>
        <v>32.3</v>
      </c>
      <c r="E389" s="4">
        <f>IF(ISBLANK(B389),,IFERROR(VLOOKUP(B389,CurrentRank!$B$2:$C$132,2,FALSE),0))</f>
        <v>32.08</v>
      </c>
      <c r="F389" s="4">
        <f>IFERROR(VLOOKUP(B389,Week15,3,FALSE),130)</f>
        <v>92</v>
      </c>
      <c r="G389" s="4">
        <f>IF(ISBLANK(B389),,IFERROR(VLOOKUP(B389,CurrentRank!$B$2:$D$132,3,FALSE),130))</f>
        <v>93</v>
      </c>
      <c r="H389" s="4">
        <f>IFERROR(VLOOKUP(C389,Week15,2,FALSE),0)</f>
        <v>37.73</v>
      </c>
      <c r="I389" s="4">
        <f>IF(ISBLANK(B389),,IFERROR(VLOOKUP(C389,CurrentRank!$B$2:$C$132,2,FALSE),0))</f>
        <v>36.48</v>
      </c>
      <c r="J389" s="4">
        <f>IFERROR(VLOOKUP(C389,Week15,3,FALSE),130)</f>
        <v>44</v>
      </c>
      <c r="K389" s="4">
        <f>IF(ISBLANK(C389),,IFERROR(VLOOKUP(C389,CurrentRank!$B$2:$D$132,3,FALSE),130))</f>
        <v>52</v>
      </c>
      <c r="L389" s="19">
        <f t="shared" ref="L389:M389" si="169">IF(ISBLANK(C389),,(D389+H389)*0.015)</f>
        <v>1.05045</v>
      </c>
      <c r="M389" s="19">
        <f t="shared" si="169"/>
        <v>1.0284</v>
      </c>
      <c r="N389" s="24">
        <f t="shared" si="140"/>
        <v>68</v>
      </c>
      <c r="O389" s="21">
        <f t="shared" si="4"/>
        <v>-3.240225</v>
      </c>
      <c r="P389" s="21">
        <f t="shared" si="162"/>
        <v>-2.725225</v>
      </c>
      <c r="Q389" s="22">
        <f t="shared" si="6"/>
        <v>0.643798875</v>
      </c>
      <c r="R389" s="25" t="str">
        <f t="shared" si="7"/>
        <v>D</v>
      </c>
      <c r="S389" s="19" t="str">
        <f t="shared" si="8"/>
        <v/>
      </c>
      <c r="T389" s="19" t="str">
        <f t="shared" si="9"/>
        <v/>
      </c>
      <c r="U389" s="3" t="s">
        <v>203</v>
      </c>
      <c r="V389" s="4" t="str">
        <f>IF(ISBLANK(C389),,IFERROR(IF(VLOOKUP(B389,Standings!$A:$F, 6, 0)=VLOOKUP(C389,Standings!$A:$F, 6, 0), VLOOKUP(B389,Standings!$A:$F, 6, 0), "Non-con"), "FCS"))</f>
        <v>ACC</v>
      </c>
      <c r="W389" s="3" t="str">
        <f t="shared" si="10"/>
        <v>Florida State</v>
      </c>
      <c r="X389" s="3" t="str">
        <f t="shared" si="11"/>
        <v>Wake Forest</v>
      </c>
      <c r="Y389" s="30">
        <f>IF(D389=0,,IF(ISBLANK(Q389),,VLOOKUP(X389,Week15,2,FALSE)/(VLOOKUP(X389,Week15,2,FALSE)+VLOOKUP(W389,Week15,2,FALSE))+0.05)*100)</f>
        <v>58.8769099</v>
      </c>
      <c r="Z389" s="4"/>
      <c r="AA389" s="3"/>
      <c r="AB389" s="4" t="str">
        <f t="shared" si="20"/>
        <v/>
      </c>
      <c r="AC389" s="3"/>
      <c r="AD389" s="3"/>
      <c r="AE389" s="3" t="str">
        <f t="shared" si="13"/>
        <v/>
      </c>
      <c r="AF389" s="3" t="s">
        <v>226</v>
      </c>
      <c r="AG389" s="3" t="str">
        <f t="shared" si="133"/>
        <v/>
      </c>
      <c r="AH389" s="3"/>
      <c r="AI389" s="7"/>
      <c r="AJ389" s="4"/>
      <c r="AK389" s="7"/>
      <c r="AL389" s="7"/>
      <c r="AM389" s="7"/>
      <c r="AN389" s="7"/>
      <c r="AO389" s="7"/>
      <c r="AP389" s="7"/>
      <c r="AQ389" s="7"/>
      <c r="AR389" s="7"/>
      <c r="AS389" s="7"/>
      <c r="AT389" s="7"/>
      <c r="AU389" s="7"/>
      <c r="AV389" s="7"/>
      <c r="AW389" s="7"/>
      <c r="AX389" s="7"/>
    </row>
    <row r="390" ht="12.75" customHeight="1">
      <c r="A390" s="3">
        <v>6.0</v>
      </c>
      <c r="B390" s="3" t="s">
        <v>149</v>
      </c>
      <c r="C390" s="3" t="s">
        <v>53</v>
      </c>
      <c r="D390" s="4">
        <f>IFERROR(VLOOKUP(B390,Week5,2,FALSE),0)</f>
        <v>28.32</v>
      </c>
      <c r="E390" s="4">
        <f>IF(ISBLANK(B390),,IFERROR(VLOOKUP(B390,CurrentRank!$B$2:$C$132,2,FALSE),0))</f>
        <v>36.59</v>
      </c>
      <c r="F390" s="4">
        <f>IFERROR(VLOOKUP(B390,Week5,3,FALSE),130)</f>
        <v>119</v>
      </c>
      <c r="G390" s="4">
        <f>IF(ISBLANK(B390),,IFERROR(VLOOKUP(B390,CurrentRank!$B$2:$D$132,3,FALSE),130))</f>
        <v>51</v>
      </c>
      <c r="H390" s="4">
        <f>IFERROR(VLOOKUP(C390,Week5,2,FALSE),0)</f>
        <v>62.99</v>
      </c>
      <c r="I390" s="4">
        <f>IF(ISBLANK(B390),,IFERROR(VLOOKUP(C390,CurrentRank!$B$2:$C$132,2,FALSE),0))</f>
        <v>37.27</v>
      </c>
      <c r="J390" s="4">
        <f>IFERROR(VLOOKUP(C390,Week5,3,FALSE),130)</f>
        <v>17</v>
      </c>
      <c r="K390" s="4">
        <f>IF(ISBLANK(C390),,IFERROR(VLOOKUP(C390,CurrentRank!$B$2:$D$132,3,FALSE),130))</f>
        <v>45</v>
      </c>
      <c r="L390" s="19">
        <f t="shared" ref="L390:L391" si="170">IF(U390= "Yes", 0, IF(ISBLANK(C390),,(D390+H390)*0.015))</f>
        <v>1.36965</v>
      </c>
      <c r="M390" s="19">
        <f t="shared" ref="M390:M391" si="171">IF(U390= "Yes", 0, IF(ISBLANK(D390),,(E390+I390)*0.015))</f>
        <v>1.1079</v>
      </c>
      <c r="N390" s="24">
        <f t="shared" si="140"/>
        <v>68</v>
      </c>
      <c r="O390" s="21">
        <f t="shared" si="4"/>
        <v>-18.019825</v>
      </c>
      <c r="P390" s="21">
        <f t="shared" si="162"/>
        <v>-1.024825</v>
      </c>
      <c r="Q390" s="22">
        <f t="shared" si="6"/>
        <v>0.569900875</v>
      </c>
      <c r="R390" s="25" t="str">
        <f t="shared" si="7"/>
        <v>F</v>
      </c>
      <c r="S390" s="19">
        <f t="shared" si="8"/>
        <v>0.64</v>
      </c>
      <c r="T390" s="19" t="str">
        <f t="shared" si="9"/>
        <v>D</v>
      </c>
      <c r="U390" s="3" t="s">
        <v>203</v>
      </c>
      <c r="V390" s="4" t="str">
        <f>IF(ISBLANK(C390),,IFERROR(IF(VLOOKUP(B390,Standings!$A:$F, 6, 0)=VLOOKUP(C390,Standings!$A:$F, 6, 0), VLOOKUP(B390,Standings!$A:$F, 6, 0), "Non-con"), "FCS"))</f>
        <v>SEC</v>
      </c>
      <c r="W390" s="3" t="str">
        <f t="shared" si="10"/>
        <v>Missouri</v>
      </c>
      <c r="X390" s="3" t="str">
        <f t="shared" si="11"/>
        <v>LSU</v>
      </c>
      <c r="Y390" s="30">
        <f>IF(D390=0,,IF(ISBLANK(Q390),,VLOOKUP(X390,Week5,2,FALSE)/(VLOOKUP(X390,Week5,2,FALSE)+VLOOKUP(W390,Week5,2,FALSE))+0.05)*100)</f>
        <v>73.98477713</v>
      </c>
      <c r="Z390" s="3" t="s">
        <v>149</v>
      </c>
      <c r="AA390" s="3">
        <v>45.0</v>
      </c>
      <c r="AB390" s="4" t="str">
        <f t="shared" si="20"/>
        <v>LSU</v>
      </c>
      <c r="AC390" s="3">
        <v>41.0</v>
      </c>
      <c r="AD390" s="3"/>
      <c r="AE390" s="3">
        <f t="shared" si="13"/>
        <v>4</v>
      </c>
      <c r="AF390" s="3"/>
      <c r="AG390" s="3">
        <f t="shared" si="133"/>
        <v>0</v>
      </c>
      <c r="AH390" s="3"/>
      <c r="AI390" s="7"/>
      <c r="AJ390" s="4" t="s">
        <v>269</v>
      </c>
      <c r="AK390" s="7"/>
      <c r="AL390" s="7"/>
      <c r="AM390" s="7"/>
      <c r="AN390" s="7"/>
      <c r="AO390" s="7"/>
      <c r="AP390" s="7"/>
      <c r="AQ390" s="7"/>
      <c r="AR390" s="7"/>
      <c r="AS390" s="7"/>
      <c r="AT390" s="7"/>
      <c r="AU390" s="7"/>
      <c r="AV390" s="7"/>
      <c r="AW390" s="7"/>
      <c r="AX390" s="7"/>
    </row>
    <row r="391" ht="12.75" hidden="1" customHeight="1">
      <c r="A391" s="3">
        <v>15.0</v>
      </c>
      <c r="B391" s="3" t="s">
        <v>145</v>
      </c>
      <c r="C391" s="3" t="s">
        <v>57</v>
      </c>
      <c r="D391" s="4">
        <f>IFERROR(VLOOKUP(B391,Week14,2,FALSE),0)</f>
        <v>31.27</v>
      </c>
      <c r="E391" s="4">
        <f>IF(ISBLANK(B391),,IFERROR(VLOOKUP(B391,CurrentRank!$B$2:$C$132,2,FALSE),0))</f>
        <v>29.42</v>
      </c>
      <c r="F391" s="4">
        <f>IFERROR(VLOOKUP(B391,Week14,3,FALSE),130)</f>
        <v>101</v>
      </c>
      <c r="G391" s="4">
        <f>IF(ISBLANK(B391),,IFERROR(VLOOKUP(B391,CurrentRank!$B$2:$D$132,3,FALSE),130))</f>
        <v>114</v>
      </c>
      <c r="H391" s="4">
        <f>IFERROR(VLOOKUP(C391,Week14,2,FALSE),0)</f>
        <v>36.51</v>
      </c>
      <c r="I391" s="4">
        <f>IF(ISBLANK(B391),,IFERROR(VLOOKUP(C391,CurrentRank!$B$2:$C$132,2,FALSE),0))</f>
        <v>40.05</v>
      </c>
      <c r="J391" s="4">
        <f>IFERROR(VLOOKUP(C391,Week14,3,FALSE),130)</f>
        <v>52</v>
      </c>
      <c r="K391" s="4">
        <f>IF(ISBLANK(C391),,IFERROR(VLOOKUP(C391,CurrentRank!$B$2:$D$132,3,FALSE),130))</f>
        <v>34</v>
      </c>
      <c r="L391" s="19">
        <f t="shared" si="170"/>
        <v>1.0167</v>
      </c>
      <c r="M391" s="19">
        <f t="shared" si="171"/>
        <v>1.04205</v>
      </c>
      <c r="N391" s="24">
        <f t="shared" si="140"/>
        <v>76.5</v>
      </c>
      <c r="O391" s="21">
        <f t="shared" si="4"/>
        <v>-3.12835</v>
      </c>
      <c r="P391" s="21">
        <f t="shared" si="162"/>
        <v>-5.82335</v>
      </c>
      <c r="Q391" s="22">
        <f t="shared" si="6"/>
        <v>0.60185825</v>
      </c>
      <c r="R391" s="25" t="str">
        <f t="shared" si="7"/>
        <v>D-</v>
      </c>
      <c r="S391" s="19">
        <f t="shared" si="8"/>
        <v>0.5425</v>
      </c>
      <c r="T391" s="19" t="str">
        <f t="shared" si="9"/>
        <v>F</v>
      </c>
      <c r="U391" s="3" t="s">
        <v>203</v>
      </c>
      <c r="V391" s="4" t="str">
        <f>IF(ISBLANK(C391),,IFERROR(IF(VLOOKUP(B391,Standings!$A:$F, 6, 0)=VLOOKUP(C391,Standings!$A:$F, 6, 0), VLOOKUP(B391,Standings!$A:$F, 6, 0), "Non-con"), "FCS"))</f>
        <v>B1G</v>
      </c>
      <c r="W391" s="3" t="str">
        <f t="shared" si="10"/>
        <v>Michigan State</v>
      </c>
      <c r="X391" s="3" t="str">
        <f t="shared" si="11"/>
        <v>Penn State</v>
      </c>
      <c r="Y391" s="30">
        <f>IF(D391=0,,IF(ISBLANK(Q391),,VLOOKUP(X391,Week14,2,FALSE)/(VLOOKUP(X391,Week14,2,FALSE)+VLOOKUP(W391,Week14,2,FALSE))+0.05)*100)</f>
        <v>58.86544703</v>
      </c>
      <c r="Z391" s="3" t="s">
        <v>57</v>
      </c>
      <c r="AA391" s="3">
        <v>39.0</v>
      </c>
      <c r="AB391" s="4" t="str">
        <f t="shared" si="20"/>
        <v>Michigan State</v>
      </c>
      <c r="AC391" s="3">
        <v>24.0</v>
      </c>
      <c r="AD391" s="3"/>
      <c r="AE391" s="3">
        <f t="shared" si="13"/>
        <v>15</v>
      </c>
      <c r="AF391" s="3"/>
      <c r="AG391" s="3">
        <f t="shared" si="133"/>
        <v>1</v>
      </c>
      <c r="AH391" s="3"/>
      <c r="AI391" s="7"/>
      <c r="AJ391" s="4"/>
      <c r="AK391" s="7"/>
      <c r="AL391" s="7"/>
      <c r="AM391" s="7"/>
      <c r="AN391" s="7"/>
      <c r="AO391" s="7"/>
      <c r="AP391" s="7"/>
      <c r="AQ391" s="7"/>
      <c r="AR391" s="7"/>
      <c r="AS391" s="7"/>
      <c r="AT391" s="7"/>
      <c r="AU391" s="7"/>
      <c r="AV391" s="7"/>
      <c r="AW391" s="7"/>
      <c r="AX391" s="7"/>
    </row>
    <row r="392" ht="12.75" hidden="1" customHeight="1">
      <c r="A392" s="3">
        <v>16.0</v>
      </c>
      <c r="B392" s="3" t="s">
        <v>58</v>
      </c>
      <c r="C392" s="3" t="s">
        <v>100</v>
      </c>
      <c r="D392" s="4">
        <f>IFERROR(VLOOKUP(B392,Week15,2,FALSE),0)</f>
        <v>70.61</v>
      </c>
      <c r="E392" s="4">
        <f>IF(ISBLANK(B392),,IFERROR(VLOOKUP(B392,CurrentRank!$B$2:$C$132,2,FALSE),0))</f>
        <v>72.87</v>
      </c>
      <c r="F392" s="4">
        <f>IFERROR(VLOOKUP(B392,Week15,3,FALSE),130)</f>
        <v>14</v>
      </c>
      <c r="G392" s="4">
        <f>IF(ISBLANK(B392),,IFERROR(VLOOKUP(B392,CurrentRank!$B$2:$D$132,3,FALSE),130))</f>
        <v>10</v>
      </c>
      <c r="H392" s="4">
        <f>IFERROR(VLOOKUP(C392,Week15,2,FALSE),0)</f>
        <v>82.38</v>
      </c>
      <c r="I392" s="4">
        <f>IF(ISBLANK(B392),,IFERROR(VLOOKUP(C392,CurrentRank!$B$2:$C$132,2,FALSE),0))</f>
        <v>69.98</v>
      </c>
      <c r="J392" s="4">
        <f>IFERROR(VLOOKUP(C392,Week15,3,FALSE),130)</f>
        <v>5</v>
      </c>
      <c r="K392" s="4">
        <f>IF(ISBLANK(C392),,IFERROR(VLOOKUP(C392,CurrentRank!$B$2:$D$132,3,FALSE),130))</f>
        <v>13</v>
      </c>
      <c r="L392" s="19">
        <f t="shared" ref="L392:M392" si="172">IF(ISBLANK(C392),,(D392+H392)*0.015)</f>
        <v>2.29485</v>
      </c>
      <c r="M392" s="19">
        <f t="shared" si="172"/>
        <v>2.14275</v>
      </c>
      <c r="N392" s="24">
        <f t="shared" si="140"/>
        <v>9.5</v>
      </c>
      <c r="O392" s="21">
        <f t="shared" si="4"/>
        <v>-7.032425</v>
      </c>
      <c r="P392" s="21">
        <f t="shared" si="162"/>
        <v>0.297575</v>
      </c>
      <c r="Q392" s="22">
        <f t="shared" si="6"/>
        <v>0.917337875</v>
      </c>
      <c r="R392" s="25" t="str">
        <f t="shared" si="7"/>
        <v>A-</v>
      </c>
      <c r="S392" s="19" t="str">
        <f t="shared" si="8"/>
        <v/>
      </c>
      <c r="T392" s="19" t="str">
        <f t="shared" si="9"/>
        <v/>
      </c>
      <c r="U392" s="3" t="s">
        <v>203</v>
      </c>
      <c r="V392" s="4" t="str">
        <f>IF(ISBLANK(C392),,IFERROR(IF(VLOOKUP(B392,Standings!$A:$F, 6, 0)=VLOOKUP(C392,Standings!$A:$F, 6, 0), VLOOKUP(B392,Standings!$A:$F, 6, 0), "Non-con"), "FCS"))</f>
        <v>SUN</v>
      </c>
      <c r="W392" s="3" t="str">
        <f t="shared" si="10"/>
        <v>UL-Lafayette</v>
      </c>
      <c r="X392" s="3" t="str">
        <f t="shared" si="11"/>
        <v>Coastal Carolina</v>
      </c>
      <c r="Y392" s="30">
        <f>IF(D392=0,,IF(ISBLANK(Q392),,VLOOKUP(X392,Week15,2,FALSE)/(VLOOKUP(X392,Week15,2,FALSE)+VLOOKUP(W392,Week15,2,FALSE))+0.05)*100)</f>
        <v>58.84665664</v>
      </c>
      <c r="Z392" s="4"/>
      <c r="AA392" s="3"/>
      <c r="AB392" s="4" t="str">
        <f t="shared" si="20"/>
        <v/>
      </c>
      <c r="AC392" s="3"/>
      <c r="AD392" s="3"/>
      <c r="AE392" s="3" t="str">
        <f t="shared" si="13"/>
        <v/>
      </c>
      <c r="AF392" s="3" t="s">
        <v>226</v>
      </c>
      <c r="AG392" s="3" t="str">
        <f t="shared" si="133"/>
        <v/>
      </c>
      <c r="AH392" s="3"/>
      <c r="AI392" s="7"/>
      <c r="AJ392" s="4"/>
      <c r="AK392" s="7"/>
      <c r="AL392" s="7"/>
      <c r="AM392" s="7"/>
      <c r="AN392" s="7"/>
      <c r="AO392" s="7"/>
      <c r="AP392" s="7"/>
      <c r="AQ392" s="7"/>
      <c r="AR392" s="7"/>
      <c r="AS392" s="7"/>
      <c r="AT392" s="7"/>
      <c r="AU392" s="7"/>
      <c r="AV392" s="7"/>
      <c r="AW392" s="7"/>
      <c r="AX392" s="7"/>
    </row>
    <row r="393" ht="12.75" hidden="1" customHeight="1">
      <c r="A393" s="3">
        <v>16.0</v>
      </c>
      <c r="B393" s="3" t="s">
        <v>158</v>
      </c>
      <c r="C393" s="3" t="s">
        <v>96</v>
      </c>
      <c r="D393" s="4">
        <f>IFERROR(VLOOKUP(B393,Week15,2,FALSE),0)</f>
        <v>36.6</v>
      </c>
      <c r="E393" s="4">
        <f>IF(ISBLANK(B393),,IFERROR(VLOOKUP(B393,CurrentRank!$B$2:$C$132,2,FALSE),0))</f>
        <v>34.21</v>
      </c>
      <c r="F393" s="4">
        <f>IFERROR(VLOOKUP(B393,Week15,3,FALSE),130)</f>
        <v>51</v>
      </c>
      <c r="G393" s="4">
        <f>IF(ISBLANK(B393),,IFERROR(VLOOKUP(B393,CurrentRank!$B$2:$D$132,3,FALSE),130))</f>
        <v>72</v>
      </c>
      <c r="H393" s="4">
        <f>IFERROR(VLOOKUP(C393,Week15,2,FALSE),0)</f>
        <v>42.65</v>
      </c>
      <c r="I393" s="4">
        <f>IF(ISBLANK(B393),,IFERROR(VLOOKUP(C393,CurrentRank!$B$2:$C$132,2,FALSE),0))</f>
        <v>43.66</v>
      </c>
      <c r="J393" s="4">
        <f>IFERROR(VLOOKUP(C393,Week15,3,FALSE),130)</f>
        <v>28</v>
      </c>
      <c r="K393" s="4">
        <f>IF(ISBLANK(C393),,IFERROR(VLOOKUP(C393,CurrentRank!$B$2:$D$132,3,FALSE),130))</f>
        <v>27</v>
      </c>
      <c r="L393" s="19">
        <f t="shared" ref="L393:L397" si="173">IF(U393= "Yes", 0, IF(ISBLANK(C393),,(D393+H393)*0.015))</f>
        <v>1.18875</v>
      </c>
      <c r="M393" s="19">
        <f t="shared" ref="M393:M397" si="174">IF(U393= "Yes", 0, IF(ISBLANK(D393),,(E393+I393)*0.015))</f>
        <v>1.16805</v>
      </c>
      <c r="N393" s="24">
        <f t="shared" si="140"/>
        <v>39.5</v>
      </c>
      <c r="O393" s="21">
        <f t="shared" si="4"/>
        <v>-3.619375</v>
      </c>
      <c r="P393" s="21">
        <f t="shared" si="162"/>
        <v>-5.319375</v>
      </c>
      <c r="Q393" s="22">
        <f t="shared" si="6"/>
        <v>0.784403125</v>
      </c>
      <c r="R393" s="25" t="str">
        <f t="shared" si="7"/>
        <v>C+</v>
      </c>
      <c r="S393" s="19">
        <f t="shared" si="8"/>
        <v>0.7175</v>
      </c>
      <c r="T393" s="19" t="str">
        <f t="shared" si="9"/>
        <v>C-</v>
      </c>
      <c r="U393" s="3" t="s">
        <v>203</v>
      </c>
      <c r="V393" s="4" t="str">
        <f>IF(ISBLANK(C393),,IFERROR(IF(VLOOKUP(B393,Standings!$A:$F, 6, 0)=VLOOKUP(C393,Standings!$A:$F, 6, 0), VLOOKUP(B393,Standings!$A:$F, 6, 0), "Non-con"), "FCS"))</f>
        <v>PAC12</v>
      </c>
      <c r="W393" s="3" t="str">
        <f t="shared" si="10"/>
        <v>Washington State</v>
      </c>
      <c r="X393" s="3" t="str">
        <f t="shared" si="11"/>
        <v>Utah</v>
      </c>
      <c r="Y393" s="30">
        <f>IF(D393=0,,IF(ISBLANK(Q393),,VLOOKUP(X393,Week15,2,FALSE)/(VLOOKUP(X393,Week15,2,FALSE)+VLOOKUP(W393,Week15,2,FALSE))+0.05)*100)</f>
        <v>58.8170347</v>
      </c>
      <c r="Z393" s="3" t="s">
        <v>96</v>
      </c>
      <c r="AA393" s="3">
        <v>45.0</v>
      </c>
      <c r="AB393" s="4" t="str">
        <f t="shared" si="20"/>
        <v>Washington State</v>
      </c>
      <c r="AC393" s="3">
        <v>28.0</v>
      </c>
      <c r="AD393" s="3"/>
      <c r="AE393" s="3">
        <f t="shared" si="13"/>
        <v>17</v>
      </c>
      <c r="AF393" s="3"/>
      <c r="AG393" s="3">
        <f t="shared" si="133"/>
        <v>1</v>
      </c>
      <c r="AH393" s="3"/>
      <c r="AI393" s="7"/>
      <c r="AJ393" s="4"/>
      <c r="AK393" s="7"/>
      <c r="AL393" s="7"/>
      <c r="AM393" s="7"/>
      <c r="AN393" s="7"/>
      <c r="AO393" s="7"/>
      <c r="AP393" s="7"/>
      <c r="AQ393" s="7"/>
      <c r="AR393" s="7"/>
      <c r="AS393" s="7"/>
      <c r="AT393" s="7"/>
      <c r="AU393" s="7"/>
      <c r="AV393" s="7"/>
      <c r="AW393" s="7"/>
      <c r="AX393" s="7"/>
    </row>
    <row r="394" ht="12.75" hidden="1" customHeight="1">
      <c r="A394" s="3">
        <v>11.0</v>
      </c>
      <c r="B394" s="3" t="s">
        <v>144</v>
      </c>
      <c r="C394" s="3" t="s">
        <v>156</v>
      </c>
      <c r="D394" s="4">
        <f>IFERROR(VLOOKUP(B394,Week10,2,FALSE),0)</f>
        <v>38.77</v>
      </c>
      <c r="E394" s="4">
        <f>IF(ISBLANK(B394),,IFERROR(VLOOKUP(B394,CurrentRank!$B$2:$C$132,2,FALSE),0))</f>
        <v>35.51</v>
      </c>
      <c r="F394" s="4">
        <f>IFERROR(VLOOKUP(B394,Week10,3,FALSE),130)</f>
        <v>48</v>
      </c>
      <c r="G394" s="4">
        <f>IF(ISBLANK(B394),,IFERROR(VLOOKUP(B394,CurrentRank!$B$2:$D$132,3,FALSE),130))</f>
        <v>58</v>
      </c>
      <c r="H394" s="4">
        <f>IFERROR(VLOOKUP(C394,Week10,2,FALSE),0)</f>
        <v>33.38</v>
      </c>
      <c r="I394" s="4">
        <f>IF(ISBLANK(B394),,IFERROR(VLOOKUP(C394,CurrentRank!$B$2:$C$132,2,FALSE),0))</f>
        <v>32.81</v>
      </c>
      <c r="J394" s="4">
        <f>IFERROR(VLOOKUP(C394,Week10,3,FALSE),130)</f>
        <v>75</v>
      </c>
      <c r="K394" s="4">
        <f>IF(ISBLANK(C394),,IFERROR(VLOOKUP(C394,CurrentRank!$B$2:$D$132,3,FALSE),130))</f>
        <v>88</v>
      </c>
      <c r="L394" s="19">
        <f t="shared" si="173"/>
        <v>1.08225</v>
      </c>
      <c r="M394" s="19">
        <f t="shared" si="174"/>
        <v>1.0248</v>
      </c>
      <c r="N394" s="24">
        <f t="shared" si="140"/>
        <v>61.5</v>
      </c>
      <c r="O394" s="21">
        <f t="shared" si="4"/>
        <v>2.153875</v>
      </c>
      <c r="P394" s="21">
        <f t="shared" si="162"/>
        <v>0.808875</v>
      </c>
      <c r="Q394" s="22">
        <f t="shared" si="6"/>
        <v>0.681730625</v>
      </c>
      <c r="R394" s="25" t="str">
        <f t="shared" si="7"/>
        <v>D+</v>
      </c>
      <c r="S394" s="19">
        <f t="shared" si="8"/>
        <v>0.5975</v>
      </c>
      <c r="T394" s="19" t="str">
        <f t="shared" si="9"/>
        <v>D-</v>
      </c>
      <c r="U394" s="3" t="s">
        <v>203</v>
      </c>
      <c r="V394" s="4" t="str">
        <f>IF(ISBLANK(C394),,IFERROR(IF(VLOOKUP(B394,Standings!$A:$F, 6, 0)=VLOOKUP(C394,Standings!$A:$F, 6, 0), VLOOKUP(B394,Standings!$A:$F, 6, 0), "Non-con"), "FCS"))</f>
        <v>MWC</v>
      </c>
      <c r="W394" s="3" t="str">
        <f t="shared" si="10"/>
        <v>Utah State</v>
      </c>
      <c r="X394" s="3" t="str">
        <f t="shared" si="11"/>
        <v>Fresno State</v>
      </c>
      <c r="Y394" s="30">
        <f>IF(D394=0,,IF(ISBLANK(Q394),,VLOOKUP(X394,Week10,2,FALSE)/(VLOOKUP(X394,Week10,2,FALSE)+VLOOKUP(W394,Week10,2,FALSE))+0.05)*100)</f>
        <v>58.73527374</v>
      </c>
      <c r="Z394" s="3" t="s">
        <v>144</v>
      </c>
      <c r="AA394" s="3">
        <v>35.0</v>
      </c>
      <c r="AB394" s="4" t="str">
        <f t="shared" si="20"/>
        <v>Utah State</v>
      </c>
      <c r="AC394" s="3">
        <v>16.0</v>
      </c>
      <c r="AD394" s="3"/>
      <c r="AE394" s="3">
        <f t="shared" si="13"/>
        <v>19</v>
      </c>
      <c r="AF394" s="3"/>
      <c r="AG394" s="3">
        <f t="shared" si="133"/>
        <v>1</v>
      </c>
      <c r="AH394" s="3"/>
      <c r="AI394" s="7"/>
      <c r="AJ394" s="4" t="s">
        <v>270</v>
      </c>
      <c r="AK394" s="7"/>
      <c r="AL394" s="7"/>
      <c r="AM394" s="7"/>
      <c r="AN394" s="7"/>
      <c r="AO394" s="7"/>
      <c r="AP394" s="7"/>
      <c r="AQ394" s="7"/>
      <c r="AR394" s="7"/>
      <c r="AS394" s="7"/>
      <c r="AT394" s="7"/>
      <c r="AU394" s="7"/>
      <c r="AV394" s="7"/>
      <c r="AW394" s="7"/>
      <c r="AX394" s="7"/>
    </row>
    <row r="395" ht="12.75" hidden="1" customHeight="1">
      <c r="A395" s="3">
        <v>14.0</v>
      </c>
      <c r="B395" s="3" t="s">
        <v>46</v>
      </c>
      <c r="C395" s="3" t="s">
        <v>116</v>
      </c>
      <c r="D395" s="4">
        <f>IFERROR(VLOOKUP(B395,Week13,2,FALSE),0)</f>
        <v>35.18</v>
      </c>
      <c r="E395" s="4">
        <f>IF(ISBLANK(B395),,IFERROR(VLOOKUP(B395,CurrentRank!$B$2:$C$132,2,FALSE),0))</f>
        <v>62.29</v>
      </c>
      <c r="F395" s="4">
        <f>IFERROR(VLOOKUP(B395,Week13,3,FALSE),130)</f>
        <v>59</v>
      </c>
      <c r="G395" s="4">
        <f>IF(ISBLANK(B395),,IFERROR(VLOOKUP(B395,CurrentRank!$B$2:$D$132,3,FALSE),130))</f>
        <v>20</v>
      </c>
      <c r="H395" s="4">
        <f>IFERROR(VLOOKUP(C395,Week13,2,FALSE),0)</f>
        <v>30.32</v>
      </c>
      <c r="I395" s="4">
        <f>IF(ISBLANK(B395),,IFERROR(VLOOKUP(C395,CurrentRank!$B$2:$C$132,2,FALSE),0))</f>
        <v>31.6</v>
      </c>
      <c r="J395" s="4">
        <f>IFERROR(VLOOKUP(C395,Week13,3,FALSE),130)</f>
        <v>107</v>
      </c>
      <c r="K395" s="4">
        <f>IF(ISBLANK(C395),,IFERROR(VLOOKUP(C395,CurrentRank!$B$2:$D$132,3,FALSE),130))</f>
        <v>96</v>
      </c>
      <c r="L395" s="19">
        <f t="shared" si="173"/>
        <v>0.9825</v>
      </c>
      <c r="M395" s="19">
        <f t="shared" si="174"/>
        <v>1.40835</v>
      </c>
      <c r="N395" s="24">
        <f t="shared" si="140"/>
        <v>83</v>
      </c>
      <c r="O395" s="21">
        <f t="shared" si="4"/>
        <v>1.93875</v>
      </c>
      <c r="P395" s="21">
        <f t="shared" si="162"/>
        <v>14.85375</v>
      </c>
      <c r="Q395" s="22">
        <f t="shared" si="6"/>
        <v>0.57530625</v>
      </c>
      <c r="R395" s="25" t="str">
        <f t="shared" si="7"/>
        <v>F</v>
      </c>
      <c r="S395" s="19">
        <f t="shared" si="8"/>
        <v>0.395</v>
      </c>
      <c r="T395" s="19" t="str">
        <f t="shared" si="9"/>
        <v>F</v>
      </c>
      <c r="U395" s="3" t="s">
        <v>203</v>
      </c>
      <c r="V395" s="4" t="str">
        <f>IF(ISBLANK(C395),,IFERROR(IF(VLOOKUP(B395,Standings!$A:$F, 6, 0)=VLOOKUP(C395,Standings!$A:$F, 6, 0), VLOOKUP(B395,Standings!$A:$F, 6, 0), "Non-con"), "FCS"))</f>
        <v>BIG12</v>
      </c>
      <c r="W395" s="3" t="str">
        <f t="shared" si="10"/>
        <v>Kansas State</v>
      </c>
      <c r="X395" s="3" t="str">
        <f t="shared" si="11"/>
        <v>Texas</v>
      </c>
      <c r="Y395" s="30">
        <f>IF(D395=0,,IF(ISBLANK(Q395),,VLOOKUP(X395,Week13,2,FALSE)/(VLOOKUP(X395,Week13,2,FALSE)+VLOOKUP(W395,Week13,2,FALSE))+0.05)*100)</f>
        <v>58.70992366</v>
      </c>
      <c r="Z395" s="3" t="s">
        <v>46</v>
      </c>
      <c r="AA395" s="3">
        <v>69.0</v>
      </c>
      <c r="AB395" s="4" t="str">
        <f t="shared" si="20"/>
        <v>Kansas State</v>
      </c>
      <c r="AC395" s="3">
        <v>31.0</v>
      </c>
      <c r="AD395" s="3"/>
      <c r="AE395" s="3">
        <f t="shared" si="13"/>
        <v>38</v>
      </c>
      <c r="AF395" s="3"/>
      <c r="AG395" s="3">
        <f t="shared" si="133"/>
        <v>1</v>
      </c>
      <c r="AH395" s="3"/>
      <c r="AI395" s="7"/>
      <c r="AJ395" s="4"/>
      <c r="AK395" s="7"/>
      <c r="AL395" s="7"/>
      <c r="AM395" s="7"/>
      <c r="AN395" s="7"/>
      <c r="AO395" s="7"/>
      <c r="AP395" s="7"/>
      <c r="AQ395" s="7"/>
      <c r="AR395" s="7"/>
      <c r="AS395" s="7"/>
      <c r="AT395" s="7"/>
      <c r="AU395" s="7"/>
      <c r="AV395" s="7"/>
      <c r="AW395" s="7"/>
      <c r="AX395" s="7"/>
    </row>
    <row r="396" ht="12.75" customHeight="1">
      <c r="A396" s="3">
        <v>11.0</v>
      </c>
      <c r="B396" s="3" t="s">
        <v>88</v>
      </c>
      <c r="C396" s="3" t="s">
        <v>103</v>
      </c>
      <c r="D396" s="4">
        <f>IFERROR(VLOOKUP(B396,Week10,2,FALSE),0)</f>
        <v>48.44</v>
      </c>
      <c r="E396" s="4">
        <f>IF(ISBLANK(B396),,IFERROR(VLOOKUP(B396,CurrentRank!$B$2:$C$132,2,FALSE),0))</f>
        <v>33.11</v>
      </c>
      <c r="F396" s="4">
        <f>IFERROR(VLOOKUP(B396,Week10,3,FALSE),130)</f>
        <v>26</v>
      </c>
      <c r="G396" s="4">
        <f>IF(ISBLANK(B396),,IFERROR(VLOOKUP(B396,CurrentRank!$B$2:$D$132,3,FALSE),130))</f>
        <v>85</v>
      </c>
      <c r="H396" s="4">
        <f>IFERROR(VLOOKUP(C396,Week10,2,FALSE),0)</f>
        <v>34.28</v>
      </c>
      <c r="I396" s="4">
        <f>IF(ISBLANK(B396),,IFERROR(VLOOKUP(C396,CurrentRank!$B$2:$C$132,2,FALSE),0))</f>
        <v>34.42</v>
      </c>
      <c r="J396" s="4">
        <f>IFERROR(VLOOKUP(C396,Week10,3,FALSE),130)</f>
        <v>68</v>
      </c>
      <c r="K396" s="4">
        <f>IF(ISBLANK(C396),,IFERROR(VLOOKUP(C396,CurrentRank!$B$2:$D$132,3,FALSE),130))</f>
        <v>70</v>
      </c>
      <c r="L396" s="19">
        <f t="shared" si="173"/>
        <v>1.2408</v>
      </c>
      <c r="M396" s="19">
        <f t="shared" si="174"/>
        <v>1.01295</v>
      </c>
      <c r="N396" s="24">
        <f t="shared" si="140"/>
        <v>47</v>
      </c>
      <c r="O396" s="21">
        <f t="shared" si="4"/>
        <v>6.4596</v>
      </c>
      <c r="P396" s="21">
        <f t="shared" si="162"/>
        <v>-1.2754</v>
      </c>
      <c r="Q396" s="22">
        <f t="shared" si="6"/>
        <v>0.732702</v>
      </c>
      <c r="R396" s="25" t="str">
        <f t="shared" si="7"/>
        <v>C</v>
      </c>
      <c r="S396" s="19">
        <f t="shared" si="8"/>
        <v>0.635</v>
      </c>
      <c r="T396" s="19" t="str">
        <f t="shared" si="9"/>
        <v>D</v>
      </c>
      <c r="U396" s="3" t="s">
        <v>203</v>
      </c>
      <c r="V396" s="4" t="str">
        <f>IF(ISBLANK(C396),,IFERROR(IF(VLOOKUP(B396,Standings!$A:$F, 6, 0)=VLOOKUP(C396,Standings!$A:$F, 6, 0), VLOOKUP(B396,Standings!$A:$F, 6, 0), "Non-con"), "FCS"))</f>
        <v>Non-con</v>
      </c>
      <c r="W396" s="3" t="str">
        <f t="shared" si="10"/>
        <v>Tulane</v>
      </c>
      <c r="X396" s="3" t="str">
        <f t="shared" si="11"/>
        <v>Army</v>
      </c>
      <c r="Y396" s="30">
        <f>IF(D396=0,,IF(ISBLANK(Q396),,VLOOKUP(X396,Week10,2,FALSE)/(VLOOKUP(X396,Week10,2,FALSE)+VLOOKUP(W396,Week10,2,FALSE))+0.05)*100)</f>
        <v>63.5589942</v>
      </c>
      <c r="Z396" s="3" t="s">
        <v>103</v>
      </c>
      <c r="AA396" s="3">
        <v>38.0</v>
      </c>
      <c r="AB396" s="4" t="str">
        <f t="shared" si="20"/>
        <v>Army</v>
      </c>
      <c r="AC396" s="3">
        <v>12.0</v>
      </c>
      <c r="AD396" s="3"/>
      <c r="AE396" s="3">
        <f t="shared" si="13"/>
        <v>26</v>
      </c>
      <c r="AF396" s="3"/>
      <c r="AG396" s="3">
        <f t="shared" si="133"/>
        <v>0</v>
      </c>
      <c r="AH396" s="3"/>
      <c r="AI396" s="7"/>
      <c r="AJ396" s="4"/>
      <c r="AK396" s="7"/>
      <c r="AL396" s="7"/>
      <c r="AM396" s="7"/>
      <c r="AN396" s="7"/>
      <c r="AO396" s="7"/>
      <c r="AP396" s="7"/>
      <c r="AQ396" s="7"/>
      <c r="AR396" s="7"/>
      <c r="AS396" s="7"/>
      <c r="AT396" s="7"/>
      <c r="AU396" s="7"/>
      <c r="AV396" s="7"/>
      <c r="AW396" s="7"/>
      <c r="AX396" s="7"/>
    </row>
    <row r="397" ht="12.75" hidden="1" customHeight="1">
      <c r="A397" s="3">
        <v>7.0</v>
      </c>
      <c r="B397" s="3" t="s">
        <v>146</v>
      </c>
      <c r="C397" s="3" t="s">
        <v>131</v>
      </c>
      <c r="D397" s="4">
        <f>IFERROR(VLOOKUP(B397,Week6,2,FALSE),0)</f>
        <v>30.34</v>
      </c>
      <c r="E397" s="4">
        <f>IF(ISBLANK(B397),,IFERROR(VLOOKUP(B397,CurrentRank!$B$2:$C$132,2,FALSE),0))</f>
        <v>29.48</v>
      </c>
      <c r="F397" s="4">
        <f>IFERROR(VLOOKUP(B397,Week6,3,FALSE),130)</f>
        <v>72</v>
      </c>
      <c r="G397" s="4">
        <f>IF(ISBLANK(B397),,IFERROR(VLOOKUP(B397,CurrentRank!$B$2:$D$132,3,FALSE),130))</f>
        <v>113</v>
      </c>
      <c r="H397" s="4">
        <f>IFERROR(VLOOKUP(C397,Week6,2,FALSE),0)</f>
        <v>35.17</v>
      </c>
      <c r="I397" s="4">
        <f>IF(ISBLANK(B397),,IFERROR(VLOOKUP(C397,CurrentRank!$B$2:$C$132,2,FALSE),0))</f>
        <v>33.34</v>
      </c>
      <c r="J397" s="4">
        <f>IFERROR(VLOOKUP(C397,Week6,3,FALSE),130)</f>
        <v>53</v>
      </c>
      <c r="K397" s="4">
        <f>IF(ISBLANK(C397),,IFERROR(VLOOKUP(C397,CurrentRank!$B$2:$D$132,3,FALSE),130))</f>
        <v>82</v>
      </c>
      <c r="L397" s="19">
        <f t="shared" si="173"/>
        <v>0.98265</v>
      </c>
      <c r="M397" s="19">
        <f t="shared" si="174"/>
        <v>0.9423</v>
      </c>
      <c r="N397" s="24">
        <f t="shared" si="140"/>
        <v>62.5</v>
      </c>
      <c r="O397" s="21">
        <f t="shared" si="4"/>
        <v>-2.906325</v>
      </c>
      <c r="P397" s="21">
        <f t="shared" si="162"/>
        <v>-2.421325</v>
      </c>
      <c r="Q397" s="22">
        <f t="shared" si="6"/>
        <v>0.672968375</v>
      </c>
      <c r="R397" s="25" t="str">
        <f t="shared" si="7"/>
        <v>D+</v>
      </c>
      <c r="S397" s="19">
        <f t="shared" si="8"/>
        <v>0.4825</v>
      </c>
      <c r="T397" s="19" t="str">
        <f t="shared" si="9"/>
        <v>F</v>
      </c>
      <c r="U397" s="3" t="s">
        <v>203</v>
      </c>
      <c r="V397" s="4" t="str">
        <f>IF(ISBLANK(C397),,IFERROR(IF(VLOOKUP(B397,Standings!$A:$F, 6, 0)=VLOOKUP(C397,Standings!$A:$F, 6, 0), VLOOKUP(B397,Standings!$A:$F, 6, 0), "Non-con"), "FCS"))</f>
        <v>Non-con</v>
      </c>
      <c r="W397" s="3" t="str">
        <f t="shared" si="10"/>
        <v>Massachusetts</v>
      </c>
      <c r="X397" s="3" t="str">
        <f t="shared" si="11"/>
        <v>Georgia Southern</v>
      </c>
      <c r="Y397" s="30">
        <f>IF(D397=0,,IF(ISBLANK(Q397),,VLOOKUP(X397,Week6,2,FALSE)/(VLOOKUP(X397,Week6,2,FALSE)+VLOOKUP(W397,Week6,2,FALSE))+0.05)*100)</f>
        <v>58.68646008</v>
      </c>
      <c r="Z397" s="3" t="s">
        <v>131</v>
      </c>
      <c r="AA397" s="3">
        <v>41.0</v>
      </c>
      <c r="AB397" s="4" t="str">
        <f t="shared" si="20"/>
        <v>Massachusetts</v>
      </c>
      <c r="AC397" s="3">
        <v>0.0</v>
      </c>
      <c r="AD397" s="3"/>
      <c r="AE397" s="3">
        <f t="shared" si="13"/>
        <v>41</v>
      </c>
      <c r="AF397" s="3"/>
      <c r="AG397" s="3">
        <f t="shared" si="133"/>
        <v>1</v>
      </c>
      <c r="AH397" s="3"/>
      <c r="AI397" s="7"/>
      <c r="AJ397" s="4"/>
      <c r="AK397" s="7"/>
      <c r="AL397" s="7"/>
      <c r="AM397" s="7"/>
      <c r="AN397" s="7"/>
      <c r="AO397" s="7"/>
      <c r="AP397" s="7"/>
      <c r="AQ397" s="7"/>
      <c r="AR397" s="7"/>
      <c r="AS397" s="7"/>
      <c r="AT397" s="7"/>
      <c r="AU397" s="7"/>
      <c r="AV397" s="7"/>
      <c r="AW397" s="7"/>
      <c r="AX397" s="7"/>
    </row>
    <row r="398" ht="12.75" hidden="1" customHeight="1">
      <c r="A398" s="3">
        <v>11.0</v>
      </c>
      <c r="B398" s="3" t="s">
        <v>89</v>
      </c>
      <c r="C398" s="3" t="s">
        <v>108</v>
      </c>
      <c r="D398" s="4">
        <f>IFERROR(VLOOKUP(B398,CurrentRank!$B$2:$C$132,2,FALSE),0)</f>
        <v>35.74</v>
      </c>
      <c r="E398" s="4">
        <f>IF(ISBLANK(B398),,IFERROR(VLOOKUP(B398,CurrentRank!$B$2:$C$132,2,FALSE),0))</f>
        <v>35.74</v>
      </c>
      <c r="F398" s="4">
        <f>IFERROR(VLOOKUP(B398,Week10,3,FALSE),130)</f>
        <v>81</v>
      </c>
      <c r="G398" s="4">
        <f>IF(ISBLANK(B398),,IFERROR(VLOOKUP(B398,CurrentRank!$B$2:$D$132,3,FALSE),130))</f>
        <v>56</v>
      </c>
      <c r="H398" s="4">
        <f>IFERROR(VLOOKUP(C398,CurrentRank!$B$2:$C$132,2,FALSE),0)</f>
        <v>30.15</v>
      </c>
      <c r="I398" s="4">
        <f>IF(ISBLANK(B398),,IFERROR(VLOOKUP(C398,CurrentRank!$B$2:$C$132,2,FALSE),0))</f>
        <v>30.15</v>
      </c>
      <c r="J398" s="4">
        <f>IFERROR(VLOOKUP(C398,Week10,3,FALSE),130)</f>
        <v>120</v>
      </c>
      <c r="K398" s="4">
        <f>IF(ISBLANK(C398),,IFERROR(VLOOKUP(C398,CurrentRank!$B$2:$D$132,3,FALSE),130))</f>
        <v>109</v>
      </c>
      <c r="L398" s="19">
        <f t="shared" ref="L398:M398" si="175">IF(ISBLANK(C398),,(D398+H398)*0.015)</f>
        <v>0.98835</v>
      </c>
      <c r="M398" s="19">
        <f t="shared" si="175"/>
        <v>0.98835</v>
      </c>
      <c r="N398" s="24">
        <f t="shared" si="140"/>
        <v>100.5</v>
      </c>
      <c r="O398" s="21">
        <f t="shared" si="4"/>
        <v>2.300825</v>
      </c>
      <c r="P398" s="21">
        <f t="shared" si="162"/>
        <v>2.300825</v>
      </c>
      <c r="Q398" s="22">
        <f t="shared" si="6"/>
        <v>0.485995875</v>
      </c>
      <c r="R398" s="25" t="str">
        <f t="shared" si="7"/>
        <v>F</v>
      </c>
      <c r="S398" s="19" t="str">
        <f t="shared" si="8"/>
        <v/>
      </c>
      <c r="T398" s="19" t="str">
        <f t="shared" si="9"/>
        <v/>
      </c>
      <c r="U398" s="3" t="s">
        <v>203</v>
      </c>
      <c r="V398" s="4" t="str">
        <f>IFERROR(IF(VLOOKUP(B398,Standings!$A:$F, 6, 0)=VLOOKUP(C398,Standings!$A:$F, 6, 0), VLOOKUP(B398,Standings!$A:$F, 6, 0), "Non-con"), "FCS")</f>
        <v>ACC</v>
      </c>
      <c r="W398" s="3" t="str">
        <f t="shared" si="10"/>
        <v>Georgia Tech</v>
      </c>
      <c r="X398" s="3" t="str">
        <f t="shared" si="11"/>
        <v>Pittsburgh</v>
      </c>
      <c r="Y398" s="30">
        <f>IF(D398=0,,IF(ISBLANK(Q398),,VLOOKUP(X398,Week10,2,FALSE)/(VLOOKUP(X398,Week10,2,FALSE)+VLOOKUP(W398,Week10,2,FALSE))+0.05)*100)</f>
        <v>58.66465863</v>
      </c>
      <c r="Z398" s="3"/>
      <c r="AA398" s="3"/>
      <c r="AB398" s="4" t="str">
        <f t="shared" si="20"/>
        <v/>
      </c>
      <c r="AC398" s="3"/>
      <c r="AD398" s="3"/>
      <c r="AE398" s="3" t="str">
        <f t="shared" si="13"/>
        <v/>
      </c>
      <c r="AF398" s="3" t="s">
        <v>228</v>
      </c>
      <c r="AG398" s="3" t="str">
        <f t="shared" si="133"/>
        <v/>
      </c>
      <c r="AH398" s="3"/>
      <c r="AI398" s="7"/>
      <c r="AJ398" s="4"/>
      <c r="AK398" s="7"/>
      <c r="AL398" s="7"/>
      <c r="AM398" s="7"/>
      <c r="AN398" s="7"/>
      <c r="AO398" s="7"/>
      <c r="AP398" s="7"/>
      <c r="AQ398" s="7"/>
      <c r="AR398" s="7"/>
      <c r="AS398" s="7"/>
      <c r="AT398" s="7"/>
      <c r="AU398" s="7"/>
      <c r="AV398" s="7"/>
      <c r="AW398" s="7"/>
      <c r="AX398" s="7"/>
    </row>
    <row r="399" ht="12.75" hidden="1" customHeight="1">
      <c r="A399" s="3">
        <v>14.0</v>
      </c>
      <c r="B399" s="3" t="s">
        <v>186</v>
      </c>
      <c r="C399" s="3" t="s">
        <v>182</v>
      </c>
      <c r="D399" s="4">
        <f>IFERROR(VLOOKUP(B399,Week13,2,FALSE),0)</f>
        <v>31.77</v>
      </c>
      <c r="E399" s="4">
        <f>IF(ISBLANK(B399),,IFERROR(VLOOKUP(B399,CurrentRank!$B$2:$C$132,2,FALSE),0))</f>
        <v>33.49</v>
      </c>
      <c r="F399" s="4">
        <f>IFERROR(VLOOKUP(B399,Week13,3,FALSE),130)</f>
        <v>88</v>
      </c>
      <c r="G399" s="4">
        <f>IF(ISBLANK(B399),,IFERROR(VLOOKUP(B399,CurrentRank!$B$2:$D$132,3,FALSE),130))</f>
        <v>79</v>
      </c>
      <c r="H399" s="4">
        <f>IFERROR(VLOOKUP(C399,Week13,2,FALSE),0)</f>
        <v>36.79</v>
      </c>
      <c r="I399" s="4">
        <f>IF(ISBLANK(B399),,IFERROR(VLOOKUP(C399,CurrentRank!$B$2:$C$132,2,FALSE),0))</f>
        <v>51.02</v>
      </c>
      <c r="J399" s="4">
        <f>IFERROR(VLOOKUP(C399,Week13,3,FALSE),130)</f>
        <v>47</v>
      </c>
      <c r="K399" s="4">
        <f>IF(ISBLANK(C399),,IFERROR(VLOOKUP(C399,CurrentRank!$B$2:$D$132,3,FALSE),130))</f>
        <v>25</v>
      </c>
      <c r="L399" s="19">
        <f t="shared" ref="L399:L406" si="176">IF(U399= "Yes", 0, IF(ISBLANK(C399),,(D399+H399)*0.015))</f>
        <v>1.0284</v>
      </c>
      <c r="M399" s="19">
        <f t="shared" ref="M399:M406" si="177">IF(U399= "Yes", 0, IF(ISBLANK(D399),,(E399+I399)*0.015))</f>
        <v>1.26765</v>
      </c>
      <c r="N399" s="24">
        <f t="shared" si="140"/>
        <v>67.5</v>
      </c>
      <c r="O399" s="21">
        <f t="shared" si="4"/>
        <v>-3.0242</v>
      </c>
      <c r="P399" s="21">
        <f t="shared" si="162"/>
        <v>-9.2792</v>
      </c>
      <c r="Q399" s="22">
        <f t="shared" si="6"/>
        <v>0.647379</v>
      </c>
      <c r="R399" s="25" t="str">
        <f t="shared" si="7"/>
        <v>D</v>
      </c>
      <c r="S399" s="19">
        <f t="shared" si="8"/>
        <v>0.6075</v>
      </c>
      <c r="T399" s="19" t="str">
        <f t="shared" si="9"/>
        <v>D-</v>
      </c>
      <c r="U399" s="3" t="s">
        <v>203</v>
      </c>
      <c r="V399" s="4" t="str">
        <f>IF(ISBLANK(C399),,IFERROR(IF(VLOOKUP(B399,Standings!$A:$F, 6, 0)=VLOOKUP(C399,Standings!$A:$F, 6, 0), VLOOKUP(B399,Standings!$A:$F, 6, 0), "Non-con"), "FCS"))</f>
        <v>MWC</v>
      </c>
      <c r="W399" s="3" t="str">
        <f t="shared" si="10"/>
        <v>Hawaii</v>
      </c>
      <c r="X399" s="3" t="str">
        <f t="shared" si="11"/>
        <v>San Jose State</v>
      </c>
      <c r="Y399" s="30">
        <f>IF(D399=0,,IF(ISBLANK(Q399),,VLOOKUP(X399,Week13,2,FALSE)/(VLOOKUP(X399,Week13,2,FALSE)+VLOOKUP(W399,Week13,2,FALSE))+0.05)*100)</f>
        <v>58.66102684</v>
      </c>
      <c r="Z399" s="3" t="s">
        <v>182</v>
      </c>
      <c r="AA399" s="3">
        <v>35.0</v>
      </c>
      <c r="AB399" s="4" t="str">
        <f t="shared" si="20"/>
        <v>Hawaii</v>
      </c>
      <c r="AC399" s="3">
        <v>24.0</v>
      </c>
      <c r="AD399" s="3"/>
      <c r="AE399" s="3">
        <f t="shared" si="13"/>
        <v>11</v>
      </c>
      <c r="AF399" s="3"/>
      <c r="AG399" s="3">
        <f t="shared" si="133"/>
        <v>1</v>
      </c>
      <c r="AH399" s="3"/>
      <c r="AI399" s="7"/>
      <c r="AJ399" s="4"/>
      <c r="AK399" s="7"/>
      <c r="AL399" s="7"/>
      <c r="AM399" s="7"/>
      <c r="AN399" s="7"/>
      <c r="AO399" s="7"/>
      <c r="AP399" s="7"/>
      <c r="AQ399" s="7"/>
      <c r="AR399" s="7"/>
      <c r="AS399" s="7"/>
      <c r="AT399" s="7"/>
      <c r="AU399" s="7"/>
      <c r="AV399" s="7"/>
      <c r="AW399" s="7"/>
      <c r="AX399" s="7"/>
    </row>
    <row r="400" ht="12.75" customHeight="1">
      <c r="A400" s="3">
        <v>8.0</v>
      </c>
      <c r="B400" s="3" t="s">
        <v>115</v>
      </c>
      <c r="C400" s="3" t="s">
        <v>98</v>
      </c>
      <c r="D400" s="4">
        <f>IFERROR(VLOOKUP(B400,Week7,2,FALSE),0)</f>
        <v>39.76</v>
      </c>
      <c r="E400" s="4">
        <f>IF(ISBLANK(B400),,IFERROR(VLOOKUP(B400,CurrentRank!$B$2:$C$132,2,FALSE),0))</f>
        <v>32.29</v>
      </c>
      <c r="F400" s="4">
        <f>IFERROR(VLOOKUP(B400,Week7,3,FALSE),130)</f>
        <v>37</v>
      </c>
      <c r="G400" s="4">
        <f>IF(ISBLANK(B400),,IFERROR(VLOOKUP(B400,CurrentRank!$B$2:$D$132,3,FALSE),130))</f>
        <v>91</v>
      </c>
      <c r="H400" s="4">
        <f>IFERROR(VLOOKUP(C400,Week7,2,FALSE),0)</f>
        <v>36.16</v>
      </c>
      <c r="I400" s="4">
        <f>IF(ISBLANK(B400),,IFERROR(VLOOKUP(C400,CurrentRank!$B$2:$C$132,2,FALSE),0))</f>
        <v>37.44</v>
      </c>
      <c r="J400" s="4">
        <f>IFERROR(VLOOKUP(C400,Week7,3,FALSE),130)</f>
        <v>53</v>
      </c>
      <c r="K400" s="4">
        <f>IF(ISBLANK(C400),,IFERROR(VLOOKUP(C400,CurrentRank!$B$2:$D$132,3,FALSE),130))</f>
        <v>42</v>
      </c>
      <c r="L400" s="19">
        <f t="shared" si="176"/>
        <v>1.1388</v>
      </c>
      <c r="M400" s="19">
        <f t="shared" si="177"/>
        <v>1.04595</v>
      </c>
      <c r="N400" s="24">
        <f t="shared" si="140"/>
        <v>45</v>
      </c>
      <c r="O400" s="21">
        <f t="shared" si="4"/>
        <v>1.2306</v>
      </c>
      <c r="P400" s="21">
        <f t="shared" si="162"/>
        <v>-3.1444</v>
      </c>
      <c r="Q400" s="22">
        <f t="shared" si="6"/>
        <v>0.768847</v>
      </c>
      <c r="R400" s="25" t="str">
        <f t="shared" si="7"/>
        <v>C+</v>
      </c>
      <c r="S400" s="19">
        <f t="shared" si="8"/>
        <v>0.635</v>
      </c>
      <c r="T400" s="19" t="str">
        <f t="shared" si="9"/>
        <v>D</v>
      </c>
      <c r="U400" s="3" t="s">
        <v>203</v>
      </c>
      <c r="V400" s="4" t="str">
        <f>IF(ISBLANK(C400),,IFERROR(IF(VLOOKUP(B400,Standings!$A:$F, 6, 0)=VLOOKUP(C400,Standings!$A:$F, 6, 0), VLOOKUP(B400,Standings!$A:$F, 6, 0), "Non-con"), "FCS"))</f>
        <v>SUN</v>
      </c>
      <c r="W400" s="3" t="str">
        <f t="shared" si="10"/>
        <v>Appalachian State</v>
      </c>
      <c r="X400" s="3" t="str">
        <f t="shared" si="11"/>
        <v>Arkansas State</v>
      </c>
      <c r="Y400" s="30">
        <f>IF(D400=0,,IF(ISBLANK(Q400),,VLOOKUP(X400,Week7,2,FALSE)/(VLOOKUP(X400,Week7,2,FALSE)+VLOOKUP(W400,Week7,2,FALSE))+0.05)*100)</f>
        <v>57.37091675</v>
      </c>
      <c r="Z400" s="3" t="s">
        <v>98</v>
      </c>
      <c r="AA400" s="3">
        <v>45.0</v>
      </c>
      <c r="AB400" s="4" t="str">
        <f t="shared" si="20"/>
        <v>Arkansas State</v>
      </c>
      <c r="AC400" s="3">
        <v>17.0</v>
      </c>
      <c r="AD400" s="3"/>
      <c r="AE400" s="3">
        <f t="shared" si="13"/>
        <v>28</v>
      </c>
      <c r="AF400" s="3"/>
      <c r="AG400" s="3">
        <f t="shared" si="133"/>
        <v>0</v>
      </c>
      <c r="AH400" s="3"/>
      <c r="AI400" s="7"/>
      <c r="AJ400" s="4"/>
      <c r="AK400" s="7"/>
      <c r="AL400" s="7"/>
      <c r="AM400" s="7"/>
      <c r="AN400" s="7"/>
      <c r="AO400" s="7"/>
      <c r="AP400" s="7"/>
      <c r="AQ400" s="7"/>
      <c r="AR400" s="7"/>
      <c r="AS400" s="7"/>
      <c r="AT400" s="7"/>
      <c r="AU400" s="7"/>
      <c r="AV400" s="7"/>
      <c r="AW400" s="7"/>
      <c r="AX400" s="7"/>
    </row>
    <row r="401" ht="12.75" customHeight="1">
      <c r="A401" s="3">
        <v>8.0</v>
      </c>
      <c r="B401" s="3" t="s">
        <v>161</v>
      </c>
      <c r="C401" s="3" t="s">
        <v>53</v>
      </c>
      <c r="D401" s="4">
        <f>IFERROR(VLOOKUP(B401,Week7,2,FALSE),0)</f>
        <v>43.17</v>
      </c>
      <c r="E401" s="4">
        <f>IF(ISBLANK(B401),,IFERROR(VLOOKUP(B401,CurrentRank!$B$2:$C$132,2,FALSE),0))</f>
        <v>31.11</v>
      </c>
      <c r="F401" s="4">
        <f>IFERROR(VLOOKUP(B401,Week7,3,FALSE),130)</f>
        <v>30</v>
      </c>
      <c r="G401" s="4">
        <f>IF(ISBLANK(B401),,IFERROR(VLOOKUP(B401,CurrentRank!$B$2:$D$132,3,FALSE),130))</f>
        <v>100</v>
      </c>
      <c r="H401" s="4">
        <f>IFERROR(VLOOKUP(C401,Week7,2,FALSE),0)</f>
        <v>32.93</v>
      </c>
      <c r="I401" s="4">
        <f>IF(ISBLANK(B401),,IFERROR(VLOOKUP(C401,CurrentRank!$B$2:$C$132,2,FALSE),0))</f>
        <v>37.27</v>
      </c>
      <c r="J401" s="4">
        <f>IFERROR(VLOOKUP(C401,Week7,3,FALSE),130)</f>
        <v>61</v>
      </c>
      <c r="K401" s="4">
        <f>IF(ISBLANK(C401),,IFERROR(VLOOKUP(C401,CurrentRank!$B$2:$D$132,3,FALSE),130))</f>
        <v>45</v>
      </c>
      <c r="L401" s="19">
        <f t="shared" si="176"/>
        <v>1.1415</v>
      </c>
      <c r="M401" s="19">
        <f t="shared" si="177"/>
        <v>1.0257</v>
      </c>
      <c r="N401" s="24">
        <f t="shared" si="140"/>
        <v>45.5</v>
      </c>
      <c r="O401" s="21">
        <f t="shared" si="4"/>
        <v>4.54925</v>
      </c>
      <c r="P401" s="21">
        <f t="shared" si="162"/>
        <v>-3.65075</v>
      </c>
      <c r="Q401" s="22">
        <f t="shared" si="6"/>
        <v>0.74975375</v>
      </c>
      <c r="R401" s="25" t="str">
        <f t="shared" si="7"/>
        <v>C</v>
      </c>
      <c r="S401" s="19">
        <f t="shared" si="8"/>
        <v>0.6325</v>
      </c>
      <c r="T401" s="19" t="str">
        <f t="shared" si="9"/>
        <v>D</v>
      </c>
      <c r="U401" s="3" t="s">
        <v>203</v>
      </c>
      <c r="V401" s="4" t="str">
        <f>IF(ISBLANK(C401),,IFERROR(IF(VLOOKUP(B401,Standings!$A:$F, 6, 0)=VLOOKUP(C401,Standings!$A:$F, 6, 0), VLOOKUP(B401,Standings!$A:$F, 6, 0), "Non-con"), "FCS"))</f>
        <v>SEC</v>
      </c>
      <c r="W401" s="3" t="str">
        <f t="shared" si="10"/>
        <v>LSU</v>
      </c>
      <c r="X401" s="3" t="str">
        <f t="shared" si="11"/>
        <v>South Carolina</v>
      </c>
      <c r="Y401" s="30">
        <f>IF(D401=0,,IF(ISBLANK(Q401),,VLOOKUP(X401,Week7,2,FALSE)/(VLOOKUP(X401,Week7,2,FALSE)+VLOOKUP(W401,Week7,2,FALSE))+0.05)*100)</f>
        <v>61.72798949</v>
      </c>
      <c r="Z401" s="3" t="s">
        <v>53</v>
      </c>
      <c r="AA401" s="3">
        <v>52.0</v>
      </c>
      <c r="AB401" s="4" t="str">
        <f t="shared" si="20"/>
        <v>South Carolina</v>
      </c>
      <c r="AC401" s="3">
        <v>24.0</v>
      </c>
      <c r="AD401" s="3"/>
      <c r="AE401" s="3">
        <f t="shared" si="13"/>
        <v>28</v>
      </c>
      <c r="AF401" s="3"/>
      <c r="AG401" s="3">
        <f t="shared" si="133"/>
        <v>0</v>
      </c>
      <c r="AH401" s="3"/>
      <c r="AI401" s="7"/>
      <c r="AJ401" s="4"/>
      <c r="AK401" s="7"/>
      <c r="AL401" s="7"/>
      <c r="AM401" s="7"/>
      <c r="AN401" s="7"/>
      <c r="AO401" s="7"/>
      <c r="AP401" s="7"/>
      <c r="AQ401" s="7"/>
      <c r="AR401" s="7"/>
      <c r="AS401" s="7"/>
      <c r="AT401" s="7"/>
      <c r="AU401" s="7"/>
      <c r="AV401" s="7"/>
      <c r="AW401" s="7"/>
      <c r="AX401" s="7"/>
    </row>
    <row r="402" ht="12.75" hidden="1" customHeight="1">
      <c r="A402" s="3">
        <v>6.0</v>
      </c>
      <c r="B402" s="3" t="s">
        <v>140</v>
      </c>
      <c r="C402" s="3" t="s">
        <v>114</v>
      </c>
      <c r="D402" s="4">
        <f>IFERROR(VLOOKUP(B402,Week5,2,FALSE),0)</f>
        <v>28.4</v>
      </c>
      <c r="E402" s="4">
        <f>IF(ISBLANK(B402),,IFERROR(VLOOKUP(B402,CurrentRank!$B$2:$C$132,2,FALSE),0))</f>
        <v>22.5</v>
      </c>
      <c r="F402" s="4">
        <f>IFERROR(VLOOKUP(B402,Week5,3,FALSE),130)</f>
        <v>118</v>
      </c>
      <c r="G402" s="4">
        <f>IF(ISBLANK(B402),,IFERROR(VLOOKUP(B402,CurrentRank!$B$2:$D$132,3,FALSE),130))</f>
        <v>126</v>
      </c>
      <c r="H402" s="4">
        <f>IFERROR(VLOOKUP(C402,Week5,2,FALSE),0)</f>
        <v>24.56</v>
      </c>
      <c r="I402" s="4">
        <f>IF(ISBLANK(B402),,IFERROR(VLOOKUP(C402,CurrentRank!$B$2:$C$132,2,FALSE),0))</f>
        <v>29.9</v>
      </c>
      <c r="J402" s="4">
        <f>IFERROR(VLOOKUP(C402,Week5,3,FALSE),130)</f>
        <v>126</v>
      </c>
      <c r="K402" s="4">
        <f>IF(ISBLANK(C402),,IFERROR(VLOOKUP(C402,CurrentRank!$B$2:$D$132,3,FALSE),130))</f>
        <v>110</v>
      </c>
      <c r="L402" s="19">
        <f t="shared" si="176"/>
        <v>0.7944</v>
      </c>
      <c r="M402" s="19">
        <f t="shared" si="177"/>
        <v>0.786</v>
      </c>
      <c r="N402" s="24">
        <f t="shared" si="140"/>
        <v>122</v>
      </c>
      <c r="O402" s="21">
        <f t="shared" si="4"/>
        <v>1.5228</v>
      </c>
      <c r="P402" s="21">
        <f t="shared" si="162"/>
        <v>-4.0972</v>
      </c>
      <c r="Q402" s="22">
        <f t="shared" si="6"/>
        <v>0.382386</v>
      </c>
      <c r="R402" s="25" t="str">
        <f t="shared" si="7"/>
        <v>F</v>
      </c>
      <c r="S402" s="19">
        <f t="shared" si="8"/>
        <v>0.25</v>
      </c>
      <c r="T402" s="19" t="str">
        <f t="shared" si="9"/>
        <v>F</v>
      </c>
      <c r="U402" s="3" t="s">
        <v>203</v>
      </c>
      <c r="V402" s="4" t="str">
        <f>IF(ISBLANK(C402),,IFERROR(IF(VLOOKUP(B402,Standings!$A:$F, 6, 0)=VLOOKUP(C402,Standings!$A:$F, 6, 0), VLOOKUP(B402,Standings!$A:$F, 6, 0), "Non-con"), "FCS"))</f>
        <v>CUSA</v>
      </c>
      <c r="W402" s="3" t="str">
        <f t="shared" si="10"/>
        <v>North Texas</v>
      </c>
      <c r="X402" s="3" t="str">
        <f t="shared" si="11"/>
        <v>Charlotte</v>
      </c>
      <c r="Y402" s="30">
        <f>IF(D402=0,,IF(ISBLANK(Q402),,VLOOKUP(X402,Week5,2,FALSE)/(VLOOKUP(X402,Week5,2,FALSE)+VLOOKUP(W402,Week5,2,FALSE))+0.05)*100)</f>
        <v>58.62537764</v>
      </c>
      <c r="Z402" s="3" t="s">
        <v>140</v>
      </c>
      <c r="AA402" s="3">
        <v>49.0</v>
      </c>
      <c r="AB402" s="4" t="str">
        <f t="shared" si="20"/>
        <v>North Texas</v>
      </c>
      <c r="AC402" s="3">
        <v>21.0</v>
      </c>
      <c r="AD402" s="3"/>
      <c r="AE402" s="3">
        <f t="shared" si="13"/>
        <v>28</v>
      </c>
      <c r="AF402" s="3"/>
      <c r="AG402" s="3">
        <f t="shared" si="133"/>
        <v>1</v>
      </c>
      <c r="AH402" s="3"/>
      <c r="AI402" s="7"/>
      <c r="AJ402" s="4"/>
      <c r="AK402" s="7"/>
      <c r="AL402" s="7"/>
      <c r="AM402" s="7"/>
      <c r="AN402" s="7"/>
      <c r="AO402" s="7"/>
      <c r="AP402" s="7"/>
      <c r="AQ402" s="7"/>
      <c r="AR402" s="7"/>
      <c r="AS402" s="7"/>
      <c r="AT402" s="7"/>
      <c r="AU402" s="7"/>
      <c r="AV402" s="7"/>
      <c r="AW402" s="7"/>
      <c r="AX402" s="7"/>
    </row>
    <row r="403" ht="12.75" hidden="1" customHeight="1">
      <c r="A403" s="3">
        <v>17.0</v>
      </c>
      <c r="B403" s="3" t="s">
        <v>46</v>
      </c>
      <c r="C403" s="3" t="s">
        <v>180</v>
      </c>
      <c r="D403" s="4">
        <f>IFERROR(VLOOKUP(B403,Week16,2,FALSE),0)</f>
        <v>57.83</v>
      </c>
      <c r="E403" s="4">
        <f>IF(ISBLANK(B403),,IFERROR(VLOOKUP(B403,CurrentRank!$B$2:$C$132,2,FALSE),0))</f>
        <v>62.29</v>
      </c>
      <c r="F403" s="4">
        <f>IFERROR(VLOOKUP(B403,Week16,3,FALSE),130)</f>
        <v>23</v>
      </c>
      <c r="G403" s="4">
        <f>IF(ISBLANK(B403),,IFERROR(VLOOKUP(B403,CurrentRank!$B$2:$D$132,3,FALSE),130))</f>
        <v>20</v>
      </c>
      <c r="H403" s="4">
        <f>IFERROR(VLOOKUP(C403,Week16,2,FALSE),0)</f>
        <v>40.83</v>
      </c>
      <c r="I403" s="4">
        <f>IF(ISBLANK(B403),,IFERROR(VLOOKUP(C403,CurrentRank!$B$2:$C$132,2,FALSE),0))</f>
        <v>35.77</v>
      </c>
      <c r="J403" s="4">
        <f>IFERROR(VLOOKUP(C403,Week16,3,FALSE),130)</f>
        <v>34</v>
      </c>
      <c r="K403" s="4">
        <f>IF(ISBLANK(C403),,IFERROR(VLOOKUP(C403,CurrentRank!$B$2:$D$132,3,FALSE),130))</f>
        <v>55</v>
      </c>
      <c r="L403" s="19">
        <f t="shared" si="176"/>
        <v>0</v>
      </c>
      <c r="M403" s="19">
        <f t="shared" si="177"/>
        <v>0</v>
      </c>
      <c r="N403" s="24">
        <f t="shared" si="140"/>
        <v>28.5</v>
      </c>
      <c r="O403" s="21">
        <f t="shared" si="4"/>
        <v>8.5</v>
      </c>
      <c r="P403" s="21">
        <f t="shared" si="162"/>
        <v>13.26</v>
      </c>
      <c r="Q403" s="22">
        <f t="shared" si="6"/>
        <v>0.815</v>
      </c>
      <c r="R403" s="25" t="str">
        <f t="shared" si="7"/>
        <v>B-</v>
      </c>
      <c r="S403" s="19">
        <f t="shared" si="8"/>
        <v>0.6975</v>
      </c>
      <c r="T403" s="19" t="str">
        <f t="shared" si="9"/>
        <v>C-</v>
      </c>
      <c r="U403" s="3" t="s">
        <v>223</v>
      </c>
      <c r="V403" s="4" t="str">
        <f>IF(ISBLANK(C403),,IFERROR(IF(VLOOKUP(B403,Standings!$A:$F, 6, 0)=VLOOKUP(C403,Standings!$A:$F, 6, 0), VLOOKUP(B403,Standings!$A:$F, 6, 0), "Non-con"), "FCS"))</f>
        <v>Non-con</v>
      </c>
      <c r="W403" s="3" t="str">
        <f t="shared" si="10"/>
        <v>Colorado</v>
      </c>
      <c r="X403" s="3" t="str">
        <f t="shared" si="11"/>
        <v>Texas</v>
      </c>
      <c r="Y403" s="30">
        <f>IF(D403=0,,IF(ISBLANK(Q403),,VLOOKUP(X403,Week16,2,FALSE)/(VLOOKUP(X403,Week16,2,FALSE)+VLOOKUP(W403,Week16,2,FALSE)))*100)</f>
        <v>58.61544699</v>
      </c>
      <c r="Z403" s="3" t="s">
        <v>46</v>
      </c>
      <c r="AA403" s="3">
        <v>55.0</v>
      </c>
      <c r="AB403" s="4" t="str">
        <f t="shared" si="20"/>
        <v>Colorado</v>
      </c>
      <c r="AC403" s="3">
        <v>23.0</v>
      </c>
      <c r="AD403" s="3"/>
      <c r="AE403" s="3">
        <f t="shared" si="13"/>
        <v>32</v>
      </c>
      <c r="AF403" s="3" t="s">
        <v>224</v>
      </c>
      <c r="AG403" s="3">
        <f t="shared" si="133"/>
        <v>1</v>
      </c>
      <c r="AH403" s="3"/>
      <c r="AI403" s="7"/>
      <c r="AJ403" s="4" t="s">
        <v>145</v>
      </c>
      <c r="AK403" s="7"/>
      <c r="AL403" s="7"/>
      <c r="AM403" s="7"/>
      <c r="AN403" s="7"/>
      <c r="AO403" s="7"/>
      <c r="AP403" s="7"/>
      <c r="AQ403" s="7"/>
      <c r="AR403" s="7"/>
      <c r="AS403" s="7"/>
      <c r="AT403" s="7"/>
      <c r="AU403" s="7"/>
      <c r="AV403" s="7"/>
      <c r="AW403" s="7"/>
      <c r="AX403" s="7"/>
    </row>
    <row r="404" ht="12.75" customHeight="1">
      <c r="A404" s="3">
        <v>13.0</v>
      </c>
      <c r="B404" s="3" t="s">
        <v>166</v>
      </c>
      <c r="C404" s="3" t="s">
        <v>152</v>
      </c>
      <c r="D404" s="4">
        <f>IFERROR(VLOOKUP(B404,Week12,2,FALSE),0)</f>
        <v>31.79</v>
      </c>
      <c r="E404" s="4">
        <f>IF(ISBLANK(B404),,IFERROR(VLOOKUP(B404,CurrentRank!$B$2:$C$132,2,FALSE),0))</f>
        <v>31.48</v>
      </c>
      <c r="F404" s="4">
        <f>IFERROR(VLOOKUP(B404,Week12,3,FALSE),130)</f>
        <v>84</v>
      </c>
      <c r="G404" s="4">
        <f>IF(ISBLANK(B404),,IFERROR(VLOOKUP(B404,CurrentRank!$B$2:$D$132,3,FALSE),130))</f>
        <v>99</v>
      </c>
      <c r="H404" s="4">
        <f>IFERROR(VLOOKUP(C404,Week12,2,FALSE),0)</f>
        <v>36.69</v>
      </c>
      <c r="I404" s="4">
        <f>IF(ISBLANK(B404),,IFERROR(VLOOKUP(C404,CurrentRank!$B$2:$C$132,2,FALSE),0))</f>
        <v>32.23</v>
      </c>
      <c r="J404" s="4">
        <f>IFERROR(VLOOKUP(C404,Week12,3,FALSE),130)</f>
        <v>51</v>
      </c>
      <c r="K404" s="4">
        <f>IF(ISBLANK(C404),,IFERROR(VLOOKUP(C404,CurrentRank!$B$2:$D$132,3,FALSE),130))</f>
        <v>92</v>
      </c>
      <c r="L404" s="19">
        <f t="shared" si="176"/>
        <v>1.0272</v>
      </c>
      <c r="M404" s="19">
        <f t="shared" si="177"/>
        <v>0.95565</v>
      </c>
      <c r="N404" s="24">
        <f t="shared" si="140"/>
        <v>67.5</v>
      </c>
      <c r="O404" s="21">
        <f t="shared" si="4"/>
        <v>-2.9636</v>
      </c>
      <c r="P404" s="21">
        <f t="shared" si="162"/>
        <v>-0.8886</v>
      </c>
      <c r="Q404" s="22">
        <f t="shared" si="6"/>
        <v>0.647682</v>
      </c>
      <c r="R404" s="25" t="str">
        <f t="shared" si="7"/>
        <v>D</v>
      </c>
      <c r="S404" s="19">
        <f t="shared" si="8"/>
        <v>0.6275</v>
      </c>
      <c r="T404" s="19" t="str">
        <f t="shared" si="9"/>
        <v>D</v>
      </c>
      <c r="U404" s="3" t="s">
        <v>203</v>
      </c>
      <c r="V404" s="4" t="str">
        <f>IF(ISBLANK(C404),,IFERROR(IF(VLOOKUP(B404,Standings!$A:$F, 6, 0)=VLOOKUP(C404,Standings!$A:$F, 6, 0), VLOOKUP(B404,Standings!$A:$F, 6, 0), "Non-con"), "FCS"))</f>
        <v>B1G</v>
      </c>
      <c r="W404" s="3" t="str">
        <f t="shared" si="10"/>
        <v>Rutgers</v>
      </c>
      <c r="X404" s="3" t="str">
        <f t="shared" si="11"/>
        <v>Purdue</v>
      </c>
      <c r="Y404" s="30">
        <f>IF(D404=0,,IF(ISBLANK(Q404),,VLOOKUP(X404,Week12,2,FALSE)/(VLOOKUP(X404,Week12,2,FALSE)+VLOOKUP(W404,Week12,2,FALSE))+0.05)*100)</f>
        <v>58.57768692</v>
      </c>
      <c r="Z404" s="3" t="s">
        <v>166</v>
      </c>
      <c r="AA404" s="3">
        <v>37.0</v>
      </c>
      <c r="AB404" s="4" t="str">
        <f t="shared" si="20"/>
        <v>Purdue</v>
      </c>
      <c r="AC404" s="3">
        <v>30.0</v>
      </c>
      <c r="AD404" s="3"/>
      <c r="AE404" s="3">
        <f t="shared" si="13"/>
        <v>7</v>
      </c>
      <c r="AF404" s="3"/>
      <c r="AG404" s="3">
        <f t="shared" si="133"/>
        <v>0</v>
      </c>
      <c r="AH404" s="3"/>
      <c r="AI404" s="7"/>
      <c r="AJ404" s="4" t="s">
        <v>174</v>
      </c>
      <c r="AK404" s="7"/>
      <c r="AL404" s="7"/>
      <c r="AM404" s="7"/>
      <c r="AN404" s="7"/>
      <c r="AO404" s="7"/>
      <c r="AP404" s="7"/>
      <c r="AQ404" s="7"/>
      <c r="AR404" s="7"/>
      <c r="AS404" s="7"/>
      <c r="AT404" s="7"/>
      <c r="AU404" s="7"/>
      <c r="AV404" s="7"/>
      <c r="AW404" s="7"/>
      <c r="AX404" s="7"/>
    </row>
    <row r="405" ht="12.75" customHeight="1">
      <c r="A405" s="3">
        <v>13.0</v>
      </c>
      <c r="B405" s="3" t="s">
        <v>189</v>
      </c>
      <c r="C405" s="3" t="s">
        <v>145</v>
      </c>
      <c r="D405" s="4">
        <f>IFERROR(VLOOKUP(B405,Week12,2,FALSE),0)</f>
        <v>77.76</v>
      </c>
      <c r="E405" s="4">
        <f>IF(ISBLANK(B405),,IFERROR(VLOOKUP(B405,CurrentRank!$B$2:$C$132,2,FALSE),0))</f>
        <v>72.23</v>
      </c>
      <c r="F405" s="4">
        <f>IFERROR(VLOOKUP(B405,Week12,3,FALSE),130)</f>
        <v>9</v>
      </c>
      <c r="G405" s="4">
        <f>IF(ISBLANK(B405),,IFERROR(VLOOKUP(B405,CurrentRank!$B$2:$D$132,3,FALSE),130))</f>
        <v>11</v>
      </c>
      <c r="H405" s="4">
        <f>IFERROR(VLOOKUP(C405,Week12,2,FALSE),0)</f>
        <v>27.11</v>
      </c>
      <c r="I405" s="4">
        <f>IF(ISBLANK(B405),,IFERROR(VLOOKUP(C405,CurrentRank!$B$2:$C$132,2,FALSE),0))</f>
        <v>29.42</v>
      </c>
      <c r="J405" s="4">
        <f>IFERROR(VLOOKUP(C405,Week12,3,FALSE),130)</f>
        <v>123</v>
      </c>
      <c r="K405" s="4">
        <f>IF(ISBLANK(C405),,IFERROR(VLOOKUP(C405,CurrentRank!$B$2:$D$132,3,FALSE),130))</f>
        <v>114</v>
      </c>
      <c r="L405" s="19">
        <f t="shared" si="176"/>
        <v>1.57305</v>
      </c>
      <c r="M405" s="19">
        <f t="shared" si="177"/>
        <v>1.52475</v>
      </c>
      <c r="N405" s="24">
        <f t="shared" si="140"/>
        <v>66</v>
      </c>
      <c r="O405" s="21">
        <f t="shared" si="4"/>
        <v>24.538475</v>
      </c>
      <c r="P405" s="21">
        <f t="shared" si="162"/>
        <v>20.618475</v>
      </c>
      <c r="Q405" s="22">
        <f t="shared" si="6"/>
        <v>0.547307625</v>
      </c>
      <c r="R405" s="25" t="str">
        <f t="shared" si="7"/>
        <v>F</v>
      </c>
      <c r="S405" s="19">
        <f t="shared" si="8"/>
        <v>0.625</v>
      </c>
      <c r="T405" s="19" t="str">
        <f t="shared" si="9"/>
        <v>D</v>
      </c>
      <c r="U405" s="3" t="s">
        <v>203</v>
      </c>
      <c r="V405" s="4" t="str">
        <f>IF(ISBLANK(C405),,IFERROR(IF(VLOOKUP(B405,Standings!$A:$F, 6, 0)=VLOOKUP(C405,Standings!$A:$F, 6, 0), VLOOKUP(B405,Standings!$A:$F, 6, 0), "Non-con"), "FCS"))</f>
        <v>B1G</v>
      </c>
      <c r="W405" s="3" t="str">
        <f t="shared" si="10"/>
        <v>Michigan State</v>
      </c>
      <c r="X405" s="3" t="str">
        <f t="shared" si="11"/>
        <v>Northwestern</v>
      </c>
      <c r="Y405" s="30">
        <f>IF(D405=0,,IF(ISBLANK(Q405),,VLOOKUP(X405,Week12,2,FALSE)/(VLOOKUP(X405,Week12,2,FALSE)+VLOOKUP(W405,Week12,2,FALSE))+0.05)*100)</f>
        <v>79.14894631</v>
      </c>
      <c r="Z405" s="3" t="s">
        <v>145</v>
      </c>
      <c r="AA405" s="3">
        <v>29.0</v>
      </c>
      <c r="AB405" s="4" t="str">
        <f t="shared" si="20"/>
        <v>Northwestern</v>
      </c>
      <c r="AC405" s="3">
        <v>20.0</v>
      </c>
      <c r="AD405" s="3"/>
      <c r="AE405" s="3">
        <f t="shared" si="13"/>
        <v>9</v>
      </c>
      <c r="AF405" s="3"/>
      <c r="AG405" s="3">
        <f t="shared" si="133"/>
        <v>0</v>
      </c>
      <c r="AH405" s="3"/>
      <c r="AI405" s="7"/>
      <c r="AJ405" s="4" t="s">
        <v>97</v>
      </c>
      <c r="AK405" s="7"/>
      <c r="AL405" s="7"/>
      <c r="AM405" s="7"/>
      <c r="AN405" s="7"/>
      <c r="AO405" s="7"/>
      <c r="AP405" s="7"/>
      <c r="AQ405" s="7"/>
      <c r="AR405" s="7"/>
      <c r="AS405" s="7"/>
      <c r="AT405" s="7"/>
      <c r="AU405" s="7"/>
      <c r="AV405" s="7"/>
      <c r="AW405" s="7"/>
      <c r="AX405" s="7"/>
    </row>
    <row r="406" ht="12.75" customHeight="1">
      <c r="A406" s="3">
        <v>5.0</v>
      </c>
      <c r="B406" s="3" t="s">
        <v>104</v>
      </c>
      <c r="C406" s="3" t="s">
        <v>117</v>
      </c>
      <c r="D406" s="4">
        <f>IFERROR(VLOOKUP(B406,Week4,2,FALSE),0)</f>
        <v>48.93</v>
      </c>
      <c r="E406" s="4">
        <f>IF(ISBLANK(B406),,IFERROR(VLOOKUP(B406,CurrentRank!$B$2:$C$132,2,FALSE),0))</f>
        <v>31.08</v>
      </c>
      <c r="F406" s="4">
        <f>IFERROR(VLOOKUP(B406,Week4,3,FALSE),130)</f>
        <v>26</v>
      </c>
      <c r="G406" s="4">
        <f>IF(ISBLANK(B406),,IFERROR(VLOOKUP(B406,CurrentRank!$B$2:$D$132,3,FALSE),130))</f>
        <v>101</v>
      </c>
      <c r="H406" s="4">
        <f>IFERROR(VLOOKUP(C406,Week4,2,FALSE),0)</f>
        <v>30.43</v>
      </c>
      <c r="I406" s="4">
        <f>IF(ISBLANK(B406),,IFERROR(VLOOKUP(C406,CurrentRank!$B$2:$C$132,2,FALSE),0))</f>
        <v>38.08</v>
      </c>
      <c r="J406" s="4">
        <f>IFERROR(VLOOKUP(C406,Week4,3,FALSE),130)</f>
        <v>112</v>
      </c>
      <c r="K406" s="4">
        <f>IF(ISBLANK(C406),,IFERROR(VLOOKUP(C406,CurrentRank!$B$2:$D$132,3,FALSE),130))</f>
        <v>37</v>
      </c>
      <c r="L406" s="19">
        <f t="shared" si="176"/>
        <v>1.1904</v>
      </c>
      <c r="M406" s="19">
        <f t="shared" si="177"/>
        <v>1.0374</v>
      </c>
      <c r="N406" s="24">
        <f t="shared" si="140"/>
        <v>69</v>
      </c>
      <c r="O406" s="21">
        <f t="shared" si="4"/>
        <v>8.6548</v>
      </c>
      <c r="P406" s="21">
        <f t="shared" si="162"/>
        <v>-4.0952</v>
      </c>
      <c r="Q406" s="22">
        <f t="shared" si="6"/>
        <v>0.611726</v>
      </c>
      <c r="R406" s="25" t="str">
        <f t="shared" si="7"/>
        <v>D-</v>
      </c>
      <c r="S406" s="19">
        <f t="shared" si="8"/>
        <v>0.625</v>
      </c>
      <c r="T406" s="19" t="str">
        <f t="shared" si="9"/>
        <v>D</v>
      </c>
      <c r="U406" s="3" t="s">
        <v>203</v>
      </c>
      <c r="V406" s="4" t="str">
        <f>IF(ISBLANK(C406),,IFERROR(IF(VLOOKUP(B406,Standings!$A:$F, 6, 0)=VLOOKUP(C406,Standings!$A:$F, 6, 0), VLOOKUP(B406,Standings!$A:$F, 6, 0), "Non-con"), "FCS"))</f>
        <v>BIG12</v>
      </c>
      <c r="W406" s="3" t="str">
        <f t="shared" si="10"/>
        <v>West Virginia</v>
      </c>
      <c r="X406" s="3" t="str">
        <f t="shared" si="11"/>
        <v>Baylor</v>
      </c>
      <c r="Y406" s="30">
        <f>IF(D406=0,,IF(ISBLANK(Q406),,VLOOKUP(X406,Week4,2,FALSE)/(VLOOKUP(X406,Week4,2,FALSE)+VLOOKUP(W406,Week4,2,FALSE))+0.05)*100)</f>
        <v>66.65574597</v>
      </c>
      <c r="Z406" s="3" t="s">
        <v>117</v>
      </c>
      <c r="AA406" s="3">
        <v>27.0</v>
      </c>
      <c r="AB406" s="4" t="str">
        <f t="shared" si="20"/>
        <v>Baylor</v>
      </c>
      <c r="AC406" s="3">
        <v>21.0</v>
      </c>
      <c r="AD406" s="3"/>
      <c r="AE406" s="3">
        <f t="shared" si="13"/>
        <v>6</v>
      </c>
      <c r="AF406" s="3"/>
      <c r="AG406" s="3">
        <f t="shared" si="133"/>
        <v>0</v>
      </c>
      <c r="AH406" s="3"/>
      <c r="AI406" s="7"/>
      <c r="AJ406" s="4" t="s">
        <v>93</v>
      </c>
      <c r="AK406" s="7"/>
      <c r="AL406" s="7"/>
      <c r="AM406" s="7"/>
      <c r="AN406" s="7"/>
      <c r="AO406" s="7"/>
      <c r="AP406" s="7"/>
      <c r="AQ406" s="7"/>
      <c r="AR406" s="7"/>
      <c r="AS406" s="7"/>
      <c r="AT406" s="7"/>
      <c r="AU406" s="7"/>
      <c r="AV406" s="7"/>
      <c r="AW406" s="7"/>
      <c r="AX406" s="7"/>
    </row>
    <row r="407" ht="12.75" hidden="1" customHeight="1">
      <c r="A407" s="3">
        <v>16.0</v>
      </c>
      <c r="B407" s="3" t="s">
        <v>145</v>
      </c>
      <c r="C407" s="3" t="s">
        <v>150</v>
      </c>
      <c r="D407" s="4">
        <f>IFERROR(VLOOKUP(B407,Week15,2,FALSE),0)</f>
        <v>29.3</v>
      </c>
      <c r="E407" s="4">
        <f>IF(ISBLANK(B407),,IFERROR(VLOOKUP(B407,CurrentRank!$B$2:$C$132,2,FALSE),0))</f>
        <v>29.42</v>
      </c>
      <c r="F407" s="4">
        <f>IFERROR(VLOOKUP(B407,Week15,3,FALSE),130)</f>
        <v>116</v>
      </c>
      <c r="G407" s="4">
        <f>IF(ISBLANK(B407),,IFERROR(VLOOKUP(B407,CurrentRank!$B$2:$D$132,3,FALSE),130))</f>
        <v>114</v>
      </c>
      <c r="H407" s="4">
        <f>IFERROR(VLOOKUP(C407,Week15,2,FALSE),0)</f>
        <v>33.78</v>
      </c>
      <c r="I407" s="4">
        <f>IF(ISBLANK(B407),,IFERROR(VLOOKUP(C407,CurrentRank!$B$2:$C$132,2,FALSE),0))</f>
        <v>33.72</v>
      </c>
      <c r="J407" s="4">
        <f>IFERROR(VLOOKUP(C407,Week15,3,FALSE),130)</f>
        <v>82</v>
      </c>
      <c r="K407" s="4">
        <f>IF(ISBLANK(C407),,IFERROR(VLOOKUP(C407,CurrentRank!$B$2:$D$132,3,FALSE),130))</f>
        <v>76</v>
      </c>
      <c r="L407" s="19">
        <f t="shared" ref="L407:M407" si="178">IF(ISBLANK(C407),,(D407+H407)*0.015)</f>
        <v>0.9462</v>
      </c>
      <c r="M407" s="19">
        <f t="shared" si="178"/>
        <v>0.9471</v>
      </c>
      <c r="N407" s="24">
        <f t="shared" si="140"/>
        <v>99</v>
      </c>
      <c r="O407" s="21">
        <f t="shared" si="4"/>
        <v>-2.7131</v>
      </c>
      <c r="P407" s="21">
        <f t="shared" si="162"/>
        <v>-2.6231</v>
      </c>
      <c r="Q407" s="22">
        <f t="shared" si="6"/>
        <v>0.4914345</v>
      </c>
      <c r="R407" s="25" t="str">
        <f t="shared" si="7"/>
        <v>F</v>
      </c>
      <c r="S407" s="19" t="str">
        <f t="shared" si="8"/>
        <v/>
      </c>
      <c r="T407" s="19" t="str">
        <f t="shared" si="9"/>
        <v/>
      </c>
      <c r="U407" s="3" t="s">
        <v>203</v>
      </c>
      <c r="V407" s="4" t="str">
        <f>IF(ISBLANK(C407),,IFERROR(IF(VLOOKUP(B407,Standings!$A:$F, 6, 0)=VLOOKUP(C407,Standings!$A:$F, 6, 0), VLOOKUP(B407,Standings!$A:$F, 6, 0), "Non-con"), "FCS"))</f>
        <v>B1G</v>
      </c>
      <c r="W407" s="3" t="str">
        <f t="shared" si="10"/>
        <v>Michigan State</v>
      </c>
      <c r="X407" s="3" t="str">
        <f t="shared" si="11"/>
        <v>Maryland</v>
      </c>
      <c r="Y407" s="30">
        <f>IF(D407=0,,IF(ISBLANK(Q407),,VLOOKUP(X407,Week15,2,FALSE)/(VLOOKUP(X407,Week15,2,FALSE)+VLOOKUP(W407,Week15,2,FALSE))+0.05)*100)</f>
        <v>58.55104629</v>
      </c>
      <c r="Z407" s="4"/>
      <c r="AA407" s="3"/>
      <c r="AB407" s="4" t="str">
        <f t="shared" si="20"/>
        <v/>
      </c>
      <c r="AC407" s="3"/>
      <c r="AD407" s="3"/>
      <c r="AE407" s="3" t="str">
        <f t="shared" si="13"/>
        <v/>
      </c>
      <c r="AF407" s="3" t="s">
        <v>226</v>
      </c>
      <c r="AG407" s="3" t="str">
        <f t="shared" si="133"/>
        <v/>
      </c>
      <c r="AH407" s="3"/>
      <c r="AI407" s="7"/>
      <c r="AJ407" s="4"/>
      <c r="AK407" s="7"/>
      <c r="AL407" s="7"/>
      <c r="AM407" s="7"/>
      <c r="AN407" s="7"/>
      <c r="AO407" s="7"/>
      <c r="AP407" s="7"/>
      <c r="AQ407" s="7"/>
      <c r="AR407" s="7"/>
      <c r="AS407" s="7"/>
      <c r="AT407" s="7"/>
      <c r="AU407" s="7"/>
      <c r="AV407" s="7"/>
      <c r="AW407" s="7"/>
      <c r="AX407" s="7"/>
    </row>
    <row r="408" ht="12.75" hidden="1" customHeight="1">
      <c r="A408" s="3">
        <v>13.0</v>
      </c>
      <c r="B408" s="3" t="s">
        <v>157</v>
      </c>
      <c r="C408" s="3" t="s">
        <v>169</v>
      </c>
      <c r="D408" s="4">
        <f>IFERROR(VLOOKUP(B408,Week12,2,FALSE),0)</f>
        <v>36.56</v>
      </c>
      <c r="E408" s="4">
        <f>IF(ISBLANK(B408),,IFERROR(VLOOKUP(B408,CurrentRank!$B$2:$C$132,2,FALSE),0))</f>
        <v>33.69</v>
      </c>
      <c r="F408" s="4">
        <f>IFERROR(VLOOKUP(B408,Week12,3,FALSE),130)</f>
        <v>52</v>
      </c>
      <c r="G408" s="4">
        <f>IF(ISBLANK(B408),,IFERROR(VLOOKUP(B408,CurrentRank!$B$2:$D$132,3,FALSE),130))</f>
        <v>77</v>
      </c>
      <c r="H408" s="4">
        <f>IFERROR(VLOOKUP(C408,Week12,2,FALSE),0)</f>
        <v>31.72</v>
      </c>
      <c r="I408" s="4">
        <f>IF(ISBLANK(B408),,IFERROR(VLOOKUP(C408,CurrentRank!$B$2:$C$132,2,FALSE),0))</f>
        <v>34.3</v>
      </c>
      <c r="J408" s="4">
        <f>IFERROR(VLOOKUP(C408,Week12,3,FALSE),130)</f>
        <v>87</v>
      </c>
      <c r="K408" s="4">
        <f>IF(ISBLANK(C408),,IFERROR(VLOOKUP(C408,CurrentRank!$B$2:$D$132,3,FALSE),130))</f>
        <v>71</v>
      </c>
      <c r="L408" s="19">
        <f>IF(U408= "Yes", 0, IF(ISBLANK(C408),,(D408+H408)*0.015))</f>
        <v>1.0242</v>
      </c>
      <c r="M408" s="19">
        <f>IF(U408= "Yes", 0, IF(ISBLANK(D408),,(E408+I408)*0.015))</f>
        <v>1.01985</v>
      </c>
      <c r="N408" s="24">
        <f t="shared" si="140"/>
        <v>69.5</v>
      </c>
      <c r="O408" s="21">
        <f t="shared" si="4"/>
        <v>1.9079</v>
      </c>
      <c r="P408" s="21">
        <f t="shared" si="162"/>
        <v>-0.8171</v>
      </c>
      <c r="Q408" s="22">
        <f t="shared" si="6"/>
        <v>0.6429605</v>
      </c>
      <c r="R408" s="25" t="str">
        <f t="shared" si="7"/>
        <v>D</v>
      </c>
      <c r="S408" s="19">
        <f t="shared" si="8"/>
        <v>0.6125</v>
      </c>
      <c r="T408" s="19" t="str">
        <f t="shared" si="9"/>
        <v>D-</v>
      </c>
      <c r="U408" s="3" t="s">
        <v>203</v>
      </c>
      <c r="V408" s="4" t="str">
        <f>IF(ISBLANK(C408),,IFERROR(IF(VLOOKUP(B408,Standings!$A:$F, 6, 0)=VLOOKUP(C408,Standings!$A:$F, 6, 0), VLOOKUP(B408,Standings!$A:$F, 6, 0), "Non-con"), "FCS"))</f>
        <v>MAC</v>
      </c>
      <c r="W408" s="3" t="str">
        <f t="shared" si="10"/>
        <v>Eastern Michigan</v>
      </c>
      <c r="X408" s="3" t="str">
        <f t="shared" si="11"/>
        <v>Central Michigan</v>
      </c>
      <c r="Y408" s="30">
        <f>IF(D408=0,,IF(ISBLANK(Q408),,VLOOKUP(X408,Week12,2,FALSE)/(VLOOKUP(X408,Week12,2,FALSE)+VLOOKUP(W408,Week12,2,FALSE))+0.05)*100)</f>
        <v>58.54422964</v>
      </c>
      <c r="Z408" s="3" t="s">
        <v>157</v>
      </c>
      <c r="AA408" s="3">
        <v>31.0</v>
      </c>
      <c r="AB408" s="4" t="str">
        <f t="shared" si="20"/>
        <v>Eastern Michigan</v>
      </c>
      <c r="AC408" s="3">
        <v>23.0</v>
      </c>
      <c r="AD408" s="3"/>
      <c r="AE408" s="3">
        <f t="shared" si="13"/>
        <v>8</v>
      </c>
      <c r="AF408" s="3"/>
      <c r="AG408" s="3">
        <f t="shared" si="133"/>
        <v>1</v>
      </c>
      <c r="AH408" s="3"/>
      <c r="AI408" s="7"/>
      <c r="AJ408" s="4"/>
      <c r="AK408" s="7"/>
      <c r="AL408" s="7"/>
      <c r="AM408" s="7"/>
      <c r="AN408" s="7"/>
      <c r="AO408" s="7"/>
      <c r="AP408" s="7"/>
      <c r="AQ408" s="7"/>
      <c r="AR408" s="7"/>
      <c r="AS408" s="7"/>
      <c r="AT408" s="7"/>
      <c r="AU408" s="7"/>
      <c r="AV408" s="7"/>
      <c r="AW408" s="7"/>
      <c r="AX408" s="7"/>
    </row>
    <row r="409" ht="12.75" hidden="1" customHeight="1">
      <c r="A409" s="3">
        <v>16.0</v>
      </c>
      <c r="B409" s="3" t="s">
        <v>122</v>
      </c>
      <c r="C409" s="3" t="s">
        <v>111</v>
      </c>
      <c r="D409" s="4">
        <f>IFERROR(VLOOKUP(B409,Week15,2,FALSE),0)</f>
        <v>25.74</v>
      </c>
      <c r="E409" s="4">
        <f>IF(ISBLANK(B409),,IFERROR(VLOOKUP(B409,CurrentRank!$B$2:$C$132,2,FALSE),0))</f>
        <v>25.95</v>
      </c>
      <c r="F409" s="4">
        <f>IFERROR(VLOOKUP(B409,Week15,3,FALSE),130)</f>
        <v>124</v>
      </c>
      <c r="G409" s="4">
        <f>IF(ISBLANK(B409),,IFERROR(VLOOKUP(B409,CurrentRank!$B$2:$D$132,3,FALSE),130))</f>
        <v>124</v>
      </c>
      <c r="H409" s="4">
        <f>IFERROR(VLOOKUP(C409,Week15,2,FALSE),0)</f>
        <v>29.58</v>
      </c>
      <c r="I409" s="4">
        <f>IF(ISBLANK(B409),,IFERROR(VLOOKUP(C409,CurrentRank!$B$2:$C$132,2,FALSE),0))</f>
        <v>29.75</v>
      </c>
      <c r="J409" s="4">
        <f>IFERROR(VLOOKUP(C409,Week15,3,FALSE),130)</f>
        <v>113</v>
      </c>
      <c r="K409" s="4">
        <f>IF(ISBLANK(C409),,IFERROR(VLOOKUP(C409,CurrentRank!$B$2:$D$132,3,FALSE),130))</f>
        <v>112</v>
      </c>
      <c r="L409" s="19">
        <f t="shared" ref="L409:M409" si="179">IF(ISBLANK(C409),,(D409+H409)*0.015)</f>
        <v>0.8298</v>
      </c>
      <c r="M409" s="19">
        <f t="shared" si="179"/>
        <v>0.8355</v>
      </c>
      <c r="N409" s="24">
        <f t="shared" si="140"/>
        <v>118.5</v>
      </c>
      <c r="O409" s="21">
        <f t="shared" si="4"/>
        <v>-2.3349</v>
      </c>
      <c r="P409" s="21">
        <f t="shared" si="162"/>
        <v>-2.3149</v>
      </c>
      <c r="Q409" s="22">
        <f t="shared" si="6"/>
        <v>0.3958255</v>
      </c>
      <c r="R409" s="25" t="str">
        <f t="shared" si="7"/>
        <v>F</v>
      </c>
      <c r="S409" s="19" t="str">
        <f t="shared" si="8"/>
        <v/>
      </c>
      <c r="T409" s="19" t="str">
        <f t="shared" si="9"/>
        <v/>
      </c>
      <c r="U409" s="3" t="s">
        <v>203</v>
      </c>
      <c r="V409" s="4" t="str">
        <f>IF(ISBLANK(C409),,IFERROR(IF(VLOOKUP(B409,Standings!$A:$F, 6, 0)=VLOOKUP(C409,Standings!$A:$F, 6, 0), VLOOKUP(B409,Standings!$A:$F, 6, 0), "Non-con"), "FCS"))</f>
        <v>SUN</v>
      </c>
      <c r="W409" s="3" t="str">
        <f t="shared" si="10"/>
        <v>UL-Monroe</v>
      </c>
      <c r="X409" s="3" t="str">
        <f t="shared" si="11"/>
        <v>Troy</v>
      </c>
      <c r="Y409" s="30">
        <f>IF(D409=0,,IF(ISBLANK(Q409),,VLOOKUP(X409,Week15,2,FALSE)/(VLOOKUP(X409,Week15,2,FALSE)+VLOOKUP(W409,Week15,2,FALSE))+0.05)*100)</f>
        <v>58.47071584</v>
      </c>
      <c r="Z409" s="4"/>
      <c r="AA409" s="3"/>
      <c r="AB409" s="4" t="str">
        <f t="shared" si="20"/>
        <v/>
      </c>
      <c r="AC409" s="3"/>
      <c r="AD409" s="3"/>
      <c r="AE409" s="3" t="str">
        <f t="shared" si="13"/>
        <v/>
      </c>
      <c r="AF409" s="3" t="s">
        <v>226</v>
      </c>
      <c r="AG409" s="3" t="str">
        <f t="shared" si="133"/>
        <v/>
      </c>
      <c r="AH409" s="3"/>
      <c r="AI409" s="7"/>
      <c r="AJ409" s="4"/>
      <c r="AK409" s="7"/>
      <c r="AL409" s="7"/>
      <c r="AM409" s="7"/>
      <c r="AN409" s="7"/>
      <c r="AO409" s="7"/>
      <c r="AP409" s="7"/>
      <c r="AQ409" s="7"/>
      <c r="AR409" s="7"/>
      <c r="AS409" s="7"/>
      <c r="AT409" s="7"/>
      <c r="AU409" s="7"/>
      <c r="AV409" s="7"/>
      <c r="AW409" s="7"/>
      <c r="AX409" s="7"/>
    </row>
    <row r="410" ht="12.75" customHeight="1">
      <c r="A410" s="3">
        <v>14.0</v>
      </c>
      <c r="B410" s="3" t="s">
        <v>172</v>
      </c>
      <c r="C410" s="3" t="s">
        <v>95</v>
      </c>
      <c r="D410" s="4">
        <f>IFERROR(VLOOKUP(B410,Week13,2,FALSE),0)</f>
        <v>31.04</v>
      </c>
      <c r="E410" s="4">
        <f>IF(ISBLANK(B410),,IFERROR(VLOOKUP(B410,CurrentRank!$B$2:$C$132,2,FALSE),0))</f>
        <v>33.49</v>
      </c>
      <c r="F410" s="4">
        <f>IFERROR(VLOOKUP(B410,Week13,3,FALSE),130)</f>
        <v>95</v>
      </c>
      <c r="G410" s="4">
        <f>IF(ISBLANK(B410),,IFERROR(VLOOKUP(B410,CurrentRank!$B$2:$D$132,3,FALSE),130))</f>
        <v>79</v>
      </c>
      <c r="H410" s="4">
        <f>IFERROR(VLOOKUP(C410,Week13,2,FALSE),0)</f>
        <v>70.31</v>
      </c>
      <c r="I410" s="4">
        <f>IF(ISBLANK(B410),,IFERROR(VLOOKUP(C410,CurrentRank!$B$2:$C$132,2,FALSE),0))</f>
        <v>33.45</v>
      </c>
      <c r="J410" s="4">
        <f>IFERROR(VLOOKUP(C410,Week13,3,FALSE),130)</f>
        <v>15</v>
      </c>
      <c r="K410" s="4">
        <f>IF(ISBLANK(C410),,IFERROR(VLOOKUP(C410,CurrentRank!$B$2:$D$132,3,FALSE),130))</f>
        <v>81</v>
      </c>
      <c r="L410" s="19">
        <f t="shared" ref="L410:L424" si="180">IF(U410= "Yes", 0, IF(ISBLANK(C410),,(D410+H410)*0.015))</f>
        <v>1.52025</v>
      </c>
      <c r="M410" s="19">
        <f t="shared" ref="M410:M424" si="181">IF(U410= "Yes", 0, IF(ISBLANK(D410),,(E410+I410)*0.015))</f>
        <v>1.0041</v>
      </c>
      <c r="N410" s="24">
        <f t="shared" si="140"/>
        <v>55</v>
      </c>
      <c r="O410" s="21">
        <f t="shared" si="4"/>
        <v>-20.395125</v>
      </c>
      <c r="P410" s="21">
        <f t="shared" si="162"/>
        <v>-0.740125</v>
      </c>
      <c r="Q410" s="22">
        <f t="shared" si="6"/>
        <v>0.623024375</v>
      </c>
      <c r="R410" s="25" t="str">
        <f t="shared" si="7"/>
        <v>D-</v>
      </c>
      <c r="S410" s="19">
        <f t="shared" si="8"/>
        <v>0.625</v>
      </c>
      <c r="T410" s="19" t="str">
        <f t="shared" si="9"/>
        <v>D</v>
      </c>
      <c r="U410" s="3" t="s">
        <v>203</v>
      </c>
      <c r="V410" s="4" t="str">
        <f>IF(ISBLANK(C410),,IFERROR(IF(VLOOKUP(B410,Standings!$A:$F, 6, 0)=VLOOKUP(C410,Standings!$A:$F, 6, 0), VLOOKUP(B410,Standings!$A:$F, 6, 0), "Non-con"), "FCS"))</f>
        <v>CUSA</v>
      </c>
      <c r="W410" s="3" t="str">
        <f t="shared" si="10"/>
        <v>Rice</v>
      </c>
      <c r="X410" s="3" t="str">
        <f t="shared" si="11"/>
        <v>Marshall</v>
      </c>
      <c r="Y410" s="30">
        <f>IF(D410=0,,IF(ISBLANK(Q410),,VLOOKUP(X410,Week13,2,FALSE)/(VLOOKUP(X410,Week13,2,FALSE)+VLOOKUP(W410,Week13,2,FALSE))+0.05)*100)</f>
        <v>74.37345831</v>
      </c>
      <c r="Z410" s="3" t="s">
        <v>172</v>
      </c>
      <c r="AA410" s="3">
        <v>20.0</v>
      </c>
      <c r="AB410" s="4" t="str">
        <f t="shared" si="20"/>
        <v>Marshall</v>
      </c>
      <c r="AC410" s="3">
        <v>0.0</v>
      </c>
      <c r="AD410" s="3"/>
      <c r="AE410" s="3">
        <f t="shared" si="13"/>
        <v>20</v>
      </c>
      <c r="AF410" s="3"/>
      <c r="AG410" s="3">
        <f t="shared" si="133"/>
        <v>0</v>
      </c>
      <c r="AH410" s="3"/>
      <c r="AI410" s="7"/>
      <c r="AJ410" s="4" t="s">
        <v>175</v>
      </c>
      <c r="AK410" s="7"/>
      <c r="AL410" s="7"/>
      <c r="AM410" s="7"/>
      <c r="AN410" s="7"/>
      <c r="AO410" s="7"/>
      <c r="AP410" s="7"/>
      <c r="AQ410" s="7"/>
      <c r="AR410" s="7"/>
      <c r="AS410" s="7"/>
      <c r="AT410" s="7"/>
      <c r="AU410" s="7"/>
      <c r="AV410" s="7"/>
      <c r="AW410" s="7"/>
      <c r="AX410" s="7"/>
    </row>
    <row r="411" ht="12.75" customHeight="1">
      <c r="A411" s="3">
        <v>10.0</v>
      </c>
      <c r="B411" s="3" t="s">
        <v>144</v>
      </c>
      <c r="C411" s="3" t="s">
        <v>167</v>
      </c>
      <c r="D411" s="4">
        <f>IFERROR(VLOOKUP(B411,Week9,2,FALSE),0)</f>
        <v>33.96</v>
      </c>
      <c r="E411" s="4">
        <f>IF(ISBLANK(B411),,IFERROR(VLOOKUP(B411,CurrentRank!$B$2:$C$132,2,FALSE),0))</f>
        <v>35.51</v>
      </c>
      <c r="F411" s="4">
        <f>IFERROR(VLOOKUP(B411,Week9,3,FALSE),130)</f>
        <v>59</v>
      </c>
      <c r="G411" s="4">
        <f>IF(ISBLANK(B411),,IFERROR(VLOOKUP(B411,CurrentRank!$B$2:$D$132,3,FALSE),130))</f>
        <v>58</v>
      </c>
      <c r="H411" s="4">
        <f>IFERROR(VLOOKUP(C411,Week9,2,FALSE),0)</f>
        <v>33.5</v>
      </c>
      <c r="I411" s="4">
        <f>IF(ISBLANK(B411),,IFERROR(VLOOKUP(C411,CurrentRank!$B$2:$C$132,2,FALSE),0))</f>
        <v>29.87</v>
      </c>
      <c r="J411" s="4">
        <f>IFERROR(VLOOKUP(C411,Week9,3,FALSE),130)</f>
        <v>65</v>
      </c>
      <c r="K411" s="4">
        <f>IF(ISBLANK(C411),,IFERROR(VLOOKUP(C411,CurrentRank!$B$2:$D$132,3,FALSE),130))</f>
        <v>111</v>
      </c>
      <c r="L411" s="19">
        <f t="shared" si="180"/>
        <v>1.0119</v>
      </c>
      <c r="M411" s="19">
        <f t="shared" si="181"/>
        <v>0.9807</v>
      </c>
      <c r="N411" s="24">
        <f t="shared" si="140"/>
        <v>62</v>
      </c>
      <c r="O411" s="21">
        <f t="shared" si="4"/>
        <v>-0.27595</v>
      </c>
      <c r="P411" s="21">
        <f t="shared" si="162"/>
        <v>2.31405</v>
      </c>
      <c r="Q411" s="22">
        <f t="shared" si="6"/>
        <v>0.68862025</v>
      </c>
      <c r="R411" s="25" t="str">
        <f t="shared" si="7"/>
        <v>D+</v>
      </c>
      <c r="S411" s="19">
        <f t="shared" si="8"/>
        <v>0.625</v>
      </c>
      <c r="T411" s="19" t="str">
        <f t="shared" si="9"/>
        <v>D</v>
      </c>
      <c r="U411" s="3" t="s">
        <v>203</v>
      </c>
      <c r="V411" s="4" t="str">
        <f>IF(ISBLANK(C411),,IFERROR(IF(VLOOKUP(B411,Standings!$A:$F, 6, 0)=VLOOKUP(C411,Standings!$A:$F, 6, 0), VLOOKUP(B411,Standings!$A:$F, 6, 0), "Non-con"), "FCS"))</f>
        <v>MWC</v>
      </c>
      <c r="W411" s="3" t="str">
        <f t="shared" si="10"/>
        <v>Fresno State</v>
      </c>
      <c r="X411" s="3" t="str">
        <f t="shared" si="11"/>
        <v>UNLV</v>
      </c>
      <c r="Y411" s="30">
        <f>IF(D411=0,,IF(ISBLANK(Q411),,VLOOKUP(X411,Week9,2,FALSE)/(VLOOKUP(X411,Week9,2,FALSE)+VLOOKUP(W411,Week9,2,FALSE))+0.05)*100)</f>
        <v>54.65905722</v>
      </c>
      <c r="Z411" s="3" t="s">
        <v>144</v>
      </c>
      <c r="AA411" s="3">
        <v>40.0</v>
      </c>
      <c r="AB411" s="4" t="str">
        <f t="shared" si="20"/>
        <v>UNLV</v>
      </c>
      <c r="AC411" s="3">
        <v>27.0</v>
      </c>
      <c r="AD411" s="3"/>
      <c r="AE411" s="3">
        <f t="shared" si="13"/>
        <v>13</v>
      </c>
      <c r="AF411" s="3"/>
      <c r="AG411" s="3">
        <f t="shared" si="133"/>
        <v>0</v>
      </c>
      <c r="AH411" s="3"/>
      <c r="AI411" s="7"/>
      <c r="AJ411" s="4"/>
      <c r="AK411" s="7"/>
      <c r="AL411" s="7"/>
      <c r="AM411" s="7"/>
      <c r="AN411" s="7"/>
      <c r="AO411" s="7"/>
      <c r="AP411" s="7"/>
      <c r="AQ411" s="7"/>
      <c r="AR411" s="7"/>
      <c r="AS411" s="7"/>
      <c r="AT411" s="7"/>
      <c r="AU411" s="7"/>
      <c r="AV411" s="7"/>
      <c r="AW411" s="7"/>
      <c r="AX411" s="7"/>
    </row>
    <row r="412" ht="12.75" hidden="1" customHeight="1">
      <c r="A412" s="3">
        <v>7.0</v>
      </c>
      <c r="B412" s="3" t="s">
        <v>88</v>
      </c>
      <c r="C412" s="3" t="s">
        <v>105</v>
      </c>
      <c r="D412" s="4">
        <f>IFERROR(VLOOKUP(B412,Week6,2,FALSE),0)</f>
        <v>37.3</v>
      </c>
      <c r="E412" s="4">
        <f>IF(ISBLANK(B412),,IFERROR(VLOOKUP(B412,CurrentRank!$B$2:$C$132,2,FALSE),0))</f>
        <v>33.11</v>
      </c>
      <c r="F412" s="4">
        <f>IFERROR(VLOOKUP(B412,Week6,3,FALSE),130)</f>
        <v>44</v>
      </c>
      <c r="G412" s="4">
        <f>IF(ISBLANK(B412),,IFERROR(VLOOKUP(B412,CurrentRank!$B$2:$D$132,3,FALSE),130))</f>
        <v>85</v>
      </c>
      <c r="H412" s="4">
        <f>IFERROR(VLOOKUP(C412,Week6,2,FALSE),0)</f>
        <v>32.67</v>
      </c>
      <c r="I412" s="4">
        <f>IF(ISBLANK(B412),,IFERROR(VLOOKUP(C412,CurrentRank!$B$2:$C$132,2,FALSE),0))</f>
        <v>32.43</v>
      </c>
      <c r="J412" s="4">
        <f>IFERROR(VLOOKUP(C412,Week6,3,FALSE),130)</f>
        <v>61</v>
      </c>
      <c r="K412" s="4">
        <f>IF(ISBLANK(C412),,IFERROR(VLOOKUP(C412,CurrentRank!$B$2:$D$132,3,FALSE),130))</f>
        <v>90</v>
      </c>
      <c r="L412" s="19">
        <f t="shared" si="180"/>
        <v>1.04955</v>
      </c>
      <c r="M412" s="19">
        <f t="shared" si="181"/>
        <v>0.9831</v>
      </c>
      <c r="N412" s="24">
        <f t="shared" si="140"/>
        <v>52.5</v>
      </c>
      <c r="O412" s="21">
        <f t="shared" si="4"/>
        <v>1.790225</v>
      </c>
      <c r="P412" s="21">
        <f t="shared" si="162"/>
        <v>-0.184775</v>
      </c>
      <c r="Q412" s="22">
        <f t="shared" si="6"/>
        <v>0.728548875</v>
      </c>
      <c r="R412" s="25" t="str">
        <f t="shared" si="7"/>
        <v>C</v>
      </c>
      <c r="S412" s="19">
        <f t="shared" si="8"/>
        <v>0.6775</v>
      </c>
      <c r="T412" s="19" t="str">
        <f t="shared" si="9"/>
        <v>D+</v>
      </c>
      <c r="U412" s="3" t="s">
        <v>203</v>
      </c>
      <c r="V412" s="4" t="str">
        <f>IF(ISBLANK(C412),,IFERROR(IF(VLOOKUP(B412,Standings!$A:$F, 6, 0)=VLOOKUP(C412,Standings!$A:$F, 6, 0), VLOOKUP(B412,Standings!$A:$F, 6, 0), "Non-con"), "FCS"))</f>
        <v>Non-con</v>
      </c>
      <c r="W412" s="3" t="str">
        <f t="shared" si="10"/>
        <v>Texas-San Antonio</v>
      </c>
      <c r="X412" s="3" t="str">
        <f t="shared" si="11"/>
        <v>Army</v>
      </c>
      <c r="Y412" s="30">
        <f>IF(D412=0,,IF(ISBLANK(Q412),,VLOOKUP(X412,Week6,2,FALSE)/(VLOOKUP(X412,Week6,2,FALSE)+VLOOKUP(W412,Week6,2,FALSE))+0.05)*100)</f>
        <v>58.30856081</v>
      </c>
      <c r="Z412" s="3" t="s">
        <v>88</v>
      </c>
      <c r="AA412" s="3">
        <v>28.0</v>
      </c>
      <c r="AB412" s="4" t="str">
        <f t="shared" si="20"/>
        <v>Texas-San Antonio</v>
      </c>
      <c r="AC412" s="3">
        <v>16.0</v>
      </c>
      <c r="AD412" s="3"/>
      <c r="AE412" s="3">
        <f t="shared" si="13"/>
        <v>12</v>
      </c>
      <c r="AF412" s="3"/>
      <c r="AG412" s="3">
        <f t="shared" si="133"/>
        <v>1</v>
      </c>
      <c r="AH412" s="3"/>
      <c r="AI412" s="7"/>
      <c r="AJ412" s="4"/>
      <c r="AK412" s="7"/>
      <c r="AL412" s="7"/>
      <c r="AM412" s="7"/>
      <c r="AN412" s="7"/>
      <c r="AO412" s="7"/>
      <c r="AP412" s="7"/>
      <c r="AQ412" s="7"/>
      <c r="AR412" s="7"/>
      <c r="AS412" s="7"/>
      <c r="AT412" s="7"/>
      <c r="AU412" s="7"/>
      <c r="AV412" s="7"/>
      <c r="AW412" s="7"/>
      <c r="AX412" s="7"/>
    </row>
    <row r="413" ht="12.75" hidden="1" customHeight="1">
      <c r="A413" s="3">
        <v>15.0</v>
      </c>
      <c r="B413" s="3" t="s">
        <v>130</v>
      </c>
      <c r="C413" s="3" t="s">
        <v>88</v>
      </c>
      <c r="D413" s="4">
        <f>IFERROR(VLOOKUP(B413,Week14,2,FALSE),0)</f>
        <v>31.23</v>
      </c>
      <c r="E413" s="4">
        <f>IF(ISBLANK(B413),,IFERROR(VLOOKUP(B413,CurrentRank!$B$2:$C$132,2,FALSE),0))</f>
        <v>29.22</v>
      </c>
      <c r="F413" s="4">
        <f>IFERROR(VLOOKUP(B413,Week14,3,FALSE),130)</f>
        <v>102</v>
      </c>
      <c r="G413" s="4">
        <f>IF(ISBLANK(B413),,IFERROR(VLOOKUP(B413,CurrentRank!$B$2:$D$132,3,FALSE),130))</f>
        <v>116</v>
      </c>
      <c r="H413" s="4">
        <f>IFERROR(VLOOKUP(C413,Week14,2,FALSE),0)</f>
        <v>35.61</v>
      </c>
      <c r="I413" s="4">
        <f>IF(ISBLANK(B413),,IFERROR(VLOOKUP(C413,CurrentRank!$B$2:$C$132,2,FALSE),0))</f>
        <v>33.11</v>
      </c>
      <c r="J413" s="4">
        <f>IFERROR(VLOOKUP(C413,Week14,3,FALSE),130)</f>
        <v>61</v>
      </c>
      <c r="K413" s="4">
        <f>IF(ISBLANK(C413),,IFERROR(VLOOKUP(C413,CurrentRank!$B$2:$D$132,3,FALSE),130))</f>
        <v>85</v>
      </c>
      <c r="L413" s="19">
        <f t="shared" si="180"/>
        <v>1.0026</v>
      </c>
      <c r="M413" s="19">
        <f t="shared" si="181"/>
        <v>0.93495</v>
      </c>
      <c r="N413" s="24">
        <f t="shared" si="140"/>
        <v>81.5</v>
      </c>
      <c r="O413" s="21">
        <f t="shared" si="4"/>
        <v>-2.6913</v>
      </c>
      <c r="P413" s="21">
        <f t="shared" si="162"/>
        <v>-2.4463</v>
      </c>
      <c r="Q413" s="22">
        <f t="shared" si="6"/>
        <v>0.5790435</v>
      </c>
      <c r="R413" s="25" t="str">
        <f t="shared" si="7"/>
        <v>F</v>
      </c>
      <c r="S413" s="19">
        <f t="shared" si="8"/>
        <v>0.5175</v>
      </c>
      <c r="T413" s="19" t="str">
        <f t="shared" si="9"/>
        <v>F</v>
      </c>
      <c r="U413" s="3" t="s">
        <v>203</v>
      </c>
      <c r="V413" s="4" t="str">
        <f>IF(ISBLANK(C413),,IFERROR(IF(VLOOKUP(B413,Standings!$A:$F, 6, 0)=VLOOKUP(C413,Standings!$A:$F, 6, 0), VLOOKUP(B413,Standings!$A:$F, 6, 0), "Non-con"), "FCS"))</f>
        <v>Non-con</v>
      </c>
      <c r="W413" s="3" t="str">
        <f t="shared" si="10"/>
        <v>Navy</v>
      </c>
      <c r="X413" s="3" t="str">
        <f t="shared" si="11"/>
        <v>Army</v>
      </c>
      <c r="Y413" s="30">
        <f>IF(D413=0,,IF(ISBLANK(Q413),,VLOOKUP(X413,Week14,2,FALSE)/(VLOOKUP(X413,Week14,2,FALSE)+VLOOKUP(W413,Week14,2,FALSE))+0.05)*100)</f>
        <v>58.27648115</v>
      </c>
      <c r="Z413" s="3" t="s">
        <v>88</v>
      </c>
      <c r="AA413" s="3">
        <v>15.0</v>
      </c>
      <c r="AB413" s="4" t="str">
        <f t="shared" si="20"/>
        <v>Navy</v>
      </c>
      <c r="AC413" s="3">
        <v>0.0</v>
      </c>
      <c r="AD413" s="3"/>
      <c r="AE413" s="3">
        <f t="shared" si="13"/>
        <v>15</v>
      </c>
      <c r="AF413" s="3"/>
      <c r="AG413" s="3">
        <f t="shared" si="133"/>
        <v>1</v>
      </c>
      <c r="AH413" s="3"/>
      <c r="AI413" s="7"/>
      <c r="AJ413" s="4"/>
      <c r="AK413" s="7"/>
      <c r="AL413" s="7"/>
      <c r="AM413" s="7"/>
      <c r="AN413" s="7"/>
      <c r="AO413" s="7"/>
      <c r="AP413" s="7"/>
      <c r="AQ413" s="7"/>
      <c r="AR413" s="7"/>
      <c r="AS413" s="7"/>
      <c r="AT413" s="7"/>
      <c r="AU413" s="7"/>
      <c r="AV413" s="7"/>
      <c r="AW413" s="7"/>
      <c r="AX413" s="7"/>
    </row>
    <row r="414" ht="12.75" hidden="1" customHeight="1">
      <c r="A414" s="3">
        <v>6.0</v>
      </c>
      <c r="B414" s="3" t="s">
        <v>82</v>
      </c>
      <c r="C414" s="3" t="s">
        <v>38</v>
      </c>
      <c r="D414" s="4">
        <f>IFERROR(VLOOKUP(B414,Week5,2,FALSE),0)</f>
        <v>69.62</v>
      </c>
      <c r="E414" s="4">
        <f>IF(ISBLANK(B414),,IFERROR(VLOOKUP(B414,CurrentRank!$B$2:$C$132,2,FALSE),0))</f>
        <v>36.12</v>
      </c>
      <c r="F414" s="4">
        <f>IFERROR(VLOOKUP(B414,Week5,3,FALSE),130)</f>
        <v>13</v>
      </c>
      <c r="G414" s="4">
        <f>IF(ISBLANK(B414),,IFERROR(VLOOKUP(B414,CurrentRank!$B$2:$D$132,3,FALSE),130))</f>
        <v>54</v>
      </c>
      <c r="H414" s="4">
        <f>IFERROR(VLOOKUP(C414,Week5,2,FALSE),0)</f>
        <v>79.29</v>
      </c>
      <c r="I414" s="4">
        <f>IF(ISBLANK(B414),,IFERROR(VLOOKUP(C414,CurrentRank!$B$2:$C$132,2,FALSE),0))</f>
        <v>63.1</v>
      </c>
      <c r="J414" s="4">
        <f>IFERROR(VLOOKUP(C414,Week5,3,FALSE),130)</f>
        <v>8</v>
      </c>
      <c r="K414" s="4">
        <f>IF(ISBLANK(C414),,IFERROR(VLOOKUP(C414,CurrentRank!$B$2:$D$132,3,FALSE),130))</f>
        <v>18</v>
      </c>
      <c r="L414" s="19">
        <f t="shared" si="180"/>
        <v>2.23365</v>
      </c>
      <c r="M414" s="19">
        <f t="shared" si="181"/>
        <v>1.4883</v>
      </c>
      <c r="N414" s="24">
        <f t="shared" si="140"/>
        <v>10.5</v>
      </c>
      <c r="O414" s="21">
        <f t="shared" si="4"/>
        <v>-5.951825</v>
      </c>
      <c r="P414" s="21">
        <f t="shared" si="162"/>
        <v>-14.606825</v>
      </c>
      <c r="Q414" s="22">
        <f t="shared" si="6"/>
        <v>0.917740875</v>
      </c>
      <c r="R414" s="25" t="str">
        <f t="shared" si="7"/>
        <v>A-</v>
      </c>
      <c r="S414" s="19">
        <f t="shared" si="8"/>
        <v>0.8925</v>
      </c>
      <c r="T414" s="19" t="str">
        <f t="shared" si="9"/>
        <v>B+</v>
      </c>
      <c r="U414" s="3" t="s">
        <v>203</v>
      </c>
      <c r="V414" s="4" t="str">
        <f>IF(ISBLANK(C414),,IFERROR(IF(VLOOKUP(B414,Standings!$A:$F, 6, 0)=VLOOKUP(C414,Standings!$A:$F, 6, 0), VLOOKUP(B414,Standings!$A:$F, 6, 0), "Non-con"), "FCS"))</f>
        <v>ACC</v>
      </c>
      <c r="W414" s="3" t="str">
        <f t="shared" si="10"/>
        <v>Virginia Tech</v>
      </c>
      <c r="X414" s="3" t="str">
        <f t="shared" si="11"/>
        <v>North Carolina</v>
      </c>
      <c r="Y414" s="30">
        <f>IF(D414=0,,IF(ISBLANK(Q414),,VLOOKUP(X414,Week5,2,FALSE)/(VLOOKUP(X414,Week5,2,FALSE)+VLOOKUP(W414,Week5,2,FALSE))+0.05)*100)</f>
        <v>58.24692767</v>
      </c>
      <c r="Z414" s="3" t="s">
        <v>38</v>
      </c>
      <c r="AA414" s="3">
        <v>56.0</v>
      </c>
      <c r="AB414" s="4" t="str">
        <f t="shared" si="20"/>
        <v>Virginia Tech</v>
      </c>
      <c r="AC414" s="3">
        <v>45.0</v>
      </c>
      <c r="AD414" s="3"/>
      <c r="AE414" s="3">
        <f t="shared" si="13"/>
        <v>11</v>
      </c>
      <c r="AF414" s="3"/>
      <c r="AG414" s="3">
        <f t="shared" si="133"/>
        <v>1</v>
      </c>
      <c r="AH414" s="3"/>
      <c r="AI414" s="7"/>
      <c r="AJ414" s="4"/>
      <c r="AK414" s="7"/>
      <c r="AL414" s="7"/>
      <c r="AM414" s="7"/>
      <c r="AN414" s="7"/>
      <c r="AO414" s="7"/>
      <c r="AP414" s="7"/>
      <c r="AQ414" s="7"/>
      <c r="AR414" s="7"/>
      <c r="AS414" s="7"/>
      <c r="AT414" s="7"/>
      <c r="AU414" s="7"/>
      <c r="AV414" s="7"/>
      <c r="AW414" s="7"/>
      <c r="AX414" s="7"/>
    </row>
    <row r="415" ht="12.75" customHeight="1">
      <c r="A415" s="3">
        <v>14.0</v>
      </c>
      <c r="B415" s="3" t="s">
        <v>160</v>
      </c>
      <c r="C415" s="3" t="s">
        <v>96</v>
      </c>
      <c r="D415" s="4">
        <f>IFERROR(VLOOKUP(B415,Week13,2,FALSE),0)</f>
        <v>35.16</v>
      </c>
      <c r="E415" s="4">
        <f>IF(ISBLANK(B415),,IFERROR(VLOOKUP(B415,CurrentRank!$B$2:$C$132,2,FALSE),0))</f>
        <v>34.87</v>
      </c>
      <c r="F415" s="4">
        <f>IFERROR(VLOOKUP(B415,Week13,3,FALSE),130)</f>
        <v>60</v>
      </c>
      <c r="G415" s="4">
        <f>IF(ISBLANK(B415),,IFERROR(VLOOKUP(B415,CurrentRank!$B$2:$D$132,3,FALSE),130))</f>
        <v>66</v>
      </c>
      <c r="H415" s="4">
        <f>IFERROR(VLOOKUP(C415,Week13,2,FALSE),0)</f>
        <v>32.57</v>
      </c>
      <c r="I415" s="4">
        <f>IF(ISBLANK(B415),,IFERROR(VLOOKUP(C415,CurrentRank!$B$2:$C$132,2,FALSE),0))</f>
        <v>43.66</v>
      </c>
      <c r="J415" s="4">
        <f>IFERROR(VLOOKUP(C415,Week13,3,FALSE),130)</f>
        <v>82</v>
      </c>
      <c r="K415" s="4">
        <f>IF(ISBLANK(C415),,IFERROR(VLOOKUP(C415,CurrentRank!$B$2:$D$132,3,FALSE),130))</f>
        <v>27</v>
      </c>
      <c r="L415" s="19">
        <f t="shared" si="180"/>
        <v>1.01595</v>
      </c>
      <c r="M415" s="19">
        <f t="shared" si="181"/>
        <v>1.17795</v>
      </c>
      <c r="N415" s="24">
        <f t="shared" si="140"/>
        <v>71</v>
      </c>
      <c r="O415" s="21">
        <f t="shared" si="4"/>
        <v>0.787025</v>
      </c>
      <c r="P415" s="21">
        <f t="shared" si="162"/>
        <v>-4.902975</v>
      </c>
      <c r="Q415" s="22">
        <f t="shared" si="6"/>
        <v>0.641064875</v>
      </c>
      <c r="R415" s="25" t="str">
        <f t="shared" si="7"/>
        <v>D</v>
      </c>
      <c r="S415" s="19">
        <f t="shared" si="8"/>
        <v>0.615</v>
      </c>
      <c r="T415" s="19" t="str">
        <f t="shared" si="9"/>
        <v>D-</v>
      </c>
      <c r="U415" s="3" t="s">
        <v>203</v>
      </c>
      <c r="V415" s="4" t="str">
        <f>IF(ISBLANK(C415),,IFERROR(IF(VLOOKUP(B415,Standings!$A:$F, 6, 0)=VLOOKUP(C415,Standings!$A:$F, 6, 0), VLOOKUP(B415,Standings!$A:$F, 6, 0), "Non-con"), "FCS"))</f>
        <v>PAC12</v>
      </c>
      <c r="W415" s="3" t="str">
        <f t="shared" si="10"/>
        <v>Utah</v>
      </c>
      <c r="X415" s="3" t="str">
        <f t="shared" si="11"/>
        <v>Oregon State</v>
      </c>
      <c r="Y415" s="30">
        <f>IF(D415=0,,IF(ISBLANK(Q415),,VLOOKUP(X415,Week13,2,FALSE)/(VLOOKUP(X415,Week13,2,FALSE)+VLOOKUP(W415,Week13,2,FALSE))+0.05)*100)</f>
        <v>56.91200354</v>
      </c>
      <c r="Z415" s="3" t="s">
        <v>96</v>
      </c>
      <c r="AA415" s="3">
        <v>30.0</v>
      </c>
      <c r="AB415" s="4" t="str">
        <f t="shared" si="20"/>
        <v>Oregon State</v>
      </c>
      <c r="AC415" s="3">
        <v>24.0</v>
      </c>
      <c r="AD415" s="3"/>
      <c r="AE415" s="3">
        <f t="shared" si="13"/>
        <v>6</v>
      </c>
      <c r="AF415" s="3"/>
      <c r="AG415" s="3">
        <f t="shared" si="133"/>
        <v>0</v>
      </c>
      <c r="AH415" s="3"/>
      <c r="AI415" s="7"/>
      <c r="AJ415" s="4"/>
      <c r="AK415" s="7"/>
      <c r="AL415" s="7"/>
      <c r="AM415" s="7"/>
      <c r="AN415" s="7"/>
      <c r="AO415" s="7"/>
      <c r="AP415" s="7"/>
      <c r="AQ415" s="7"/>
      <c r="AR415" s="7"/>
      <c r="AS415" s="7"/>
      <c r="AT415" s="7"/>
      <c r="AU415" s="7"/>
      <c r="AV415" s="7"/>
      <c r="AW415" s="7"/>
      <c r="AX415" s="7"/>
    </row>
    <row r="416" ht="12.75" hidden="1" customHeight="1">
      <c r="A416" s="3">
        <v>14.0</v>
      </c>
      <c r="B416" s="3" t="s">
        <v>174</v>
      </c>
      <c r="C416" s="3" t="s">
        <v>74</v>
      </c>
      <c r="D416" s="4">
        <f>IFERROR(VLOOKUP(B416,Week13,2,FALSE),0)</f>
        <v>75.61</v>
      </c>
      <c r="E416" s="4">
        <f>IF(ISBLANK(B416),,IFERROR(VLOOKUP(B416,CurrentRank!$B$2:$C$132,2,FALSE),0))</f>
        <v>69.98</v>
      </c>
      <c r="F416" s="4">
        <f>IFERROR(VLOOKUP(B416,Week13,3,FALSE),130)</f>
        <v>11</v>
      </c>
      <c r="G416" s="4">
        <f>IF(ISBLANK(B416),,IFERROR(VLOOKUP(B416,CurrentRank!$B$2:$D$132,3,FALSE),130))</f>
        <v>13</v>
      </c>
      <c r="H416" s="4">
        <f>IFERROR(VLOOKUP(C416,Week13,2,FALSE),0)</f>
        <v>66.4</v>
      </c>
      <c r="I416" s="4">
        <f>IF(ISBLANK(B416),,IFERROR(VLOOKUP(C416,CurrentRank!$B$2:$C$132,2,FALSE),0))</f>
        <v>41.11</v>
      </c>
      <c r="J416" s="4">
        <f>IFERROR(VLOOKUP(C416,Week13,3,FALSE),130)</f>
        <v>18</v>
      </c>
      <c r="K416" s="4">
        <f>IF(ISBLANK(C416),,IFERROR(VLOOKUP(C416,CurrentRank!$B$2:$D$132,3,FALSE),130))</f>
        <v>32</v>
      </c>
      <c r="L416" s="19">
        <f t="shared" si="180"/>
        <v>2.13015</v>
      </c>
      <c r="M416" s="19">
        <f t="shared" si="181"/>
        <v>1.66635</v>
      </c>
      <c r="N416" s="24">
        <f t="shared" si="140"/>
        <v>14.5</v>
      </c>
      <c r="O416" s="21">
        <f t="shared" si="4"/>
        <v>3.539925</v>
      </c>
      <c r="P416" s="21">
        <f t="shared" si="162"/>
        <v>13.369925</v>
      </c>
      <c r="Q416" s="22">
        <f t="shared" si="6"/>
        <v>0.909800375</v>
      </c>
      <c r="R416" s="25" t="str">
        <f t="shared" si="7"/>
        <v>A-</v>
      </c>
      <c r="S416" s="19">
        <f t="shared" si="8"/>
        <v>0.8875</v>
      </c>
      <c r="T416" s="19" t="str">
        <f t="shared" si="9"/>
        <v>B+</v>
      </c>
      <c r="U416" s="3" t="s">
        <v>203</v>
      </c>
      <c r="V416" s="4" t="str">
        <f>IF(ISBLANK(C416),,IFERROR(IF(VLOOKUP(B416,Standings!$A:$F, 6, 0)=VLOOKUP(C416,Standings!$A:$F, 6, 0), VLOOKUP(B416,Standings!$A:$F, 6, 0), "Non-con"), "FCS"))</f>
        <v>B1G</v>
      </c>
      <c r="W416" s="3" t="str">
        <f t="shared" si="10"/>
        <v>Wisconsin</v>
      </c>
      <c r="X416" s="3" t="str">
        <f t="shared" si="11"/>
        <v>Indiana</v>
      </c>
      <c r="Y416" s="30">
        <f>IF(D416=0,,IF(ISBLANK(Q416),,VLOOKUP(X416,Week13,2,FALSE)/(VLOOKUP(X416,Week13,2,FALSE)+VLOOKUP(W416,Week13,2,FALSE))+0.05)*100)</f>
        <v>58.24272939</v>
      </c>
      <c r="Z416" s="3" t="s">
        <v>174</v>
      </c>
      <c r="AA416" s="3">
        <v>14.0</v>
      </c>
      <c r="AB416" s="4" t="str">
        <f t="shared" si="20"/>
        <v>Wisconsin</v>
      </c>
      <c r="AC416" s="3">
        <v>6.0</v>
      </c>
      <c r="AD416" s="3"/>
      <c r="AE416" s="3">
        <f t="shared" si="13"/>
        <v>8</v>
      </c>
      <c r="AF416" s="3"/>
      <c r="AG416" s="3">
        <f t="shared" si="133"/>
        <v>1</v>
      </c>
      <c r="AH416" s="3"/>
      <c r="AI416" s="7"/>
      <c r="AJ416" s="4" t="s">
        <v>114</v>
      </c>
      <c r="AK416" s="7"/>
      <c r="AL416" s="7"/>
      <c r="AM416" s="7"/>
      <c r="AN416" s="7"/>
      <c r="AO416" s="7"/>
      <c r="AP416" s="7"/>
      <c r="AQ416" s="7"/>
      <c r="AR416" s="7"/>
      <c r="AS416" s="7"/>
      <c r="AT416" s="7"/>
      <c r="AU416" s="7"/>
      <c r="AV416" s="7"/>
      <c r="AW416" s="7"/>
      <c r="AX416" s="7"/>
    </row>
    <row r="417" ht="12.75" hidden="1" customHeight="1">
      <c r="A417" s="3">
        <v>11.0</v>
      </c>
      <c r="B417" s="3" t="s">
        <v>161</v>
      </c>
      <c r="C417" s="3" t="s">
        <v>129</v>
      </c>
      <c r="D417" s="4">
        <f>IFERROR(VLOOKUP(B417,Week10,2,FALSE),0)</f>
        <v>34.07</v>
      </c>
      <c r="E417" s="4">
        <f>IF(ISBLANK(B417),,IFERROR(VLOOKUP(B417,CurrentRank!$B$2:$C$132,2,FALSE),0))</f>
        <v>31.11</v>
      </c>
      <c r="F417" s="4">
        <f>IFERROR(VLOOKUP(B417,Week10,3,FALSE),130)</f>
        <v>70</v>
      </c>
      <c r="G417" s="4">
        <f>IF(ISBLANK(B417),,IFERROR(VLOOKUP(B417,CurrentRank!$B$2:$D$132,3,FALSE),130))</f>
        <v>100</v>
      </c>
      <c r="H417" s="4">
        <f>IFERROR(VLOOKUP(C417,Week10,2,FALSE),0)</f>
        <v>38.79</v>
      </c>
      <c r="I417" s="4">
        <f>IF(ISBLANK(B417),,IFERROR(VLOOKUP(C417,CurrentRank!$B$2:$C$132,2,FALSE),0))</f>
        <v>39.96</v>
      </c>
      <c r="J417" s="4">
        <f>IFERROR(VLOOKUP(C417,Week10,3,FALSE),130)</f>
        <v>46</v>
      </c>
      <c r="K417" s="4">
        <f>IF(ISBLANK(C417),,IFERROR(VLOOKUP(C417,CurrentRank!$B$2:$D$132,3,FALSE),130))</f>
        <v>35</v>
      </c>
      <c r="L417" s="19">
        <f t="shared" si="180"/>
        <v>1.0929</v>
      </c>
      <c r="M417" s="19">
        <f t="shared" si="181"/>
        <v>1.06605</v>
      </c>
      <c r="N417" s="24">
        <f t="shared" si="140"/>
        <v>58</v>
      </c>
      <c r="O417" s="21">
        <f t="shared" si="4"/>
        <v>-2.90645</v>
      </c>
      <c r="P417" s="21">
        <f t="shared" si="162"/>
        <v>-4.97145</v>
      </c>
      <c r="Q417" s="22">
        <f t="shared" si="6"/>
        <v>0.69546775</v>
      </c>
      <c r="R417" s="25" t="str">
        <f t="shared" si="7"/>
        <v>C-</v>
      </c>
      <c r="S417" s="19">
        <f t="shared" si="8"/>
        <v>0.625</v>
      </c>
      <c r="T417" s="19" t="str">
        <f t="shared" si="9"/>
        <v>D</v>
      </c>
      <c r="U417" s="3" t="s">
        <v>203</v>
      </c>
      <c r="V417" s="4" t="str">
        <f>IF(ISBLANK(C417),,IFERROR(IF(VLOOKUP(B417,Standings!$A:$F, 6, 0)=VLOOKUP(C417,Standings!$A:$F, 6, 0), VLOOKUP(B417,Standings!$A:$F, 6, 0), "Non-con"), "FCS"))</f>
        <v>SEC</v>
      </c>
      <c r="W417" s="3" t="str">
        <f t="shared" si="10"/>
        <v>South Carolina</v>
      </c>
      <c r="X417" s="3" t="str">
        <f t="shared" si="11"/>
        <v>Mississippi</v>
      </c>
      <c r="Y417" s="30">
        <f>IF(D417=0,,IF(ISBLANK(Q417),,VLOOKUP(X417,Week10,2,FALSE)/(VLOOKUP(X417,Week10,2,FALSE)+VLOOKUP(W417,Week10,2,FALSE))+0.05)*100)</f>
        <v>58.23908866</v>
      </c>
      <c r="Z417" s="3" t="s">
        <v>129</v>
      </c>
      <c r="AA417" s="3">
        <v>59.0</v>
      </c>
      <c r="AB417" s="4" t="str">
        <f t="shared" si="20"/>
        <v>South Carolina</v>
      </c>
      <c r="AC417" s="3">
        <v>42.0</v>
      </c>
      <c r="AD417" s="3"/>
      <c r="AE417" s="3">
        <f t="shared" si="13"/>
        <v>17</v>
      </c>
      <c r="AF417" s="3"/>
      <c r="AG417" s="3">
        <f t="shared" si="133"/>
        <v>1</v>
      </c>
      <c r="AH417" s="3"/>
      <c r="AI417" s="7"/>
      <c r="AJ417" s="4"/>
      <c r="AK417" s="7"/>
      <c r="AL417" s="7"/>
      <c r="AM417" s="7"/>
      <c r="AN417" s="7"/>
      <c r="AO417" s="7"/>
      <c r="AP417" s="7"/>
      <c r="AQ417" s="7"/>
      <c r="AR417" s="7"/>
      <c r="AS417" s="7"/>
      <c r="AT417" s="7"/>
      <c r="AU417" s="7"/>
      <c r="AV417" s="7"/>
      <c r="AW417" s="7"/>
      <c r="AX417" s="7"/>
    </row>
    <row r="418" ht="12.75" hidden="1" customHeight="1">
      <c r="A418" s="3">
        <v>9.0</v>
      </c>
      <c r="B418" s="3" t="s">
        <v>105</v>
      </c>
      <c r="C418" s="3" t="s">
        <v>124</v>
      </c>
      <c r="D418" s="4">
        <f>IFERROR(VLOOKUP(B418,Week8,2,FALSE),0)</f>
        <v>32.53</v>
      </c>
      <c r="E418" s="4">
        <f>IF(ISBLANK(B418),,IFERROR(VLOOKUP(B418,CurrentRank!$B$2:$C$132,2,FALSE),0))</f>
        <v>32.43</v>
      </c>
      <c r="F418" s="4">
        <f>IFERROR(VLOOKUP(B418,Week8,3,FALSE),130)</f>
        <v>68</v>
      </c>
      <c r="G418" s="4">
        <f>IF(ISBLANK(B418),,IFERROR(VLOOKUP(B418,CurrentRank!$B$2:$D$132,3,FALSE),130))</f>
        <v>90</v>
      </c>
      <c r="H418" s="4">
        <f>IFERROR(VLOOKUP(C418,Week8,2,FALSE),0)</f>
        <v>37.01</v>
      </c>
      <c r="I418" s="4">
        <f>IF(ISBLANK(B418),,IFERROR(VLOOKUP(C418,CurrentRank!$B$2:$C$132,2,FALSE),0))</f>
        <v>33.33</v>
      </c>
      <c r="J418" s="4">
        <f>IFERROR(VLOOKUP(C418,Week8,3,FALSE),130)</f>
        <v>49</v>
      </c>
      <c r="K418" s="4">
        <f>IF(ISBLANK(C418),,IFERROR(VLOOKUP(C418,CurrentRank!$B$2:$D$132,3,FALSE),130))</f>
        <v>83</v>
      </c>
      <c r="L418" s="19">
        <f t="shared" si="180"/>
        <v>1.0431</v>
      </c>
      <c r="M418" s="19">
        <f t="shared" si="181"/>
        <v>0.9864</v>
      </c>
      <c r="N418" s="24">
        <f t="shared" si="140"/>
        <v>58.5</v>
      </c>
      <c r="O418" s="21">
        <f t="shared" si="4"/>
        <v>-2.76155</v>
      </c>
      <c r="P418" s="21">
        <f t="shared" si="162"/>
        <v>-0.97155</v>
      </c>
      <c r="Q418" s="22">
        <f t="shared" si="6"/>
        <v>0.69369225</v>
      </c>
      <c r="R418" s="25" t="str">
        <f t="shared" si="7"/>
        <v>D+</v>
      </c>
      <c r="S418" s="19">
        <f t="shared" si="8"/>
        <v>0.6025</v>
      </c>
      <c r="T418" s="19" t="str">
        <f t="shared" si="9"/>
        <v>D-</v>
      </c>
      <c r="U418" s="3" t="s">
        <v>203</v>
      </c>
      <c r="V418" s="4" t="str">
        <f>IF(ISBLANK(C418),,IFERROR(IF(VLOOKUP(B418,Standings!$A:$F, 6, 0)=VLOOKUP(C418,Standings!$A:$F, 6, 0), VLOOKUP(B418,Standings!$A:$F, 6, 0), "Non-con"), "FCS"))</f>
        <v>CUSA</v>
      </c>
      <c r="W418" s="3" t="str">
        <f t="shared" si="10"/>
        <v>Texas-San Antonio</v>
      </c>
      <c r="X418" s="3" t="str">
        <f t="shared" si="11"/>
        <v>Florida Atlantic</v>
      </c>
      <c r="Y418" s="30">
        <f>IF(D418=0,,IF(ISBLANK(Q418),,VLOOKUP(X418,Week8,2,FALSE)/(VLOOKUP(X418,Week8,2,FALSE)+VLOOKUP(W418,Week8,2,FALSE))+0.05)*100)</f>
        <v>58.22116767</v>
      </c>
      <c r="Z418" s="3" t="s">
        <v>124</v>
      </c>
      <c r="AA418" s="3">
        <v>24.0</v>
      </c>
      <c r="AB418" s="4" t="str">
        <f t="shared" si="20"/>
        <v>Texas-San Antonio</v>
      </c>
      <c r="AC418" s="3">
        <v>3.0</v>
      </c>
      <c r="AD418" s="3"/>
      <c r="AE418" s="3">
        <f t="shared" si="13"/>
        <v>21</v>
      </c>
      <c r="AF418" s="3"/>
      <c r="AG418" s="3">
        <f t="shared" si="133"/>
        <v>1</v>
      </c>
      <c r="AH418" s="3"/>
      <c r="AI418" s="7"/>
      <c r="AJ418" s="4"/>
      <c r="AK418" s="7"/>
      <c r="AL418" s="7"/>
      <c r="AM418" s="7"/>
      <c r="AN418" s="7"/>
      <c r="AO418" s="7"/>
      <c r="AP418" s="7"/>
      <c r="AQ418" s="7"/>
      <c r="AR418" s="7"/>
      <c r="AS418" s="7"/>
      <c r="AT418" s="7"/>
      <c r="AU418" s="7"/>
      <c r="AV418" s="7"/>
      <c r="AW418" s="7"/>
      <c r="AX418" s="7"/>
    </row>
    <row r="419" ht="12.75" hidden="1" customHeight="1">
      <c r="A419" s="3">
        <v>14.0</v>
      </c>
      <c r="B419" s="3" t="s">
        <v>110</v>
      </c>
      <c r="C419" s="3" t="s">
        <v>114</v>
      </c>
      <c r="D419" s="4">
        <f>IFERROR(VLOOKUP(B419,Week13,2,FALSE),0)</f>
        <v>32.63</v>
      </c>
      <c r="E419" s="4">
        <f>IF(ISBLANK(B419),,IFERROR(VLOOKUP(B419,CurrentRank!$B$2:$C$132,2,FALSE),0))</f>
        <v>20.47</v>
      </c>
      <c r="F419" s="4">
        <f>IFERROR(VLOOKUP(B419,Week13,3,FALSE),130)</f>
        <v>81</v>
      </c>
      <c r="G419" s="4">
        <f>IF(ISBLANK(B419),,IFERROR(VLOOKUP(B419,CurrentRank!$B$2:$D$132,3,FALSE),130))</f>
        <v>128</v>
      </c>
      <c r="H419" s="4">
        <f>IFERROR(VLOOKUP(C419,Week13,2,FALSE),0)</f>
        <v>28.72</v>
      </c>
      <c r="I419" s="4">
        <f>IF(ISBLANK(B419),,IFERROR(VLOOKUP(C419,CurrentRank!$B$2:$C$132,2,FALSE),0))</f>
        <v>29.9</v>
      </c>
      <c r="J419" s="4">
        <f>IFERROR(VLOOKUP(C419,Week13,3,FALSE),130)</f>
        <v>118</v>
      </c>
      <c r="K419" s="4">
        <f>IF(ISBLANK(C419),,IFERROR(VLOOKUP(C419,CurrentRank!$B$2:$D$132,3,FALSE),130))</f>
        <v>110</v>
      </c>
      <c r="L419" s="19">
        <f t="shared" si="180"/>
        <v>0.92025</v>
      </c>
      <c r="M419" s="19">
        <f t="shared" si="181"/>
        <v>0.75555</v>
      </c>
      <c r="N419" s="24">
        <f t="shared" si="140"/>
        <v>99.5</v>
      </c>
      <c r="O419" s="21">
        <f t="shared" si="4"/>
        <v>1.494875</v>
      </c>
      <c r="P419" s="21">
        <f t="shared" si="162"/>
        <v>-5.175125</v>
      </c>
      <c r="Q419" s="22">
        <f t="shared" si="6"/>
        <v>0.495025625</v>
      </c>
      <c r="R419" s="25" t="str">
        <f t="shared" si="7"/>
        <v>F</v>
      </c>
      <c r="S419" s="19">
        <f t="shared" si="8"/>
        <v>0.4475</v>
      </c>
      <c r="T419" s="19" t="str">
        <f t="shared" si="9"/>
        <v>F</v>
      </c>
      <c r="U419" s="3" t="s">
        <v>203</v>
      </c>
      <c r="V419" s="4" t="str">
        <f>IF(ISBLANK(C419),,IFERROR(IF(VLOOKUP(B419,Standings!$A:$F, 6, 0)=VLOOKUP(C419,Standings!$A:$F, 6, 0), VLOOKUP(B419,Standings!$A:$F, 6, 0), "Non-con"), "FCS"))</f>
        <v>CUSA</v>
      </c>
      <c r="W419" s="3" t="str">
        <f t="shared" si="10"/>
        <v>North Texas</v>
      </c>
      <c r="X419" s="3" t="str">
        <f t="shared" si="11"/>
        <v>Louisiana Tech</v>
      </c>
      <c r="Y419" s="30">
        <f>IF(D419=0,,IF(ISBLANK(Q419),,VLOOKUP(X419,Week13,2,FALSE)/(VLOOKUP(X419,Week13,2,FALSE)+VLOOKUP(W419,Week13,2,FALSE))+0.05)*100)</f>
        <v>58.18663407</v>
      </c>
      <c r="Z419" s="3" t="s">
        <v>110</v>
      </c>
      <c r="AA419" s="3">
        <v>42.0</v>
      </c>
      <c r="AB419" s="4" t="str">
        <f t="shared" si="20"/>
        <v>North Texas</v>
      </c>
      <c r="AC419" s="3">
        <v>31.0</v>
      </c>
      <c r="AD419" s="3"/>
      <c r="AE419" s="3">
        <f t="shared" si="13"/>
        <v>11</v>
      </c>
      <c r="AF419" s="3"/>
      <c r="AG419" s="3">
        <f t="shared" si="133"/>
        <v>1</v>
      </c>
      <c r="AH419" s="3"/>
      <c r="AI419" s="7"/>
      <c r="AJ419" s="4" t="s">
        <v>169</v>
      </c>
      <c r="AK419" s="7"/>
      <c r="AL419" s="7"/>
      <c r="AM419" s="7"/>
      <c r="AN419" s="7"/>
      <c r="AO419" s="7"/>
      <c r="AP419" s="7"/>
      <c r="AQ419" s="7"/>
      <c r="AR419" s="7"/>
      <c r="AS419" s="7"/>
      <c r="AT419" s="7"/>
      <c r="AU419" s="7"/>
      <c r="AV419" s="7"/>
      <c r="AW419" s="7"/>
      <c r="AX419" s="7"/>
    </row>
    <row r="420" ht="12.75" customHeight="1">
      <c r="A420" s="3">
        <v>14.0</v>
      </c>
      <c r="B420" s="3" t="s">
        <v>133</v>
      </c>
      <c r="C420" s="3" t="s">
        <v>173</v>
      </c>
      <c r="D420" s="4">
        <f>IFERROR(VLOOKUP(B420,Week13,2,FALSE),0)</f>
        <v>35.46</v>
      </c>
      <c r="E420" s="4">
        <f>IF(ISBLANK(B420),,IFERROR(VLOOKUP(B420,CurrentRank!$B$2:$C$132,2,FALSE),0))</f>
        <v>34.63</v>
      </c>
      <c r="F420" s="4">
        <f>IFERROR(VLOOKUP(B420,Week13,3,FALSE),130)</f>
        <v>57</v>
      </c>
      <c r="G420" s="4">
        <f>IF(ISBLANK(B420),,IFERROR(VLOOKUP(B420,CurrentRank!$B$2:$D$132,3,FALSE),130))</f>
        <v>69</v>
      </c>
      <c r="H420" s="4">
        <f>IFERROR(VLOOKUP(C420,Week13,2,FALSE),0)</f>
        <v>33.59</v>
      </c>
      <c r="I420" s="4">
        <f>IF(ISBLANK(B420),,IFERROR(VLOOKUP(C420,CurrentRank!$B$2:$C$132,2,FALSE),0))</f>
        <v>34.13</v>
      </c>
      <c r="J420" s="4">
        <f>IFERROR(VLOOKUP(C420,Week13,3,FALSE),130)</f>
        <v>73</v>
      </c>
      <c r="K420" s="4">
        <f>IF(ISBLANK(C420),,IFERROR(VLOOKUP(C420,CurrentRank!$B$2:$D$132,3,FALSE),130))</f>
        <v>73</v>
      </c>
      <c r="L420" s="19">
        <f t="shared" si="180"/>
        <v>1.03575</v>
      </c>
      <c r="M420" s="19">
        <f t="shared" si="181"/>
        <v>1.0314</v>
      </c>
      <c r="N420" s="24">
        <f t="shared" si="140"/>
        <v>65</v>
      </c>
      <c r="O420" s="21">
        <f t="shared" si="4"/>
        <v>0.417125</v>
      </c>
      <c r="P420" s="21">
        <f t="shared" si="162"/>
        <v>-0.267875</v>
      </c>
      <c r="Q420" s="22">
        <f t="shared" si="6"/>
        <v>0.672914375</v>
      </c>
      <c r="R420" s="25" t="str">
        <f t="shared" si="7"/>
        <v>D+</v>
      </c>
      <c r="S420" s="19">
        <f t="shared" si="8"/>
        <v>0.615</v>
      </c>
      <c r="T420" s="19" t="str">
        <f t="shared" si="9"/>
        <v>D-</v>
      </c>
      <c r="U420" s="3" t="s">
        <v>203</v>
      </c>
      <c r="V420" s="4" t="str">
        <f>IF(ISBLANK(C420),,IFERROR(IF(VLOOKUP(B420,Standings!$A:$F, 6, 0)=VLOOKUP(C420,Standings!$A:$F, 6, 0), VLOOKUP(B420,Standings!$A:$F, 6, 0), "Non-con"), "FCS"))</f>
        <v>MWC</v>
      </c>
      <c r="W420" s="3" t="str">
        <f t="shared" si="10"/>
        <v>San Diego State</v>
      </c>
      <c r="X420" s="3" t="str">
        <f t="shared" si="11"/>
        <v>Colorado State</v>
      </c>
      <c r="Y420" s="30">
        <f>IF(D420=0,,IF(ISBLANK(Q420),,VLOOKUP(X420,Week13,2,FALSE)/(VLOOKUP(X420,Week13,2,FALSE)+VLOOKUP(W420,Week13,2,FALSE))+0.05)*100)</f>
        <v>56.35409124</v>
      </c>
      <c r="Z420" s="3" t="s">
        <v>173</v>
      </c>
      <c r="AA420" s="3">
        <v>29.0</v>
      </c>
      <c r="AB420" s="4" t="str">
        <f t="shared" si="20"/>
        <v>Colorado State</v>
      </c>
      <c r="AC420" s="3">
        <v>17.0</v>
      </c>
      <c r="AD420" s="3"/>
      <c r="AE420" s="3">
        <f t="shared" si="13"/>
        <v>12</v>
      </c>
      <c r="AF420" s="3"/>
      <c r="AG420" s="3">
        <f t="shared" si="133"/>
        <v>0</v>
      </c>
      <c r="AH420" s="3"/>
      <c r="AI420" s="7"/>
      <c r="AJ420" s="4"/>
      <c r="AK420" s="7"/>
      <c r="AL420" s="7"/>
      <c r="AM420" s="7"/>
      <c r="AN420" s="7"/>
      <c r="AO420" s="7"/>
      <c r="AP420" s="7"/>
      <c r="AQ420" s="7"/>
      <c r="AR420" s="7"/>
      <c r="AS420" s="7"/>
      <c r="AT420" s="7"/>
      <c r="AU420" s="7"/>
      <c r="AV420" s="7"/>
      <c r="AW420" s="7"/>
      <c r="AX420" s="7"/>
    </row>
    <row r="421" ht="12.75" customHeight="1">
      <c r="A421" s="3">
        <v>14.0</v>
      </c>
      <c r="B421" s="3" t="s">
        <v>60</v>
      </c>
      <c r="C421" s="3" t="s">
        <v>103</v>
      </c>
      <c r="D421" s="4">
        <f>IFERROR(VLOOKUP(B421,Week13,2,FALSE),0)</f>
        <v>37.02</v>
      </c>
      <c r="E421" s="4">
        <f>IF(ISBLANK(B421),,IFERROR(VLOOKUP(B421,CurrentRank!$B$2:$C$132,2,FALSE),0))</f>
        <v>35.34</v>
      </c>
      <c r="F421" s="4">
        <f>IFERROR(VLOOKUP(B421,Week13,3,FALSE),130)</f>
        <v>46</v>
      </c>
      <c r="G421" s="4">
        <f>IF(ISBLANK(B421),,IFERROR(VLOOKUP(B421,CurrentRank!$B$2:$D$132,3,FALSE),130))</f>
        <v>61</v>
      </c>
      <c r="H421" s="4">
        <f>IFERROR(VLOOKUP(C421,Week13,2,FALSE),0)</f>
        <v>32.72</v>
      </c>
      <c r="I421" s="4">
        <f>IF(ISBLANK(B421),,IFERROR(VLOOKUP(C421,CurrentRank!$B$2:$C$132,2,FALSE),0))</f>
        <v>34.42</v>
      </c>
      <c r="J421" s="4">
        <f>IFERROR(VLOOKUP(C421,Week13,3,FALSE),130)</f>
        <v>80</v>
      </c>
      <c r="K421" s="4">
        <f>IF(ISBLANK(C421),,IFERROR(VLOOKUP(C421,CurrentRank!$B$2:$D$132,3,FALSE),130))</f>
        <v>70</v>
      </c>
      <c r="L421" s="19">
        <f t="shared" si="180"/>
        <v>1.0461</v>
      </c>
      <c r="M421" s="19">
        <f t="shared" si="181"/>
        <v>1.0464</v>
      </c>
      <c r="N421" s="24">
        <f t="shared" si="140"/>
        <v>63</v>
      </c>
      <c r="O421" s="21">
        <f t="shared" si="4"/>
        <v>1.62695</v>
      </c>
      <c r="P421" s="21">
        <f t="shared" si="162"/>
        <v>-0.06305</v>
      </c>
      <c r="Q421" s="22">
        <f t="shared" si="6"/>
        <v>0.67686525</v>
      </c>
      <c r="R421" s="25" t="str">
        <f t="shared" si="7"/>
        <v>D+</v>
      </c>
      <c r="S421" s="19">
        <f t="shared" si="8"/>
        <v>0.615</v>
      </c>
      <c r="T421" s="19" t="str">
        <f t="shared" si="9"/>
        <v>D-</v>
      </c>
      <c r="U421" s="3" t="s">
        <v>203</v>
      </c>
      <c r="V421" s="4" t="str">
        <f>IF(ISBLANK(C421),,IFERROR(IF(VLOOKUP(B421,Standings!$A:$F, 6, 0)=VLOOKUP(C421,Standings!$A:$F, 6, 0), VLOOKUP(B421,Standings!$A:$F, 6, 0), "Non-con"), "FCS"))</f>
        <v>AAC</v>
      </c>
      <c r="W421" s="3" t="str">
        <f t="shared" si="10"/>
        <v>Tulane</v>
      </c>
      <c r="X421" s="3" t="str">
        <f t="shared" si="11"/>
        <v>Memphis</v>
      </c>
      <c r="Y421" s="30">
        <f>IF(D421=0,,IF(ISBLANK(Q421),,VLOOKUP(X421,Week13,2,FALSE)/(VLOOKUP(X421,Week13,2,FALSE)+VLOOKUP(W421,Week13,2,FALSE))+0.05)*100)</f>
        <v>58.08287927</v>
      </c>
      <c r="Z421" s="3" t="s">
        <v>103</v>
      </c>
      <c r="AA421" s="3">
        <v>35.0</v>
      </c>
      <c r="AB421" s="4" t="str">
        <f t="shared" si="20"/>
        <v>Memphis</v>
      </c>
      <c r="AC421" s="3">
        <v>21.0</v>
      </c>
      <c r="AD421" s="3"/>
      <c r="AE421" s="3">
        <f t="shared" si="13"/>
        <v>14</v>
      </c>
      <c r="AF421" s="3"/>
      <c r="AG421" s="3">
        <f t="shared" si="133"/>
        <v>0</v>
      </c>
      <c r="AH421" s="3"/>
      <c r="AI421" s="7"/>
      <c r="AJ421" s="4"/>
      <c r="AK421" s="7"/>
      <c r="AL421" s="7"/>
      <c r="AM421" s="7"/>
      <c r="AN421" s="7"/>
      <c r="AO421" s="7"/>
      <c r="AP421" s="7"/>
      <c r="AQ421" s="7"/>
      <c r="AR421" s="7"/>
      <c r="AS421" s="7"/>
      <c r="AT421" s="7"/>
      <c r="AU421" s="7"/>
      <c r="AV421" s="7"/>
      <c r="AW421" s="7"/>
      <c r="AX421" s="7"/>
    </row>
    <row r="422" ht="12.75" hidden="1" customHeight="1">
      <c r="A422" s="3">
        <v>10.0</v>
      </c>
      <c r="B422" s="3" t="s">
        <v>181</v>
      </c>
      <c r="C422" s="3" t="s">
        <v>81</v>
      </c>
      <c r="D422" s="4">
        <f>IFERROR(VLOOKUP(B422,Week9,2,FALSE),0)</f>
        <v>24.24</v>
      </c>
      <c r="E422" s="4">
        <f>IF(ISBLANK(B422),,IFERROR(VLOOKUP(B422,CurrentRank!$B$2:$C$132,2,FALSE),0))</f>
        <v>25.47</v>
      </c>
      <c r="F422" s="4">
        <f>IFERROR(VLOOKUP(B422,Week9,3,FALSE),130)</f>
        <v>126</v>
      </c>
      <c r="G422" s="4">
        <f>IF(ISBLANK(B422),,IFERROR(VLOOKUP(B422,CurrentRank!$B$2:$D$132,3,FALSE),130))</f>
        <v>125</v>
      </c>
      <c r="H422" s="4">
        <f>IFERROR(VLOOKUP(C422,Week9,2,FALSE),0)</f>
        <v>27.43</v>
      </c>
      <c r="I422" s="4">
        <f>IF(ISBLANK(B422),,IFERROR(VLOOKUP(C422,CurrentRank!$B$2:$C$132,2,FALSE),0))</f>
        <v>33.91</v>
      </c>
      <c r="J422" s="4">
        <f>IFERROR(VLOOKUP(C422,Week9,3,FALSE),130)</f>
        <v>119</v>
      </c>
      <c r="K422" s="4">
        <f>IF(ISBLANK(C422),,IFERROR(VLOOKUP(C422,CurrentRank!$B$2:$D$132,3,FALSE),130))</f>
        <v>75</v>
      </c>
      <c r="L422" s="19">
        <f t="shared" si="180"/>
        <v>0.77505</v>
      </c>
      <c r="M422" s="19">
        <f t="shared" si="181"/>
        <v>0.8907</v>
      </c>
      <c r="N422" s="24">
        <f t="shared" si="140"/>
        <v>122.5</v>
      </c>
      <c r="O422" s="21">
        <f t="shared" si="4"/>
        <v>-1.982525</v>
      </c>
      <c r="P422" s="21">
        <f t="shared" si="162"/>
        <v>-4.607525</v>
      </c>
      <c r="Q422" s="22">
        <f t="shared" si="6"/>
        <v>0.377587375</v>
      </c>
      <c r="R422" s="25" t="str">
        <f t="shared" si="7"/>
        <v>F</v>
      </c>
      <c r="S422" s="19">
        <f t="shared" si="8"/>
        <v>0.3525</v>
      </c>
      <c r="T422" s="19" t="str">
        <f t="shared" si="9"/>
        <v>F</v>
      </c>
      <c r="U422" s="3" t="s">
        <v>203</v>
      </c>
      <c r="V422" s="4" t="str">
        <f>IF(ISBLANK(C422),,IFERROR(IF(VLOOKUP(B422,Standings!$A:$F, 6, 0)=VLOOKUP(C422,Standings!$A:$F, 6, 0), VLOOKUP(B422,Standings!$A:$F, 6, 0), "Non-con"), "FCS"))</f>
        <v>SEC</v>
      </c>
      <c r="W422" s="3" t="str">
        <f t="shared" si="10"/>
        <v>Vanderbilt</v>
      </c>
      <c r="X422" s="3" t="str">
        <f t="shared" si="11"/>
        <v>Mississippi State</v>
      </c>
      <c r="Y422" s="30">
        <f>IF(D422=0,,IF(ISBLANK(Q422),,VLOOKUP(X422,Week9,2,FALSE)/(VLOOKUP(X422,Week9,2,FALSE)+VLOOKUP(W422,Week9,2,FALSE))+0.05)*100)</f>
        <v>58.08689762</v>
      </c>
      <c r="Z422" s="3" t="s">
        <v>81</v>
      </c>
      <c r="AA422" s="3">
        <v>24.0</v>
      </c>
      <c r="AB422" s="4" t="str">
        <f t="shared" si="20"/>
        <v>Vanderbilt</v>
      </c>
      <c r="AC422" s="3">
        <v>17.0</v>
      </c>
      <c r="AD422" s="3"/>
      <c r="AE422" s="3">
        <f t="shared" si="13"/>
        <v>7</v>
      </c>
      <c r="AF422" s="3"/>
      <c r="AG422" s="3">
        <f t="shared" si="133"/>
        <v>1</v>
      </c>
      <c r="AH422" s="3"/>
      <c r="AI422" s="7"/>
      <c r="AJ422" s="4"/>
      <c r="AK422" s="3" t="s">
        <v>61</v>
      </c>
      <c r="AL422" s="44" t="s">
        <v>271</v>
      </c>
      <c r="AM422" s="7"/>
      <c r="AN422" s="7"/>
      <c r="AO422" s="7"/>
      <c r="AP422" s="7"/>
      <c r="AQ422" s="7"/>
      <c r="AR422" s="7"/>
      <c r="AS422" s="7"/>
      <c r="AT422" s="7"/>
      <c r="AU422" s="7"/>
      <c r="AV422" s="7"/>
      <c r="AW422" s="7"/>
      <c r="AX422" s="7"/>
    </row>
    <row r="423" ht="12.75" customHeight="1">
      <c r="A423" s="3">
        <v>5.0</v>
      </c>
      <c r="B423" s="3" t="s">
        <v>118</v>
      </c>
      <c r="C423" s="3" t="s">
        <v>81</v>
      </c>
      <c r="D423" s="4">
        <f>IFERROR(VLOOKUP(B423,Week4,2,FALSE),0)</f>
        <v>22.36</v>
      </c>
      <c r="E423" s="4">
        <f>IF(ISBLANK(B423),,IFERROR(VLOOKUP(B423,CurrentRank!$B$2:$C$132,2,FALSE),0))</f>
        <v>35.17</v>
      </c>
      <c r="F423" s="4">
        <f>IFERROR(VLOOKUP(B423,Week4,3,FALSE),130)</f>
        <v>128</v>
      </c>
      <c r="G423" s="4">
        <f>IF(ISBLANK(B423),,IFERROR(VLOOKUP(B423,CurrentRank!$B$2:$D$132,3,FALSE),130))</f>
        <v>65</v>
      </c>
      <c r="H423" s="4">
        <f>IFERROR(VLOOKUP(C423,Week4,2,FALSE),0)</f>
        <v>67.57</v>
      </c>
      <c r="I423" s="4">
        <f>IF(ISBLANK(B423),,IFERROR(VLOOKUP(C423,CurrentRank!$B$2:$C$132,2,FALSE),0))</f>
        <v>33.91</v>
      </c>
      <c r="J423" s="4">
        <f>IFERROR(VLOOKUP(C423,Week4,3,FALSE),130)</f>
        <v>13</v>
      </c>
      <c r="K423" s="4">
        <f>IF(ISBLANK(C423),,IFERROR(VLOOKUP(C423,CurrentRank!$B$2:$D$132,3,FALSE),130))</f>
        <v>75</v>
      </c>
      <c r="L423" s="19">
        <f t="shared" si="180"/>
        <v>1.34895</v>
      </c>
      <c r="M423" s="19">
        <f t="shared" si="181"/>
        <v>1.0362</v>
      </c>
      <c r="N423" s="24">
        <f t="shared" si="140"/>
        <v>70.5</v>
      </c>
      <c r="O423" s="21">
        <f t="shared" si="4"/>
        <v>-23.279475</v>
      </c>
      <c r="P423" s="21">
        <f t="shared" si="162"/>
        <v>-0.044475</v>
      </c>
      <c r="Q423" s="22">
        <f t="shared" si="6"/>
        <v>0.531102625</v>
      </c>
      <c r="R423" s="25" t="str">
        <f t="shared" si="7"/>
        <v>F</v>
      </c>
      <c r="S423" s="19">
        <f t="shared" si="8"/>
        <v>0.6125</v>
      </c>
      <c r="T423" s="19" t="str">
        <f t="shared" si="9"/>
        <v>D-</v>
      </c>
      <c r="U423" s="3" t="s">
        <v>203</v>
      </c>
      <c r="V423" s="4" t="str">
        <f>IF(ISBLANK(C423),,IFERROR(IF(VLOOKUP(B423,Standings!$A:$F, 6, 0)=VLOOKUP(C423,Standings!$A:$F, 6, 0), VLOOKUP(B423,Standings!$A:$F, 6, 0), "Non-con"), "FCS"))</f>
        <v>SEC</v>
      </c>
      <c r="W423" s="3" t="str">
        <f t="shared" si="10"/>
        <v>Arkansas</v>
      </c>
      <c r="X423" s="3" t="str">
        <f t="shared" si="11"/>
        <v>Mississippi State</v>
      </c>
      <c r="Y423" s="30">
        <f>IF(D423=0,,IF(ISBLANK(Q423),,VLOOKUP(X423,Week4,2,FALSE)/(VLOOKUP(X423,Week4,2,FALSE)+VLOOKUP(W423,Week4,2,FALSE))+0.05)*100)</f>
        <v>80.13621706</v>
      </c>
      <c r="Z423" s="3" t="s">
        <v>118</v>
      </c>
      <c r="AA423" s="3">
        <v>21.0</v>
      </c>
      <c r="AB423" s="4" t="str">
        <f t="shared" si="20"/>
        <v>Mississippi State</v>
      </c>
      <c r="AC423" s="3">
        <v>14.0</v>
      </c>
      <c r="AD423" s="3"/>
      <c r="AE423" s="3">
        <f t="shared" si="13"/>
        <v>7</v>
      </c>
      <c r="AF423" s="3"/>
      <c r="AG423" s="3">
        <f t="shared" si="133"/>
        <v>0</v>
      </c>
      <c r="AH423" s="3"/>
      <c r="AI423" s="7"/>
      <c r="AJ423" s="4"/>
      <c r="AK423" s="7"/>
      <c r="AL423" s="7"/>
      <c r="AM423" s="7"/>
      <c r="AN423" s="7"/>
      <c r="AO423" s="7"/>
      <c r="AP423" s="7"/>
      <c r="AQ423" s="7"/>
      <c r="AR423" s="7"/>
      <c r="AS423" s="7"/>
      <c r="AT423" s="7"/>
      <c r="AU423" s="7"/>
      <c r="AV423" s="7"/>
      <c r="AW423" s="7"/>
      <c r="AX423" s="7"/>
    </row>
    <row r="424" ht="12.75" customHeight="1">
      <c r="A424" s="3">
        <v>7.0</v>
      </c>
      <c r="B424" s="3" t="s">
        <v>112</v>
      </c>
      <c r="C424" s="3" t="s">
        <v>93</v>
      </c>
      <c r="D424" s="4">
        <f>IFERROR(VLOOKUP(B424,Week6,2,FALSE),0)</f>
        <v>36.11</v>
      </c>
      <c r="E424" s="4">
        <f>IF(ISBLANK(B424),,IFERROR(VLOOKUP(B424,CurrentRank!$B$2:$C$132,2,FALSE),0))</f>
        <v>36.98</v>
      </c>
      <c r="F424" s="4">
        <f>IFERROR(VLOOKUP(B424,Week6,3,FALSE),130)</f>
        <v>51</v>
      </c>
      <c r="G424" s="4">
        <f>IF(ISBLANK(B424),,IFERROR(VLOOKUP(B424,CurrentRank!$B$2:$D$132,3,FALSE),130))</f>
        <v>46</v>
      </c>
      <c r="H424" s="4">
        <f>IFERROR(VLOOKUP(C424,Week6,2,FALSE),0)</f>
        <v>30.45</v>
      </c>
      <c r="I424" s="4">
        <f>IF(ISBLANK(B424),,IFERROR(VLOOKUP(C424,CurrentRank!$B$2:$C$132,2,FALSE),0))</f>
        <v>36.48</v>
      </c>
      <c r="J424" s="4">
        <f>IFERROR(VLOOKUP(C424,Week6,3,FALSE),130)</f>
        <v>70</v>
      </c>
      <c r="K424" s="4">
        <f>IF(ISBLANK(C424),,IFERROR(VLOOKUP(C424,CurrentRank!$B$2:$D$132,3,FALSE),130))</f>
        <v>52</v>
      </c>
      <c r="L424" s="19">
        <f t="shared" si="180"/>
        <v>0.9984</v>
      </c>
      <c r="M424" s="19">
        <f t="shared" si="181"/>
        <v>1.1019</v>
      </c>
      <c r="N424" s="24">
        <f t="shared" si="140"/>
        <v>60.5</v>
      </c>
      <c r="O424" s="21">
        <f t="shared" si="4"/>
        <v>2.3308</v>
      </c>
      <c r="P424" s="21">
        <f t="shared" si="162"/>
        <v>-0.2492</v>
      </c>
      <c r="Q424" s="22">
        <f t="shared" si="6"/>
        <v>0.685846</v>
      </c>
      <c r="R424" s="25" t="str">
        <f t="shared" si="7"/>
        <v>D+</v>
      </c>
      <c r="S424" s="19">
        <f t="shared" si="8"/>
        <v>0.6125</v>
      </c>
      <c r="T424" s="19" t="str">
        <f t="shared" si="9"/>
        <v>D-</v>
      </c>
      <c r="U424" s="3" t="s">
        <v>203</v>
      </c>
      <c r="V424" s="4" t="str">
        <f>IF(ISBLANK(C424),,IFERROR(IF(VLOOKUP(B424,Standings!$A:$F, 6, 0)=VLOOKUP(C424,Standings!$A:$F, 6, 0), VLOOKUP(B424,Standings!$A:$F, 6, 0), "Non-con"), "FCS"))</f>
        <v>ACC</v>
      </c>
      <c r="W424" s="3" t="str">
        <f t="shared" si="10"/>
        <v>Wake Forest</v>
      </c>
      <c r="X424" s="3" t="str">
        <f t="shared" si="11"/>
        <v>Virginia</v>
      </c>
      <c r="Y424" s="30">
        <f>IF(D424=0,,IF(ISBLANK(Q424),,VLOOKUP(X424,Week6,2,FALSE)/(VLOOKUP(X424,Week6,2,FALSE)+VLOOKUP(W424,Week6,2,FALSE))+0.05)*100)</f>
        <v>59.25180288</v>
      </c>
      <c r="Z424" s="3" t="s">
        <v>93</v>
      </c>
      <c r="AA424" s="3">
        <v>40.0</v>
      </c>
      <c r="AB424" s="4" t="str">
        <f t="shared" si="20"/>
        <v>Virginia</v>
      </c>
      <c r="AC424" s="3">
        <v>23.0</v>
      </c>
      <c r="AD424" s="3"/>
      <c r="AE424" s="3">
        <f t="shared" si="13"/>
        <v>17</v>
      </c>
      <c r="AF424" s="3"/>
      <c r="AG424" s="3">
        <f t="shared" si="133"/>
        <v>0</v>
      </c>
      <c r="AH424" s="3"/>
      <c r="AI424" s="7"/>
      <c r="AJ424" s="4"/>
      <c r="AK424" s="7"/>
      <c r="AL424" s="7"/>
      <c r="AM424" s="7"/>
      <c r="AN424" s="7"/>
      <c r="AO424" s="7"/>
      <c r="AP424" s="7"/>
      <c r="AQ424" s="7"/>
      <c r="AR424" s="7"/>
      <c r="AS424" s="7"/>
      <c r="AT424" s="7"/>
      <c r="AU424" s="7"/>
      <c r="AV424" s="7"/>
      <c r="AW424" s="7"/>
      <c r="AX424" s="7"/>
    </row>
    <row r="425" ht="12.75" hidden="1" customHeight="1">
      <c r="A425" s="3">
        <v>12.0</v>
      </c>
      <c r="B425" s="3" t="s">
        <v>182</v>
      </c>
      <c r="C425" s="3" t="s">
        <v>144</v>
      </c>
      <c r="D425" s="4">
        <f>IFERROR(VLOOKUP(B425,CurrentRank!$B$2:$C$132,2,FALSE),0)</f>
        <v>51.02</v>
      </c>
      <c r="E425" s="4">
        <f>IF(ISBLANK(B425),,IFERROR(VLOOKUP(B425,CurrentRank!$B$2:$C$132,2,FALSE),0))</f>
        <v>51.02</v>
      </c>
      <c r="F425" s="4">
        <f>IFERROR(VLOOKUP(B425,CurrentRank!$B$2:$D$132,3,FALSE),130)</f>
        <v>25</v>
      </c>
      <c r="G425" s="4">
        <f>IF(ISBLANK(B425),,IFERROR(VLOOKUP(B425,CurrentRank!$B$2:$D$132,3,FALSE),130))</f>
        <v>25</v>
      </c>
      <c r="H425" s="4">
        <f>IFERROR(VLOOKUP(C425,CurrentRank!$B$2:$C$132,2,FALSE),0)</f>
        <v>35.51</v>
      </c>
      <c r="I425" s="4">
        <f>IF(ISBLANK(B425),,IFERROR(VLOOKUP(C425,CurrentRank!$B$2:$C$132,2,FALSE),0))</f>
        <v>35.51</v>
      </c>
      <c r="J425" s="4">
        <f>IFERROR(VLOOKUP(C425,Week11,3,FALSE),130)</f>
        <v>43</v>
      </c>
      <c r="K425" s="4">
        <f>IFERROR(VLOOKUP(C425,CurrentRank!$B$2:$D$132,3,FALSE),130)</f>
        <v>58</v>
      </c>
      <c r="L425" s="19">
        <f t="shared" ref="L425:M425" si="182">IF(ISBLANK(C425),,(D425+H425)*0.015)</f>
        <v>1.29795</v>
      </c>
      <c r="M425" s="19">
        <f t="shared" si="182"/>
        <v>1.29795</v>
      </c>
      <c r="N425" s="24">
        <f>(F425+K425)/2</f>
        <v>41.5</v>
      </c>
      <c r="O425" s="21">
        <f t="shared" si="4"/>
        <v>7.106025</v>
      </c>
      <c r="P425" s="24">
        <f>(D425-(H425+L425))/2</f>
        <v>7.106025</v>
      </c>
      <c r="Q425" s="22">
        <f t="shared" si="6"/>
        <v>0.756969875</v>
      </c>
      <c r="R425" s="25" t="str">
        <f t="shared" si="7"/>
        <v>C</v>
      </c>
      <c r="S425" s="19" t="str">
        <f t="shared" si="8"/>
        <v/>
      </c>
      <c r="T425" s="19" t="str">
        <f t="shared" si="9"/>
        <v/>
      </c>
      <c r="U425" s="3" t="s">
        <v>203</v>
      </c>
      <c r="V425" s="4" t="str">
        <f>IFERROR(IF(VLOOKUP(B425,Standings!$A:$F, 6, 0)=VLOOKUP(C425,Standings!$A:$F, 6, 0), VLOOKUP(B425,Standings!$A:$F, 6, 0), "Non-con"), "FCS")</f>
        <v>MWC</v>
      </c>
      <c r="W425" s="3" t="str">
        <f t="shared" si="10"/>
        <v>Fresno State</v>
      </c>
      <c r="X425" s="3" t="str">
        <f t="shared" si="11"/>
        <v>San Jose State</v>
      </c>
      <c r="Y425" s="30">
        <f>IF(D425=0,,IF(ISBLANK(Q425),,VLOOKUP(X425,Week11,2,FALSE)/(VLOOKUP(X425,Week11,2,FALSE)+VLOOKUP(W425,Week11,2,FALSE))+0.05)*100)</f>
        <v>57.97689926</v>
      </c>
      <c r="Z425" s="3"/>
      <c r="AA425" s="3"/>
      <c r="AB425" s="4" t="str">
        <f t="shared" si="20"/>
        <v/>
      </c>
      <c r="AC425" s="3"/>
      <c r="AD425" s="3"/>
      <c r="AE425" s="3" t="str">
        <f t="shared" si="13"/>
        <v/>
      </c>
      <c r="AF425" s="3" t="s">
        <v>226</v>
      </c>
      <c r="AG425" s="3" t="str">
        <f t="shared" si="133"/>
        <v/>
      </c>
      <c r="AH425" s="3"/>
      <c r="AI425" s="7"/>
      <c r="AJ425" s="4"/>
      <c r="AK425" s="7"/>
      <c r="AL425" s="7"/>
      <c r="AM425" s="7"/>
      <c r="AN425" s="7"/>
      <c r="AO425" s="7"/>
      <c r="AP425" s="7"/>
      <c r="AQ425" s="7"/>
      <c r="AR425" s="7"/>
      <c r="AS425" s="7"/>
      <c r="AT425" s="7"/>
      <c r="AU425" s="7"/>
      <c r="AV425" s="7"/>
      <c r="AW425" s="7"/>
      <c r="AX425" s="7"/>
    </row>
    <row r="426" ht="12.75" customHeight="1">
      <c r="A426" s="3">
        <v>15.0</v>
      </c>
      <c r="B426" s="3" t="s">
        <v>196</v>
      </c>
      <c r="C426" s="3" t="s">
        <v>60</v>
      </c>
      <c r="D426" s="4">
        <f>IFERROR(VLOOKUP(B426,Week14,2,FALSE),0)</f>
        <v>35.29</v>
      </c>
      <c r="E426" s="4">
        <f>IF(ISBLANK(B426),,IFERROR(VLOOKUP(B426,CurrentRank!$B$2:$C$132,2,FALSE),0))</f>
        <v>33.03</v>
      </c>
      <c r="F426" s="4">
        <f>IFERROR(VLOOKUP(B426,Week14,3,FALSE),130)</f>
        <v>66</v>
      </c>
      <c r="G426" s="4">
        <f>IF(ISBLANK(B426),,IFERROR(VLOOKUP(B426,CurrentRank!$B$2:$D$132,3,FALSE),130))</f>
        <v>86</v>
      </c>
      <c r="H426" s="4">
        <f>IFERROR(VLOOKUP(C426,Week14,2,FALSE),0)</f>
        <v>33.87</v>
      </c>
      <c r="I426" s="4">
        <f>IF(ISBLANK(B426),,IFERROR(VLOOKUP(C426,CurrentRank!$B$2:$C$132,2,FALSE),0))</f>
        <v>35.34</v>
      </c>
      <c r="J426" s="4">
        <f>IFERROR(VLOOKUP(C426,Week14,3,FALSE),130)</f>
        <v>84</v>
      </c>
      <c r="K426" s="4">
        <f>IF(ISBLANK(C426),,IFERROR(VLOOKUP(C426,CurrentRank!$B$2:$D$132,3,FALSE),130))</f>
        <v>61</v>
      </c>
      <c r="L426" s="19">
        <f>IF(U426= "Yes", 0, IF(ISBLANK(C426),,(D426+H426)*0.015))</f>
        <v>1.0374</v>
      </c>
      <c r="M426" s="19">
        <f>IF(U426= "Yes", 0, IF(ISBLANK(D426),,(E426+I426)*0.015))</f>
        <v>1.02555</v>
      </c>
      <c r="N426" s="24">
        <f t="shared" ref="N426:N469" si="184">IF(ISBLANK(C426),,(F426+J426)/2)</f>
        <v>75</v>
      </c>
      <c r="O426" s="21">
        <f t="shared" si="4"/>
        <v>0.1913</v>
      </c>
      <c r="P426" s="21">
        <f t="shared" ref="P426:P469" si="185">IF(ISBLANK(C426),,(E426-(I426+L426))/2)</f>
        <v>-1.6737</v>
      </c>
      <c r="Q426" s="22">
        <f t="shared" si="6"/>
        <v>0.6240435</v>
      </c>
      <c r="R426" s="25" t="str">
        <f t="shared" si="7"/>
        <v>D-</v>
      </c>
      <c r="S426" s="19">
        <f t="shared" si="8"/>
        <v>0.61</v>
      </c>
      <c r="T426" s="19" t="str">
        <f t="shared" si="9"/>
        <v>D-</v>
      </c>
      <c r="U426" s="3" t="s">
        <v>203</v>
      </c>
      <c r="V426" s="4" t="str">
        <f>IF(ISBLANK(C426),,IFERROR(IF(VLOOKUP(B426,Standings!$A:$F, 6, 0)=VLOOKUP(C426,Standings!$A:$F, 6, 0), VLOOKUP(B426,Standings!$A:$F, 6, 0), "Non-con"), "FCS"))</f>
        <v>AAC</v>
      </c>
      <c r="W426" s="3" t="str">
        <f t="shared" si="10"/>
        <v>Memphis</v>
      </c>
      <c r="X426" s="3" t="str">
        <f t="shared" si="11"/>
        <v>Houston</v>
      </c>
      <c r="Y426" s="30">
        <f>IF(D426=0,,IF(ISBLANK(Q426),,VLOOKUP(X426,Week14,2,FALSE)/(VLOOKUP(X426,Week14,2,FALSE)+VLOOKUP(W426,Week14,2,FALSE))+0.05)*100)</f>
        <v>56.02660497</v>
      </c>
      <c r="Z426" s="3" t="s">
        <v>60</v>
      </c>
      <c r="AA426" s="3">
        <v>30.0</v>
      </c>
      <c r="AB426" s="4" t="str">
        <f t="shared" si="20"/>
        <v>Houston</v>
      </c>
      <c r="AC426" s="3">
        <v>27.0</v>
      </c>
      <c r="AD426" s="3"/>
      <c r="AE426" s="3">
        <f t="shared" si="13"/>
        <v>3</v>
      </c>
      <c r="AF426" s="3"/>
      <c r="AG426" s="3">
        <f t="shared" si="133"/>
        <v>0</v>
      </c>
      <c r="AH426" s="3"/>
      <c r="AI426" s="7"/>
      <c r="AJ426" s="4"/>
      <c r="AK426" s="7"/>
      <c r="AL426" s="7"/>
      <c r="AM426" s="7"/>
      <c r="AN426" s="7"/>
      <c r="AO426" s="7"/>
      <c r="AP426" s="7"/>
      <c r="AQ426" s="7"/>
      <c r="AR426" s="7"/>
      <c r="AS426" s="7"/>
      <c r="AT426" s="7"/>
      <c r="AU426" s="7"/>
      <c r="AV426" s="7"/>
      <c r="AW426" s="7"/>
      <c r="AX426" s="7"/>
    </row>
    <row r="427" ht="12.75" hidden="1" customHeight="1">
      <c r="A427" s="3">
        <v>13.0</v>
      </c>
      <c r="B427" s="3" t="s">
        <v>138</v>
      </c>
      <c r="C427" s="3" t="s">
        <v>158</v>
      </c>
      <c r="D427" s="4">
        <f>IFERROR(VLOOKUP(B427,Week12,2,FALSE),0)</f>
        <v>45.49</v>
      </c>
      <c r="E427" s="4">
        <f>IF(ISBLANK(B427),,IFERROR(VLOOKUP(B427,CurrentRank!$B$2:$C$132,2,FALSE),0))</f>
        <v>40.47</v>
      </c>
      <c r="F427" s="4">
        <f>IFERROR(VLOOKUP(B427,Week12,3,FALSE),130)</f>
        <v>26</v>
      </c>
      <c r="G427" s="4">
        <f>IF(ISBLANK(B427),,IFERROR(VLOOKUP(B427,CurrentRank!$B$2:$D$132,3,FALSE),130))</f>
        <v>33</v>
      </c>
      <c r="H427" s="4">
        <f>IFERROR(VLOOKUP(C427,Week12,2,FALSE),0)</f>
        <v>40.44</v>
      </c>
      <c r="I427" s="4">
        <f>IF(ISBLANK(B427),,IFERROR(VLOOKUP(C427,CurrentRank!$B$2:$C$132,2,FALSE),0))</f>
        <v>34.21</v>
      </c>
      <c r="J427" s="4">
        <f>IFERROR(VLOOKUP(C427,Week12,3,FALSE),130)</f>
        <v>37</v>
      </c>
      <c r="K427" s="4">
        <f>IF(ISBLANK(C427),,IFERROR(VLOOKUP(C427,CurrentRank!$B$2:$D$132,3,FALSE),130))</f>
        <v>72</v>
      </c>
      <c r="L427" s="19">
        <f t="shared" ref="L427:M427" si="183">IF(ISBLANK(C427),,(D427+H427)*0.015)</f>
        <v>1.28895</v>
      </c>
      <c r="M427" s="19">
        <f t="shared" si="183"/>
        <v>1.1202</v>
      </c>
      <c r="N427" s="24">
        <f t="shared" si="184"/>
        <v>31.5</v>
      </c>
      <c r="O427" s="24">
        <f t="shared" si="4"/>
        <v>1.880525</v>
      </c>
      <c r="P427" s="24">
        <f t="shared" si="185"/>
        <v>2.485525</v>
      </c>
      <c r="Q427" s="22">
        <f t="shared" si="6"/>
        <v>0.833097375</v>
      </c>
      <c r="R427" s="25" t="str">
        <f t="shared" si="7"/>
        <v>B</v>
      </c>
      <c r="S427" s="19" t="str">
        <f t="shared" si="8"/>
        <v/>
      </c>
      <c r="T427" s="19" t="str">
        <f t="shared" si="9"/>
        <v/>
      </c>
      <c r="U427" s="3" t="s">
        <v>203</v>
      </c>
      <c r="V427" s="4" t="str">
        <f>IF(ISBLANK(C427),,IFERROR(IF(VLOOKUP(B427,Standings!$A:$F, 6, 0)=VLOOKUP(C427,Standings!$A:$F, 6, 0), VLOOKUP(B427,Standings!$A:$F, 6, 0), "Non-con"), "FCS"))</f>
        <v>PAC12</v>
      </c>
      <c r="W427" s="3" t="str">
        <f t="shared" si="10"/>
        <v>Washington State</v>
      </c>
      <c r="X427" s="3" t="str">
        <f t="shared" si="11"/>
        <v>Washington</v>
      </c>
      <c r="Y427" s="30">
        <f>IF(D427=0,,IF(ISBLANK(Q427),,VLOOKUP(X427,Week12,2,FALSE)/(VLOOKUP(X427,Week12,2,FALSE)+VLOOKUP(W427,Week12,2,FALSE))+0.05)*100)</f>
        <v>57.93843826</v>
      </c>
      <c r="Z427" s="3"/>
      <c r="AA427" s="3"/>
      <c r="AB427" s="4" t="str">
        <f t="shared" si="20"/>
        <v/>
      </c>
      <c r="AC427" s="3"/>
      <c r="AD427" s="3"/>
      <c r="AE427" s="3" t="str">
        <f t="shared" si="13"/>
        <v/>
      </c>
      <c r="AF427" s="3" t="s">
        <v>226</v>
      </c>
      <c r="AG427" s="3" t="str">
        <f t="shared" si="133"/>
        <v/>
      </c>
      <c r="AH427" s="3"/>
      <c r="AI427" s="7"/>
      <c r="AJ427" s="4"/>
      <c r="AN427" s="7"/>
      <c r="AO427" s="7"/>
      <c r="AP427" s="7"/>
      <c r="AQ427" s="7"/>
      <c r="AR427" s="7"/>
      <c r="AS427" s="7"/>
      <c r="AT427" s="7"/>
      <c r="AU427" s="7"/>
      <c r="AV427" s="7"/>
      <c r="AW427" s="7"/>
      <c r="AX427" s="7"/>
    </row>
    <row r="428" ht="12.75" customHeight="1">
      <c r="A428" s="3">
        <v>6.0</v>
      </c>
      <c r="B428" s="3" t="s">
        <v>103</v>
      </c>
      <c r="C428" s="3" t="s">
        <v>196</v>
      </c>
      <c r="D428" s="4">
        <f>IFERROR(VLOOKUP(B428,Week5,2,FALSE),0)</f>
        <v>31.77</v>
      </c>
      <c r="E428" s="4">
        <f>IF(ISBLANK(B428),,IFERROR(VLOOKUP(B428,CurrentRank!$B$2:$C$132,2,FALSE),0))</f>
        <v>34.42</v>
      </c>
      <c r="F428" s="4">
        <f>IFERROR(VLOOKUP(B428,Week5,3,FALSE),130)</f>
        <v>58</v>
      </c>
      <c r="G428" s="4">
        <f>IF(ISBLANK(B428),,IFERROR(VLOOKUP(B428,CurrentRank!$B$2:$D$132,3,FALSE),130))</f>
        <v>70</v>
      </c>
      <c r="H428" s="4">
        <f>IFERROR(VLOOKUP(C428,Week5,2,FALSE),0)</f>
        <v>30.22</v>
      </c>
      <c r="I428" s="4">
        <f>IF(ISBLANK(B428),,IFERROR(VLOOKUP(C428,CurrentRank!$B$2:$C$132,2,FALSE),0))</f>
        <v>33.03</v>
      </c>
      <c r="J428" s="4">
        <f>IFERROR(VLOOKUP(C428,Week5,3,FALSE),130)</f>
        <v>63</v>
      </c>
      <c r="K428" s="4">
        <f>IF(ISBLANK(C428),,IFERROR(VLOOKUP(C428,CurrentRank!$B$2:$D$132,3,FALSE),130))</f>
        <v>86</v>
      </c>
      <c r="L428" s="19">
        <f t="shared" ref="L428:L429" si="186">IF(U428= "Yes", 0, IF(ISBLANK(C428),,(D428+H428)*0.015))</f>
        <v>0.92985</v>
      </c>
      <c r="M428" s="19">
        <f t="shared" ref="M428:M429" si="187">IF(U428= "Yes", 0, IF(ISBLANK(D428),,(E428+I428)*0.015))</f>
        <v>1.01175</v>
      </c>
      <c r="N428" s="24">
        <f t="shared" si="184"/>
        <v>60.5</v>
      </c>
      <c r="O428" s="21">
        <f t="shared" si="4"/>
        <v>0.310075</v>
      </c>
      <c r="P428" s="21">
        <f t="shared" si="185"/>
        <v>0.230075</v>
      </c>
      <c r="Q428" s="22">
        <f t="shared" si="6"/>
        <v>0.695949625</v>
      </c>
      <c r="R428" s="25" t="str">
        <f t="shared" si="7"/>
        <v>C-</v>
      </c>
      <c r="S428" s="19">
        <f t="shared" si="8"/>
        <v>0.6075</v>
      </c>
      <c r="T428" s="19" t="str">
        <f t="shared" si="9"/>
        <v>D-</v>
      </c>
      <c r="U428" s="3" t="s">
        <v>203</v>
      </c>
      <c r="V428" s="4" t="str">
        <f>IF(ISBLANK(C428),,IFERROR(IF(VLOOKUP(B428,Standings!$A:$F, 6, 0)=VLOOKUP(C428,Standings!$A:$F, 6, 0), VLOOKUP(B428,Standings!$A:$F, 6, 0), "Non-con"), "FCS"))</f>
        <v>AAC</v>
      </c>
      <c r="W428" s="3" t="str">
        <f t="shared" si="10"/>
        <v>Houston</v>
      </c>
      <c r="X428" s="3" t="str">
        <f t="shared" si="11"/>
        <v>Tulane</v>
      </c>
      <c r="Y428" s="30">
        <f>IF(D428=0,,IF(ISBLANK(Q428),,VLOOKUP(X428,Week5,2,FALSE)/(VLOOKUP(X428,Week5,2,FALSE)+VLOOKUP(W428,Week5,2,FALSE))+0.05)*100)</f>
        <v>56.25020165</v>
      </c>
      <c r="Z428" s="3" t="s">
        <v>196</v>
      </c>
      <c r="AA428" s="3">
        <v>49.0</v>
      </c>
      <c r="AB428" s="4" t="str">
        <f t="shared" si="20"/>
        <v>Tulane</v>
      </c>
      <c r="AC428" s="3">
        <v>31.0</v>
      </c>
      <c r="AD428" s="3"/>
      <c r="AE428" s="3">
        <f t="shared" si="13"/>
        <v>18</v>
      </c>
      <c r="AF428" s="3"/>
      <c r="AG428" s="3">
        <f t="shared" si="133"/>
        <v>0</v>
      </c>
      <c r="AH428" s="3"/>
      <c r="AI428" s="7"/>
      <c r="AJ428" s="4"/>
      <c r="AK428" s="7"/>
      <c r="AL428" s="7"/>
      <c r="AM428" s="7"/>
      <c r="AN428" s="7"/>
      <c r="AO428" s="7"/>
      <c r="AP428" s="7"/>
      <c r="AQ428" s="7"/>
      <c r="AR428" s="7"/>
      <c r="AS428" s="7"/>
      <c r="AT428" s="7"/>
      <c r="AU428" s="7"/>
      <c r="AV428" s="7"/>
      <c r="AW428" s="7"/>
      <c r="AX428" s="7"/>
    </row>
    <row r="429" ht="12.75" customHeight="1">
      <c r="A429" s="3">
        <v>3.0</v>
      </c>
      <c r="B429" s="3" t="s">
        <v>130</v>
      </c>
      <c r="C429" s="3" t="s">
        <v>103</v>
      </c>
      <c r="D429" s="4">
        <f>IFERROR(VLOOKUP(B429,Week2,2,FALSE),0)</f>
        <v>20.24</v>
      </c>
      <c r="E429" s="4">
        <f>IF(ISBLANK(B429),,IFERROR(VLOOKUP(B429,CurrentRank!$B$2:$C$132,2,FALSE),0))</f>
        <v>29.22</v>
      </c>
      <c r="F429" s="4">
        <f>IFERROR(VLOOKUP(B429,Week2,3,FALSE),130)</f>
        <v>126</v>
      </c>
      <c r="G429" s="4">
        <f>IF(ISBLANK(B429),,IFERROR(VLOOKUP(B429,CurrentRank!$B$2:$D$132,3,FALSE),130))</f>
        <v>116</v>
      </c>
      <c r="H429" s="4">
        <f>IFERROR(VLOOKUP(C429,Week2,2,FALSE),0)</f>
        <v>42.47</v>
      </c>
      <c r="I429" s="4">
        <f>IF(ISBLANK(B429),,IFERROR(VLOOKUP(C429,CurrentRank!$B$2:$C$132,2,FALSE),0))</f>
        <v>34.42</v>
      </c>
      <c r="J429" s="4">
        <f>IFERROR(VLOOKUP(C429,Week2,3,FALSE),130)</f>
        <v>26</v>
      </c>
      <c r="K429" s="4">
        <f>IF(ISBLANK(C429),,IFERROR(VLOOKUP(C429,CurrentRank!$B$2:$D$132,3,FALSE),130))</f>
        <v>70</v>
      </c>
      <c r="L429" s="19">
        <f t="shared" si="186"/>
        <v>0.94065</v>
      </c>
      <c r="M429" s="19">
        <f t="shared" si="187"/>
        <v>0.9546</v>
      </c>
      <c r="N429" s="24">
        <f t="shared" si="184"/>
        <v>76</v>
      </c>
      <c r="O429" s="21">
        <f t="shared" si="4"/>
        <v>-11.585325</v>
      </c>
      <c r="P429" s="21">
        <f t="shared" si="185"/>
        <v>-3.070325</v>
      </c>
      <c r="Q429" s="22">
        <f t="shared" si="6"/>
        <v>0.562073375</v>
      </c>
      <c r="R429" s="25" t="str">
        <f t="shared" si="7"/>
        <v>F</v>
      </c>
      <c r="S429" s="19">
        <f t="shared" si="8"/>
        <v>0.605</v>
      </c>
      <c r="T429" s="19" t="str">
        <f t="shared" si="9"/>
        <v>D-</v>
      </c>
      <c r="U429" s="3" t="s">
        <v>203</v>
      </c>
      <c r="V429" s="4" t="str">
        <f>IF(ISBLANK(C429),,IFERROR(IF(VLOOKUP(B429,Standings!$A:$F, 6, 0)=VLOOKUP(C429,Standings!$A:$F, 6, 0), VLOOKUP(B429,Standings!$A:$F, 6, 0), "Non-con"), "FCS"))</f>
        <v>AAC</v>
      </c>
      <c r="W429" s="3" t="str">
        <f t="shared" si="10"/>
        <v>Navy</v>
      </c>
      <c r="X429" s="3" t="str">
        <f t="shared" si="11"/>
        <v>Tulane</v>
      </c>
      <c r="Y429" s="30">
        <f>IF(D429=0,,IF(ISBLANK(Q429),,VLOOKUP(X429,Week2,2,FALSE)/(VLOOKUP(X429,Week2,2,FALSE)+VLOOKUP(W429,Week2,2,FALSE))+0.05)*100)</f>
        <v>72.72444586</v>
      </c>
      <c r="Z429" s="3" t="s">
        <v>130</v>
      </c>
      <c r="AA429" s="3">
        <v>27.0</v>
      </c>
      <c r="AB429" s="4" t="str">
        <f t="shared" si="20"/>
        <v>Tulane</v>
      </c>
      <c r="AC429" s="3">
        <v>24.0</v>
      </c>
      <c r="AD429" s="3"/>
      <c r="AE429" s="3">
        <f t="shared" si="13"/>
        <v>3</v>
      </c>
      <c r="AF429" s="3"/>
      <c r="AG429" s="3">
        <f t="shared" si="133"/>
        <v>0</v>
      </c>
      <c r="AH429" s="3"/>
      <c r="AI429" s="7"/>
      <c r="AJ429" s="4"/>
      <c r="AK429" s="7"/>
      <c r="AL429" s="7"/>
      <c r="AM429" s="7"/>
      <c r="AN429" s="7"/>
      <c r="AO429" s="7"/>
      <c r="AP429" s="7"/>
      <c r="AQ429" s="7"/>
      <c r="AR429" s="7"/>
      <c r="AS429" s="7"/>
      <c r="AT429" s="7"/>
      <c r="AU429" s="7"/>
      <c r="AV429" s="7"/>
      <c r="AW429" s="7"/>
      <c r="AX429" s="7"/>
    </row>
    <row r="430" ht="12.75" hidden="1" customHeight="1">
      <c r="A430" s="3">
        <v>15.0</v>
      </c>
      <c r="B430" s="3" t="s">
        <v>171</v>
      </c>
      <c r="C430" s="3" t="s">
        <v>158</v>
      </c>
      <c r="D430" s="4">
        <f>IFERROR(VLOOKUP(B430,Week14,2,FALSE),0)</f>
        <v>36.53</v>
      </c>
      <c r="E430" s="4">
        <f>IF(ISBLANK(B430),,IFERROR(VLOOKUP(B430,CurrentRank!$B$2:$C$132,2,FALSE),0))</f>
        <v>36.35</v>
      </c>
      <c r="F430" s="4">
        <f>IFERROR(VLOOKUP(B430,Week14,3,FALSE),130)</f>
        <v>51</v>
      </c>
      <c r="G430" s="4">
        <f>IF(ISBLANK(B430),,IFERROR(VLOOKUP(B430,CurrentRank!$B$2:$D$132,3,FALSE),130))</f>
        <v>53</v>
      </c>
      <c r="H430" s="4">
        <f>IFERROR(VLOOKUP(C430,Week14,2,FALSE),0)</f>
        <v>41.08</v>
      </c>
      <c r="I430" s="4">
        <f>IF(ISBLANK(B430),,IFERROR(VLOOKUP(C430,CurrentRank!$B$2:$C$132,2,FALSE),0))</f>
        <v>34.21</v>
      </c>
      <c r="J430" s="4">
        <f>IFERROR(VLOOKUP(C430,Week14,3,FALSE),130)</f>
        <v>33</v>
      </c>
      <c r="K430" s="4">
        <f>IF(ISBLANK(C430),,IFERROR(VLOOKUP(C430,CurrentRank!$B$2:$D$132,3,FALSE),130))</f>
        <v>72</v>
      </c>
      <c r="L430" s="19">
        <f t="shared" ref="L430:M430" si="188">IF(ISBLANK(C430),,(D430+H430)*0.015)</f>
        <v>1.16415</v>
      </c>
      <c r="M430" s="19">
        <f t="shared" si="188"/>
        <v>1.0584</v>
      </c>
      <c r="N430" s="24">
        <f t="shared" si="184"/>
        <v>42</v>
      </c>
      <c r="O430" s="21">
        <f t="shared" si="4"/>
        <v>-2.857075</v>
      </c>
      <c r="P430" s="21">
        <f t="shared" si="185"/>
        <v>0.487925</v>
      </c>
      <c r="Q430" s="22">
        <f t="shared" si="6"/>
        <v>0.775714625</v>
      </c>
      <c r="R430" s="25" t="str">
        <f t="shared" si="7"/>
        <v>C+</v>
      </c>
      <c r="S430" s="19" t="str">
        <f t="shared" si="8"/>
        <v/>
      </c>
      <c r="T430" s="19" t="str">
        <f t="shared" si="9"/>
        <v/>
      </c>
      <c r="U430" s="3" t="s">
        <v>203</v>
      </c>
      <c r="V430" s="4" t="str">
        <f>IF(ISBLANK(C430),,IFERROR(IF(VLOOKUP(B430,Standings!$A:$F, 6, 0)=VLOOKUP(C430,Standings!$A:$F, 6, 0), VLOOKUP(B430,Standings!$A:$F, 6, 0), "Non-con"), "FCS"))</f>
        <v>PAC12</v>
      </c>
      <c r="W430" s="3" t="str">
        <f t="shared" si="10"/>
        <v>California</v>
      </c>
      <c r="X430" s="3" t="str">
        <f t="shared" si="11"/>
        <v>Washington State</v>
      </c>
      <c r="Y430" s="30">
        <f>IF(D430=0,,IF(ISBLANK(Q430),,VLOOKUP(X430,Week14,2,FALSE)/(VLOOKUP(X430,Week14,2,FALSE)+VLOOKUP(W430,Week14,2,FALSE))+0.05)*100)</f>
        <v>57.93132328</v>
      </c>
      <c r="Z430" s="4"/>
      <c r="AA430" s="3"/>
      <c r="AB430" s="4" t="str">
        <f t="shared" si="20"/>
        <v/>
      </c>
      <c r="AC430" s="3"/>
      <c r="AD430" s="3"/>
      <c r="AE430" s="3" t="str">
        <f t="shared" si="13"/>
        <v/>
      </c>
      <c r="AF430" s="3" t="s">
        <v>226</v>
      </c>
      <c r="AG430" s="3" t="str">
        <f t="shared" si="133"/>
        <v/>
      </c>
      <c r="AH430" s="3"/>
      <c r="AI430" s="7"/>
      <c r="AJ430" s="4"/>
      <c r="AK430" s="7"/>
      <c r="AL430" s="7"/>
      <c r="AM430" s="7"/>
      <c r="AN430" s="7"/>
      <c r="AO430" s="7"/>
      <c r="AP430" s="7"/>
      <c r="AQ430" s="7"/>
      <c r="AR430" s="7"/>
      <c r="AS430" s="7"/>
      <c r="AT430" s="7"/>
      <c r="AU430" s="7"/>
      <c r="AV430" s="7"/>
      <c r="AW430" s="7"/>
      <c r="AX430" s="7"/>
    </row>
    <row r="431" ht="12.75" hidden="1" customHeight="1">
      <c r="A431" s="3">
        <v>4.0</v>
      </c>
      <c r="B431" s="3" t="s">
        <v>109</v>
      </c>
      <c r="C431" s="3" t="s">
        <v>82</v>
      </c>
      <c r="D431" s="4">
        <f>IFERROR(VLOOKUP(B431,Week3,2,FALSE),0)</f>
        <v>44.16</v>
      </c>
      <c r="E431" s="4">
        <f>IF(ISBLANK(B431),,IFERROR(VLOOKUP(B431,CurrentRank!$B$2:$C$132,2,FALSE),0))</f>
        <v>37.82</v>
      </c>
      <c r="F431" s="4">
        <f>IFERROR(VLOOKUP(B431,Week3,3,FALSE),130)</f>
        <v>29</v>
      </c>
      <c r="G431" s="4">
        <f>IF(ISBLANK(B431),,IFERROR(VLOOKUP(B431,CurrentRank!$B$2:$D$132,3,FALSE),130))</f>
        <v>40</v>
      </c>
      <c r="H431" s="4">
        <f>IFERROR(VLOOKUP(C431,Week3,2,FALSE),0)</f>
        <v>49.6</v>
      </c>
      <c r="I431" s="4">
        <f>IF(ISBLANK(B431),,IFERROR(VLOOKUP(C431,CurrentRank!$B$2:$C$132,2,FALSE),0))</f>
        <v>36.12</v>
      </c>
      <c r="J431" s="4">
        <f>IFERROR(VLOOKUP(C431,Week3,3,FALSE),130)</f>
        <v>23</v>
      </c>
      <c r="K431" s="4">
        <f>IF(ISBLANK(C431),,IFERROR(VLOOKUP(C431,CurrentRank!$B$2:$D$132,3,FALSE),130))</f>
        <v>54</v>
      </c>
      <c r="L431" s="19">
        <f t="shared" ref="L431:L432" si="189">IF(U431= "Yes", 0, IF(ISBLANK(C431),,(D431+H431)*0.015))</f>
        <v>1.4064</v>
      </c>
      <c r="M431" s="19">
        <f t="shared" ref="M431:M432" si="190">IF(U431= "Yes", 0, IF(ISBLANK(D431),,(E431+I431)*0.015))</f>
        <v>1.1091</v>
      </c>
      <c r="N431" s="24">
        <f t="shared" si="184"/>
        <v>26</v>
      </c>
      <c r="O431" s="21">
        <f t="shared" si="4"/>
        <v>-3.4232</v>
      </c>
      <c r="P431" s="21">
        <f t="shared" si="185"/>
        <v>0.1468</v>
      </c>
      <c r="Q431" s="22">
        <f t="shared" si="6"/>
        <v>0.852884</v>
      </c>
      <c r="R431" s="25" t="str">
        <f t="shared" si="7"/>
        <v>B</v>
      </c>
      <c r="S431" s="19">
        <f t="shared" si="8"/>
        <v>0.765</v>
      </c>
      <c r="T431" s="19" t="str">
        <f t="shared" si="9"/>
        <v>C+</v>
      </c>
      <c r="U431" s="3" t="s">
        <v>203</v>
      </c>
      <c r="V431" s="4" t="str">
        <f>IF(ISBLANK(C431),,IFERROR(IF(VLOOKUP(B431,Standings!$A:$F, 6, 0)=VLOOKUP(C431,Standings!$A:$F, 6, 0), VLOOKUP(B431,Standings!$A:$F, 6, 0), "Non-con"), "FCS"))</f>
        <v>ACC</v>
      </c>
      <c r="W431" s="3" t="str">
        <f t="shared" si="10"/>
        <v>North Carolina State</v>
      </c>
      <c r="X431" s="3" t="str">
        <f t="shared" si="11"/>
        <v>Virginia Tech</v>
      </c>
      <c r="Y431" s="30">
        <f>IF(D431=0,,IF(ISBLANK(Q431),,VLOOKUP(X431,Week3,2,FALSE)/(VLOOKUP(X431,Week3,2,FALSE)+VLOOKUP(W431,Week3,2,FALSE))+0.05)*100)</f>
        <v>57.90102389</v>
      </c>
      <c r="Z431" s="3" t="s">
        <v>82</v>
      </c>
      <c r="AA431" s="3">
        <v>45.0</v>
      </c>
      <c r="AB431" s="4" t="str">
        <f t="shared" si="20"/>
        <v>North Carolina State</v>
      </c>
      <c r="AC431" s="3">
        <v>24.0</v>
      </c>
      <c r="AD431" s="3"/>
      <c r="AE431" s="3">
        <f t="shared" si="13"/>
        <v>21</v>
      </c>
      <c r="AF431" s="3"/>
      <c r="AG431" s="3">
        <f t="shared" si="133"/>
        <v>1</v>
      </c>
      <c r="AH431" s="3"/>
      <c r="AI431" s="7"/>
      <c r="AJ431" s="4"/>
      <c r="AK431" s="7"/>
      <c r="AL431" s="7"/>
      <c r="AM431" s="7"/>
      <c r="AN431" s="7"/>
      <c r="AO431" s="7"/>
      <c r="AP431" s="7"/>
      <c r="AQ431" s="7"/>
      <c r="AR431" s="7"/>
      <c r="AS431" s="7"/>
      <c r="AT431" s="7"/>
      <c r="AU431" s="7"/>
      <c r="AV431" s="7"/>
      <c r="AW431" s="7"/>
      <c r="AX431" s="7"/>
    </row>
    <row r="432" ht="12.75" customHeight="1">
      <c r="A432" s="3">
        <v>4.0</v>
      </c>
      <c r="B432" s="3" t="s">
        <v>119</v>
      </c>
      <c r="C432" s="3" t="s">
        <v>102</v>
      </c>
      <c r="D432" s="4">
        <f>IFERROR(VLOOKUP(B432,Week3,2,FALSE),0)</f>
        <v>31.45</v>
      </c>
      <c r="E432" s="4">
        <f>IF(ISBLANK(B432),,IFERROR(VLOOKUP(B432,CurrentRank!$B$2:$C$132,2,FALSE),0))</f>
        <v>31.96</v>
      </c>
      <c r="F432" s="4">
        <f>IFERROR(VLOOKUP(B432,Week3,3,FALSE),130)</f>
        <v>49</v>
      </c>
      <c r="G432" s="4">
        <f>IF(ISBLANK(B432),,IFERROR(VLOOKUP(B432,CurrentRank!$B$2:$D$132,3,FALSE),130))</f>
        <v>94</v>
      </c>
      <c r="H432" s="4">
        <f>IFERROR(VLOOKUP(C432,Week3,2,FALSE),0)</f>
        <v>34.08</v>
      </c>
      <c r="I432" s="4">
        <f>IF(ISBLANK(B432),,IFERROR(VLOOKUP(C432,CurrentRank!$B$2:$C$132,2,FALSE),0))</f>
        <v>31.07</v>
      </c>
      <c r="J432" s="4">
        <f>IFERROR(VLOOKUP(C432,Week3,3,FALSE),130)</f>
        <v>46</v>
      </c>
      <c r="K432" s="4">
        <f>IF(ISBLANK(C432),,IFERROR(VLOOKUP(C432,CurrentRank!$B$2:$D$132,3,FALSE),130))</f>
        <v>102</v>
      </c>
      <c r="L432" s="19">
        <f t="shared" si="189"/>
        <v>0.98295</v>
      </c>
      <c r="M432" s="19">
        <f t="shared" si="190"/>
        <v>0.94545</v>
      </c>
      <c r="N432" s="24">
        <f t="shared" si="184"/>
        <v>47.5</v>
      </c>
      <c r="O432" s="21">
        <f t="shared" si="4"/>
        <v>-1.806475</v>
      </c>
      <c r="P432" s="21">
        <f t="shared" si="185"/>
        <v>-0.046475</v>
      </c>
      <c r="Q432" s="22">
        <f t="shared" si="6"/>
        <v>0.753467625</v>
      </c>
      <c r="R432" s="25" t="str">
        <f t="shared" si="7"/>
        <v>C</v>
      </c>
      <c r="S432" s="19">
        <f t="shared" si="8"/>
        <v>0.6025</v>
      </c>
      <c r="T432" s="19" t="str">
        <f t="shared" si="9"/>
        <v>D-</v>
      </c>
      <c r="U432" s="3" t="s">
        <v>203</v>
      </c>
      <c r="V432" s="4" t="str">
        <f>IF(ISBLANK(C432),,IFERROR(IF(VLOOKUP(B432,Standings!$A:$F, 6, 0)=VLOOKUP(C432,Standings!$A:$F, 6, 0), VLOOKUP(B432,Standings!$A:$F, 6, 0), "Non-con"), "FCS"))</f>
        <v>Non-con</v>
      </c>
      <c r="W432" s="3" t="str">
        <f t="shared" si="10"/>
        <v>UAB</v>
      </c>
      <c r="X432" s="3" t="str">
        <f t="shared" si="11"/>
        <v>South Alabama</v>
      </c>
      <c r="Y432" s="30">
        <f>IF(D432=0,,IF(ISBLANK(Q432),,VLOOKUP(X432,Week3,2,FALSE)/(VLOOKUP(X432,Week3,2,FALSE)+VLOOKUP(W432,Week3,2,FALSE))+0.05)*100)</f>
        <v>57.00671448</v>
      </c>
      <c r="Z432" s="3" t="s">
        <v>119</v>
      </c>
      <c r="AA432" s="3">
        <v>42.0</v>
      </c>
      <c r="AB432" s="4" t="str">
        <f t="shared" si="20"/>
        <v>South Alabama</v>
      </c>
      <c r="AC432" s="3">
        <v>10.0</v>
      </c>
      <c r="AD432" s="3"/>
      <c r="AE432" s="3">
        <f t="shared" si="13"/>
        <v>32</v>
      </c>
      <c r="AF432" s="3"/>
      <c r="AG432" s="3">
        <f t="shared" si="133"/>
        <v>0</v>
      </c>
      <c r="AH432" s="3"/>
      <c r="AI432" s="7"/>
      <c r="AJ432" s="4"/>
      <c r="AK432" s="7"/>
      <c r="AL432" s="7"/>
      <c r="AM432" s="7"/>
      <c r="AN432" s="7"/>
      <c r="AO432" s="7"/>
      <c r="AP432" s="7"/>
      <c r="AQ432" s="7"/>
      <c r="AR432" s="7"/>
      <c r="AS432" s="7"/>
      <c r="AT432" s="7"/>
      <c r="AU432" s="7"/>
      <c r="AV432" s="7"/>
      <c r="AW432" s="7"/>
      <c r="AX432" s="7"/>
    </row>
    <row r="433" ht="12.75" hidden="1" customHeight="1">
      <c r="A433" s="3">
        <v>13.0</v>
      </c>
      <c r="B433" s="3" t="s">
        <v>173</v>
      </c>
      <c r="C433" s="3" t="s">
        <v>144</v>
      </c>
      <c r="D433" s="4">
        <f>IFERROR(VLOOKUP(B433,Week12,2,FALSE),0)</f>
        <v>36.55</v>
      </c>
      <c r="E433" s="4">
        <f>IF(ISBLANK(B433),,IFERROR(VLOOKUP(B433,CurrentRank!$B$2:$C$132,2,FALSE),0))</f>
        <v>34.13</v>
      </c>
      <c r="F433" s="4">
        <f>IFERROR(VLOOKUP(B433,Week12,3,FALSE),130)</f>
        <v>53</v>
      </c>
      <c r="G433" s="4">
        <f>IF(ISBLANK(B433),,IFERROR(VLOOKUP(B433,CurrentRank!$B$2:$D$132,3,FALSE),130))</f>
        <v>73</v>
      </c>
      <c r="H433" s="4">
        <f>IFERROR(VLOOKUP(C433,Week12,2,FALSE),0)</f>
        <v>40.98</v>
      </c>
      <c r="I433" s="4">
        <f>IF(ISBLANK(B433),,IFERROR(VLOOKUP(C433,CurrentRank!$B$2:$C$132,2,FALSE),0))</f>
        <v>35.51</v>
      </c>
      <c r="J433" s="4">
        <f>IFERROR(VLOOKUP(C433,Week12,3,FALSE),130)</f>
        <v>33</v>
      </c>
      <c r="K433" s="4">
        <f>IF(ISBLANK(C433),,IFERROR(VLOOKUP(C433,CurrentRank!$B$2:$D$132,3,FALSE),130))</f>
        <v>58</v>
      </c>
      <c r="L433" s="19">
        <f t="shared" ref="L433:M433" si="191">IF(ISBLANK(C433),,(D433+H433)*0.015)</f>
        <v>1.16295</v>
      </c>
      <c r="M433" s="19">
        <f t="shared" si="191"/>
        <v>1.0446</v>
      </c>
      <c r="N433" s="24">
        <f t="shared" si="184"/>
        <v>43</v>
      </c>
      <c r="O433" s="24">
        <f t="shared" si="4"/>
        <v>-2.796475</v>
      </c>
      <c r="P433" s="24">
        <f t="shared" si="185"/>
        <v>-1.271475</v>
      </c>
      <c r="Q433" s="22">
        <f t="shared" si="6"/>
        <v>0.771017625</v>
      </c>
      <c r="R433" s="25" t="str">
        <f t="shared" si="7"/>
        <v>C+</v>
      </c>
      <c r="S433" s="19" t="str">
        <f t="shared" si="8"/>
        <v/>
      </c>
      <c r="T433" s="19" t="str">
        <f t="shared" si="9"/>
        <v/>
      </c>
      <c r="U433" s="3" t="s">
        <v>203</v>
      </c>
      <c r="V433" s="4" t="str">
        <f>IF(ISBLANK(C433),,IFERROR(IF(VLOOKUP(B433,Standings!$A:$F, 6, 0)=VLOOKUP(C433,Standings!$A:$F, 6, 0), VLOOKUP(B433,Standings!$A:$F, 6, 0), "Non-con"), "FCS"))</f>
        <v>MWC</v>
      </c>
      <c r="W433" s="3" t="str">
        <f t="shared" si="10"/>
        <v>San Diego State</v>
      </c>
      <c r="X433" s="3" t="str">
        <f t="shared" si="11"/>
        <v>Fresno State</v>
      </c>
      <c r="Y433" s="30">
        <f>IF(D433=0,,IF(ISBLANK(Q433),,VLOOKUP(X433,Week12,2,FALSE)/(VLOOKUP(X433,Week12,2,FALSE)+VLOOKUP(W433,Week12,2,FALSE))+0.05)*100)</f>
        <v>57.8569586</v>
      </c>
      <c r="Z433" s="3"/>
      <c r="AA433" s="3"/>
      <c r="AB433" s="4" t="str">
        <f t="shared" si="20"/>
        <v/>
      </c>
      <c r="AC433" s="3"/>
      <c r="AD433" s="3"/>
      <c r="AE433" s="3" t="str">
        <f t="shared" si="13"/>
        <v/>
      </c>
      <c r="AF433" s="3" t="s">
        <v>226</v>
      </c>
      <c r="AG433" s="3" t="str">
        <f t="shared" si="133"/>
        <v/>
      </c>
      <c r="AH433" s="3"/>
      <c r="AI433" s="7"/>
      <c r="AJ433" s="4"/>
      <c r="AK433" s="7"/>
      <c r="AL433" s="7"/>
      <c r="AM433" s="7"/>
      <c r="AN433" s="7"/>
      <c r="AO433" s="7"/>
      <c r="AP433" s="7"/>
      <c r="AQ433" s="7"/>
      <c r="AR433" s="7"/>
      <c r="AS433" s="7"/>
      <c r="AT433" s="7"/>
      <c r="AU433" s="7"/>
      <c r="AV433" s="7"/>
      <c r="AW433" s="7"/>
      <c r="AX433" s="7"/>
    </row>
    <row r="434" ht="12.75" hidden="1" customHeight="1">
      <c r="A434" s="3">
        <v>4.0</v>
      </c>
      <c r="B434" s="3" t="s">
        <v>192</v>
      </c>
      <c r="C434" s="3" t="s">
        <v>104</v>
      </c>
      <c r="D434" s="4">
        <f>IFERROR(VLOOKUP(B434,Week3,2,FALSE),0)</f>
        <v>27.68</v>
      </c>
      <c r="E434" s="4">
        <f>IF(ISBLANK(B434),,IFERROR(VLOOKUP(B434,CurrentRank!$B$2:$C$132,2,FALSE),0))</f>
        <v>21.55</v>
      </c>
      <c r="F434" s="4">
        <f>IFERROR(VLOOKUP(B434,Week3,3,FALSE),130)</f>
        <v>121</v>
      </c>
      <c r="G434" s="4">
        <f>IF(ISBLANK(B434),,IFERROR(VLOOKUP(B434,CurrentRank!$B$2:$D$132,3,FALSE),130))</f>
        <v>127</v>
      </c>
      <c r="H434" s="4">
        <f>IFERROR(VLOOKUP(C434,Week3,2,FALSE),0)</f>
        <v>31.02</v>
      </c>
      <c r="I434" s="4">
        <f>IF(ISBLANK(B434),,IFERROR(VLOOKUP(C434,CurrentRank!$B$2:$C$132,2,FALSE),0))</f>
        <v>31.08</v>
      </c>
      <c r="J434" s="4">
        <f>IFERROR(VLOOKUP(C434,Week3,3,FALSE),130)</f>
        <v>51</v>
      </c>
      <c r="K434" s="4">
        <f>IF(ISBLANK(C434),,IFERROR(VLOOKUP(C434,CurrentRank!$B$2:$D$132,3,FALSE),130))</f>
        <v>101</v>
      </c>
      <c r="L434" s="19">
        <f t="shared" ref="L434:L465" si="192">IF(U434= "Yes", 0, IF(ISBLANK(C434),,(D434+H434)*0.015))</f>
        <v>0.8805</v>
      </c>
      <c r="M434" s="19">
        <f t="shared" ref="M434:M465" si="193">IF(U434= "Yes", 0, IF(ISBLANK(D434),,(E434+I434)*0.015))</f>
        <v>0.78945</v>
      </c>
      <c r="N434" s="24">
        <f t="shared" si="184"/>
        <v>86</v>
      </c>
      <c r="O434" s="21">
        <f t="shared" si="4"/>
        <v>-2.11025</v>
      </c>
      <c r="P434" s="21">
        <f t="shared" si="185"/>
        <v>-5.20525</v>
      </c>
      <c r="Q434" s="22">
        <f t="shared" si="6"/>
        <v>0.55944875</v>
      </c>
      <c r="R434" s="25" t="str">
        <f t="shared" si="7"/>
        <v>F</v>
      </c>
      <c r="S434" s="19">
        <f t="shared" si="8"/>
        <v>0.405</v>
      </c>
      <c r="T434" s="19" t="str">
        <f t="shared" si="9"/>
        <v>F</v>
      </c>
      <c r="U434" s="3" t="s">
        <v>203</v>
      </c>
      <c r="V434" s="4" t="str">
        <f>IF(ISBLANK(C434),,IFERROR(IF(VLOOKUP(B434,Standings!$A:$F, 6, 0)=VLOOKUP(C434,Standings!$A:$F, 6, 0), VLOOKUP(B434,Standings!$A:$F, 6, 0), "Non-con"), "FCS"))</f>
        <v>BIG12</v>
      </c>
      <c r="W434" s="3" t="str">
        <f t="shared" si="10"/>
        <v>Kansas</v>
      </c>
      <c r="X434" s="3" t="str">
        <f t="shared" si="11"/>
        <v>Baylor</v>
      </c>
      <c r="Y434" s="30">
        <f>IF(D434=0,,IF(ISBLANK(Q434),,VLOOKUP(X434,Week3,2,FALSE)/(VLOOKUP(X434,Week3,2,FALSE)+VLOOKUP(W434,Week3,2,FALSE))+0.05)*100)</f>
        <v>57.84497445</v>
      </c>
      <c r="Z434" s="3" t="s">
        <v>104</v>
      </c>
      <c r="AA434" s="3">
        <v>47.0</v>
      </c>
      <c r="AB434" s="4" t="str">
        <f t="shared" si="20"/>
        <v>Kansas</v>
      </c>
      <c r="AC434" s="3">
        <v>14.0</v>
      </c>
      <c r="AD434" s="3"/>
      <c r="AE434" s="3">
        <f t="shared" si="13"/>
        <v>33</v>
      </c>
      <c r="AF434" s="3"/>
      <c r="AG434" s="3">
        <f t="shared" si="133"/>
        <v>1</v>
      </c>
      <c r="AH434" s="3"/>
      <c r="AI434" s="7"/>
      <c r="AJ434" s="4"/>
      <c r="AK434" s="7"/>
      <c r="AL434" s="7"/>
      <c r="AM434" s="7"/>
      <c r="AN434" s="7"/>
      <c r="AO434" s="7"/>
      <c r="AP434" s="7"/>
      <c r="AQ434" s="7"/>
      <c r="AR434" s="7"/>
      <c r="AS434" s="7"/>
      <c r="AT434" s="7"/>
      <c r="AU434" s="7"/>
      <c r="AV434" s="7"/>
      <c r="AW434" s="7"/>
      <c r="AX434" s="7"/>
    </row>
    <row r="435" ht="12.75" customHeight="1">
      <c r="A435" s="3">
        <v>16.0</v>
      </c>
      <c r="B435" s="3" t="s">
        <v>119</v>
      </c>
      <c r="C435" s="3" t="s">
        <v>95</v>
      </c>
      <c r="D435" s="4">
        <f>IFERROR(VLOOKUP(B435,Week15,2,FALSE),0)</f>
        <v>30.9</v>
      </c>
      <c r="E435" s="4">
        <f>IF(ISBLANK(B435),,IFERROR(VLOOKUP(B435,CurrentRank!$B$2:$C$132,2,FALSE),0))</f>
        <v>31.96</v>
      </c>
      <c r="F435" s="4">
        <f>IFERROR(VLOOKUP(B435,Week15,3,FALSE),130)</f>
        <v>100</v>
      </c>
      <c r="G435" s="4">
        <f>IF(ISBLANK(B435),,IFERROR(VLOOKUP(B435,CurrentRank!$B$2:$D$132,3,FALSE),130))</f>
        <v>94</v>
      </c>
      <c r="H435" s="4">
        <f>IFERROR(VLOOKUP(C435,Week15,2,FALSE),0)</f>
        <v>37.98</v>
      </c>
      <c r="I435" s="4">
        <f>IF(ISBLANK(B435),,IFERROR(VLOOKUP(C435,CurrentRank!$B$2:$C$132,2,FALSE),0))</f>
        <v>33.45</v>
      </c>
      <c r="J435" s="4">
        <f>IFERROR(VLOOKUP(C435,Week15,3,FALSE),130)</f>
        <v>43</v>
      </c>
      <c r="K435" s="4">
        <f>IF(ISBLANK(C435),,IFERROR(VLOOKUP(C435,CurrentRank!$B$2:$D$132,3,FALSE),130))</f>
        <v>81</v>
      </c>
      <c r="L435" s="19">
        <f t="shared" si="192"/>
        <v>1.0332</v>
      </c>
      <c r="M435" s="19">
        <f t="shared" si="193"/>
        <v>0.98115</v>
      </c>
      <c r="N435" s="24">
        <f t="shared" si="184"/>
        <v>71.5</v>
      </c>
      <c r="O435" s="21">
        <f t="shared" si="4"/>
        <v>-4.0566</v>
      </c>
      <c r="P435" s="21">
        <f t="shared" si="185"/>
        <v>-1.2616</v>
      </c>
      <c r="Q435" s="22">
        <f t="shared" si="6"/>
        <v>0.622217</v>
      </c>
      <c r="R435" s="25" t="str">
        <f t="shared" si="7"/>
        <v>D-</v>
      </c>
      <c r="S435" s="19">
        <f t="shared" si="8"/>
        <v>0.5975</v>
      </c>
      <c r="T435" s="19" t="str">
        <f t="shared" si="9"/>
        <v>D-</v>
      </c>
      <c r="U435" s="3" t="s">
        <v>203</v>
      </c>
      <c r="V435" s="4" t="str">
        <f>IF(ISBLANK(C435),,IFERROR(IF(VLOOKUP(B435,Standings!$A:$F, 6, 0)=VLOOKUP(C435,Standings!$A:$F, 6, 0), VLOOKUP(B435,Standings!$A:$F, 6, 0), "Non-con"), "FCS"))</f>
        <v>CUSA</v>
      </c>
      <c r="W435" s="3" t="str">
        <f t="shared" si="10"/>
        <v>UAB</v>
      </c>
      <c r="X435" s="3" t="str">
        <f t="shared" si="11"/>
        <v>Marshall</v>
      </c>
      <c r="Y435" s="30">
        <f>IF(D435=0,,IF(ISBLANK(Q435),,VLOOKUP(X435,Week15,2,FALSE)/(VLOOKUP(X435,Week15,2,FALSE)+VLOOKUP(W435,Week15,2,FALSE))+0.05)*100)</f>
        <v>60.13937282</v>
      </c>
      <c r="Z435" s="3" t="s">
        <v>119</v>
      </c>
      <c r="AA435" s="3">
        <v>22.0</v>
      </c>
      <c r="AB435" s="4" t="str">
        <f t="shared" si="20"/>
        <v>Marshall</v>
      </c>
      <c r="AC435" s="3">
        <v>13.0</v>
      </c>
      <c r="AD435" s="3"/>
      <c r="AE435" s="3">
        <f t="shared" si="13"/>
        <v>9</v>
      </c>
      <c r="AF435" s="3" t="s">
        <v>233</v>
      </c>
      <c r="AG435" s="3">
        <f t="shared" si="133"/>
        <v>0</v>
      </c>
      <c r="AH435" s="3"/>
      <c r="AI435" s="7"/>
      <c r="AJ435" s="4"/>
      <c r="AK435" s="7"/>
      <c r="AL435" s="7"/>
      <c r="AM435" s="7"/>
      <c r="AN435" s="7"/>
      <c r="AO435" s="7"/>
      <c r="AP435" s="7"/>
      <c r="AQ435" s="7"/>
      <c r="AR435" s="7"/>
      <c r="AS435" s="7"/>
      <c r="AT435" s="7"/>
      <c r="AU435" s="7"/>
      <c r="AV435" s="7"/>
      <c r="AW435" s="7"/>
      <c r="AX435" s="7"/>
    </row>
    <row r="436" ht="12.75" hidden="1" customHeight="1">
      <c r="A436" s="3">
        <v>4.0</v>
      </c>
      <c r="B436" s="3" t="s">
        <v>88</v>
      </c>
      <c r="C436" s="3" t="s">
        <v>69</v>
      </c>
      <c r="D436" s="4">
        <f>IFERROR(VLOOKUP(B436,Week3,2,FALSE),0)</f>
        <v>53.84</v>
      </c>
      <c r="E436" s="4">
        <f>IF(ISBLANK(B436),,IFERROR(VLOOKUP(B436,CurrentRank!$B$2:$C$132,2,FALSE),0))</f>
        <v>33.11</v>
      </c>
      <c r="F436" s="4">
        <f>IFERROR(VLOOKUP(B436,Week3,3,FALSE),130)</f>
        <v>20</v>
      </c>
      <c r="G436" s="4">
        <f>IF(ISBLANK(B436),,IFERROR(VLOOKUP(B436,CurrentRank!$B$2:$D$132,3,FALSE),130))</f>
        <v>85</v>
      </c>
      <c r="H436" s="4">
        <f>IFERROR(VLOOKUP(C436,Week3,2,FALSE),0)</f>
        <v>60.17</v>
      </c>
      <c r="I436" s="4">
        <f>IF(ISBLANK(B436),,IFERROR(VLOOKUP(C436,CurrentRank!$B$2:$C$132,2,FALSE),0))</f>
        <v>72.9</v>
      </c>
      <c r="J436" s="4">
        <f>IFERROR(VLOOKUP(C436,Week3,3,FALSE),130)</f>
        <v>17</v>
      </c>
      <c r="K436" s="4">
        <f>IF(ISBLANK(C436),,IFERROR(VLOOKUP(C436,CurrentRank!$B$2:$D$132,3,FALSE),130))</f>
        <v>9</v>
      </c>
      <c r="L436" s="19">
        <f t="shared" si="192"/>
        <v>1.71015</v>
      </c>
      <c r="M436" s="19">
        <f t="shared" si="193"/>
        <v>1.59015</v>
      </c>
      <c r="N436" s="24">
        <f t="shared" si="184"/>
        <v>18.5</v>
      </c>
      <c r="O436" s="21">
        <f t="shared" si="4"/>
        <v>-4.020075</v>
      </c>
      <c r="P436" s="21">
        <f t="shared" si="185"/>
        <v>-20.750075</v>
      </c>
      <c r="Q436" s="22">
        <f t="shared" si="6"/>
        <v>0.887399625</v>
      </c>
      <c r="R436" s="25" t="str">
        <f t="shared" si="7"/>
        <v>B+</v>
      </c>
      <c r="S436" s="19">
        <f t="shared" si="8"/>
        <v>0.8375</v>
      </c>
      <c r="T436" s="19" t="str">
        <f t="shared" si="9"/>
        <v>B</v>
      </c>
      <c r="U436" s="3" t="s">
        <v>203</v>
      </c>
      <c r="V436" s="4" t="str">
        <f>IF(ISBLANK(C436),,IFERROR(IF(VLOOKUP(B436,Standings!$A:$F, 6, 0)=VLOOKUP(C436,Standings!$A:$F, 6, 0), VLOOKUP(B436,Standings!$A:$F, 6, 0), "Non-con"), "FCS"))</f>
        <v>Non-con</v>
      </c>
      <c r="W436" s="3" t="str">
        <f t="shared" si="10"/>
        <v>Army</v>
      </c>
      <c r="X436" s="3" t="str">
        <f t="shared" si="11"/>
        <v>Cincinnati</v>
      </c>
      <c r="Y436" s="30">
        <f>IF(D436=0,,IF(ISBLANK(Q436),,VLOOKUP(X436,Week3,2,FALSE)/(VLOOKUP(X436,Week3,2,FALSE)+VLOOKUP(W436,Week3,2,FALSE))+0.05)*100)</f>
        <v>57.77607227</v>
      </c>
      <c r="Z436" s="3" t="s">
        <v>69</v>
      </c>
      <c r="AA436" s="3">
        <v>24.0</v>
      </c>
      <c r="AB436" s="4" t="str">
        <f t="shared" si="20"/>
        <v>Army</v>
      </c>
      <c r="AC436" s="3">
        <v>10.0</v>
      </c>
      <c r="AD436" s="3"/>
      <c r="AE436" s="3">
        <f t="shared" si="13"/>
        <v>14</v>
      </c>
      <c r="AF436" s="3"/>
      <c r="AG436" s="3">
        <f t="shared" si="133"/>
        <v>1</v>
      </c>
      <c r="AH436" s="3"/>
      <c r="AI436" s="7"/>
      <c r="AJ436" s="4" t="s">
        <v>58</v>
      </c>
      <c r="AK436" s="7"/>
      <c r="AL436" s="7"/>
      <c r="AM436" s="7"/>
      <c r="AN436" s="7"/>
      <c r="AO436" s="7"/>
      <c r="AP436" s="7"/>
      <c r="AQ436" s="7"/>
      <c r="AR436" s="7"/>
      <c r="AS436" s="7"/>
      <c r="AT436" s="7"/>
      <c r="AU436" s="7"/>
      <c r="AV436" s="7"/>
      <c r="AW436" s="7"/>
      <c r="AX436" s="7"/>
    </row>
    <row r="437" ht="12.75" customHeight="1">
      <c r="A437" s="3">
        <v>14.0</v>
      </c>
      <c r="B437" s="3" t="s">
        <v>124</v>
      </c>
      <c r="C437" s="3" t="s">
        <v>131</v>
      </c>
      <c r="D437" s="4">
        <f>IFERROR(VLOOKUP(B437,Week13,2,FALSE),0)</f>
        <v>41.07</v>
      </c>
      <c r="E437" s="4">
        <f>IF(ISBLANK(B437),,IFERROR(VLOOKUP(B437,CurrentRank!$B$2:$C$132,2,FALSE),0))</f>
        <v>33.33</v>
      </c>
      <c r="F437" s="4">
        <f>IFERROR(VLOOKUP(B437,Week13,3,FALSE),130)</f>
        <v>33</v>
      </c>
      <c r="G437" s="4">
        <f>IF(ISBLANK(B437),,IFERROR(VLOOKUP(B437,CurrentRank!$B$2:$D$132,3,FALSE),130))</f>
        <v>83</v>
      </c>
      <c r="H437" s="4">
        <f>IFERROR(VLOOKUP(C437,Week13,2,FALSE),0)</f>
        <v>31.17</v>
      </c>
      <c r="I437" s="4">
        <f>IF(ISBLANK(B437),,IFERROR(VLOOKUP(C437,CurrentRank!$B$2:$C$132,2,FALSE),0))</f>
        <v>33.34</v>
      </c>
      <c r="J437" s="4">
        <f>IFERROR(VLOOKUP(C437,Week13,3,FALSE),130)</f>
        <v>94</v>
      </c>
      <c r="K437" s="4">
        <f>IF(ISBLANK(C437),,IFERROR(VLOOKUP(C437,CurrentRank!$B$2:$D$132,3,FALSE),130))</f>
        <v>82</v>
      </c>
      <c r="L437" s="19">
        <f t="shared" si="192"/>
        <v>1.0836</v>
      </c>
      <c r="M437" s="19">
        <f t="shared" si="193"/>
        <v>1.00005</v>
      </c>
      <c r="N437" s="24">
        <f t="shared" si="184"/>
        <v>63.5</v>
      </c>
      <c r="O437" s="21">
        <f t="shared" si="4"/>
        <v>4.4082</v>
      </c>
      <c r="P437" s="21">
        <f t="shared" si="185"/>
        <v>-0.5468</v>
      </c>
      <c r="Q437" s="22">
        <f t="shared" si="6"/>
        <v>0.660459</v>
      </c>
      <c r="R437" s="25" t="str">
        <f t="shared" si="7"/>
        <v>D</v>
      </c>
      <c r="S437" s="19">
        <f t="shared" si="8"/>
        <v>0.5975</v>
      </c>
      <c r="T437" s="19" t="str">
        <f t="shared" si="9"/>
        <v>D-</v>
      </c>
      <c r="U437" s="3" t="s">
        <v>203</v>
      </c>
      <c r="V437" s="4" t="str">
        <f>IF(ISBLANK(C437),,IFERROR(IF(VLOOKUP(B437,Standings!$A:$F, 6, 0)=VLOOKUP(C437,Standings!$A:$F, 6, 0), VLOOKUP(B437,Standings!$A:$F, 6, 0), "Non-con"), "FCS"))</f>
        <v>Non-con</v>
      </c>
      <c r="W437" s="3" t="str">
        <f t="shared" si="10"/>
        <v>Georgia Southern</v>
      </c>
      <c r="X437" s="3" t="str">
        <f t="shared" si="11"/>
        <v>Florida Atlantic</v>
      </c>
      <c r="Y437" s="30">
        <f>IF(D437=0,,IF(ISBLANK(Q437),,VLOOKUP(X437,Week13,2,FALSE)/(VLOOKUP(X437,Week13,2,FALSE)+VLOOKUP(W437,Week13,2,FALSE))+0.05)*100)</f>
        <v>61.85215947</v>
      </c>
      <c r="Z437" s="3" t="s">
        <v>131</v>
      </c>
      <c r="AA437" s="3">
        <v>20.0</v>
      </c>
      <c r="AB437" s="4" t="str">
        <f t="shared" si="20"/>
        <v>Florida Atlantic</v>
      </c>
      <c r="AC437" s="3">
        <v>3.0</v>
      </c>
      <c r="AD437" s="3"/>
      <c r="AE437" s="3">
        <f t="shared" si="13"/>
        <v>17</v>
      </c>
      <c r="AF437" s="3"/>
      <c r="AG437" s="3">
        <f t="shared" si="133"/>
        <v>0</v>
      </c>
      <c r="AH437" s="3"/>
      <c r="AI437" s="7"/>
      <c r="AJ437" s="4"/>
      <c r="AK437" s="7"/>
      <c r="AL437" s="7"/>
      <c r="AM437" s="7"/>
      <c r="AN437" s="7"/>
      <c r="AO437" s="7"/>
      <c r="AP437" s="7"/>
      <c r="AQ437" s="7"/>
      <c r="AR437" s="7"/>
      <c r="AS437" s="7"/>
      <c r="AT437" s="7"/>
      <c r="AU437" s="7"/>
      <c r="AV437" s="7"/>
      <c r="AW437" s="7"/>
      <c r="AX437" s="7"/>
    </row>
    <row r="438" ht="12.75" hidden="1" customHeight="1">
      <c r="A438" s="3">
        <v>4.0</v>
      </c>
      <c r="B438" s="3" t="s">
        <v>187</v>
      </c>
      <c r="C438" s="3" t="s">
        <v>112</v>
      </c>
      <c r="D438" s="4">
        <f>IFERROR(VLOOKUP(B438,Week3,2,FALSE),0)</f>
        <v>27.8</v>
      </c>
      <c r="E438" s="4">
        <f>IF(ISBLANK(B438),,IFERROR(VLOOKUP(B438,CurrentRank!$B$2:$C$132,2,FALSE),0))</f>
        <v>28.66</v>
      </c>
      <c r="F438" s="4">
        <f>IFERROR(VLOOKUP(B438,Week3,3,FALSE),130)</f>
        <v>120</v>
      </c>
      <c r="G438" s="4">
        <f>IF(ISBLANK(B438),,IFERROR(VLOOKUP(B438,CurrentRank!$B$2:$D$132,3,FALSE),130))</f>
        <v>120</v>
      </c>
      <c r="H438" s="4">
        <f>IFERROR(VLOOKUP(C438,Week3,2,FALSE),0)</f>
        <v>31.02</v>
      </c>
      <c r="I438" s="4">
        <f>IF(ISBLANK(B438),,IFERROR(VLOOKUP(C438,CurrentRank!$B$2:$C$132,2,FALSE),0))</f>
        <v>36.98</v>
      </c>
      <c r="J438" s="4">
        <f>IFERROR(VLOOKUP(C438,Week3,3,FALSE),130)</f>
        <v>51</v>
      </c>
      <c r="K438" s="4">
        <f>IF(ISBLANK(C438),,IFERROR(VLOOKUP(C438,CurrentRank!$B$2:$D$132,3,FALSE),130))</f>
        <v>46</v>
      </c>
      <c r="L438" s="19">
        <f t="shared" si="192"/>
        <v>0.8823</v>
      </c>
      <c r="M438" s="19">
        <f t="shared" si="193"/>
        <v>0.9846</v>
      </c>
      <c r="N438" s="24">
        <f t="shared" si="184"/>
        <v>85.5</v>
      </c>
      <c r="O438" s="21">
        <f t="shared" si="4"/>
        <v>-2.05115</v>
      </c>
      <c r="P438" s="21">
        <f t="shared" si="185"/>
        <v>-4.60115</v>
      </c>
      <c r="Q438" s="22">
        <f t="shared" si="6"/>
        <v>0.56224425</v>
      </c>
      <c r="R438" s="25" t="str">
        <f t="shared" si="7"/>
        <v>F</v>
      </c>
      <c r="S438" s="19">
        <f t="shared" si="8"/>
        <v>0.4825</v>
      </c>
      <c r="T438" s="19" t="str">
        <f t="shared" si="9"/>
        <v>F</v>
      </c>
      <c r="U438" s="3" t="s">
        <v>203</v>
      </c>
      <c r="V438" s="4" t="str">
        <f>IF(ISBLANK(C438),,IFERROR(IF(VLOOKUP(B438,Standings!$A:$F, 6, 0)=VLOOKUP(C438,Standings!$A:$F, 6, 0), VLOOKUP(B438,Standings!$A:$F, 6, 0), "Non-con"), "FCS"))</f>
        <v>ACC</v>
      </c>
      <c r="W438" s="3" t="str">
        <f t="shared" si="10"/>
        <v>Duke</v>
      </c>
      <c r="X438" s="3" t="str">
        <f t="shared" si="11"/>
        <v>Virginia</v>
      </c>
      <c r="Y438" s="30">
        <f>IF(D438=0,,IF(ISBLANK(Q438),,VLOOKUP(X438,Week3,2,FALSE)/(VLOOKUP(X438,Week3,2,FALSE)+VLOOKUP(W438,Week3,2,FALSE))+0.05)*100)</f>
        <v>57.73716423</v>
      </c>
      <c r="Z438" s="3" t="s">
        <v>112</v>
      </c>
      <c r="AA438" s="3">
        <v>38.0</v>
      </c>
      <c r="AB438" s="4" t="str">
        <f t="shared" si="20"/>
        <v>Duke</v>
      </c>
      <c r="AC438" s="3">
        <v>20.0</v>
      </c>
      <c r="AD438" s="3"/>
      <c r="AE438" s="3">
        <f t="shared" si="13"/>
        <v>18</v>
      </c>
      <c r="AF438" s="3"/>
      <c r="AG438" s="3">
        <f t="shared" si="133"/>
        <v>1</v>
      </c>
      <c r="AH438" s="3"/>
      <c r="AI438" s="7"/>
      <c r="AJ438" s="4"/>
      <c r="AK438" s="7"/>
      <c r="AL438" s="7"/>
      <c r="AM438" s="7"/>
      <c r="AN438" s="7"/>
      <c r="AO438" s="7"/>
      <c r="AP438" s="7"/>
      <c r="AQ438" s="7"/>
      <c r="AR438" s="7"/>
      <c r="AS438" s="7"/>
      <c r="AT438" s="7"/>
      <c r="AU438" s="7"/>
      <c r="AV438" s="7"/>
      <c r="AW438" s="7"/>
      <c r="AX438" s="7"/>
    </row>
    <row r="439" ht="12.75" customHeight="1">
      <c r="A439" s="3">
        <v>8.0</v>
      </c>
      <c r="B439" s="3" t="s">
        <v>117</v>
      </c>
      <c r="C439" s="3" t="s">
        <v>127</v>
      </c>
      <c r="D439" s="4">
        <f>IFERROR(VLOOKUP(B439,Week7,2,FALSE),0)</f>
        <v>42.24</v>
      </c>
      <c r="E439" s="4">
        <f>IF(ISBLANK(B439),,IFERROR(VLOOKUP(B439,CurrentRank!$B$2:$C$132,2,FALSE),0))</f>
        <v>38.08</v>
      </c>
      <c r="F439" s="4">
        <f>IFERROR(VLOOKUP(B439,Week7,3,FALSE),130)</f>
        <v>32</v>
      </c>
      <c r="G439" s="4">
        <f>IF(ISBLANK(B439),,IFERROR(VLOOKUP(B439,CurrentRank!$B$2:$D$132,3,FALSE),130))</f>
        <v>37</v>
      </c>
      <c r="H439" s="4">
        <f>IFERROR(VLOOKUP(C439,Week7,2,FALSE),0)</f>
        <v>30.14</v>
      </c>
      <c r="I439" s="4">
        <f>IF(ISBLANK(B439),,IFERROR(VLOOKUP(C439,CurrentRank!$B$2:$C$132,2,FALSE),0))</f>
        <v>35.27</v>
      </c>
      <c r="J439" s="4">
        <f>IFERROR(VLOOKUP(C439,Week7,3,FALSE),130)</f>
        <v>118</v>
      </c>
      <c r="K439" s="4">
        <f>IF(ISBLANK(C439),,IFERROR(VLOOKUP(C439,CurrentRank!$B$2:$D$132,3,FALSE),130))</f>
        <v>64</v>
      </c>
      <c r="L439" s="19">
        <f t="shared" si="192"/>
        <v>1.0857</v>
      </c>
      <c r="M439" s="19">
        <f t="shared" si="193"/>
        <v>1.10025</v>
      </c>
      <c r="N439" s="24">
        <f t="shared" si="184"/>
        <v>75</v>
      </c>
      <c r="O439" s="21">
        <f t="shared" si="4"/>
        <v>5.50715</v>
      </c>
      <c r="P439" s="21">
        <f t="shared" si="185"/>
        <v>0.86215</v>
      </c>
      <c r="Q439" s="22">
        <f t="shared" si="6"/>
        <v>0.59746425</v>
      </c>
      <c r="R439" s="25" t="str">
        <f t="shared" si="7"/>
        <v>D-</v>
      </c>
      <c r="S439" s="19">
        <f t="shared" si="8"/>
        <v>0.59</v>
      </c>
      <c r="T439" s="19" t="str">
        <f t="shared" si="9"/>
        <v>F</v>
      </c>
      <c r="U439" s="3" t="s">
        <v>203</v>
      </c>
      <c r="V439" s="4" t="str">
        <f>IF(ISBLANK(C439),,IFERROR(IF(VLOOKUP(B439,Standings!$A:$F, 6, 0)=VLOOKUP(C439,Standings!$A:$F, 6, 0), VLOOKUP(B439,Standings!$A:$F, 6, 0), "Non-con"), "FCS"))</f>
        <v>BIG12</v>
      </c>
      <c r="W439" s="3" t="str">
        <f t="shared" si="10"/>
        <v>Texas Tech</v>
      </c>
      <c r="X439" s="3" t="str">
        <f t="shared" si="11"/>
        <v>West Virginia</v>
      </c>
      <c r="Y439" s="30">
        <f>IF(D439=0,,IF(ISBLANK(Q439),,VLOOKUP(X439,Week7,2,FALSE)/(VLOOKUP(X439,Week7,2,FALSE)+VLOOKUP(W439,Week7,2,FALSE))+0.05)*100)</f>
        <v>63.35866261</v>
      </c>
      <c r="Z439" s="3" t="s">
        <v>127</v>
      </c>
      <c r="AA439" s="3">
        <v>34.0</v>
      </c>
      <c r="AB439" s="4" t="str">
        <f t="shared" si="20"/>
        <v>West Virginia</v>
      </c>
      <c r="AC439" s="3">
        <v>27.0</v>
      </c>
      <c r="AD439" s="3"/>
      <c r="AE439" s="3">
        <f t="shared" si="13"/>
        <v>7</v>
      </c>
      <c r="AF439" s="3"/>
      <c r="AG439" s="3">
        <f t="shared" si="133"/>
        <v>0</v>
      </c>
      <c r="AH439" s="3"/>
      <c r="AI439" s="7"/>
      <c r="AJ439" s="4" t="s">
        <v>272</v>
      </c>
      <c r="AK439" s="7"/>
      <c r="AL439" s="7"/>
      <c r="AM439" s="7"/>
      <c r="AN439" s="7"/>
      <c r="AO439" s="7"/>
      <c r="AP439" s="7"/>
      <c r="AQ439" s="7"/>
      <c r="AR439" s="7"/>
      <c r="AS439" s="7"/>
      <c r="AT439" s="7"/>
      <c r="AU439" s="7"/>
      <c r="AV439" s="7"/>
      <c r="AW439" s="7"/>
      <c r="AX439" s="7"/>
    </row>
    <row r="440" ht="12.75" hidden="1" customHeight="1">
      <c r="A440" s="3">
        <v>13.0</v>
      </c>
      <c r="B440" s="3" t="s">
        <v>190</v>
      </c>
      <c r="C440" s="3" t="s">
        <v>171</v>
      </c>
      <c r="D440" s="4">
        <f>IFERROR(VLOOKUP(B440,Week12,2,FALSE),0)</f>
        <v>31.25</v>
      </c>
      <c r="E440" s="4">
        <f>IF(ISBLANK(B440),,IFERROR(VLOOKUP(B440,CurrentRank!$B$2:$C$132,2,FALSE),0))</f>
        <v>42.24</v>
      </c>
      <c r="F440" s="4">
        <f>IFERROR(VLOOKUP(B440,Week12,3,FALSE),130)</f>
        <v>93</v>
      </c>
      <c r="G440" s="4">
        <f>IF(ISBLANK(B440),,IFERROR(VLOOKUP(B440,CurrentRank!$B$2:$D$132,3,FALSE),130))</f>
        <v>28</v>
      </c>
      <c r="H440" s="4">
        <f>IFERROR(VLOOKUP(C440,Week12,2,FALSE),0)</f>
        <v>28.01</v>
      </c>
      <c r="I440" s="4">
        <f>IF(ISBLANK(B440),,IFERROR(VLOOKUP(C440,CurrentRank!$B$2:$C$132,2,FALSE),0))</f>
        <v>36.35</v>
      </c>
      <c r="J440" s="4">
        <f>IFERROR(VLOOKUP(C440,Week12,3,FALSE),130)</f>
        <v>117</v>
      </c>
      <c r="K440" s="4">
        <f>IF(ISBLANK(C440),,IFERROR(VLOOKUP(C440,CurrentRank!$B$2:$D$132,3,FALSE),130))</f>
        <v>53</v>
      </c>
      <c r="L440" s="19">
        <f t="shared" si="192"/>
        <v>0.8889</v>
      </c>
      <c r="M440" s="19">
        <f t="shared" si="193"/>
        <v>1.17885</v>
      </c>
      <c r="N440" s="24">
        <f t="shared" si="184"/>
        <v>105</v>
      </c>
      <c r="O440" s="21">
        <f t="shared" si="4"/>
        <v>1.17555</v>
      </c>
      <c r="P440" s="21">
        <f t="shared" si="185"/>
        <v>2.50055</v>
      </c>
      <c r="Q440" s="22">
        <f t="shared" si="6"/>
        <v>0.46912225</v>
      </c>
      <c r="R440" s="25" t="str">
        <f t="shared" si="7"/>
        <v>F</v>
      </c>
      <c r="S440" s="19">
        <f t="shared" si="8"/>
        <v>0.47</v>
      </c>
      <c r="T440" s="19" t="str">
        <f t="shared" si="9"/>
        <v>F</v>
      </c>
      <c r="U440" s="3" t="s">
        <v>203</v>
      </c>
      <c r="V440" s="4" t="str">
        <f>IF(ISBLANK(C440),,IFERROR(IF(VLOOKUP(B440,Standings!$A:$F, 6, 0)=VLOOKUP(C440,Standings!$A:$F, 6, 0), VLOOKUP(B440,Standings!$A:$F, 6, 0), "Non-con"), "FCS"))</f>
        <v>PAC12</v>
      </c>
      <c r="W440" s="3" t="str">
        <f t="shared" si="10"/>
        <v>California</v>
      </c>
      <c r="X440" s="3" t="str">
        <f t="shared" si="11"/>
        <v>Stanford</v>
      </c>
      <c r="Y440" s="30">
        <f>IF(D440=0,,IF(ISBLANK(Q440),,VLOOKUP(X440,Week12,2,FALSE)/(VLOOKUP(X440,Week12,2,FALSE)+VLOOKUP(W440,Week12,2,FALSE))+0.05)*100)</f>
        <v>57.73371583</v>
      </c>
      <c r="Z440" s="3" t="s">
        <v>190</v>
      </c>
      <c r="AA440" s="3">
        <v>24.0</v>
      </c>
      <c r="AB440" s="4" t="str">
        <f t="shared" si="20"/>
        <v>California</v>
      </c>
      <c r="AC440" s="3">
        <v>23.0</v>
      </c>
      <c r="AD440" s="3"/>
      <c r="AE440" s="3">
        <f t="shared" si="13"/>
        <v>1</v>
      </c>
      <c r="AF440" s="3"/>
      <c r="AG440" s="3">
        <f t="shared" si="133"/>
        <v>1</v>
      </c>
      <c r="AH440" s="3"/>
      <c r="AI440" s="7"/>
      <c r="AJ440" s="4"/>
      <c r="AK440" s="7"/>
      <c r="AL440" s="7"/>
      <c r="AM440" s="7"/>
      <c r="AN440" s="7"/>
      <c r="AO440" s="7"/>
      <c r="AP440" s="7"/>
      <c r="AQ440" s="7"/>
      <c r="AR440" s="7"/>
      <c r="AS440" s="7"/>
      <c r="AT440" s="7"/>
      <c r="AU440" s="7"/>
      <c r="AV440" s="7"/>
      <c r="AW440" s="7"/>
      <c r="AX440" s="7"/>
    </row>
    <row r="441" ht="12.75" hidden="1" customHeight="1">
      <c r="A441" s="3">
        <v>15.0</v>
      </c>
      <c r="B441" s="3" t="s">
        <v>190</v>
      </c>
      <c r="C441" s="3" t="s">
        <v>160</v>
      </c>
      <c r="D441" s="4">
        <f>IFERROR(VLOOKUP(B441,Week14,2,FALSE),0)</f>
        <v>40.39</v>
      </c>
      <c r="E441" s="4">
        <f>IF(ISBLANK(B441),,IFERROR(VLOOKUP(B441,CurrentRank!$B$2:$C$132,2,FALSE),0))</f>
        <v>42.24</v>
      </c>
      <c r="F441" s="4">
        <f>IFERROR(VLOOKUP(B441,Week14,3,FALSE),130)</f>
        <v>35</v>
      </c>
      <c r="G441" s="4">
        <f>IF(ISBLANK(B441),,IFERROR(VLOOKUP(B441,CurrentRank!$B$2:$D$132,3,FALSE),130))</f>
        <v>28</v>
      </c>
      <c r="H441" s="4">
        <f>IFERROR(VLOOKUP(C441,Week14,2,FALSE),0)</f>
        <v>36.22</v>
      </c>
      <c r="I441" s="4">
        <f>IF(ISBLANK(B441),,IFERROR(VLOOKUP(C441,CurrentRank!$B$2:$C$132,2,FALSE),0))</f>
        <v>34.87</v>
      </c>
      <c r="J441" s="4">
        <f>IFERROR(VLOOKUP(C441,Week14,3,FALSE),130)</f>
        <v>55</v>
      </c>
      <c r="K441" s="4">
        <f>IF(ISBLANK(C441),,IFERROR(VLOOKUP(C441,CurrentRank!$B$2:$D$132,3,FALSE),130))</f>
        <v>66</v>
      </c>
      <c r="L441" s="19">
        <f t="shared" si="192"/>
        <v>1.14915</v>
      </c>
      <c r="M441" s="19">
        <f t="shared" si="193"/>
        <v>1.15665</v>
      </c>
      <c r="N441" s="24">
        <f t="shared" si="184"/>
        <v>45</v>
      </c>
      <c r="O441" s="21">
        <f t="shared" si="4"/>
        <v>1.510425</v>
      </c>
      <c r="P441" s="21">
        <f t="shared" si="185"/>
        <v>3.110425</v>
      </c>
      <c r="Q441" s="22">
        <f t="shared" si="6"/>
        <v>0.767447875</v>
      </c>
      <c r="R441" s="25" t="str">
        <f t="shared" si="7"/>
        <v>C+</v>
      </c>
      <c r="S441" s="19">
        <f t="shared" si="8"/>
        <v>0.76</v>
      </c>
      <c r="T441" s="19" t="str">
        <f t="shared" si="9"/>
        <v>C</v>
      </c>
      <c r="U441" s="3" t="s">
        <v>203</v>
      </c>
      <c r="V441" s="4" t="str">
        <f>IF(ISBLANK(C441),,IFERROR(IF(VLOOKUP(B441,Standings!$A:$F, 6, 0)=VLOOKUP(C441,Standings!$A:$F, 6, 0), VLOOKUP(B441,Standings!$A:$F, 6, 0), "Non-con"), "FCS"))</f>
        <v>PAC12</v>
      </c>
      <c r="W441" s="3" t="str">
        <f t="shared" si="10"/>
        <v>Oregon State</v>
      </c>
      <c r="X441" s="3" t="str">
        <f t="shared" si="11"/>
        <v>Stanford</v>
      </c>
      <c r="Y441" s="30">
        <f>IF(D441=0,,IF(ISBLANK(Q441),,VLOOKUP(X441,Week14,2,FALSE)/(VLOOKUP(X441,Week14,2,FALSE)+VLOOKUP(W441,Week14,2,FALSE))+0.05)*100)</f>
        <v>57.72157682</v>
      </c>
      <c r="Z441" s="3" t="s">
        <v>190</v>
      </c>
      <c r="AA441" s="3">
        <v>27.0</v>
      </c>
      <c r="AB441" s="4" t="str">
        <f t="shared" si="20"/>
        <v>Oregon State</v>
      </c>
      <c r="AC441" s="3">
        <v>24.0</v>
      </c>
      <c r="AD441" s="3"/>
      <c r="AE441" s="3">
        <f t="shared" si="13"/>
        <v>3</v>
      </c>
      <c r="AF441" s="3"/>
      <c r="AG441" s="3">
        <f t="shared" si="133"/>
        <v>1</v>
      </c>
      <c r="AH441" s="3"/>
      <c r="AI441" s="7"/>
      <c r="AJ441" s="4"/>
      <c r="AK441" s="7"/>
      <c r="AL441" s="7"/>
      <c r="AM441" s="7"/>
      <c r="AN441" s="7"/>
      <c r="AO441" s="7"/>
      <c r="AP441" s="7"/>
      <c r="AQ441" s="7"/>
      <c r="AR441" s="7"/>
      <c r="AS441" s="7"/>
      <c r="AT441" s="7"/>
      <c r="AU441" s="7"/>
      <c r="AV441" s="7"/>
      <c r="AW441" s="7"/>
      <c r="AX441" s="7"/>
    </row>
    <row r="442" ht="12.75" hidden="1" customHeight="1">
      <c r="A442" s="3">
        <v>14.0</v>
      </c>
      <c r="B442" s="3" t="s">
        <v>118</v>
      </c>
      <c r="C442" s="3" t="s">
        <v>149</v>
      </c>
      <c r="D442" s="4">
        <f>IFERROR(VLOOKUP(B442,Week13,2,FALSE),0)</f>
        <v>36.08</v>
      </c>
      <c r="E442" s="4">
        <f>IF(ISBLANK(B442),,IFERROR(VLOOKUP(B442,CurrentRank!$B$2:$C$132,2,FALSE),0))</f>
        <v>35.17</v>
      </c>
      <c r="F442" s="4">
        <f>IFERROR(VLOOKUP(B442,Week13,3,FALSE),130)</f>
        <v>54</v>
      </c>
      <c r="G442" s="4">
        <f>IF(ISBLANK(B442),,IFERROR(VLOOKUP(B442,CurrentRank!$B$2:$D$132,3,FALSE),130))</f>
        <v>65</v>
      </c>
      <c r="H442" s="4">
        <f>IFERROR(VLOOKUP(C442,Week13,2,FALSE),0)</f>
        <v>40.23</v>
      </c>
      <c r="I442" s="4">
        <f>IF(ISBLANK(B442),,IFERROR(VLOOKUP(C442,CurrentRank!$B$2:$C$132,2,FALSE),0))</f>
        <v>36.59</v>
      </c>
      <c r="J442" s="4">
        <f>IFERROR(VLOOKUP(C442,Week13,3,FALSE),130)</f>
        <v>36</v>
      </c>
      <c r="K442" s="4">
        <f>IF(ISBLANK(C442),,IFERROR(VLOOKUP(C442,CurrentRank!$B$2:$D$132,3,FALSE),130))</f>
        <v>51</v>
      </c>
      <c r="L442" s="19">
        <f t="shared" si="192"/>
        <v>1.14465</v>
      </c>
      <c r="M442" s="19">
        <f t="shared" si="193"/>
        <v>1.0764</v>
      </c>
      <c r="N442" s="24">
        <f t="shared" si="184"/>
        <v>45</v>
      </c>
      <c r="O442" s="21">
        <f t="shared" si="4"/>
        <v>-2.647325</v>
      </c>
      <c r="P442" s="21">
        <f t="shared" si="185"/>
        <v>-1.282325</v>
      </c>
      <c r="Q442" s="22">
        <f t="shared" si="6"/>
        <v>0.761763375</v>
      </c>
      <c r="R442" s="25" t="str">
        <f t="shared" si="7"/>
        <v>C</v>
      </c>
      <c r="S442" s="19">
        <f t="shared" si="8"/>
        <v>0.765</v>
      </c>
      <c r="T442" s="19" t="str">
        <f t="shared" si="9"/>
        <v>C+</v>
      </c>
      <c r="U442" s="3" t="s">
        <v>203</v>
      </c>
      <c r="V442" s="4" t="str">
        <f>IF(ISBLANK(C442),,IFERROR(IF(VLOOKUP(B442,Standings!$A:$F, 6, 0)=VLOOKUP(C442,Standings!$A:$F, 6, 0), VLOOKUP(B442,Standings!$A:$F, 6, 0), "Non-con"), "FCS"))</f>
        <v>SEC</v>
      </c>
      <c r="W442" s="3" t="str">
        <f t="shared" si="10"/>
        <v>Arkansas</v>
      </c>
      <c r="X442" s="3" t="str">
        <f t="shared" si="11"/>
        <v>Missouri</v>
      </c>
      <c r="Y442" s="30">
        <f>IF(D442=0,,IF(ISBLANK(Q442),,VLOOKUP(X442,Week13,2,FALSE)/(VLOOKUP(X442,Week13,2,FALSE)+VLOOKUP(W442,Week13,2,FALSE))+0.05)*100)</f>
        <v>57.7191718</v>
      </c>
      <c r="Z442" s="3" t="s">
        <v>149</v>
      </c>
      <c r="AA442" s="3">
        <v>50.0</v>
      </c>
      <c r="AB442" s="4" t="str">
        <f t="shared" si="20"/>
        <v>Arkansas</v>
      </c>
      <c r="AC442" s="3">
        <v>48.0</v>
      </c>
      <c r="AD442" s="3"/>
      <c r="AE442" s="3">
        <f t="shared" si="13"/>
        <v>2</v>
      </c>
      <c r="AF442" s="3"/>
      <c r="AG442" s="3">
        <f t="shared" si="133"/>
        <v>1</v>
      </c>
      <c r="AH442" s="3"/>
      <c r="AI442" s="7"/>
      <c r="AJ442" s="4"/>
      <c r="AK442" s="7"/>
      <c r="AL442" s="7"/>
      <c r="AM442" s="7"/>
      <c r="AN442" s="7"/>
      <c r="AO442" s="7"/>
      <c r="AP442" s="7"/>
      <c r="AQ442" s="7"/>
      <c r="AR442" s="7"/>
      <c r="AS442" s="7"/>
      <c r="AT442" s="7"/>
      <c r="AU442" s="7"/>
      <c r="AV442" s="7"/>
      <c r="AW442" s="7"/>
      <c r="AX442" s="7"/>
    </row>
    <row r="443" ht="12.75" hidden="1" customHeight="1">
      <c r="A443" s="3">
        <v>12.0</v>
      </c>
      <c r="B443" s="3" t="s">
        <v>149</v>
      </c>
      <c r="C443" s="3" t="s">
        <v>161</v>
      </c>
      <c r="D443" s="4">
        <f>IFERROR(VLOOKUP(B443,Week11,2,FALSE),0)</f>
        <v>36.41</v>
      </c>
      <c r="E443" s="4">
        <f>IF(ISBLANK(B443),,IFERROR(VLOOKUP(B443,CurrentRank!$B$2:$C$132,2,FALSE),0))</f>
        <v>36.59</v>
      </c>
      <c r="F443" s="4">
        <f>IFERROR(VLOOKUP(B443,Week11,3,FALSE),130)</f>
        <v>58</v>
      </c>
      <c r="G443" s="4">
        <f>IF(ISBLANK(B443),,IFERROR(VLOOKUP(B443,CurrentRank!$B$2:$D$132,3,FALSE),130))</f>
        <v>51</v>
      </c>
      <c r="H443" s="4">
        <f>IFERROR(VLOOKUP(C443,Week11,2,FALSE),0)</f>
        <v>32.68</v>
      </c>
      <c r="I443" s="4">
        <f>IF(ISBLANK(B443),,IFERROR(VLOOKUP(C443,CurrentRank!$B$2:$C$132,2,FALSE),0))</f>
        <v>31.11</v>
      </c>
      <c r="J443" s="4">
        <f>IFERROR(VLOOKUP(C443,Week11,3,FALSE),130)</f>
        <v>80</v>
      </c>
      <c r="K443" s="4">
        <f>IF(ISBLANK(C443),,IFERROR(VLOOKUP(C443,CurrentRank!$B$2:$D$132,3,FALSE),130))</f>
        <v>100</v>
      </c>
      <c r="L443" s="19">
        <f t="shared" si="192"/>
        <v>1.03635</v>
      </c>
      <c r="M443" s="19">
        <f t="shared" si="193"/>
        <v>1.0155</v>
      </c>
      <c r="N443" s="24">
        <f t="shared" si="184"/>
        <v>69</v>
      </c>
      <c r="O443" s="21">
        <f t="shared" si="4"/>
        <v>1.346825</v>
      </c>
      <c r="P443" s="21">
        <f t="shared" si="185"/>
        <v>2.221825</v>
      </c>
      <c r="Q443" s="22">
        <f t="shared" si="6"/>
        <v>0.648265875</v>
      </c>
      <c r="R443" s="25" t="str">
        <f t="shared" si="7"/>
        <v>D</v>
      </c>
      <c r="S443" s="19">
        <f t="shared" si="8"/>
        <v>0.62</v>
      </c>
      <c r="T443" s="19" t="str">
        <f t="shared" si="9"/>
        <v>D-</v>
      </c>
      <c r="U443" s="3" t="s">
        <v>203</v>
      </c>
      <c r="V443" s="4" t="str">
        <f>IF(ISBLANK(C443),,IFERROR(IF(VLOOKUP(B443,Standings!$A:$F, 6, 0)=VLOOKUP(C443,Standings!$A:$F, 6, 0), VLOOKUP(B443,Standings!$A:$F, 6, 0), "Non-con"), "FCS"))</f>
        <v>SEC</v>
      </c>
      <c r="W443" s="3" t="str">
        <f t="shared" si="10"/>
        <v>South Carolina</v>
      </c>
      <c r="X443" s="3" t="str">
        <f t="shared" si="11"/>
        <v>Missouri</v>
      </c>
      <c r="Y443" s="30">
        <f>IF(D443=0,,IF(ISBLANK(Q443),,VLOOKUP(X443,Week11,2,FALSE)/(VLOOKUP(X443,Week11,2,FALSE)+VLOOKUP(W443,Week11,2,FALSE))+0.05)*100)</f>
        <v>57.69937762</v>
      </c>
      <c r="Z443" s="3" t="s">
        <v>149</v>
      </c>
      <c r="AA443" s="3">
        <v>17.0</v>
      </c>
      <c r="AB443" s="4" t="str">
        <f t="shared" si="20"/>
        <v>South Carolina</v>
      </c>
      <c r="AC443" s="3">
        <v>10.0</v>
      </c>
      <c r="AD443" s="3"/>
      <c r="AE443" s="3">
        <f t="shared" si="13"/>
        <v>7</v>
      </c>
      <c r="AF443" s="3"/>
      <c r="AG443" s="3">
        <f t="shared" si="133"/>
        <v>1</v>
      </c>
      <c r="AH443" s="3"/>
      <c r="AI443" s="7"/>
      <c r="AJ443" s="4" t="s">
        <v>153</v>
      </c>
      <c r="AK443" s="7"/>
      <c r="AL443" s="7"/>
      <c r="AM443" s="7"/>
      <c r="AN443" s="7"/>
      <c r="AO443" s="7"/>
      <c r="AP443" s="7"/>
      <c r="AQ443" s="7"/>
      <c r="AR443" s="7"/>
      <c r="AS443" s="7"/>
      <c r="AT443" s="7"/>
      <c r="AU443" s="7"/>
      <c r="AV443" s="7"/>
      <c r="AW443" s="7"/>
      <c r="AX443" s="7"/>
    </row>
    <row r="444" ht="12.75" hidden="1" customHeight="1">
      <c r="A444" s="3">
        <v>15.0</v>
      </c>
      <c r="B444" s="3" t="s">
        <v>151</v>
      </c>
      <c r="C444" s="3" t="s">
        <v>134</v>
      </c>
      <c r="D444" s="4">
        <f>IFERROR(VLOOKUP(B444,Week14,2,FALSE),0)</f>
        <v>35.85</v>
      </c>
      <c r="E444" s="4">
        <f>IF(ISBLANK(B444),,IFERROR(VLOOKUP(B444,CurrentRank!$B$2:$C$132,2,FALSE),0))</f>
        <v>34.83</v>
      </c>
      <c r="F444" s="4">
        <f>IFERROR(VLOOKUP(B444,Week14,3,FALSE),130)</f>
        <v>60</v>
      </c>
      <c r="G444" s="4">
        <f>IF(ISBLANK(B444),,IFERROR(VLOOKUP(B444,CurrentRank!$B$2:$D$132,3,FALSE),130))</f>
        <v>67</v>
      </c>
      <c r="H444" s="4">
        <f>IFERROR(VLOOKUP(C444,Week14,2,FALSE),0)</f>
        <v>39.93</v>
      </c>
      <c r="I444" s="4">
        <f>IF(ISBLANK(B444),,IFERROR(VLOOKUP(C444,CurrentRank!$B$2:$C$132,2,FALSE),0))</f>
        <v>60.69</v>
      </c>
      <c r="J444" s="4">
        <f>IFERROR(VLOOKUP(C444,Week14,3,FALSE),130)</f>
        <v>37</v>
      </c>
      <c r="K444" s="4">
        <f>IF(ISBLANK(C444),,IFERROR(VLOOKUP(C444,CurrentRank!$B$2:$D$132,3,FALSE),130))</f>
        <v>21</v>
      </c>
      <c r="L444" s="19">
        <f t="shared" si="192"/>
        <v>1.1367</v>
      </c>
      <c r="M444" s="19">
        <f t="shared" si="193"/>
        <v>1.4328</v>
      </c>
      <c r="N444" s="24">
        <f t="shared" si="184"/>
        <v>48.5</v>
      </c>
      <c r="O444" s="21">
        <f t="shared" si="4"/>
        <v>-2.60835</v>
      </c>
      <c r="P444" s="21">
        <f t="shared" si="185"/>
        <v>-13.49835</v>
      </c>
      <c r="Q444" s="22">
        <f t="shared" si="6"/>
        <v>0.74445825</v>
      </c>
      <c r="R444" s="25" t="str">
        <f t="shared" si="7"/>
        <v>C</v>
      </c>
      <c r="S444" s="19">
        <f t="shared" si="8"/>
        <v>0.7425</v>
      </c>
      <c r="T444" s="19" t="str">
        <f t="shared" si="9"/>
        <v>C</v>
      </c>
      <c r="U444" s="3" t="s">
        <v>203</v>
      </c>
      <c r="V444" s="4" t="str">
        <f>IF(ISBLANK(C444),,IFERROR(IF(VLOOKUP(B444,Standings!$A:$F, 6, 0)=VLOOKUP(C444,Standings!$A:$F, 6, 0), VLOOKUP(B444,Standings!$A:$F, 6, 0), "Non-con"), "FCS"))</f>
        <v>MAC</v>
      </c>
      <c r="W444" s="3" t="str">
        <f t="shared" si="10"/>
        <v>Western Michigan</v>
      </c>
      <c r="X444" s="3" t="str">
        <f t="shared" si="11"/>
        <v>Ball State</v>
      </c>
      <c r="Y444" s="30">
        <f>IF(D444=0,,IF(ISBLANK(Q444),,VLOOKUP(X444,Week14,2,FALSE)/(VLOOKUP(X444,Week14,2,FALSE)+VLOOKUP(W444,Week14,2,FALSE))+0.05)*100)</f>
        <v>57.69200317</v>
      </c>
      <c r="Z444" s="3" t="s">
        <v>134</v>
      </c>
      <c r="AA444" s="3">
        <v>30.0</v>
      </c>
      <c r="AB444" s="4" t="str">
        <f t="shared" si="20"/>
        <v>Western Michigan</v>
      </c>
      <c r="AC444" s="3">
        <v>27.0</v>
      </c>
      <c r="AD444" s="3"/>
      <c r="AE444" s="3">
        <f t="shared" si="13"/>
        <v>3</v>
      </c>
      <c r="AF444" s="3"/>
      <c r="AG444" s="3">
        <f t="shared" si="133"/>
        <v>1</v>
      </c>
      <c r="AH444" s="3"/>
      <c r="AI444" s="7"/>
      <c r="AJ444" s="4" t="s">
        <v>51</v>
      </c>
      <c r="AK444" s="7"/>
      <c r="AL444" s="7"/>
      <c r="AM444" s="7"/>
      <c r="AN444" s="7"/>
      <c r="AO444" s="7"/>
      <c r="AP444" s="7"/>
      <c r="AQ444" s="7"/>
      <c r="AR444" s="7"/>
      <c r="AS444" s="7"/>
      <c r="AT444" s="7"/>
      <c r="AU444" s="7"/>
      <c r="AV444" s="7"/>
      <c r="AW444" s="7"/>
      <c r="AX444" s="7"/>
    </row>
    <row r="445" ht="12.75" customHeight="1">
      <c r="A445" s="3">
        <v>14.0</v>
      </c>
      <c r="B445" s="3" t="s">
        <v>175</v>
      </c>
      <c r="C445" s="3" t="s">
        <v>185</v>
      </c>
      <c r="D445" s="4">
        <f>IFERROR(VLOOKUP(B445,Week13,2,FALSE),0)</f>
        <v>34.65</v>
      </c>
      <c r="E445" s="4">
        <f>IF(ISBLANK(B445),,IFERROR(VLOOKUP(B445,CurrentRank!$B$2:$C$132,2,FALSE),0))</f>
        <v>31.85</v>
      </c>
      <c r="F445" s="4">
        <f>IFERROR(VLOOKUP(B445,Week13,3,FALSE),130)</f>
        <v>65</v>
      </c>
      <c r="G445" s="4">
        <f>IF(ISBLANK(B445),,IFERROR(VLOOKUP(B445,CurrentRank!$B$2:$D$132,3,FALSE),130))</f>
        <v>95</v>
      </c>
      <c r="H445" s="4">
        <f>IFERROR(VLOOKUP(C445,Week13,2,FALSE),0)</f>
        <v>30.79</v>
      </c>
      <c r="I445" s="4">
        <f>IF(ISBLANK(B445),,IFERROR(VLOOKUP(C445,CurrentRank!$B$2:$C$132,2,FALSE),0))</f>
        <v>33.22</v>
      </c>
      <c r="J445" s="4">
        <f>IFERROR(VLOOKUP(C445,Week13,3,FALSE),130)</f>
        <v>98</v>
      </c>
      <c r="K445" s="4">
        <f>IF(ISBLANK(C445),,IFERROR(VLOOKUP(C445,CurrentRank!$B$2:$D$132,3,FALSE),130))</f>
        <v>84</v>
      </c>
      <c r="L445" s="19">
        <f t="shared" si="192"/>
        <v>0.9816</v>
      </c>
      <c r="M445" s="19">
        <f t="shared" si="193"/>
        <v>0.97605</v>
      </c>
      <c r="N445" s="24">
        <f t="shared" si="184"/>
        <v>81.5</v>
      </c>
      <c r="O445" s="21">
        <f t="shared" si="4"/>
        <v>1.4392</v>
      </c>
      <c r="P445" s="21">
        <f t="shared" si="185"/>
        <v>-1.1758</v>
      </c>
      <c r="Q445" s="22">
        <f t="shared" si="6"/>
        <v>0.585304</v>
      </c>
      <c r="R445" s="25" t="str">
        <f t="shared" si="7"/>
        <v>F</v>
      </c>
      <c r="S445" s="19">
        <f t="shared" si="8"/>
        <v>0.5875</v>
      </c>
      <c r="T445" s="19" t="str">
        <f t="shared" si="9"/>
        <v>F</v>
      </c>
      <c r="U445" s="3" t="s">
        <v>203</v>
      </c>
      <c r="V445" s="4" t="str">
        <f>IF(ISBLANK(C445),,IFERROR(IF(VLOOKUP(B445,Standings!$A:$F, 6, 0)=VLOOKUP(C445,Standings!$A:$F, 6, 0), VLOOKUP(B445,Standings!$A:$F, 6, 0), "Non-con"), "FCS"))</f>
        <v>MWC</v>
      </c>
      <c r="W445" s="3" t="str">
        <f t="shared" si="10"/>
        <v>New Mexico</v>
      </c>
      <c r="X445" s="3" t="str">
        <f t="shared" si="11"/>
        <v>Wyoming</v>
      </c>
      <c r="Y445" s="30">
        <f>IF(D445=0,,IF(ISBLANK(Q445),,VLOOKUP(X445,Week13,2,FALSE)/(VLOOKUP(X445,Week13,2,FALSE)+VLOOKUP(W445,Week13,2,FALSE))+0.05)*100)</f>
        <v>57.9492665</v>
      </c>
      <c r="Z445" s="3" t="s">
        <v>185</v>
      </c>
      <c r="AA445" s="3">
        <v>17.0</v>
      </c>
      <c r="AB445" s="4" t="str">
        <f t="shared" si="20"/>
        <v>Wyoming</v>
      </c>
      <c r="AC445" s="3">
        <v>16.0</v>
      </c>
      <c r="AD445" s="3"/>
      <c r="AE445" s="3">
        <f t="shared" si="13"/>
        <v>1</v>
      </c>
      <c r="AF445" s="3"/>
      <c r="AG445" s="3">
        <f t="shared" si="133"/>
        <v>0</v>
      </c>
      <c r="AH445" s="3"/>
      <c r="AI445" s="7"/>
      <c r="AJ445" s="4" t="s">
        <v>96</v>
      </c>
      <c r="AK445" s="7"/>
      <c r="AL445" s="7"/>
      <c r="AM445" s="7"/>
      <c r="AN445" s="3"/>
      <c r="AO445" s="4"/>
      <c r="AP445" s="7"/>
      <c r="AQ445" s="7"/>
      <c r="AR445" s="7"/>
      <c r="AS445" s="7"/>
      <c r="AT445" s="7"/>
      <c r="AU445" s="7"/>
      <c r="AV445" s="7"/>
      <c r="AW445" s="7"/>
      <c r="AX445" s="7"/>
    </row>
    <row r="446" ht="12.75" hidden="1" customHeight="1">
      <c r="A446" s="3">
        <v>12.0</v>
      </c>
      <c r="B446" s="3" t="s">
        <v>174</v>
      </c>
      <c r="C446" s="3" t="s">
        <v>26</v>
      </c>
      <c r="D446" s="4">
        <f>IFERROR(VLOOKUP(B446,Week11,2,FALSE),0)</f>
        <v>78.4</v>
      </c>
      <c r="E446" s="4">
        <f>IF(ISBLANK(B446),,IFERROR(VLOOKUP(B446,CurrentRank!$B$2:$C$132,2,FALSE),0))</f>
        <v>69.98</v>
      </c>
      <c r="F446" s="4">
        <f>IFERROR(VLOOKUP(B446,Week11,3,FALSE),130)</f>
        <v>10</v>
      </c>
      <c r="G446" s="4">
        <f>IF(ISBLANK(B446),,IFERROR(VLOOKUP(B446,CurrentRank!$B$2:$D$132,3,FALSE),130))</f>
        <v>13</v>
      </c>
      <c r="H446" s="4">
        <f>IFERROR(VLOOKUP(C446,Week11,2,FALSE),0)</f>
        <v>87.06</v>
      </c>
      <c r="I446" s="4">
        <f>IF(ISBLANK(B446),,IFERROR(VLOOKUP(C446,CurrentRank!$B$2:$C$132,2,FALSE),0))</f>
        <v>87.05</v>
      </c>
      <c r="J446" s="4">
        <f>IFERROR(VLOOKUP(C446,Week11,3,FALSE),130)</f>
        <v>3</v>
      </c>
      <c r="K446" s="4">
        <f>IF(ISBLANK(C446),,IFERROR(VLOOKUP(C446,CurrentRank!$B$2:$D$132,3,FALSE),130))</f>
        <v>2</v>
      </c>
      <c r="L446" s="19">
        <f t="shared" si="192"/>
        <v>2.4819</v>
      </c>
      <c r="M446" s="19">
        <f t="shared" si="193"/>
        <v>2.35545</v>
      </c>
      <c r="N446" s="24">
        <f t="shared" si="184"/>
        <v>6.5</v>
      </c>
      <c r="O446" s="21">
        <f t="shared" si="4"/>
        <v>-5.57095</v>
      </c>
      <c r="P446" s="21">
        <f t="shared" si="185"/>
        <v>-9.77595</v>
      </c>
      <c r="Q446" s="22">
        <f t="shared" si="6"/>
        <v>0.93964525</v>
      </c>
      <c r="R446" s="25" t="str">
        <f t="shared" si="7"/>
        <v>A</v>
      </c>
      <c r="S446" s="19">
        <f t="shared" si="8"/>
        <v>0.9325</v>
      </c>
      <c r="T446" s="19" t="str">
        <f t="shared" si="9"/>
        <v>A</v>
      </c>
      <c r="U446" s="3" t="s">
        <v>203</v>
      </c>
      <c r="V446" s="4" t="str">
        <f>IF(ISBLANK(C446),,IFERROR(IF(VLOOKUP(B446,Standings!$A:$F, 6, 0)=VLOOKUP(C446,Standings!$A:$F, 6, 0), VLOOKUP(B446,Standings!$A:$F, 6, 0), "Non-con"), "FCS"))</f>
        <v>B1G</v>
      </c>
      <c r="W446" s="3" t="str">
        <f t="shared" si="10"/>
        <v>Indiana</v>
      </c>
      <c r="X446" s="3" t="str">
        <f t="shared" si="11"/>
        <v>Ohio State</v>
      </c>
      <c r="Y446" s="30">
        <f>IF(D446=0,,IF(ISBLANK(Q446),,VLOOKUP(X446,Week11,2,FALSE)/(VLOOKUP(X446,Week11,2,FALSE)+VLOOKUP(W446,Week11,2,FALSE))+0.05)*100)</f>
        <v>57.61694669</v>
      </c>
      <c r="Z446" s="3" t="s">
        <v>26</v>
      </c>
      <c r="AA446" s="3">
        <v>42.0</v>
      </c>
      <c r="AB446" s="4" t="str">
        <f t="shared" si="20"/>
        <v>Indiana</v>
      </c>
      <c r="AC446" s="3">
        <v>35.0</v>
      </c>
      <c r="AD446" s="3"/>
      <c r="AE446" s="3">
        <f t="shared" si="13"/>
        <v>7</v>
      </c>
      <c r="AF446" s="3"/>
      <c r="AG446" s="3">
        <f t="shared" si="133"/>
        <v>1</v>
      </c>
      <c r="AH446" s="3"/>
      <c r="AI446" s="7"/>
      <c r="AJ446" s="4"/>
      <c r="AK446" s="7"/>
      <c r="AL446" s="7"/>
      <c r="AM446" s="7"/>
      <c r="AN446" s="7"/>
      <c r="AO446" s="7"/>
      <c r="AP446" s="7"/>
      <c r="AQ446" s="7"/>
      <c r="AR446" s="7"/>
      <c r="AS446" s="7"/>
      <c r="AT446" s="7"/>
      <c r="AU446" s="7"/>
      <c r="AV446" s="7"/>
      <c r="AW446" s="7"/>
      <c r="AX446" s="7"/>
    </row>
    <row r="447" ht="12.75" customHeight="1">
      <c r="A447" s="3">
        <v>5.0</v>
      </c>
      <c r="B447" s="3" t="s">
        <v>130</v>
      </c>
      <c r="C447" s="3" t="s">
        <v>107</v>
      </c>
      <c r="D447" s="4">
        <f>IFERROR(VLOOKUP(B447,Week4,2,FALSE),0)</f>
        <v>36.67</v>
      </c>
      <c r="E447" s="4">
        <f>IF(ISBLANK(B447),,IFERROR(VLOOKUP(B447,CurrentRank!$B$2:$C$132,2,FALSE),0))</f>
        <v>29.22</v>
      </c>
      <c r="F447" s="4">
        <f>IFERROR(VLOOKUP(B447,Week4,3,FALSE),130)</f>
        <v>41</v>
      </c>
      <c r="G447" s="4">
        <f>IF(ISBLANK(B447),,IFERROR(VLOOKUP(B447,CurrentRank!$B$2:$D$132,3,FALSE),130))</f>
        <v>116</v>
      </c>
      <c r="H447" s="4">
        <f>IFERROR(VLOOKUP(C447,Week4,2,FALSE),0)</f>
        <v>31.05</v>
      </c>
      <c r="I447" s="4">
        <f>IF(ISBLANK(B447),,IFERROR(VLOOKUP(C447,CurrentRank!$B$2:$C$132,2,FALSE),0))</f>
        <v>35.54</v>
      </c>
      <c r="J447" s="4">
        <f>IFERROR(VLOOKUP(C447,Week4,3,FALSE),130)</f>
        <v>58</v>
      </c>
      <c r="K447" s="4">
        <f>IF(ISBLANK(C447),,IFERROR(VLOOKUP(C447,CurrentRank!$B$2:$D$132,3,FALSE),130))</f>
        <v>57</v>
      </c>
      <c r="L447" s="19">
        <f t="shared" si="192"/>
        <v>1.0158</v>
      </c>
      <c r="M447" s="19">
        <f t="shared" si="193"/>
        <v>0.9714</v>
      </c>
      <c r="N447" s="24">
        <f t="shared" si="184"/>
        <v>49.5</v>
      </c>
      <c r="O447" s="21">
        <f t="shared" si="4"/>
        <v>2.3021</v>
      </c>
      <c r="P447" s="21">
        <f t="shared" si="185"/>
        <v>-3.6679</v>
      </c>
      <c r="Q447" s="22">
        <f t="shared" si="6"/>
        <v>0.7409895</v>
      </c>
      <c r="R447" s="25" t="str">
        <f t="shared" si="7"/>
        <v>C</v>
      </c>
      <c r="S447" s="19">
        <f t="shared" si="8"/>
        <v>0.5875</v>
      </c>
      <c r="T447" s="19" t="str">
        <f t="shared" si="9"/>
        <v>F</v>
      </c>
      <c r="U447" s="3" t="s">
        <v>203</v>
      </c>
      <c r="V447" s="4" t="str">
        <f>IF(ISBLANK(C447),,IFERROR(IF(VLOOKUP(B447,Standings!$A:$F, 6, 0)=VLOOKUP(C447,Standings!$A:$F, 6, 0), VLOOKUP(B447,Standings!$A:$F, 6, 0), "Non-con"), "FCS"))</f>
        <v>Non-con</v>
      </c>
      <c r="W447" s="3" t="str">
        <f t="shared" si="10"/>
        <v>Air Force</v>
      </c>
      <c r="X447" s="3" t="str">
        <f t="shared" si="11"/>
        <v>Navy</v>
      </c>
      <c r="Y447" s="30">
        <f>IF(D447=0,,IF(ISBLANK(Q447),,VLOOKUP(X447,Week4,2,FALSE)/(VLOOKUP(X447,Week4,2,FALSE)+VLOOKUP(W447,Week4,2,FALSE))+0.05)*100)</f>
        <v>59.14943887</v>
      </c>
      <c r="Z447" s="3" t="s">
        <v>107</v>
      </c>
      <c r="AA447" s="3">
        <v>40.0</v>
      </c>
      <c r="AB447" s="4" t="str">
        <f t="shared" si="20"/>
        <v>Navy</v>
      </c>
      <c r="AC447" s="3">
        <v>7.0</v>
      </c>
      <c r="AD447" s="3"/>
      <c r="AE447" s="3">
        <f t="shared" si="13"/>
        <v>33</v>
      </c>
      <c r="AF447" s="3"/>
      <c r="AG447" s="3">
        <f t="shared" si="133"/>
        <v>0</v>
      </c>
      <c r="AH447" s="3"/>
      <c r="AI447" s="7"/>
      <c r="AJ447" s="4" t="s">
        <v>273</v>
      </c>
      <c r="AK447" s="7"/>
      <c r="AL447" s="7"/>
      <c r="AM447" s="7"/>
      <c r="AN447" s="7"/>
      <c r="AO447" s="7"/>
      <c r="AP447" s="7"/>
      <c r="AQ447" s="7"/>
      <c r="AR447" s="7"/>
      <c r="AS447" s="7"/>
      <c r="AT447" s="7"/>
      <c r="AU447" s="7"/>
      <c r="AV447" s="7"/>
      <c r="AW447" s="7"/>
      <c r="AX447" s="7"/>
    </row>
    <row r="448" ht="12.75" hidden="1" customHeight="1">
      <c r="A448" s="3">
        <v>8.0</v>
      </c>
      <c r="B448" s="3" t="s">
        <v>58</v>
      </c>
      <c r="C448" s="3" t="s">
        <v>119</v>
      </c>
      <c r="D448" s="4">
        <f>IFERROR(VLOOKUP(B448,Week7,2,FALSE),0)</f>
        <v>43.63</v>
      </c>
      <c r="E448" s="4">
        <f>IF(ISBLANK(B448),,IFERROR(VLOOKUP(B448,CurrentRank!$B$2:$C$132,2,FALSE),0))</f>
        <v>72.87</v>
      </c>
      <c r="F448" s="4">
        <f>IFERROR(VLOOKUP(B448,Week7,3,FALSE),130)</f>
        <v>29</v>
      </c>
      <c r="G448" s="4">
        <f>IF(ISBLANK(B448),,IFERROR(VLOOKUP(B448,CurrentRank!$B$2:$D$132,3,FALSE),130))</f>
        <v>10</v>
      </c>
      <c r="H448" s="4">
        <f>IFERROR(VLOOKUP(C448,Week7,2,FALSE),0)</f>
        <v>39.32</v>
      </c>
      <c r="I448" s="4">
        <f>IF(ISBLANK(B448),,IFERROR(VLOOKUP(C448,CurrentRank!$B$2:$C$132,2,FALSE),0))</f>
        <v>31.96</v>
      </c>
      <c r="J448" s="4">
        <f>IFERROR(VLOOKUP(C448,Week7,3,FALSE),130)</f>
        <v>38</v>
      </c>
      <c r="K448" s="4">
        <f>IF(ISBLANK(C448),,IFERROR(VLOOKUP(C448,CurrentRank!$B$2:$D$132,3,FALSE),130))</f>
        <v>94</v>
      </c>
      <c r="L448" s="19">
        <f t="shared" si="192"/>
        <v>1.24425</v>
      </c>
      <c r="M448" s="19">
        <f t="shared" si="193"/>
        <v>1.57245</v>
      </c>
      <c r="N448" s="24">
        <f t="shared" si="184"/>
        <v>33.5</v>
      </c>
      <c r="O448" s="21">
        <f t="shared" si="4"/>
        <v>1.532875</v>
      </c>
      <c r="P448" s="21">
        <f t="shared" si="185"/>
        <v>19.832875</v>
      </c>
      <c r="Q448" s="22">
        <f t="shared" si="6"/>
        <v>0.824835625</v>
      </c>
      <c r="R448" s="25" t="str">
        <f t="shared" si="7"/>
        <v>B-</v>
      </c>
      <c r="S448" s="19">
        <f t="shared" si="8"/>
        <v>0.8125</v>
      </c>
      <c r="T448" s="19" t="str">
        <f t="shared" si="9"/>
        <v>B-</v>
      </c>
      <c r="U448" s="3" t="s">
        <v>203</v>
      </c>
      <c r="V448" s="4" t="str">
        <f>IF(ISBLANK(C448),,IFERROR(IF(VLOOKUP(B448,Standings!$A:$F, 6, 0)=VLOOKUP(C448,Standings!$A:$F, 6, 0), VLOOKUP(B448,Standings!$A:$F, 6, 0), "Non-con"), "FCS"))</f>
        <v>Non-con</v>
      </c>
      <c r="W448" s="3" t="str">
        <f t="shared" si="10"/>
        <v>UAB</v>
      </c>
      <c r="X448" s="3" t="str">
        <f t="shared" si="11"/>
        <v>UL-Lafayette</v>
      </c>
      <c r="Y448" s="30">
        <f>IF(D448=0,,IF(ISBLANK(Q448),,VLOOKUP(X448,Week7,2,FALSE)/(VLOOKUP(X448,Week7,2,FALSE)+VLOOKUP(W448,Week7,2,FALSE))+0.05)*100)</f>
        <v>57.59795057</v>
      </c>
      <c r="Z448" s="3" t="s">
        <v>58</v>
      </c>
      <c r="AA448" s="3">
        <v>24.0</v>
      </c>
      <c r="AB448" s="4" t="str">
        <f t="shared" si="20"/>
        <v>UAB</v>
      </c>
      <c r="AC448" s="3">
        <v>20.0</v>
      </c>
      <c r="AD448" s="3"/>
      <c r="AE448" s="3">
        <f t="shared" si="13"/>
        <v>4</v>
      </c>
      <c r="AF448" s="3"/>
      <c r="AG448" s="3">
        <f t="shared" si="133"/>
        <v>1</v>
      </c>
      <c r="AH448" s="3"/>
      <c r="AI448" s="7"/>
      <c r="AJ448" s="4"/>
      <c r="AK448" s="7"/>
      <c r="AL448" s="7"/>
      <c r="AM448" s="7"/>
      <c r="AN448" s="7"/>
      <c r="AO448" s="7"/>
      <c r="AP448" s="7"/>
      <c r="AQ448" s="7"/>
      <c r="AR448" s="7"/>
      <c r="AS448" s="7"/>
      <c r="AT448" s="7"/>
      <c r="AU448" s="7"/>
      <c r="AV448" s="7"/>
      <c r="AW448" s="7"/>
      <c r="AX448" s="7"/>
    </row>
    <row r="449" ht="12.75" customHeight="1">
      <c r="A449" s="3">
        <v>8.0</v>
      </c>
      <c r="B449" s="3" t="s">
        <v>166</v>
      </c>
      <c r="C449" s="3" t="s">
        <v>145</v>
      </c>
      <c r="D449" s="4">
        <f>IFERROR(VLOOKUP(B449,Week7,2,FALSE),0)</f>
        <v>30.76</v>
      </c>
      <c r="E449" s="4">
        <f>IF(ISBLANK(B449),,IFERROR(VLOOKUP(B449,CurrentRank!$B$2:$C$132,2,FALSE),0))</f>
        <v>31.48</v>
      </c>
      <c r="F449" s="4">
        <f>IFERROR(VLOOKUP(B449,Week7,3,FALSE),130)</f>
        <v>72</v>
      </c>
      <c r="G449" s="4">
        <f>IF(ISBLANK(B449),,IFERROR(VLOOKUP(B449,CurrentRank!$B$2:$D$132,3,FALSE),130))</f>
        <v>99</v>
      </c>
      <c r="H449" s="4">
        <f>IFERROR(VLOOKUP(C449,Week7,2,FALSE),0)</f>
        <v>30.76</v>
      </c>
      <c r="I449" s="4">
        <f>IF(ISBLANK(B449),,IFERROR(VLOOKUP(C449,CurrentRank!$B$2:$C$132,2,FALSE),0))</f>
        <v>29.42</v>
      </c>
      <c r="J449" s="4">
        <f>IFERROR(VLOOKUP(C449,Week7,3,FALSE),130)</f>
        <v>72</v>
      </c>
      <c r="K449" s="4">
        <f>IF(ISBLANK(C449),,IFERROR(VLOOKUP(C449,CurrentRank!$B$2:$D$132,3,FALSE),130))</f>
        <v>114</v>
      </c>
      <c r="L449" s="19">
        <f t="shared" si="192"/>
        <v>0.9228</v>
      </c>
      <c r="M449" s="19">
        <f t="shared" si="193"/>
        <v>0.9135</v>
      </c>
      <c r="N449" s="24">
        <f t="shared" si="184"/>
        <v>72</v>
      </c>
      <c r="O449" s="21">
        <f t="shared" si="4"/>
        <v>-0.4614</v>
      </c>
      <c r="P449" s="21">
        <f t="shared" si="185"/>
        <v>0.5686</v>
      </c>
      <c r="Q449" s="22">
        <f t="shared" si="6"/>
        <v>0.637693</v>
      </c>
      <c r="R449" s="25" t="str">
        <f t="shared" si="7"/>
        <v>D</v>
      </c>
      <c r="S449" s="19">
        <f t="shared" si="8"/>
        <v>0.585</v>
      </c>
      <c r="T449" s="19" t="str">
        <f t="shared" si="9"/>
        <v>F</v>
      </c>
      <c r="U449" s="3" t="s">
        <v>203</v>
      </c>
      <c r="V449" s="4" t="str">
        <f>IF(ISBLANK(C449),,IFERROR(IF(VLOOKUP(B449,Standings!$A:$F, 6, 0)=VLOOKUP(C449,Standings!$A:$F, 6, 0), VLOOKUP(B449,Standings!$A:$F, 6, 0), "Non-con"), "FCS"))</f>
        <v>B1G</v>
      </c>
      <c r="W449" s="3" t="str">
        <f t="shared" si="10"/>
        <v>Rutgers</v>
      </c>
      <c r="X449" s="3" t="str">
        <f t="shared" si="11"/>
        <v>Michigan State</v>
      </c>
      <c r="Y449" s="30">
        <f>IF(D449=0,,IF(ISBLANK(Q449),,VLOOKUP(X449,Week7,2,FALSE)/(VLOOKUP(X449,Week7,2,FALSE)+VLOOKUP(W449,Week7,2,FALSE))+0.05)*100)</f>
        <v>55</v>
      </c>
      <c r="Z449" s="3" t="s">
        <v>166</v>
      </c>
      <c r="AA449" s="3">
        <v>38.0</v>
      </c>
      <c r="AB449" s="4" t="str">
        <f t="shared" si="20"/>
        <v>Michigan State</v>
      </c>
      <c r="AC449" s="3">
        <v>27.0</v>
      </c>
      <c r="AD449" s="3"/>
      <c r="AE449" s="3">
        <f t="shared" si="13"/>
        <v>11</v>
      </c>
      <c r="AF449" s="3"/>
      <c r="AG449" s="3">
        <f t="shared" si="133"/>
        <v>0</v>
      </c>
      <c r="AH449" s="3"/>
      <c r="AI449" s="7"/>
      <c r="AJ449" s="4" t="s">
        <v>48</v>
      </c>
      <c r="AK449" s="7"/>
      <c r="AL449" s="7"/>
      <c r="AM449" s="7"/>
      <c r="AN449" s="7"/>
      <c r="AO449" s="7"/>
      <c r="AP449" s="7"/>
      <c r="AQ449" s="7"/>
      <c r="AR449" s="7"/>
      <c r="AS449" s="7"/>
      <c r="AT449" s="7"/>
      <c r="AU449" s="7"/>
      <c r="AV449" s="7"/>
      <c r="AW449" s="7"/>
      <c r="AX449" s="7"/>
    </row>
    <row r="450" ht="12.75" hidden="1" customHeight="1">
      <c r="A450" s="3">
        <v>13.0</v>
      </c>
      <c r="B450" s="3" t="s">
        <v>179</v>
      </c>
      <c r="C450" s="3" t="s">
        <v>184</v>
      </c>
      <c r="D450" s="4">
        <f>IFERROR(VLOOKUP(B450,Week12,2,FALSE),0)</f>
        <v>35.18</v>
      </c>
      <c r="E450" s="4">
        <f>IF(ISBLANK(B450),,IFERROR(VLOOKUP(B450,CurrentRank!$B$2:$C$132,2,FALSE),0))</f>
        <v>37.85</v>
      </c>
      <c r="F450" s="4">
        <f>IFERROR(VLOOKUP(B450,Week12,3,FALSE),130)</f>
        <v>61</v>
      </c>
      <c r="G450" s="4">
        <f>IF(ISBLANK(B450),,IFERROR(VLOOKUP(B450,CurrentRank!$B$2:$D$132,3,FALSE),130))</f>
        <v>39</v>
      </c>
      <c r="H450" s="4">
        <f>IFERROR(VLOOKUP(C450,Week12,2,FALSE),0)</f>
        <v>31.73</v>
      </c>
      <c r="I450" s="4">
        <f>IF(ISBLANK(B450),,IFERROR(VLOOKUP(C450,CurrentRank!$B$2:$C$132,2,FALSE),0))</f>
        <v>28.91</v>
      </c>
      <c r="J450" s="4">
        <f>IFERROR(VLOOKUP(C450,Week12,3,FALSE),130)</f>
        <v>85</v>
      </c>
      <c r="K450" s="4">
        <f>IF(ISBLANK(C450),,IFERROR(VLOOKUP(C450,CurrentRank!$B$2:$D$132,3,FALSE),130))</f>
        <v>118</v>
      </c>
      <c r="L450" s="19">
        <f t="shared" si="192"/>
        <v>1.00365</v>
      </c>
      <c r="M450" s="19">
        <f t="shared" si="193"/>
        <v>1.0014</v>
      </c>
      <c r="N450" s="24">
        <f t="shared" si="184"/>
        <v>73</v>
      </c>
      <c r="O450" s="21">
        <f t="shared" si="4"/>
        <v>1.223175</v>
      </c>
      <c r="P450" s="21">
        <f t="shared" si="185"/>
        <v>3.968175</v>
      </c>
      <c r="Q450" s="22">
        <f t="shared" si="6"/>
        <v>0.628884125</v>
      </c>
      <c r="R450" s="25" t="str">
        <f t="shared" si="7"/>
        <v>D</v>
      </c>
      <c r="S450" s="19">
        <f t="shared" si="8"/>
        <v>0.48</v>
      </c>
      <c r="T450" s="19" t="str">
        <f t="shared" si="9"/>
        <v>F</v>
      </c>
      <c r="U450" s="3" t="s">
        <v>203</v>
      </c>
      <c r="V450" s="4" t="str">
        <f>IF(ISBLANK(C450),,IFERROR(IF(VLOOKUP(B450,Standings!$A:$F, 6, 0)=VLOOKUP(C450,Standings!$A:$F, 6, 0), VLOOKUP(B450,Standings!$A:$F, 6, 0), "Non-con"), "FCS"))</f>
        <v>MAC</v>
      </c>
      <c r="W450" s="3" t="str">
        <f t="shared" si="10"/>
        <v>Akron</v>
      </c>
      <c r="X450" s="3" t="str">
        <f t="shared" si="11"/>
        <v>Miami (OH)</v>
      </c>
      <c r="Y450" s="30">
        <f>IF(D450=0,,IF(ISBLANK(Q450),,VLOOKUP(X450,Week12,2,FALSE)/(VLOOKUP(X450,Week12,2,FALSE)+VLOOKUP(W450,Week12,2,FALSE))+0.05)*100)</f>
        <v>57.57808997</v>
      </c>
      <c r="Z450" s="3" t="s">
        <v>179</v>
      </c>
      <c r="AA450" s="3">
        <v>38.0</v>
      </c>
      <c r="AB450" s="4" t="str">
        <f t="shared" si="20"/>
        <v>Akron</v>
      </c>
      <c r="AC450" s="3">
        <v>7.0</v>
      </c>
      <c r="AD450" s="3"/>
      <c r="AE450" s="3">
        <f t="shared" si="13"/>
        <v>31</v>
      </c>
      <c r="AF450" s="3"/>
      <c r="AG450" s="3">
        <f t="shared" si="133"/>
        <v>1</v>
      </c>
      <c r="AH450" s="3"/>
      <c r="AI450" s="7"/>
      <c r="AJ450" s="4"/>
      <c r="AK450" s="7"/>
      <c r="AL450" s="7"/>
      <c r="AM450" s="7"/>
      <c r="AN450" s="7"/>
      <c r="AO450" s="7"/>
      <c r="AP450" s="7"/>
      <c r="AQ450" s="7"/>
      <c r="AR450" s="7"/>
      <c r="AS450" s="7"/>
      <c r="AT450" s="7"/>
      <c r="AU450" s="7"/>
      <c r="AV450" s="7"/>
      <c r="AW450" s="7"/>
      <c r="AX450" s="7"/>
    </row>
    <row r="451" ht="12.75" hidden="1" customHeight="1">
      <c r="A451" s="3">
        <v>15.0</v>
      </c>
      <c r="B451" s="3" t="s">
        <v>89</v>
      </c>
      <c r="C451" s="3" t="s">
        <v>108</v>
      </c>
      <c r="D451" s="4">
        <f>IFERROR(VLOOKUP(B451,Week14,2,FALSE),0)</f>
        <v>34.94</v>
      </c>
      <c r="E451" s="4">
        <f>IF(ISBLANK(B451),,IFERROR(VLOOKUP(B451,CurrentRank!$B$2:$C$132,2,FALSE),0))</f>
        <v>35.74</v>
      </c>
      <c r="F451" s="4">
        <f>IFERROR(VLOOKUP(B451,Week14,3,FALSE),130)</f>
        <v>71</v>
      </c>
      <c r="G451" s="4">
        <f>IF(ISBLANK(B451),,IFERROR(VLOOKUP(B451,CurrentRank!$B$2:$D$132,3,FALSE),130))</f>
        <v>56</v>
      </c>
      <c r="H451" s="4">
        <f>IFERROR(VLOOKUP(C451,Week14,2,FALSE),0)</f>
        <v>31.58</v>
      </c>
      <c r="I451" s="4">
        <f>IF(ISBLANK(B451),,IFERROR(VLOOKUP(C451,CurrentRank!$B$2:$C$132,2,FALSE),0))</f>
        <v>30.15</v>
      </c>
      <c r="J451" s="4">
        <f>IFERROR(VLOOKUP(C451,Week14,3,FALSE),130)</f>
        <v>99</v>
      </c>
      <c r="K451" s="4">
        <f>IF(ISBLANK(C451),,IFERROR(VLOOKUP(C451,CurrentRank!$B$2:$D$132,3,FALSE),130))</f>
        <v>109</v>
      </c>
      <c r="L451" s="19">
        <f t="shared" si="192"/>
        <v>0.9978</v>
      </c>
      <c r="M451" s="19">
        <f t="shared" si="193"/>
        <v>0.98835</v>
      </c>
      <c r="N451" s="24">
        <f t="shared" si="184"/>
        <v>85</v>
      </c>
      <c r="O451" s="21">
        <f t="shared" si="4"/>
        <v>1.1811</v>
      </c>
      <c r="P451" s="21">
        <f t="shared" si="185"/>
        <v>2.2961</v>
      </c>
      <c r="Q451" s="22">
        <f t="shared" si="6"/>
        <v>0.5690945</v>
      </c>
      <c r="R451" s="25" t="str">
        <f t="shared" si="7"/>
        <v>F</v>
      </c>
      <c r="S451" s="19">
        <f t="shared" si="8"/>
        <v>0.505</v>
      </c>
      <c r="T451" s="19" t="str">
        <f t="shared" si="9"/>
        <v>F</v>
      </c>
      <c r="U451" s="3" t="s">
        <v>203</v>
      </c>
      <c r="V451" s="4" t="str">
        <f>IF(ISBLANK(C451),,IFERROR(IF(VLOOKUP(B451,Standings!$A:$F, 6, 0)=VLOOKUP(C451,Standings!$A:$F, 6, 0), VLOOKUP(B451,Standings!$A:$F, 6, 0), "Non-con"), "FCS"))</f>
        <v>ACC</v>
      </c>
      <c r="W451" s="3" t="str">
        <f t="shared" si="10"/>
        <v>Georgia Tech</v>
      </c>
      <c r="X451" s="3" t="str">
        <f t="shared" si="11"/>
        <v>Pittsburgh</v>
      </c>
      <c r="Y451" s="30">
        <f>IF(D451=0,,IF(ISBLANK(Q451),,VLOOKUP(X451,Week14,2,FALSE)/(VLOOKUP(X451,Week14,2,FALSE)+VLOOKUP(W451,Week14,2,FALSE))+0.05)*100)</f>
        <v>57.52555622</v>
      </c>
      <c r="Z451" s="3" t="s">
        <v>89</v>
      </c>
      <c r="AA451" s="3">
        <v>34.0</v>
      </c>
      <c r="AB451" s="4" t="str">
        <f t="shared" si="20"/>
        <v>Georgia Tech</v>
      </c>
      <c r="AC451" s="3">
        <v>20.0</v>
      </c>
      <c r="AD451" s="3"/>
      <c r="AE451" s="3">
        <f t="shared" si="13"/>
        <v>14</v>
      </c>
      <c r="AF451" s="3"/>
      <c r="AG451" s="3">
        <f t="shared" si="133"/>
        <v>1</v>
      </c>
      <c r="AH451" s="3"/>
      <c r="AI451" s="7"/>
      <c r="AJ451" s="4"/>
      <c r="AK451" s="7"/>
      <c r="AL451" s="7"/>
      <c r="AM451" s="7"/>
      <c r="AN451" s="7"/>
      <c r="AO451" s="7"/>
      <c r="AP451" s="7"/>
      <c r="AQ451" s="7"/>
      <c r="AR451" s="7"/>
      <c r="AS451" s="7"/>
      <c r="AT451" s="7"/>
      <c r="AU451" s="7"/>
      <c r="AV451" s="7"/>
      <c r="AW451" s="7"/>
      <c r="AX451" s="7"/>
    </row>
    <row r="452" ht="12.75" hidden="1" customHeight="1">
      <c r="A452" s="3">
        <v>15.0</v>
      </c>
      <c r="B452" s="3" t="s">
        <v>143</v>
      </c>
      <c r="C452" s="3" t="s">
        <v>169</v>
      </c>
      <c r="D452" s="4">
        <f>IFERROR(VLOOKUP(B452,Week14,2,FALSE),0)</f>
        <v>30.85</v>
      </c>
      <c r="E452" s="4">
        <f>IF(ISBLANK(B452),,IFERROR(VLOOKUP(B452,CurrentRank!$B$2:$C$132,2,FALSE),0))</f>
        <v>30.67</v>
      </c>
      <c r="F452" s="4">
        <f>IFERROR(VLOOKUP(B452,Week14,3,FALSE),130)</f>
        <v>107</v>
      </c>
      <c r="G452" s="4">
        <f>IF(ISBLANK(B452),,IFERROR(VLOOKUP(B452,CurrentRank!$B$2:$D$132,3,FALSE),130))</f>
        <v>108</v>
      </c>
      <c r="H452" s="4">
        <f>IFERROR(VLOOKUP(C452,Week14,2,FALSE),0)</f>
        <v>34.07</v>
      </c>
      <c r="I452" s="4">
        <f>IF(ISBLANK(B452),,IFERROR(VLOOKUP(C452,CurrentRank!$B$2:$C$132,2,FALSE),0))</f>
        <v>34.3</v>
      </c>
      <c r="J452" s="4">
        <f>IFERROR(VLOOKUP(C452,Week14,3,FALSE),130)</f>
        <v>80</v>
      </c>
      <c r="K452" s="4">
        <f>IF(ISBLANK(C452),,IFERROR(VLOOKUP(C452,CurrentRank!$B$2:$D$132,3,FALSE),130))</f>
        <v>71</v>
      </c>
      <c r="L452" s="19">
        <f t="shared" si="192"/>
        <v>0.9738</v>
      </c>
      <c r="M452" s="19">
        <f t="shared" si="193"/>
        <v>0.97455</v>
      </c>
      <c r="N452" s="24">
        <f t="shared" si="184"/>
        <v>93.5</v>
      </c>
      <c r="O452" s="21">
        <f t="shared" si="4"/>
        <v>-2.0969</v>
      </c>
      <c r="P452" s="21">
        <f t="shared" si="185"/>
        <v>-2.3019</v>
      </c>
      <c r="Q452" s="22">
        <f t="shared" si="6"/>
        <v>0.5220155</v>
      </c>
      <c r="R452" s="25" t="str">
        <f t="shared" si="7"/>
        <v>F</v>
      </c>
      <c r="S452" s="19">
        <f t="shared" si="8"/>
        <v>0.4925</v>
      </c>
      <c r="T452" s="19" t="str">
        <f t="shared" si="9"/>
        <v>F</v>
      </c>
      <c r="U452" s="3" t="s">
        <v>203</v>
      </c>
      <c r="V452" s="4" t="str">
        <f>IF(ISBLANK(C452),,IFERROR(IF(VLOOKUP(B452,Standings!$A:$F, 6, 0)=VLOOKUP(C452,Standings!$A:$F, 6, 0), VLOOKUP(B452,Standings!$A:$F, 6, 0), "Non-con"), "FCS"))</f>
        <v>MAC</v>
      </c>
      <c r="W452" s="3" t="str">
        <f t="shared" si="10"/>
        <v>Northern Illinois</v>
      </c>
      <c r="X452" s="3" t="str">
        <f t="shared" si="11"/>
        <v>Eastern Michigan</v>
      </c>
      <c r="Y452" s="30">
        <f>IF(D452=0,,IF(ISBLANK(Q452),,VLOOKUP(X452,Week14,2,FALSE)/(VLOOKUP(X452,Week14,2,FALSE)+VLOOKUP(W452,Week14,2,FALSE))+0.05)*100)</f>
        <v>57.47997535</v>
      </c>
      <c r="Z452" s="3" t="s">
        <v>169</v>
      </c>
      <c r="AA452" s="3">
        <v>41.0</v>
      </c>
      <c r="AB452" s="4" t="str">
        <f t="shared" si="20"/>
        <v>Northern Illinois</v>
      </c>
      <c r="AC452" s="3">
        <v>33.0</v>
      </c>
      <c r="AD452" s="3"/>
      <c r="AE452" s="3">
        <f t="shared" si="13"/>
        <v>8</v>
      </c>
      <c r="AF452" s="3"/>
      <c r="AG452" s="3">
        <f t="shared" si="133"/>
        <v>1</v>
      </c>
      <c r="AH452" s="3"/>
      <c r="AI452" s="7"/>
      <c r="AJ452" s="4"/>
      <c r="AK452" s="7"/>
      <c r="AL452" s="7"/>
      <c r="AM452" s="7"/>
      <c r="AN452" s="7"/>
      <c r="AO452" s="7"/>
      <c r="AP452" s="7"/>
      <c r="AQ452" s="7"/>
      <c r="AR452" s="7"/>
      <c r="AS452" s="7"/>
      <c r="AT452" s="7"/>
      <c r="AU452" s="7"/>
      <c r="AV452" s="7"/>
      <c r="AW452" s="7"/>
      <c r="AX452" s="7"/>
    </row>
    <row r="453" ht="12.75" hidden="1" customHeight="1">
      <c r="A453" s="3">
        <v>3.0</v>
      </c>
      <c r="B453" s="3" t="s">
        <v>111</v>
      </c>
      <c r="C453" s="3" t="s">
        <v>200</v>
      </c>
      <c r="D453" s="4">
        <f>IFERROR(VLOOKUP(B453,Week2,2,FALSE),0)</f>
        <v>27.07</v>
      </c>
      <c r="E453" s="4">
        <f>IF(ISBLANK(B453),,IFERROR(VLOOKUP(B453,CurrentRank!$B$2:$C$132,2,FALSE),0))</f>
        <v>29.75</v>
      </c>
      <c r="F453" s="4">
        <f>IFERROR(VLOOKUP(B453,Week2,3,FALSE),130)</f>
        <v>41</v>
      </c>
      <c r="G453" s="4">
        <f>IF(ISBLANK(B453),,IFERROR(VLOOKUP(B453,CurrentRank!$B$2:$D$132,3,FALSE),130))</f>
        <v>112</v>
      </c>
      <c r="H453" s="4">
        <f>IFERROR(VLOOKUP(C453,Week2,2,FALSE),0)</f>
        <v>24.57</v>
      </c>
      <c r="I453" s="4">
        <f>IF(ISBLANK(B453),,IFERROR(VLOOKUP(C453,CurrentRank!$B$2:$C$132,2,FALSE),0))</f>
        <v>32.76</v>
      </c>
      <c r="J453" s="4">
        <f>IFERROR(VLOOKUP(C453,Week2,3,FALSE),130)</f>
        <v>118</v>
      </c>
      <c r="K453" s="4">
        <f>IF(ISBLANK(C453),,IFERROR(VLOOKUP(C453,CurrentRank!$B$2:$D$132,3,FALSE),130))</f>
        <v>89</v>
      </c>
      <c r="L453" s="19">
        <f t="shared" si="192"/>
        <v>0.7746</v>
      </c>
      <c r="M453" s="19">
        <f t="shared" si="193"/>
        <v>0.93765</v>
      </c>
      <c r="N453" s="24">
        <f t="shared" si="184"/>
        <v>79.5</v>
      </c>
      <c r="O453" s="21">
        <f t="shared" si="4"/>
        <v>0.8627</v>
      </c>
      <c r="P453" s="21">
        <f t="shared" si="185"/>
        <v>-1.8923</v>
      </c>
      <c r="Q453" s="22">
        <f t="shared" si="6"/>
        <v>0.5981865</v>
      </c>
      <c r="R453" s="25" t="str">
        <f t="shared" si="7"/>
        <v>D-</v>
      </c>
      <c r="S453" s="19">
        <f t="shared" si="8"/>
        <v>0.4375</v>
      </c>
      <c r="T453" s="19" t="str">
        <f t="shared" si="9"/>
        <v>F</v>
      </c>
      <c r="U453" s="3" t="s">
        <v>203</v>
      </c>
      <c r="V453" s="4" t="str">
        <f>IF(ISBLANK(C453),,IFERROR(IF(VLOOKUP(B453,Standings!$A:$F, 6, 0)=VLOOKUP(C453,Standings!$A:$F, 6, 0), VLOOKUP(B453,Standings!$A:$F, 6, 0), "Non-con"), "FCS"))</f>
        <v>Non-con</v>
      </c>
      <c r="W453" s="3" t="str">
        <f t="shared" si="10"/>
        <v>Middle Tennessee</v>
      </c>
      <c r="X453" s="3" t="str">
        <f t="shared" si="11"/>
        <v>Troy</v>
      </c>
      <c r="Y453" s="30">
        <f>IF(D453=0,,IF(ISBLANK(Q453),,VLOOKUP(X453,Week2,2,FALSE)/(VLOOKUP(X453,Week2,2,FALSE)+VLOOKUP(W453,Week2,2,FALSE))+0.05)*100)</f>
        <v>57.42060418</v>
      </c>
      <c r="Z453" s="3" t="s">
        <v>111</v>
      </c>
      <c r="AA453" s="3">
        <v>47.0</v>
      </c>
      <c r="AB453" s="4" t="str">
        <f t="shared" si="20"/>
        <v>Middle Tennessee</v>
      </c>
      <c r="AC453" s="3">
        <v>14.0</v>
      </c>
      <c r="AD453" s="3"/>
      <c r="AE453" s="3">
        <f t="shared" si="13"/>
        <v>33</v>
      </c>
      <c r="AF453" s="3"/>
      <c r="AG453" s="3">
        <f t="shared" si="133"/>
        <v>1</v>
      </c>
      <c r="AH453" s="3"/>
      <c r="AI453" s="7"/>
      <c r="AJ453" s="4"/>
      <c r="AK453" s="7"/>
      <c r="AL453" s="7"/>
      <c r="AM453" s="7"/>
      <c r="AN453" s="7"/>
      <c r="AO453" s="7"/>
      <c r="AP453" s="7"/>
      <c r="AQ453" s="7"/>
      <c r="AR453" s="7"/>
      <c r="AS453" s="7"/>
      <c r="AT453" s="7"/>
      <c r="AU453" s="7"/>
      <c r="AV453" s="7"/>
      <c r="AW453" s="7"/>
      <c r="AX453" s="7"/>
    </row>
    <row r="454" ht="12.75" customHeight="1">
      <c r="A454" s="3">
        <v>2.0</v>
      </c>
      <c r="B454" s="3" t="s">
        <v>115</v>
      </c>
      <c r="C454" s="3" t="s">
        <v>116</v>
      </c>
      <c r="D454" s="4">
        <f>IFERROR(VLOOKUP(B454,Week1,2,FALSE),0)</f>
        <v>4.02</v>
      </c>
      <c r="E454" s="4">
        <f>IF(ISBLANK(B454),,IFERROR(VLOOKUP(B454,CurrentRank!$B$2:$C$132,2,FALSE),0))</f>
        <v>32.29</v>
      </c>
      <c r="F454" s="4">
        <f>IFERROR(VLOOKUP(B454,Week1,3,FALSE),130)</f>
        <v>127</v>
      </c>
      <c r="G454" s="4">
        <f>IF(ISBLANK(B454),,IFERROR(VLOOKUP(B454,CurrentRank!$B$2:$D$132,3,FALSE),130))</f>
        <v>91</v>
      </c>
      <c r="H454" s="4">
        <f>IFERROR(VLOOKUP(C454,Week1,2,FALSE),0)</f>
        <v>6.67</v>
      </c>
      <c r="I454" s="4">
        <f>IF(ISBLANK(B454),,IFERROR(VLOOKUP(C454,CurrentRank!$B$2:$C$132,2,FALSE),0))</f>
        <v>31.6</v>
      </c>
      <c r="J454" s="4">
        <f>IFERROR(VLOOKUP(C454,Week1,3,FALSE),130)</f>
        <v>35</v>
      </c>
      <c r="K454" s="4">
        <f>IF(ISBLANK(C454),,IFERROR(VLOOKUP(C454,CurrentRank!$B$2:$D$132,3,FALSE),130))</f>
        <v>96</v>
      </c>
      <c r="L454" s="19">
        <f t="shared" si="192"/>
        <v>0.16035</v>
      </c>
      <c r="M454" s="19">
        <f t="shared" si="193"/>
        <v>0.95835</v>
      </c>
      <c r="N454" s="24">
        <f t="shared" si="184"/>
        <v>81</v>
      </c>
      <c r="O454" s="21">
        <f t="shared" si="4"/>
        <v>-1.405175</v>
      </c>
      <c r="P454" s="21">
        <f t="shared" si="185"/>
        <v>0.264825</v>
      </c>
      <c r="Q454" s="22">
        <f t="shared" si="6"/>
        <v>0.587974125</v>
      </c>
      <c r="R454" s="25" t="str">
        <f t="shared" si="7"/>
        <v>F</v>
      </c>
      <c r="S454" s="19">
        <f t="shared" si="8"/>
        <v>0.575</v>
      </c>
      <c r="T454" s="19" t="str">
        <f t="shared" si="9"/>
        <v>F</v>
      </c>
      <c r="U454" s="3" t="s">
        <v>203</v>
      </c>
      <c r="V454" s="4" t="str">
        <f>IF(ISBLANK(C454),,IFERROR(IF(VLOOKUP(B454,Standings!$A:$F, 6, 0)=VLOOKUP(C454,Standings!$A:$F, 6, 0), VLOOKUP(B454,Standings!$A:$F, 6, 0), "Non-con"), "FCS"))</f>
        <v>Non-con</v>
      </c>
      <c r="W454" s="3" t="str">
        <f t="shared" si="10"/>
        <v>Arkansas State</v>
      </c>
      <c r="X454" s="3" t="str">
        <f t="shared" si="11"/>
        <v>Kansas State</v>
      </c>
      <c r="Y454" s="30">
        <f>IF(D454=0,,IF(ISBLANK(Q454),,VLOOKUP(X454,Week1,2,FALSE)/(VLOOKUP(X454,Week1,2,FALSE)+VLOOKUP(W454,Week1,2,FALSE))+0.05)*100)</f>
        <v>67.39476146</v>
      </c>
      <c r="Z454" s="3" t="s">
        <v>115</v>
      </c>
      <c r="AA454" s="3">
        <v>35.0</v>
      </c>
      <c r="AB454" s="4" t="str">
        <f t="shared" si="20"/>
        <v>Kansas State</v>
      </c>
      <c r="AC454" s="3">
        <v>31.0</v>
      </c>
      <c r="AD454" s="3"/>
      <c r="AE454" s="3">
        <f t="shared" si="13"/>
        <v>4</v>
      </c>
      <c r="AF454" s="3"/>
      <c r="AG454" s="3">
        <f t="shared" si="133"/>
        <v>0</v>
      </c>
      <c r="AH454" s="3"/>
      <c r="AI454" s="7"/>
      <c r="AJ454" s="4"/>
      <c r="AK454" s="7"/>
      <c r="AL454" s="7"/>
      <c r="AM454" s="7"/>
      <c r="AN454" s="7"/>
      <c r="AO454" s="7"/>
      <c r="AP454" s="7"/>
      <c r="AQ454" s="7"/>
      <c r="AR454" s="7"/>
      <c r="AS454" s="7"/>
      <c r="AT454" s="7"/>
      <c r="AU454" s="7"/>
      <c r="AV454" s="7"/>
      <c r="AW454" s="7"/>
      <c r="AX454" s="7"/>
    </row>
    <row r="455" ht="12.75" customHeight="1">
      <c r="A455" s="3">
        <v>10.0</v>
      </c>
      <c r="B455" s="3" t="s">
        <v>175</v>
      </c>
      <c r="C455" s="3" t="s">
        <v>133</v>
      </c>
      <c r="D455" s="4">
        <f>IFERROR(VLOOKUP(B455,Week9,2,FALSE),0)</f>
        <v>38.5</v>
      </c>
      <c r="E455" s="4">
        <f>IF(ISBLANK(B455),,IFERROR(VLOOKUP(B455,CurrentRank!$B$2:$C$132,2,FALSE),0))</f>
        <v>31.85</v>
      </c>
      <c r="F455" s="4">
        <f>IFERROR(VLOOKUP(B455,Week9,3,FALSE),130)</f>
        <v>41</v>
      </c>
      <c r="G455" s="4">
        <f>IF(ISBLANK(B455),,IFERROR(VLOOKUP(B455,CurrentRank!$B$2:$D$132,3,FALSE),130))</f>
        <v>95</v>
      </c>
      <c r="H455" s="4">
        <f>IFERROR(VLOOKUP(C455,Week9,2,FALSE),0)</f>
        <v>30.26</v>
      </c>
      <c r="I455" s="4">
        <f>IF(ISBLANK(B455),,IFERROR(VLOOKUP(C455,CurrentRank!$B$2:$C$132,2,FALSE),0))</f>
        <v>34.63</v>
      </c>
      <c r="J455" s="4">
        <f>IFERROR(VLOOKUP(C455,Week9,3,FALSE),130)</f>
        <v>109</v>
      </c>
      <c r="K455" s="4">
        <f>IF(ISBLANK(C455),,IFERROR(VLOOKUP(C455,CurrentRank!$B$2:$D$132,3,FALSE),130))</f>
        <v>69</v>
      </c>
      <c r="L455" s="19">
        <f t="shared" si="192"/>
        <v>1.0314</v>
      </c>
      <c r="M455" s="19">
        <f t="shared" si="193"/>
        <v>0.9972</v>
      </c>
      <c r="N455" s="24">
        <f t="shared" si="184"/>
        <v>75</v>
      </c>
      <c r="O455" s="21">
        <f t="shared" si="4"/>
        <v>3.6043</v>
      </c>
      <c r="P455" s="21">
        <f t="shared" si="185"/>
        <v>-1.9057</v>
      </c>
      <c r="Q455" s="22">
        <f t="shared" si="6"/>
        <v>0.6069785</v>
      </c>
      <c r="R455" s="25" t="str">
        <f t="shared" si="7"/>
        <v>D-</v>
      </c>
      <c r="S455" s="19">
        <f t="shared" si="8"/>
        <v>0.575</v>
      </c>
      <c r="T455" s="19" t="str">
        <f t="shared" si="9"/>
        <v>F</v>
      </c>
      <c r="U455" s="3" t="s">
        <v>203</v>
      </c>
      <c r="V455" s="4" t="str">
        <f>IF(ISBLANK(C455),,IFERROR(IF(VLOOKUP(B455,Standings!$A:$F, 6, 0)=VLOOKUP(C455,Standings!$A:$F, 6, 0), VLOOKUP(B455,Standings!$A:$F, 6, 0), "Non-con"), "FCS"))</f>
        <v>MWC</v>
      </c>
      <c r="W455" s="3" t="str">
        <f t="shared" si="10"/>
        <v>Colorado State</v>
      </c>
      <c r="X455" s="3" t="str">
        <f t="shared" si="11"/>
        <v>Wyoming</v>
      </c>
      <c r="Y455" s="30">
        <f>IF(D455=0,,IF(ISBLANK(Q455),,VLOOKUP(X455,Week9,2,FALSE)/(VLOOKUP(X455,Week9,2,FALSE)+VLOOKUP(W455,Week9,2,FALSE))+0.05)*100)</f>
        <v>60.99185573</v>
      </c>
      <c r="Z455" s="3" t="s">
        <v>133</v>
      </c>
      <c r="AA455" s="3">
        <v>34.0</v>
      </c>
      <c r="AB455" s="4" t="str">
        <f t="shared" si="20"/>
        <v>Wyoming</v>
      </c>
      <c r="AC455" s="3">
        <v>24.0</v>
      </c>
      <c r="AD455" s="3"/>
      <c r="AE455" s="3">
        <f t="shared" si="13"/>
        <v>10</v>
      </c>
      <c r="AF455" s="3"/>
      <c r="AG455" s="3">
        <f t="shared" si="133"/>
        <v>0</v>
      </c>
      <c r="AH455" s="3"/>
      <c r="AI455" s="7"/>
      <c r="AJ455" s="4"/>
      <c r="AK455" s="7"/>
      <c r="AL455" s="7"/>
      <c r="AM455" s="7"/>
      <c r="AN455" s="7"/>
      <c r="AO455" s="7"/>
      <c r="AP455" s="7"/>
      <c r="AQ455" s="7"/>
      <c r="AR455" s="7"/>
      <c r="AS455" s="7"/>
      <c r="AT455" s="7"/>
      <c r="AU455" s="7"/>
      <c r="AV455" s="7"/>
      <c r="AW455" s="7"/>
      <c r="AX455" s="7"/>
    </row>
    <row r="456" ht="12.75" customHeight="1">
      <c r="A456" s="3">
        <v>15.0</v>
      </c>
      <c r="B456" s="3" t="s">
        <v>144</v>
      </c>
      <c r="C456" s="3" t="s">
        <v>185</v>
      </c>
      <c r="D456" s="4">
        <f>IFERROR(VLOOKUP(B456,Week14,2,FALSE),0)</f>
        <v>37.96</v>
      </c>
      <c r="E456" s="4">
        <f>IF(ISBLANK(B456),,IFERROR(VLOOKUP(B456,CurrentRank!$B$2:$C$132,2,FALSE),0))</f>
        <v>35.51</v>
      </c>
      <c r="F456" s="4">
        <f>IFERROR(VLOOKUP(B456,Week14,3,FALSE),130)</f>
        <v>44</v>
      </c>
      <c r="G456" s="4">
        <f>IF(ISBLANK(B456),,IFERROR(VLOOKUP(B456,CurrentRank!$B$2:$D$132,3,FALSE),130))</f>
        <v>58</v>
      </c>
      <c r="H456" s="4">
        <f>IFERROR(VLOOKUP(C456,Week14,2,FALSE),0)</f>
        <v>32.82</v>
      </c>
      <c r="I456" s="4">
        <f>IF(ISBLANK(B456),,IFERROR(VLOOKUP(C456,CurrentRank!$B$2:$C$132,2,FALSE),0))</f>
        <v>33.22</v>
      </c>
      <c r="J456" s="4">
        <f>IFERROR(VLOOKUP(C456,Week14,3,FALSE),130)</f>
        <v>86</v>
      </c>
      <c r="K456" s="4">
        <f>IF(ISBLANK(C456),,IFERROR(VLOOKUP(C456,CurrentRank!$B$2:$D$132,3,FALSE),130))</f>
        <v>84</v>
      </c>
      <c r="L456" s="19">
        <f t="shared" si="192"/>
        <v>0</v>
      </c>
      <c r="M456" s="19">
        <f t="shared" si="193"/>
        <v>0</v>
      </c>
      <c r="N456" s="24">
        <f t="shared" si="184"/>
        <v>65</v>
      </c>
      <c r="O456" s="21">
        <f t="shared" si="4"/>
        <v>2.57</v>
      </c>
      <c r="P456" s="21">
        <f t="shared" si="185"/>
        <v>1.145</v>
      </c>
      <c r="Q456" s="22">
        <f t="shared" si="6"/>
        <v>0.66215</v>
      </c>
      <c r="R456" s="25" t="str">
        <f t="shared" si="7"/>
        <v>D</v>
      </c>
      <c r="S456" s="19">
        <f t="shared" si="8"/>
        <v>0.575</v>
      </c>
      <c r="T456" s="19" t="str">
        <f t="shared" si="9"/>
        <v>F</v>
      </c>
      <c r="U456" s="3" t="s">
        <v>223</v>
      </c>
      <c r="V456" s="4" t="str">
        <f>IF(ISBLANK(C456),,IFERROR(IF(VLOOKUP(B456,Standings!$A:$F, 6, 0)=VLOOKUP(C456,Standings!$A:$F, 6, 0), VLOOKUP(B456,Standings!$A:$F, 6, 0), "Non-con"), "FCS"))</f>
        <v>MWC</v>
      </c>
      <c r="W456" s="3" t="str">
        <f t="shared" si="10"/>
        <v>New Mexico</v>
      </c>
      <c r="X456" s="3" t="str">
        <f t="shared" si="11"/>
        <v>Fresno State</v>
      </c>
      <c r="Y456" s="30">
        <f>IF(D456=0,,IF(ISBLANK(Q456),,VLOOKUP(X456,Week14,2,FALSE)/(VLOOKUP(X456,Week14,2,FALSE)+VLOOKUP(W456,Week14,2,FALSE))+0.05)*100)</f>
        <v>58.6309692</v>
      </c>
      <c r="Z456" s="3" t="s">
        <v>185</v>
      </c>
      <c r="AA456" s="3">
        <v>49.0</v>
      </c>
      <c r="AB456" s="4" t="str">
        <f t="shared" si="20"/>
        <v>Fresno State</v>
      </c>
      <c r="AC456" s="3">
        <v>29.0</v>
      </c>
      <c r="AD456" s="3"/>
      <c r="AE456" s="3">
        <f t="shared" si="13"/>
        <v>20</v>
      </c>
      <c r="AF456" s="3"/>
      <c r="AG456" s="3">
        <f t="shared" si="133"/>
        <v>0</v>
      </c>
      <c r="AH456" s="3"/>
      <c r="AI456" s="7"/>
      <c r="AJ456" s="4" t="s">
        <v>168</v>
      </c>
      <c r="AK456" s="7"/>
      <c r="AL456" s="7"/>
      <c r="AM456" s="7"/>
      <c r="AN456" s="7"/>
      <c r="AO456" s="7"/>
      <c r="AP456" s="7"/>
      <c r="AQ456" s="7"/>
      <c r="AR456" s="7"/>
      <c r="AS456" s="7"/>
      <c r="AT456" s="7"/>
      <c r="AU456" s="7"/>
      <c r="AV456" s="7"/>
      <c r="AW456" s="7"/>
      <c r="AX456" s="7"/>
    </row>
    <row r="457" ht="12.75" hidden="1" customHeight="1">
      <c r="A457" s="3">
        <v>11.0</v>
      </c>
      <c r="B457" s="3" t="s">
        <v>160</v>
      </c>
      <c r="C457" s="3" t="s">
        <v>138</v>
      </c>
      <c r="D457" s="4">
        <f>IFERROR(VLOOKUP(B457,Week10,2,FALSE),0)</f>
        <v>27.96</v>
      </c>
      <c r="E457" s="4">
        <f>IF(ISBLANK(B457),,IFERROR(VLOOKUP(B457,CurrentRank!$B$2:$C$132,2,FALSE),0))</f>
        <v>34.87</v>
      </c>
      <c r="F457" s="4">
        <f>IFERROR(VLOOKUP(B457,Week10,3,FALSE),130)</f>
        <v>118</v>
      </c>
      <c r="G457" s="4">
        <f>IF(ISBLANK(B457),,IFERROR(VLOOKUP(B457,CurrentRank!$B$2:$D$132,3,FALSE),130))</f>
        <v>66</v>
      </c>
      <c r="H457" s="4">
        <f>IFERROR(VLOOKUP(C457,Week10,2,FALSE),0)</f>
        <v>30.75</v>
      </c>
      <c r="I457" s="4">
        <f>IF(ISBLANK(B457),,IFERROR(VLOOKUP(C457,CurrentRank!$B$2:$C$132,2,FALSE),0))</f>
        <v>40.47</v>
      </c>
      <c r="J457" s="4">
        <f>IFERROR(VLOOKUP(C457,Week10,3,FALSE),130)</f>
        <v>91</v>
      </c>
      <c r="K457" s="4">
        <f>IF(ISBLANK(C457),,IFERROR(VLOOKUP(C457,CurrentRank!$B$2:$D$132,3,FALSE),130))</f>
        <v>33</v>
      </c>
      <c r="L457" s="19">
        <f t="shared" si="192"/>
        <v>0.88065</v>
      </c>
      <c r="M457" s="19">
        <f t="shared" si="193"/>
        <v>1.1301</v>
      </c>
      <c r="N457" s="24">
        <f t="shared" si="184"/>
        <v>104.5</v>
      </c>
      <c r="O457" s="21">
        <f t="shared" si="4"/>
        <v>-1.835325</v>
      </c>
      <c r="P457" s="21">
        <f t="shared" si="185"/>
        <v>-3.240325</v>
      </c>
      <c r="Q457" s="22">
        <f t="shared" si="6"/>
        <v>0.468323375</v>
      </c>
      <c r="R457" s="25" t="str">
        <f t="shared" si="7"/>
        <v>F</v>
      </c>
      <c r="S457" s="19">
        <f t="shared" si="8"/>
        <v>0.4475</v>
      </c>
      <c r="T457" s="19" t="str">
        <f t="shared" si="9"/>
        <v>F</v>
      </c>
      <c r="U457" s="3" t="s">
        <v>203</v>
      </c>
      <c r="V457" s="4" t="str">
        <f>IF(ISBLANK(C457),,IFERROR(IF(VLOOKUP(B457,Standings!$A:$F, 6, 0)=VLOOKUP(C457,Standings!$A:$F, 6, 0), VLOOKUP(B457,Standings!$A:$F, 6, 0), "Non-con"), "FCS"))</f>
        <v>PAC12</v>
      </c>
      <c r="W457" s="3" t="str">
        <f t="shared" si="10"/>
        <v>Oregon State</v>
      </c>
      <c r="X457" s="3" t="str">
        <f t="shared" si="11"/>
        <v>Washington</v>
      </c>
      <c r="Y457" s="30">
        <f>IF(D457=0,,IF(ISBLANK(Q457),,VLOOKUP(X457,Week10,2,FALSE)/(VLOOKUP(X457,Week10,2,FALSE)+VLOOKUP(W457,Week10,2,FALSE))+0.05)*100)</f>
        <v>57.37608585</v>
      </c>
      <c r="Z457" s="3" t="s">
        <v>138</v>
      </c>
      <c r="AA457" s="3">
        <v>27.0</v>
      </c>
      <c r="AB457" s="4" t="str">
        <f t="shared" si="20"/>
        <v>Oregon State</v>
      </c>
      <c r="AC457" s="3">
        <v>21.0</v>
      </c>
      <c r="AD457" s="3"/>
      <c r="AE457" s="3">
        <f t="shared" si="13"/>
        <v>6</v>
      </c>
      <c r="AF457" s="3"/>
      <c r="AG457" s="3">
        <f t="shared" si="133"/>
        <v>1</v>
      </c>
      <c r="AH457" s="3"/>
      <c r="AI457" s="7"/>
      <c r="AJ457" s="4"/>
      <c r="AK457" s="7"/>
      <c r="AL457" s="7"/>
      <c r="AM457" s="7"/>
      <c r="AN457" s="7"/>
      <c r="AO457" s="7"/>
      <c r="AP457" s="7"/>
      <c r="AQ457" s="7"/>
      <c r="AR457" s="7"/>
      <c r="AS457" s="7"/>
      <c r="AT457" s="7"/>
      <c r="AU457" s="7"/>
      <c r="AV457" s="7"/>
      <c r="AW457" s="7"/>
      <c r="AX457" s="7"/>
    </row>
    <row r="458" ht="12.75" customHeight="1">
      <c r="A458" s="3">
        <v>13.0</v>
      </c>
      <c r="B458" s="3" t="s">
        <v>86</v>
      </c>
      <c r="C458" s="3" t="s">
        <v>148</v>
      </c>
      <c r="D458" s="4">
        <f>IFERROR(VLOOKUP(B458,Week12,2,FALSE),0)</f>
        <v>35.5</v>
      </c>
      <c r="E458" s="4">
        <f>IF(ISBLANK(B458),,IFERROR(VLOOKUP(B458,CurrentRank!$B$2:$C$132,2,FALSE),0))</f>
        <v>33.56</v>
      </c>
      <c r="F458" s="4">
        <f>IFERROR(VLOOKUP(B458,Week12,3,FALSE),130)</f>
        <v>58</v>
      </c>
      <c r="G458" s="4">
        <f>IF(ISBLANK(B458),,IFERROR(VLOOKUP(B458,CurrentRank!$B$2:$D$132,3,FALSE),130))</f>
        <v>78</v>
      </c>
      <c r="H458" s="4">
        <f>IFERROR(VLOOKUP(C458,Week12,2,FALSE),0)</f>
        <v>31.73</v>
      </c>
      <c r="I458" s="4">
        <f>IF(ISBLANK(B458),,IFERROR(VLOOKUP(C458,CurrentRank!$B$2:$C$132,2,FALSE),0))</f>
        <v>32.94</v>
      </c>
      <c r="J458" s="4">
        <f>IFERROR(VLOOKUP(C458,Week12,3,FALSE),130)</f>
        <v>85</v>
      </c>
      <c r="K458" s="4">
        <f>IF(ISBLANK(C458),,IFERROR(VLOOKUP(C458,CurrentRank!$B$2:$D$132,3,FALSE),130))</f>
        <v>87</v>
      </c>
      <c r="L458" s="19">
        <f t="shared" si="192"/>
        <v>1.00845</v>
      </c>
      <c r="M458" s="19">
        <f t="shared" si="193"/>
        <v>0.9975</v>
      </c>
      <c r="N458" s="24">
        <f t="shared" si="184"/>
        <v>71.5</v>
      </c>
      <c r="O458" s="21">
        <f t="shared" si="4"/>
        <v>1.380775</v>
      </c>
      <c r="P458" s="21">
        <f t="shared" si="185"/>
        <v>-0.194225</v>
      </c>
      <c r="Q458" s="22">
        <f t="shared" si="6"/>
        <v>0.635596125</v>
      </c>
      <c r="R458" s="25" t="str">
        <f t="shared" si="7"/>
        <v>D</v>
      </c>
      <c r="S458" s="19">
        <f t="shared" si="8"/>
        <v>0.5725</v>
      </c>
      <c r="T458" s="19" t="str">
        <f t="shared" si="9"/>
        <v>F</v>
      </c>
      <c r="U458" s="3" t="s">
        <v>203</v>
      </c>
      <c r="V458" s="4" t="str">
        <f>IF(ISBLANK(C458),,IFERROR(IF(VLOOKUP(B458,Standings!$A:$F, 6, 0)=VLOOKUP(C458,Standings!$A:$F, 6, 0), VLOOKUP(B458,Standings!$A:$F, 6, 0), "Non-con"), "FCS"))</f>
        <v>AAC</v>
      </c>
      <c r="W458" s="3" t="str">
        <f t="shared" si="10"/>
        <v>East Carolina</v>
      </c>
      <c r="X458" s="3" t="str">
        <f t="shared" si="11"/>
        <v>Southern Methodist</v>
      </c>
      <c r="Y458" s="30">
        <f>IF(D458=0,,IF(ISBLANK(Q458),,VLOOKUP(X458,Week12,2,FALSE)/(VLOOKUP(X458,Week12,2,FALSE)+VLOOKUP(W458,Week12,2,FALSE))+0.05)*100)</f>
        <v>57.80380782</v>
      </c>
      <c r="Z458" s="3" t="s">
        <v>148</v>
      </c>
      <c r="AA458" s="3">
        <v>52.0</v>
      </c>
      <c r="AB458" s="4" t="str">
        <f t="shared" si="20"/>
        <v>Southern Methodist</v>
      </c>
      <c r="AC458" s="3">
        <v>38.0</v>
      </c>
      <c r="AD458" s="3"/>
      <c r="AE458" s="3">
        <f t="shared" si="13"/>
        <v>14</v>
      </c>
      <c r="AF458" s="3"/>
      <c r="AG458" s="3">
        <f t="shared" si="133"/>
        <v>0</v>
      </c>
      <c r="AH458" s="3"/>
      <c r="AI458" s="7"/>
      <c r="AJ458" s="4" t="s">
        <v>124</v>
      </c>
      <c r="AK458" s="7"/>
      <c r="AL458" s="7"/>
      <c r="AM458" s="7"/>
      <c r="AN458" s="7"/>
      <c r="AO458" s="7"/>
      <c r="AP458" s="7"/>
      <c r="AQ458" s="7"/>
      <c r="AR458" s="7"/>
      <c r="AS458" s="7"/>
      <c r="AT458" s="7"/>
      <c r="AU458" s="7"/>
      <c r="AV458" s="7"/>
      <c r="AW458" s="7"/>
      <c r="AX458" s="7"/>
    </row>
    <row r="459" ht="12.75" customHeight="1">
      <c r="A459" s="3">
        <v>10.0</v>
      </c>
      <c r="B459" s="3" t="s">
        <v>150</v>
      </c>
      <c r="C459" s="3" t="s">
        <v>57</v>
      </c>
      <c r="D459" s="4">
        <f>IFERROR(VLOOKUP(B459,Week9,2,FALSE),0)</f>
        <v>33.32</v>
      </c>
      <c r="E459" s="4">
        <f>IF(ISBLANK(B459),,IFERROR(VLOOKUP(B459,CurrentRank!$B$2:$C$132,2,FALSE),0))</f>
        <v>33.72</v>
      </c>
      <c r="F459" s="4">
        <f>IFERROR(VLOOKUP(B459,Week9,3,FALSE),130)</f>
        <v>66</v>
      </c>
      <c r="G459" s="4">
        <f>IF(ISBLANK(B459),,IFERROR(VLOOKUP(B459,CurrentRank!$B$2:$D$132,3,FALSE),130))</f>
        <v>76</v>
      </c>
      <c r="H459" s="4">
        <f>IFERROR(VLOOKUP(C459,Week9,2,FALSE),0)</f>
        <v>32.47</v>
      </c>
      <c r="I459" s="4">
        <f>IF(ISBLANK(B459),,IFERROR(VLOOKUP(C459,CurrentRank!$B$2:$C$132,2,FALSE),0))</f>
        <v>40.05</v>
      </c>
      <c r="J459" s="4">
        <f>IFERROR(VLOOKUP(C459,Week9,3,FALSE),130)</f>
        <v>74</v>
      </c>
      <c r="K459" s="4">
        <f>IF(ISBLANK(C459),,IFERROR(VLOOKUP(C459,CurrentRank!$B$2:$D$132,3,FALSE),130))</f>
        <v>34</v>
      </c>
      <c r="L459" s="19">
        <f t="shared" si="192"/>
        <v>0.98685</v>
      </c>
      <c r="M459" s="19">
        <f t="shared" si="193"/>
        <v>1.10655</v>
      </c>
      <c r="N459" s="24">
        <f t="shared" si="184"/>
        <v>70</v>
      </c>
      <c r="O459" s="21">
        <f t="shared" si="4"/>
        <v>-0.068425</v>
      </c>
      <c r="P459" s="21">
        <f t="shared" si="185"/>
        <v>-3.658425</v>
      </c>
      <c r="Q459" s="22">
        <f t="shared" si="6"/>
        <v>0.649657875</v>
      </c>
      <c r="R459" s="25" t="str">
        <f t="shared" si="7"/>
        <v>D</v>
      </c>
      <c r="S459" s="19">
        <f t="shared" si="8"/>
        <v>0.57</v>
      </c>
      <c r="T459" s="19" t="str">
        <f t="shared" si="9"/>
        <v>F</v>
      </c>
      <c r="U459" s="3" t="s">
        <v>203</v>
      </c>
      <c r="V459" s="4" t="str">
        <f>IF(ISBLANK(C459),,IFERROR(IF(VLOOKUP(B459,Standings!$A:$F, 6, 0)=VLOOKUP(C459,Standings!$A:$F, 6, 0), VLOOKUP(B459,Standings!$A:$F, 6, 0), "Non-con"), "FCS"))</f>
        <v>B1G</v>
      </c>
      <c r="W459" s="3" t="str">
        <f t="shared" si="10"/>
        <v>Maryland</v>
      </c>
      <c r="X459" s="3" t="str">
        <f t="shared" si="11"/>
        <v>Penn State</v>
      </c>
      <c r="Y459" s="30">
        <f>IF(D459=0,,IF(ISBLANK(Q459),,VLOOKUP(X459,Week9,2,FALSE)/(VLOOKUP(X459,Week9,2,FALSE)+VLOOKUP(W459,Week9,2,FALSE))+0.05)*100)</f>
        <v>54.35400517</v>
      </c>
      <c r="Z459" s="3" t="s">
        <v>150</v>
      </c>
      <c r="AA459" s="3">
        <v>35.0</v>
      </c>
      <c r="AB459" s="4" t="str">
        <f t="shared" si="20"/>
        <v>Penn State</v>
      </c>
      <c r="AC459" s="3">
        <v>19.0</v>
      </c>
      <c r="AD459" s="3"/>
      <c r="AE459" s="3">
        <f t="shared" si="13"/>
        <v>16</v>
      </c>
      <c r="AF459" s="3"/>
      <c r="AG459" s="3">
        <f t="shared" si="133"/>
        <v>0</v>
      </c>
      <c r="AH459" s="3"/>
      <c r="AI459" s="7"/>
      <c r="AJ459" s="4"/>
      <c r="AK459" s="7"/>
      <c r="AL459" s="7"/>
      <c r="AM459" s="7"/>
      <c r="AN459" s="7"/>
      <c r="AO459" s="7"/>
      <c r="AP459" s="7"/>
      <c r="AQ459" s="7"/>
      <c r="AR459" s="7"/>
      <c r="AS459" s="7"/>
      <c r="AT459" s="7"/>
      <c r="AU459" s="7"/>
      <c r="AV459" s="7"/>
      <c r="AW459" s="7"/>
      <c r="AX459" s="7"/>
    </row>
    <row r="460" ht="12.75" hidden="1" customHeight="1">
      <c r="A460" s="3">
        <v>13.0</v>
      </c>
      <c r="B460" s="3" t="s">
        <v>177</v>
      </c>
      <c r="C460" s="3" t="s">
        <v>142</v>
      </c>
      <c r="D460" s="4">
        <f>IFERROR(VLOOKUP(B460,Week12,2,FALSE),0)</f>
        <v>31.31</v>
      </c>
      <c r="E460" s="4">
        <f>IF(ISBLANK(B460),,IFERROR(VLOOKUP(B460,CurrentRank!$B$2:$C$132,2,FALSE),0))</f>
        <v>29.15</v>
      </c>
      <c r="F460" s="4">
        <f>IFERROR(VLOOKUP(B460,Week12,3,FALSE),130)</f>
        <v>92</v>
      </c>
      <c r="G460" s="4">
        <f>IF(ISBLANK(B460),,IFERROR(VLOOKUP(B460,CurrentRank!$B$2:$D$132,3,FALSE),130))</f>
        <v>117</v>
      </c>
      <c r="H460" s="4">
        <f>IFERROR(VLOOKUP(C460,Week12,2,FALSE),0)</f>
        <v>34.4</v>
      </c>
      <c r="I460" s="4">
        <f>IF(ISBLANK(B460),,IFERROR(VLOOKUP(C460,CurrentRank!$B$2:$C$132,2,FALSE),0))</f>
        <v>35.28</v>
      </c>
      <c r="J460" s="4">
        <f>IFERROR(VLOOKUP(C460,Week12,3,FALSE),130)</f>
        <v>66</v>
      </c>
      <c r="K460" s="4">
        <f>IF(ISBLANK(C460),,IFERROR(VLOOKUP(C460,CurrentRank!$B$2:$D$132,3,FALSE),130))</f>
        <v>63</v>
      </c>
      <c r="L460" s="19">
        <f t="shared" si="192"/>
        <v>0.98565</v>
      </c>
      <c r="M460" s="19">
        <f t="shared" si="193"/>
        <v>0.96645</v>
      </c>
      <c r="N460" s="24">
        <f t="shared" si="184"/>
        <v>79</v>
      </c>
      <c r="O460" s="21">
        <f t="shared" si="4"/>
        <v>-2.037825</v>
      </c>
      <c r="P460" s="21">
        <f t="shared" si="185"/>
        <v>-3.557825</v>
      </c>
      <c r="Q460" s="22">
        <f t="shared" si="6"/>
        <v>0.594810875</v>
      </c>
      <c r="R460" s="25" t="str">
        <f t="shared" si="7"/>
        <v>F</v>
      </c>
      <c r="S460" s="19">
        <f t="shared" si="8"/>
        <v>0.395</v>
      </c>
      <c r="T460" s="19" t="str">
        <f t="shared" si="9"/>
        <v>F</v>
      </c>
      <c r="U460" s="3" t="s">
        <v>203</v>
      </c>
      <c r="V460" s="4" t="str">
        <f>IF(ISBLANK(C460),,IFERROR(IF(VLOOKUP(B460,Standings!$A:$F, 6, 0)=VLOOKUP(C460,Standings!$A:$F, 6, 0), VLOOKUP(B460,Standings!$A:$F, 6, 0), "Non-con"), "FCS"))</f>
        <v>MAC</v>
      </c>
      <c r="W460" s="3" t="str">
        <f t="shared" si="10"/>
        <v>Bowling Green</v>
      </c>
      <c r="X460" s="3" t="str">
        <f t="shared" si="11"/>
        <v>Ohio</v>
      </c>
      <c r="Y460" s="30">
        <f>IF(D460=0,,IF(ISBLANK(Q460),,VLOOKUP(X460,Week12,2,FALSE)/(VLOOKUP(X460,Week12,2,FALSE)+VLOOKUP(W460,Week12,2,FALSE))+0.05)*100)</f>
        <v>57.3512403</v>
      </c>
      <c r="Z460" s="3" t="s">
        <v>142</v>
      </c>
      <c r="AA460" s="3">
        <v>52.0</v>
      </c>
      <c r="AB460" s="4" t="str">
        <f t="shared" si="20"/>
        <v>Bowling Green</v>
      </c>
      <c r="AC460" s="3">
        <v>10.0</v>
      </c>
      <c r="AD460" s="3"/>
      <c r="AE460" s="3">
        <f t="shared" si="13"/>
        <v>42</v>
      </c>
      <c r="AF460" s="3"/>
      <c r="AG460" s="3">
        <f t="shared" si="133"/>
        <v>1</v>
      </c>
      <c r="AH460" s="3"/>
      <c r="AI460" s="7"/>
      <c r="AJ460" s="4"/>
      <c r="AK460" s="7"/>
      <c r="AL460" s="7"/>
      <c r="AM460" s="7"/>
      <c r="AN460" s="7"/>
      <c r="AO460" s="7"/>
      <c r="AP460" s="7"/>
      <c r="AQ460" s="7"/>
      <c r="AR460" s="7"/>
      <c r="AS460" s="7"/>
      <c r="AT460" s="7"/>
      <c r="AU460" s="7"/>
      <c r="AV460" s="7"/>
      <c r="AW460" s="7"/>
      <c r="AX460" s="7"/>
    </row>
    <row r="461" ht="12.75" hidden="1" customHeight="1">
      <c r="A461" s="3">
        <v>15.0</v>
      </c>
      <c r="B461" s="3" t="s">
        <v>55</v>
      </c>
      <c r="C461" s="3" t="s">
        <v>104</v>
      </c>
      <c r="D461" s="4">
        <f>IFERROR(VLOOKUP(B461,Week14,2,FALSE),0)</f>
        <v>36.03</v>
      </c>
      <c r="E461" s="4">
        <f>IF(ISBLANK(B461),,IFERROR(VLOOKUP(B461,CurrentRank!$B$2:$C$132,2,FALSE),0))</f>
        <v>59.34</v>
      </c>
      <c r="F461" s="4">
        <f>IFERROR(VLOOKUP(B461,Week14,3,FALSE),130)</f>
        <v>58</v>
      </c>
      <c r="G461" s="4">
        <f>IF(ISBLANK(B461),,IFERROR(VLOOKUP(B461,CurrentRank!$B$2:$D$132,3,FALSE),130))</f>
        <v>22</v>
      </c>
      <c r="H461" s="4">
        <f>IFERROR(VLOOKUP(C461,Week14,2,FALSE),0)</f>
        <v>32.8</v>
      </c>
      <c r="I461" s="4">
        <f>IF(ISBLANK(B461),,IFERROR(VLOOKUP(C461,CurrentRank!$B$2:$C$132,2,FALSE),0))</f>
        <v>31.08</v>
      </c>
      <c r="J461" s="4">
        <f>IFERROR(VLOOKUP(C461,Week14,3,FALSE),130)</f>
        <v>88</v>
      </c>
      <c r="K461" s="4">
        <f>IF(ISBLANK(C461),,IFERROR(VLOOKUP(C461,CurrentRank!$B$2:$D$132,3,FALSE),130))</f>
        <v>101</v>
      </c>
      <c r="L461" s="19">
        <f t="shared" si="192"/>
        <v>1.03245</v>
      </c>
      <c r="M461" s="19">
        <f t="shared" si="193"/>
        <v>1.3563</v>
      </c>
      <c r="N461" s="24">
        <f t="shared" si="184"/>
        <v>73</v>
      </c>
      <c r="O461" s="21">
        <f t="shared" si="4"/>
        <v>1.098775</v>
      </c>
      <c r="P461" s="21">
        <f t="shared" si="185"/>
        <v>13.613775</v>
      </c>
      <c r="Q461" s="22">
        <f t="shared" si="6"/>
        <v>0.629506125</v>
      </c>
      <c r="R461" s="25" t="str">
        <f t="shared" si="7"/>
        <v>D</v>
      </c>
      <c r="S461" s="19">
        <f t="shared" si="8"/>
        <v>0.44</v>
      </c>
      <c r="T461" s="19" t="str">
        <f t="shared" si="9"/>
        <v>F</v>
      </c>
      <c r="U461" s="3" t="s">
        <v>203</v>
      </c>
      <c r="V461" s="4" t="str">
        <f>IF(ISBLANK(C461),,IFERROR(IF(VLOOKUP(B461,Standings!$A:$F, 6, 0)=VLOOKUP(C461,Standings!$A:$F, 6, 0), VLOOKUP(B461,Standings!$A:$F, 6, 0), "Non-con"), "FCS"))</f>
        <v>BIG12</v>
      </c>
      <c r="W461" s="3" t="str">
        <f t="shared" si="10"/>
        <v>Baylor</v>
      </c>
      <c r="X461" s="3" t="str">
        <f t="shared" si="11"/>
        <v>Oklahoma State</v>
      </c>
      <c r="Y461" s="30">
        <f>IF(D461=0,,IF(ISBLANK(Q461),,VLOOKUP(X461,Week14,2,FALSE)/(VLOOKUP(X461,Week14,2,FALSE)+VLOOKUP(W461,Week14,2,FALSE))+0.05)*100)</f>
        <v>57.3463606</v>
      </c>
      <c r="Z461" s="3" t="s">
        <v>55</v>
      </c>
      <c r="AA461" s="3">
        <v>42.0</v>
      </c>
      <c r="AB461" s="4" t="str">
        <f t="shared" si="20"/>
        <v>Baylor</v>
      </c>
      <c r="AC461" s="3">
        <v>3.0</v>
      </c>
      <c r="AD461" s="3"/>
      <c r="AE461" s="3">
        <f t="shared" si="13"/>
        <v>39</v>
      </c>
      <c r="AF461" s="3"/>
      <c r="AG461" s="3">
        <f t="shared" si="133"/>
        <v>1</v>
      </c>
      <c r="AH461" s="3"/>
      <c r="AI461" s="7"/>
      <c r="AJ461" s="4"/>
      <c r="AK461" s="7"/>
      <c r="AL461" s="7"/>
      <c r="AM461" s="7"/>
      <c r="AN461" s="7"/>
      <c r="AO461" s="7"/>
      <c r="AP461" s="7"/>
      <c r="AQ461" s="7"/>
      <c r="AR461" s="7"/>
      <c r="AS461" s="7"/>
      <c r="AT461" s="7"/>
      <c r="AU461" s="7"/>
      <c r="AV461" s="7"/>
      <c r="AW461" s="7"/>
      <c r="AX461" s="7"/>
    </row>
    <row r="462" ht="12.75" hidden="1" customHeight="1">
      <c r="A462" s="3">
        <v>15.0</v>
      </c>
      <c r="B462" s="3" t="s">
        <v>194</v>
      </c>
      <c r="C462" s="3" t="s">
        <v>168</v>
      </c>
      <c r="D462" s="4">
        <f>IFERROR(VLOOKUP(B462,Week14,2,FALSE),0)</f>
        <v>34.07</v>
      </c>
      <c r="E462" s="4">
        <f>IF(ISBLANK(B462),,IFERROR(VLOOKUP(B462,CurrentRank!$B$2:$C$132,2,FALSE),0))</f>
        <v>44.06</v>
      </c>
      <c r="F462" s="4">
        <f>IFERROR(VLOOKUP(B462,Week14,3,FALSE),130)</f>
        <v>80</v>
      </c>
      <c r="G462" s="4">
        <f>IF(ISBLANK(B462),,IFERROR(VLOOKUP(B462,CurrentRank!$B$2:$D$132,3,FALSE),130))</f>
        <v>26</v>
      </c>
      <c r="H462" s="4">
        <f>IFERROR(VLOOKUP(C462,Week14,2,FALSE),0)</f>
        <v>31.02</v>
      </c>
      <c r="I462" s="4">
        <f>IF(ISBLANK(B462),,IFERROR(VLOOKUP(C462,CurrentRank!$B$2:$C$132,2,FALSE),0))</f>
        <v>27.16</v>
      </c>
      <c r="J462" s="4">
        <f>IFERROR(VLOOKUP(C462,Week14,3,FALSE),130)</f>
        <v>104</v>
      </c>
      <c r="K462" s="4">
        <f>IF(ISBLANK(C462),,IFERROR(VLOOKUP(C462,CurrentRank!$B$2:$D$132,3,FALSE),130))</f>
        <v>122</v>
      </c>
      <c r="L462" s="19">
        <f t="shared" si="192"/>
        <v>0.97635</v>
      </c>
      <c r="M462" s="19">
        <f t="shared" si="193"/>
        <v>1.0683</v>
      </c>
      <c r="N462" s="24">
        <f t="shared" si="184"/>
        <v>92</v>
      </c>
      <c r="O462" s="21">
        <f t="shared" si="4"/>
        <v>1.036825</v>
      </c>
      <c r="P462" s="21">
        <f t="shared" si="185"/>
        <v>7.961825</v>
      </c>
      <c r="Q462" s="22">
        <f t="shared" si="6"/>
        <v>0.534815875</v>
      </c>
      <c r="R462" s="25" t="str">
        <f t="shared" si="7"/>
        <v>F</v>
      </c>
      <c r="S462" s="19">
        <f t="shared" si="8"/>
        <v>0.225</v>
      </c>
      <c r="T462" s="19" t="str">
        <f t="shared" si="9"/>
        <v>F</v>
      </c>
      <c r="U462" s="3" t="s">
        <v>203</v>
      </c>
      <c r="V462" s="4" t="str">
        <f>IF(ISBLANK(C462),,IFERROR(IF(VLOOKUP(B462,Standings!$A:$F, 6, 0)=VLOOKUP(C462,Standings!$A:$F, 6, 0), VLOOKUP(B462,Standings!$A:$F, 6, 0), "Non-con"), "FCS"))</f>
        <v>PAC12</v>
      </c>
      <c r="W462" s="3" t="str">
        <f t="shared" si="10"/>
        <v>Arizona</v>
      </c>
      <c r="X462" s="3" t="str">
        <f t="shared" si="11"/>
        <v>Arizona State</v>
      </c>
      <c r="Y462" s="30">
        <f>IF(D462=0,,IF(ISBLANK(Q462),,VLOOKUP(X462,Week14,2,FALSE)/(VLOOKUP(X462,Week14,2,FALSE)+VLOOKUP(W462,Week14,2,FALSE))+0.05)*100)</f>
        <v>57.34290982</v>
      </c>
      <c r="Z462" s="3" t="s">
        <v>194</v>
      </c>
      <c r="AA462" s="3">
        <v>70.0</v>
      </c>
      <c r="AB462" s="4" t="str">
        <f t="shared" si="20"/>
        <v>Arizona</v>
      </c>
      <c r="AC462" s="3">
        <v>7.0</v>
      </c>
      <c r="AD462" s="3"/>
      <c r="AE462" s="3">
        <f t="shared" si="13"/>
        <v>63</v>
      </c>
      <c r="AF462" s="3"/>
      <c r="AG462" s="3">
        <f t="shared" si="133"/>
        <v>1</v>
      </c>
      <c r="AH462" s="3"/>
      <c r="AI462" s="7"/>
      <c r="AJ462" s="4"/>
      <c r="AK462" s="7"/>
      <c r="AL462" s="7"/>
      <c r="AM462" s="7"/>
      <c r="AN462" s="7"/>
      <c r="AO462" s="7"/>
      <c r="AP462" s="7"/>
      <c r="AQ462" s="7"/>
      <c r="AR462" s="7"/>
      <c r="AS462" s="7"/>
      <c r="AT462" s="7"/>
      <c r="AU462" s="7"/>
      <c r="AV462" s="7"/>
      <c r="AW462" s="7"/>
      <c r="AX462" s="7"/>
    </row>
    <row r="463" ht="12.75" hidden="1" customHeight="1">
      <c r="A463" s="3">
        <v>8.0</v>
      </c>
      <c r="B463" s="3" t="s">
        <v>178</v>
      </c>
      <c r="C463" s="3" t="s">
        <v>60</v>
      </c>
      <c r="D463" s="4">
        <f>IFERROR(VLOOKUP(B463,Week7,2,FALSE),0)</f>
        <v>36.38</v>
      </c>
      <c r="E463" s="4">
        <f>IF(ISBLANK(B463),,IFERROR(VLOOKUP(B463,CurrentRank!$B$2:$C$132,2,FALSE),0))</f>
        <v>30.84</v>
      </c>
      <c r="F463" s="4">
        <f>IFERROR(VLOOKUP(B463,Week7,3,FALSE),130)</f>
        <v>51</v>
      </c>
      <c r="G463" s="4">
        <f>IF(ISBLANK(B463),,IFERROR(VLOOKUP(B463,CurrentRank!$B$2:$D$132,3,FALSE),130))</f>
        <v>104</v>
      </c>
      <c r="H463" s="4">
        <f>IFERROR(VLOOKUP(C463,Week7,2,FALSE),0)</f>
        <v>39.94</v>
      </c>
      <c r="I463" s="4">
        <f>IF(ISBLANK(B463),,IFERROR(VLOOKUP(C463,CurrentRank!$B$2:$C$132,2,FALSE),0))</f>
        <v>35.34</v>
      </c>
      <c r="J463" s="4">
        <f>IFERROR(VLOOKUP(C463,Week7,3,FALSE),130)</f>
        <v>36</v>
      </c>
      <c r="K463" s="4">
        <f>IF(ISBLANK(C463),,IFERROR(VLOOKUP(C463,CurrentRank!$B$2:$D$132,3,FALSE),130))</f>
        <v>61</v>
      </c>
      <c r="L463" s="19">
        <f t="shared" si="192"/>
        <v>1.1448</v>
      </c>
      <c r="M463" s="19">
        <f t="shared" si="193"/>
        <v>0.9927</v>
      </c>
      <c r="N463" s="24">
        <f t="shared" si="184"/>
        <v>43.5</v>
      </c>
      <c r="O463" s="21">
        <f t="shared" si="4"/>
        <v>-2.3524</v>
      </c>
      <c r="P463" s="21">
        <f t="shared" si="185"/>
        <v>-2.8224</v>
      </c>
      <c r="Q463" s="22">
        <f t="shared" si="6"/>
        <v>0.770738</v>
      </c>
      <c r="R463" s="25" t="str">
        <f t="shared" si="7"/>
        <v>C+</v>
      </c>
      <c r="S463" s="19">
        <f t="shared" si="8"/>
        <v>0.7225</v>
      </c>
      <c r="T463" s="19" t="str">
        <f t="shared" si="9"/>
        <v>C-</v>
      </c>
      <c r="U463" s="3" t="s">
        <v>203</v>
      </c>
      <c r="V463" s="4" t="str">
        <f>IF(ISBLANK(C463),,IFERROR(IF(VLOOKUP(B463,Standings!$A:$F, 6, 0)=VLOOKUP(C463,Standings!$A:$F, 6, 0), VLOOKUP(B463,Standings!$A:$F, 6, 0), "Non-con"), "FCS"))</f>
        <v>AAC</v>
      </c>
      <c r="W463" s="3" t="str">
        <f t="shared" si="10"/>
        <v>Temple</v>
      </c>
      <c r="X463" s="3" t="str">
        <f t="shared" si="11"/>
        <v>Memphis</v>
      </c>
      <c r="Y463" s="30">
        <f>IF(D463=0,,IF(ISBLANK(Q463),,VLOOKUP(X463,Week7,2,FALSE)/(VLOOKUP(X463,Week7,2,FALSE)+VLOOKUP(W463,Week7,2,FALSE))+0.05)*100)</f>
        <v>57.33228512</v>
      </c>
      <c r="Z463" s="3" t="s">
        <v>60</v>
      </c>
      <c r="AA463" s="3">
        <v>41.0</v>
      </c>
      <c r="AB463" s="4" t="str">
        <f t="shared" si="20"/>
        <v>Temple</v>
      </c>
      <c r="AC463" s="3">
        <v>29.0</v>
      </c>
      <c r="AD463" s="3"/>
      <c r="AE463" s="3">
        <f t="shared" si="13"/>
        <v>12</v>
      </c>
      <c r="AF463" s="3"/>
      <c r="AG463" s="3">
        <f t="shared" si="133"/>
        <v>1</v>
      </c>
      <c r="AH463" s="3"/>
      <c r="AI463" s="7"/>
      <c r="AJ463" s="4"/>
      <c r="AK463" s="7"/>
      <c r="AL463" s="7"/>
      <c r="AM463" s="7"/>
      <c r="AN463" s="7"/>
      <c r="AO463" s="7"/>
      <c r="AP463" s="7"/>
      <c r="AQ463" s="7"/>
      <c r="AR463" s="7"/>
      <c r="AS463" s="7"/>
      <c r="AT463" s="7"/>
      <c r="AU463" s="7"/>
      <c r="AV463" s="7"/>
      <c r="AW463" s="7"/>
      <c r="AX463" s="7"/>
    </row>
    <row r="464" ht="12.75" hidden="1" customHeight="1">
      <c r="A464" s="3">
        <v>8.0</v>
      </c>
      <c r="B464" s="3" t="s">
        <v>109</v>
      </c>
      <c r="C464" s="3" t="s">
        <v>38</v>
      </c>
      <c r="D464" s="4">
        <f>IFERROR(VLOOKUP(B464,Week7,2,FALSE),0)</f>
        <v>61.89</v>
      </c>
      <c r="E464" s="4">
        <f>IF(ISBLANK(B464),,IFERROR(VLOOKUP(B464,CurrentRank!$B$2:$C$132,2,FALSE),0))</f>
        <v>37.82</v>
      </c>
      <c r="F464" s="4">
        <f>IFERROR(VLOOKUP(B464,Week7,3,FALSE),130)</f>
        <v>20</v>
      </c>
      <c r="G464" s="4">
        <f>IF(ISBLANK(B464),,IFERROR(VLOOKUP(B464,CurrentRank!$B$2:$D$132,3,FALSE),130))</f>
        <v>40</v>
      </c>
      <c r="H464" s="4">
        <f>IFERROR(VLOOKUP(C464,Week7,2,FALSE),0)</f>
        <v>67.91</v>
      </c>
      <c r="I464" s="4">
        <f>IF(ISBLANK(B464),,IFERROR(VLOOKUP(C464,CurrentRank!$B$2:$C$132,2,FALSE),0))</f>
        <v>63.1</v>
      </c>
      <c r="J464" s="4">
        <f>IFERROR(VLOOKUP(C464,Week7,3,FALSE),130)</f>
        <v>13</v>
      </c>
      <c r="K464" s="4">
        <f>IF(ISBLANK(C464),,IFERROR(VLOOKUP(C464,CurrentRank!$B$2:$D$132,3,FALSE),130))</f>
        <v>18</v>
      </c>
      <c r="L464" s="19">
        <f t="shared" si="192"/>
        <v>1.947</v>
      </c>
      <c r="M464" s="19">
        <f t="shared" si="193"/>
        <v>1.5138</v>
      </c>
      <c r="N464" s="24">
        <f t="shared" si="184"/>
        <v>16.5</v>
      </c>
      <c r="O464" s="21">
        <f t="shared" si="4"/>
        <v>-3.9835</v>
      </c>
      <c r="P464" s="21">
        <f t="shared" si="185"/>
        <v>-13.6135</v>
      </c>
      <c r="Q464" s="22">
        <f t="shared" si="6"/>
        <v>0.8975825</v>
      </c>
      <c r="R464" s="25" t="str">
        <f t="shared" si="7"/>
        <v>A-</v>
      </c>
      <c r="S464" s="19">
        <f t="shared" si="8"/>
        <v>0.7825</v>
      </c>
      <c r="T464" s="19" t="str">
        <f t="shared" si="9"/>
        <v>C+</v>
      </c>
      <c r="U464" s="3" t="s">
        <v>203</v>
      </c>
      <c r="V464" s="4" t="str">
        <f>IF(ISBLANK(C464),,IFERROR(IF(VLOOKUP(B464,Standings!$A:$F, 6, 0)=VLOOKUP(C464,Standings!$A:$F, 6, 0), VLOOKUP(B464,Standings!$A:$F, 6, 0), "Non-con"), "FCS"))</f>
        <v>ACC</v>
      </c>
      <c r="W464" s="3" t="str">
        <f t="shared" si="10"/>
        <v>North Carolina State</v>
      </c>
      <c r="X464" s="3" t="str">
        <f t="shared" si="11"/>
        <v>North Carolina</v>
      </c>
      <c r="Y464" s="30">
        <f>IF(D464=0,,IF(ISBLANK(Q464),,VLOOKUP(X464,Week7,2,FALSE)/(VLOOKUP(X464,Week7,2,FALSE)+VLOOKUP(W464,Week7,2,FALSE))+0.05)*100)</f>
        <v>57.31895223</v>
      </c>
      <c r="Z464" s="3" t="s">
        <v>38</v>
      </c>
      <c r="AA464" s="3">
        <v>48.0</v>
      </c>
      <c r="AB464" s="4" t="str">
        <f t="shared" si="20"/>
        <v>North Carolina State</v>
      </c>
      <c r="AC464" s="3">
        <v>21.0</v>
      </c>
      <c r="AD464" s="3"/>
      <c r="AE464" s="3">
        <f t="shared" si="13"/>
        <v>27</v>
      </c>
      <c r="AF464" s="3"/>
      <c r="AG464" s="3">
        <f t="shared" si="133"/>
        <v>1</v>
      </c>
      <c r="AH464" s="3"/>
      <c r="AI464" s="7"/>
      <c r="AJ464" s="4"/>
      <c r="AK464" s="7"/>
      <c r="AL464" s="7"/>
      <c r="AM464" s="7"/>
      <c r="AN464" s="7"/>
      <c r="AO464" s="7"/>
      <c r="AP464" s="7"/>
      <c r="AQ464" s="7"/>
      <c r="AR464" s="7"/>
      <c r="AS464" s="7"/>
      <c r="AT464" s="7"/>
      <c r="AU464" s="7"/>
      <c r="AV464" s="7"/>
      <c r="AW464" s="7"/>
      <c r="AX464" s="7"/>
    </row>
    <row r="465" ht="12.75" hidden="1" customHeight="1">
      <c r="A465" s="3">
        <v>6.0</v>
      </c>
      <c r="B465" s="3" t="s">
        <v>139</v>
      </c>
      <c r="C465" s="3" t="s">
        <v>111</v>
      </c>
      <c r="D465" s="4">
        <f>IFERROR(VLOOKUP(B465,Week5,2,FALSE),0)</f>
        <v>31.04</v>
      </c>
      <c r="E465" s="4">
        <f>IF(ISBLANK(B465),,IFERROR(VLOOKUP(B465,CurrentRank!$B$2:$C$132,2,FALSE),0))</f>
        <v>28.86</v>
      </c>
      <c r="F465" s="4">
        <f>IFERROR(VLOOKUP(B465,Week5,3,FALSE),130)</f>
        <v>61</v>
      </c>
      <c r="G465" s="4">
        <f>IF(ISBLANK(B465),,IFERROR(VLOOKUP(B465,CurrentRank!$B$2:$D$132,3,FALSE),130))</f>
        <v>119</v>
      </c>
      <c r="H465" s="4">
        <f>IFERROR(VLOOKUP(C465,Week5,2,FALSE),0)</f>
        <v>34.04</v>
      </c>
      <c r="I465" s="4">
        <f>IF(ISBLANK(B465),,IFERROR(VLOOKUP(C465,CurrentRank!$B$2:$C$132,2,FALSE),0))</f>
        <v>29.75</v>
      </c>
      <c r="J465" s="4">
        <f>IFERROR(VLOOKUP(C465,Week5,3,FALSE),130)</f>
        <v>52</v>
      </c>
      <c r="K465" s="4">
        <f>IF(ISBLANK(C465),,IFERROR(VLOOKUP(C465,CurrentRank!$B$2:$D$132,3,FALSE),130))</f>
        <v>112</v>
      </c>
      <c r="L465" s="19">
        <f t="shared" si="192"/>
        <v>0.9762</v>
      </c>
      <c r="M465" s="19">
        <f t="shared" si="193"/>
        <v>0.87915</v>
      </c>
      <c r="N465" s="24">
        <f t="shared" si="184"/>
        <v>56.5</v>
      </c>
      <c r="O465" s="21">
        <f t="shared" si="4"/>
        <v>-1.9881</v>
      </c>
      <c r="P465" s="21">
        <f t="shared" si="185"/>
        <v>-0.9331</v>
      </c>
      <c r="Q465" s="22">
        <f t="shared" si="6"/>
        <v>0.7075595</v>
      </c>
      <c r="R465" s="25" t="str">
        <f t="shared" si="7"/>
        <v>C-</v>
      </c>
      <c r="S465" s="19">
        <f t="shared" si="8"/>
        <v>0.6175</v>
      </c>
      <c r="T465" s="19" t="str">
        <f t="shared" si="9"/>
        <v>D-</v>
      </c>
      <c r="U465" s="3" t="s">
        <v>203</v>
      </c>
      <c r="V465" s="4" t="str">
        <f>IF(ISBLANK(C465),,IFERROR(IF(VLOOKUP(B465,Standings!$A:$F, 6, 0)=VLOOKUP(C465,Standings!$A:$F, 6, 0), VLOOKUP(B465,Standings!$A:$F, 6, 0), "Non-con"), "FCS"))</f>
        <v>SUN</v>
      </c>
      <c r="W465" s="3" t="str">
        <f t="shared" si="10"/>
        <v>Texas State</v>
      </c>
      <c r="X465" s="3" t="str">
        <f t="shared" si="11"/>
        <v>Troy</v>
      </c>
      <c r="Y465" s="30">
        <f>IF(D465=0,,IF(ISBLANK(Q465),,VLOOKUP(X465,Week5,2,FALSE)/(VLOOKUP(X465,Week5,2,FALSE)+VLOOKUP(W465,Week5,2,FALSE))+0.05)*100)</f>
        <v>57.30485556</v>
      </c>
      <c r="Z465" s="3" t="s">
        <v>111</v>
      </c>
      <c r="AA465" s="3">
        <v>37.0</v>
      </c>
      <c r="AB465" s="4" t="str">
        <f t="shared" si="20"/>
        <v>Texas State</v>
      </c>
      <c r="AC465" s="3">
        <v>17.0</v>
      </c>
      <c r="AD465" s="3"/>
      <c r="AE465" s="3">
        <f t="shared" si="13"/>
        <v>20</v>
      </c>
      <c r="AF465" s="3"/>
      <c r="AG465" s="3">
        <f t="shared" si="133"/>
        <v>1</v>
      </c>
      <c r="AH465" s="3"/>
      <c r="AI465" s="7"/>
      <c r="AJ465" s="4"/>
      <c r="AK465" s="7"/>
      <c r="AL465" s="7"/>
      <c r="AM465" s="7"/>
      <c r="AN465" s="7"/>
      <c r="AO465" s="7"/>
      <c r="AP465" s="7"/>
      <c r="AQ465" s="7"/>
      <c r="AR465" s="7"/>
      <c r="AS465" s="7"/>
      <c r="AT465" s="7"/>
      <c r="AU465" s="7"/>
      <c r="AV465" s="7"/>
      <c r="AW465" s="7"/>
      <c r="AX465" s="7"/>
    </row>
    <row r="466" ht="12.75" hidden="1" customHeight="1">
      <c r="A466" s="3">
        <v>15.0</v>
      </c>
      <c r="B466" s="3" t="s">
        <v>119</v>
      </c>
      <c r="C466" s="3" t="s">
        <v>200</v>
      </c>
      <c r="D466" s="4">
        <f>IFERROR(VLOOKUP(B466,Week14,2,FALSE),0)</f>
        <v>30.01</v>
      </c>
      <c r="E466" s="4">
        <f>IF(ISBLANK(B466),,IFERROR(VLOOKUP(B466,CurrentRank!$B$2:$C$132,2,FALSE),0))</f>
        <v>31.96</v>
      </c>
      <c r="F466" s="4">
        <f>IFERROR(VLOOKUP(B466,Week14,3,FALSE),130)</f>
        <v>116</v>
      </c>
      <c r="G466" s="4">
        <f>IF(ISBLANK(B466),,IFERROR(VLOOKUP(B466,CurrentRank!$B$2:$D$132,3,FALSE),130))</f>
        <v>94</v>
      </c>
      <c r="H466" s="4">
        <f>IFERROR(VLOOKUP(C466,Week14,2,FALSE),0)</f>
        <v>32.81</v>
      </c>
      <c r="I466" s="4">
        <f>IF(ISBLANK(B466),,IFERROR(VLOOKUP(C466,CurrentRank!$B$2:$C$132,2,FALSE),0))</f>
        <v>32.76</v>
      </c>
      <c r="J466" s="4">
        <f>IFERROR(VLOOKUP(C466,Week14,3,FALSE),130)</f>
        <v>87</v>
      </c>
      <c r="K466" s="4">
        <f>IF(ISBLANK(C466),,IFERROR(VLOOKUP(C466,CurrentRank!$B$2:$D$132,3,FALSE),130))</f>
        <v>89</v>
      </c>
      <c r="L466" s="19">
        <f t="shared" ref="L466:M466" si="194">IF(ISBLANK(C466),,(D466+H466)*0.015)</f>
        <v>0.9423</v>
      </c>
      <c r="M466" s="19">
        <f t="shared" si="194"/>
        <v>0.9708</v>
      </c>
      <c r="N466" s="24">
        <f t="shared" si="184"/>
        <v>101.5</v>
      </c>
      <c r="O466" s="21">
        <f t="shared" si="4"/>
        <v>-1.87115</v>
      </c>
      <c r="P466" s="21">
        <f t="shared" si="185"/>
        <v>-0.87115</v>
      </c>
      <c r="Q466" s="22">
        <f t="shared" si="6"/>
        <v>0.48314425</v>
      </c>
      <c r="R466" s="25" t="str">
        <f t="shared" si="7"/>
        <v>F</v>
      </c>
      <c r="S466" s="19" t="str">
        <f t="shared" si="8"/>
        <v/>
      </c>
      <c r="T466" s="19" t="str">
        <f t="shared" si="9"/>
        <v/>
      </c>
      <c r="U466" s="3" t="s">
        <v>203</v>
      </c>
      <c r="V466" s="4" t="str">
        <f>IF(ISBLANK(C466),,IFERROR(IF(VLOOKUP(B466,Standings!$A:$F, 6, 0)=VLOOKUP(C466,Standings!$A:$F, 6, 0), VLOOKUP(B466,Standings!$A:$F, 6, 0), "Non-con"), "FCS"))</f>
        <v>CUSA</v>
      </c>
      <c r="W466" s="3" t="str">
        <f t="shared" si="10"/>
        <v>UAB</v>
      </c>
      <c r="X466" s="3" t="str">
        <f t="shared" si="11"/>
        <v>Middle Tennessee</v>
      </c>
      <c r="Y466" s="30">
        <f>IF(D466=0,,IF(ISBLANK(Q466),,VLOOKUP(X466,Week14,2,FALSE)/(VLOOKUP(X466,Week14,2,FALSE)+VLOOKUP(W466,Week14,2,FALSE))+0.05)*100)</f>
        <v>57.22858962</v>
      </c>
      <c r="Z466" s="3"/>
      <c r="AA466" s="3"/>
      <c r="AB466" s="4" t="str">
        <f t="shared" si="20"/>
        <v/>
      </c>
      <c r="AC466" s="3"/>
      <c r="AD466" s="3"/>
      <c r="AE466" s="3" t="str">
        <f t="shared" si="13"/>
        <v/>
      </c>
      <c r="AF466" s="3" t="s">
        <v>226</v>
      </c>
      <c r="AG466" s="3" t="str">
        <f t="shared" si="133"/>
        <v/>
      </c>
      <c r="AH466" s="3"/>
      <c r="AI466" s="7"/>
      <c r="AJ466" s="4"/>
      <c r="AK466" s="7"/>
      <c r="AL466" s="7"/>
      <c r="AM466" s="7"/>
      <c r="AN466" s="7"/>
      <c r="AO466" s="7"/>
      <c r="AP466" s="7"/>
      <c r="AQ466" s="7"/>
      <c r="AR466" s="7"/>
      <c r="AS466" s="7"/>
      <c r="AT466" s="7"/>
      <c r="AU466" s="7"/>
      <c r="AV466" s="7"/>
      <c r="AW466" s="7"/>
      <c r="AX466" s="7"/>
    </row>
    <row r="467" ht="12.75" hidden="1" customHeight="1">
      <c r="A467" s="3">
        <v>11.0</v>
      </c>
      <c r="B467" s="3" t="s">
        <v>97</v>
      </c>
      <c r="C467" s="3" t="s">
        <v>91</v>
      </c>
      <c r="D467" s="4">
        <f>IFERROR(VLOOKUP(B467,Week10,2,FALSE),0)</f>
        <v>41.53</v>
      </c>
      <c r="E467" s="4">
        <f>IF(ISBLANK(B467),,IFERROR(VLOOKUP(B467,CurrentRank!$B$2:$C$132,2,FALSE),0))</f>
        <v>71.81</v>
      </c>
      <c r="F467" s="4">
        <f>IFERROR(VLOOKUP(B467,Week10,3,FALSE),130)</f>
        <v>33</v>
      </c>
      <c r="G467" s="4">
        <f>IF(ISBLANK(B467),,IFERROR(VLOOKUP(B467,CurrentRank!$B$2:$D$132,3,FALSE),130))</f>
        <v>12</v>
      </c>
      <c r="H467" s="4">
        <f>IFERROR(VLOOKUP(C467,Week10,2,FALSE),0)</f>
        <v>38.06</v>
      </c>
      <c r="I467" s="4">
        <f>IF(ISBLANK(B467),,IFERROR(VLOOKUP(C467,CurrentRank!$B$2:$C$132,2,FALSE),0))</f>
        <v>35.39</v>
      </c>
      <c r="J467" s="4">
        <f>IFERROR(VLOOKUP(C467,Week10,3,FALSE),130)</f>
        <v>51</v>
      </c>
      <c r="K467" s="4">
        <f>IF(ISBLANK(C467),,IFERROR(VLOOKUP(C467,CurrentRank!$B$2:$D$132,3,FALSE),130))</f>
        <v>60</v>
      </c>
      <c r="L467" s="19">
        <f>IF(U467= "Yes", 0, IF(ISBLANK(C467),,(D467+H467)*0.015))</f>
        <v>1.19385</v>
      </c>
      <c r="M467" s="19">
        <f>IF(U467= "Yes", 0, IF(ISBLANK(D467),,(E467+I467)*0.015))</f>
        <v>1.608</v>
      </c>
      <c r="N467" s="24">
        <f t="shared" si="184"/>
        <v>42</v>
      </c>
      <c r="O467" s="21">
        <f t="shared" si="4"/>
        <v>1.138075</v>
      </c>
      <c r="P467" s="21">
        <f t="shared" si="185"/>
        <v>17.613075</v>
      </c>
      <c r="Q467" s="22">
        <f t="shared" si="6"/>
        <v>0.784309625</v>
      </c>
      <c r="R467" s="25" t="str">
        <f t="shared" si="7"/>
        <v>C+</v>
      </c>
      <c r="S467" s="19">
        <f t="shared" si="8"/>
        <v>0.65</v>
      </c>
      <c r="T467" s="19" t="str">
        <f t="shared" si="9"/>
        <v>D</v>
      </c>
      <c r="U467" s="3" t="s">
        <v>203</v>
      </c>
      <c r="V467" s="4" t="str">
        <f>IF(ISBLANK(C467),,IFERROR(IF(VLOOKUP(B467,Standings!$A:$F, 6, 0)=VLOOKUP(C467,Standings!$A:$F, 6, 0), VLOOKUP(B467,Standings!$A:$F, 6, 0), "Non-con"), "FCS"))</f>
        <v>B1G</v>
      </c>
      <c r="W467" s="3" t="str">
        <f t="shared" si="10"/>
        <v>Minnesota</v>
      </c>
      <c r="X467" s="3" t="str">
        <f t="shared" si="11"/>
        <v>Iowa</v>
      </c>
      <c r="Y467" s="30">
        <f>IF(D467=0,,IF(ISBLANK(Q467),,VLOOKUP(X467,Week10,2,FALSE)/(VLOOKUP(X467,Week10,2,FALSE)+VLOOKUP(W467,Week10,2,FALSE))+0.05)*100)</f>
        <v>57.1799221</v>
      </c>
      <c r="Z467" s="3" t="s">
        <v>97</v>
      </c>
      <c r="AA467" s="3">
        <v>35.0</v>
      </c>
      <c r="AB467" s="4" t="str">
        <f t="shared" si="20"/>
        <v>Minnesota</v>
      </c>
      <c r="AC467" s="3">
        <v>7.0</v>
      </c>
      <c r="AD467" s="3"/>
      <c r="AE467" s="3">
        <f t="shared" si="13"/>
        <v>28</v>
      </c>
      <c r="AF467" s="3"/>
      <c r="AG467" s="3">
        <f t="shared" si="133"/>
        <v>1</v>
      </c>
      <c r="AH467" s="3"/>
      <c r="AI467" s="7"/>
      <c r="AJ467" s="4" t="s">
        <v>136</v>
      </c>
      <c r="AK467" s="7"/>
      <c r="AL467" s="7"/>
      <c r="AM467" s="7"/>
      <c r="AN467" s="7"/>
      <c r="AO467" s="7"/>
      <c r="AP467" s="7"/>
      <c r="AQ467" s="7"/>
      <c r="AR467" s="7"/>
      <c r="AS467" s="7"/>
      <c r="AT467" s="7"/>
      <c r="AU467" s="7"/>
      <c r="AV467" s="7"/>
      <c r="AW467" s="7"/>
      <c r="AX467" s="7"/>
    </row>
    <row r="468" ht="12.75" hidden="1" customHeight="1">
      <c r="A468" s="3">
        <v>11.0</v>
      </c>
      <c r="B468" s="3" t="s">
        <v>172</v>
      </c>
      <c r="C468" s="3" t="s">
        <v>110</v>
      </c>
      <c r="D468" s="4">
        <f>IFERROR(VLOOKUP(B468,CurrentRank!$B$2:$C$132,2,FALSE),0)</f>
        <v>33.49</v>
      </c>
      <c r="E468" s="4">
        <f>IF(ISBLANK(B468),,IFERROR(VLOOKUP(B468,CurrentRank!$B$2:$C$132,2,FALSE),0))</f>
        <v>33.49</v>
      </c>
      <c r="F468" s="4">
        <f>IFERROR(VLOOKUP(B468,Week10,3,FALSE),130)</f>
        <v>64</v>
      </c>
      <c r="G468" s="4">
        <f>IF(ISBLANK(B468),,IFERROR(VLOOKUP(B468,CurrentRank!$B$2:$D$132,3,FALSE),130))</f>
        <v>79</v>
      </c>
      <c r="H468" s="4">
        <f>IFERROR(VLOOKUP(C468,CurrentRank!$B$2:$C$132,2,FALSE),0)</f>
        <v>20.47</v>
      </c>
      <c r="I468" s="4">
        <f>IF(ISBLANK(B468),,IFERROR(VLOOKUP(C468,CurrentRank!$B$2:$C$132,2,FALSE),0))</f>
        <v>20.47</v>
      </c>
      <c r="J468" s="4">
        <f>IFERROR(VLOOKUP(C468,Week10,3,FALSE),130)</f>
        <v>79</v>
      </c>
      <c r="K468" s="4">
        <f>IF(ISBLANK(C468),,IFERROR(VLOOKUP(C468,CurrentRank!$B$2:$D$132,3,FALSE),130))</f>
        <v>128</v>
      </c>
      <c r="L468" s="19">
        <f t="shared" ref="L468:M468" si="195">IF(ISBLANK(C468),,(D468+H468)*0.015)</f>
        <v>0.8094</v>
      </c>
      <c r="M468" s="19">
        <f t="shared" si="195"/>
        <v>0.8094</v>
      </c>
      <c r="N468" s="24">
        <f t="shared" si="184"/>
        <v>71.5</v>
      </c>
      <c r="O468" s="21">
        <f t="shared" si="4"/>
        <v>6.1053</v>
      </c>
      <c r="P468" s="21">
        <f t="shared" si="185"/>
        <v>6.1053</v>
      </c>
      <c r="Q468" s="22">
        <f t="shared" si="6"/>
        <v>0.6119735</v>
      </c>
      <c r="R468" s="25" t="str">
        <f t="shared" si="7"/>
        <v>D-</v>
      </c>
      <c r="S468" s="19" t="str">
        <f t="shared" si="8"/>
        <v/>
      </c>
      <c r="T468" s="19" t="str">
        <f t="shared" si="9"/>
        <v/>
      </c>
      <c r="U468" s="3" t="s">
        <v>203</v>
      </c>
      <c r="V468" s="4" t="str">
        <f>IFERROR(IF(VLOOKUP(B468,Standings!$A:$F, 6, 0)=VLOOKUP(C468,Standings!$A:$F, 6, 0), VLOOKUP(B468,Standings!$A:$F, 6, 0), "Non-con"), "FCS")</f>
        <v>CUSA</v>
      </c>
      <c r="W468" s="3" t="str">
        <f t="shared" si="10"/>
        <v>Louisiana Tech</v>
      </c>
      <c r="X468" s="3" t="str">
        <f t="shared" si="11"/>
        <v>Rice</v>
      </c>
      <c r="Y468" s="30">
        <f>IF(D468=0,,IF(ISBLANK(Q468),,VLOOKUP(X468,Week10,2,FALSE)/(VLOOKUP(X468,Week10,2,FALSE)+VLOOKUP(W468,Week10,2,FALSE))+0.05)*100)</f>
        <v>57.15409499</v>
      </c>
      <c r="Z468" s="3"/>
      <c r="AA468" s="3"/>
      <c r="AB468" s="4" t="str">
        <f t="shared" si="20"/>
        <v/>
      </c>
      <c r="AC468" s="3"/>
      <c r="AD468" s="3"/>
      <c r="AE468" s="3" t="str">
        <f t="shared" si="13"/>
        <v/>
      </c>
      <c r="AF468" s="3" t="s">
        <v>228</v>
      </c>
      <c r="AG468" s="3" t="str">
        <f t="shared" si="133"/>
        <v/>
      </c>
      <c r="AH468" s="3"/>
      <c r="AI468" s="7"/>
      <c r="AJ468" s="4"/>
      <c r="AK468" s="7"/>
      <c r="AL468" s="7"/>
      <c r="AM468" s="7"/>
      <c r="AN468" s="7"/>
      <c r="AO468" s="7"/>
      <c r="AP468" s="7"/>
      <c r="AQ468" s="7"/>
      <c r="AR468" s="7"/>
      <c r="AS468" s="7"/>
      <c r="AT468" s="7"/>
      <c r="AU468" s="7"/>
      <c r="AV468" s="7"/>
      <c r="AW468" s="7"/>
      <c r="AX468" s="7"/>
    </row>
    <row r="469" ht="12.75" hidden="1" customHeight="1">
      <c r="A469" s="3">
        <v>8.0</v>
      </c>
      <c r="B469" s="3" t="s">
        <v>87</v>
      </c>
      <c r="C469" s="3" t="s">
        <v>91</v>
      </c>
      <c r="D469" s="4">
        <f>IFERROR(VLOOKUP(B469,Week7,2,FALSE),0)</f>
        <v>52.95</v>
      </c>
      <c r="E469" s="4">
        <f>IF(ISBLANK(B469),,IFERROR(VLOOKUP(B469,CurrentRank!$B$2:$C$132,2,FALSE),0))</f>
        <v>31.54</v>
      </c>
      <c r="F469" s="4">
        <f>IFERROR(VLOOKUP(B469,Week7,3,FALSE),130)</f>
        <v>23</v>
      </c>
      <c r="G469" s="4">
        <f>IF(ISBLANK(B469),,IFERROR(VLOOKUP(B469,CurrentRank!$B$2:$D$132,3,FALSE),130))</f>
        <v>97</v>
      </c>
      <c r="H469" s="4">
        <f>IFERROR(VLOOKUP(C469,Week7,2,FALSE),0)</f>
        <v>48.58</v>
      </c>
      <c r="I469" s="4">
        <f>IF(ISBLANK(B469),,IFERROR(VLOOKUP(C469,CurrentRank!$B$2:$C$132,2,FALSE),0))</f>
        <v>35.39</v>
      </c>
      <c r="J469" s="4">
        <f>IFERROR(VLOOKUP(C469,Week7,3,FALSE),130)</f>
        <v>25</v>
      </c>
      <c r="K469" s="4">
        <f>IF(ISBLANK(C469),,IFERROR(VLOOKUP(C469,CurrentRank!$B$2:$D$132,3,FALSE),130))</f>
        <v>60</v>
      </c>
      <c r="L469" s="19">
        <f>IF(U469= "Yes", 0, IF(ISBLANK(C469),,(D469+H469)*0.015))</f>
        <v>1.52295</v>
      </c>
      <c r="M469" s="19">
        <f>IF(U469= "Yes", 0, IF(ISBLANK(D469),,(E469+I469)*0.015))</f>
        <v>1.00395</v>
      </c>
      <c r="N469" s="24">
        <f t="shared" si="184"/>
        <v>24</v>
      </c>
      <c r="O469" s="21">
        <f t="shared" si="4"/>
        <v>1.423525</v>
      </c>
      <c r="P469" s="21">
        <f t="shared" si="185"/>
        <v>-2.686475</v>
      </c>
      <c r="Q469" s="22">
        <f t="shared" si="6"/>
        <v>0.872882375</v>
      </c>
      <c r="R469" s="25" t="str">
        <f t="shared" si="7"/>
        <v>B+</v>
      </c>
      <c r="S469" s="19">
        <f t="shared" si="8"/>
        <v>0.755</v>
      </c>
      <c r="T469" s="19" t="str">
        <f t="shared" si="9"/>
        <v>C</v>
      </c>
      <c r="U469" s="3" t="s">
        <v>203</v>
      </c>
      <c r="V469" s="4" t="str">
        <f>IF(ISBLANK(C469),,IFERROR(IF(VLOOKUP(B469,Standings!$A:$F, 6, 0)=VLOOKUP(C469,Standings!$A:$F, 6, 0), VLOOKUP(B469,Standings!$A:$F, 6, 0), "Non-con"), "FCS"))</f>
        <v>B1G</v>
      </c>
      <c r="W469" s="3" t="str">
        <f t="shared" si="10"/>
        <v>Minnesota</v>
      </c>
      <c r="X469" s="3" t="str">
        <f t="shared" si="11"/>
        <v>Michigan</v>
      </c>
      <c r="Y469" s="30">
        <f>IF(D469=0,,IF(ISBLANK(Q469),,VLOOKUP(X469,Week7,2,FALSE)/(VLOOKUP(X469,Week7,2,FALSE)+VLOOKUP(W469,Week7,2,FALSE))+0.05)*100)</f>
        <v>57.15207328</v>
      </c>
      <c r="Z469" s="3" t="s">
        <v>87</v>
      </c>
      <c r="AA469" s="3">
        <v>49.0</v>
      </c>
      <c r="AB469" s="4" t="str">
        <f t="shared" si="20"/>
        <v>Minnesota</v>
      </c>
      <c r="AC469" s="3">
        <v>24.0</v>
      </c>
      <c r="AD469" s="3"/>
      <c r="AE469" s="3">
        <f t="shared" si="13"/>
        <v>25</v>
      </c>
      <c r="AF469" s="3"/>
      <c r="AG469" s="3">
        <f t="shared" si="133"/>
        <v>1</v>
      </c>
      <c r="AH469" s="3"/>
      <c r="AI469" s="7"/>
      <c r="AJ469" s="4"/>
      <c r="AK469" s="7"/>
      <c r="AL469" s="7"/>
      <c r="AM469" s="7"/>
      <c r="AN469" s="7"/>
      <c r="AO469" s="7"/>
      <c r="AP469" s="7"/>
      <c r="AQ469" s="7"/>
      <c r="AR469" s="7"/>
      <c r="AS469" s="7"/>
      <c r="AT469" s="7"/>
      <c r="AU469" s="7"/>
      <c r="AV469" s="7"/>
      <c r="AW469" s="7"/>
      <c r="AX469" s="7"/>
    </row>
    <row r="470" ht="12.75" hidden="1" customHeight="1">
      <c r="A470" s="3">
        <v>12.0</v>
      </c>
      <c r="B470" s="3" t="s">
        <v>167</v>
      </c>
      <c r="C470" s="3" t="s">
        <v>133</v>
      </c>
      <c r="D470" s="4">
        <f>IFERROR(VLOOKUP(B470,CurrentRank!$B$2:$C$132,2,FALSE),0)</f>
        <v>29.87</v>
      </c>
      <c r="E470" s="4">
        <f>IF(ISBLANK(B470),,IFERROR(VLOOKUP(B470,CurrentRank!$B$2:$C$132,2,FALSE),0))</f>
        <v>29.87</v>
      </c>
      <c r="F470" s="4">
        <f>IFERROR(VLOOKUP(B470,CurrentRank!$B$2:$D$132,3,FALSE),130)</f>
        <v>111</v>
      </c>
      <c r="G470" s="4">
        <f>IF(ISBLANK(B470),,IFERROR(VLOOKUP(B470,CurrentRank!$B$2:$D$132,3,FALSE),130))</f>
        <v>111</v>
      </c>
      <c r="H470" s="4">
        <f>IFERROR(VLOOKUP(C470,CurrentRank!$B$2:$C$132,2,FALSE),0)</f>
        <v>34.63</v>
      </c>
      <c r="I470" s="4">
        <f>IF(ISBLANK(B470),,IFERROR(VLOOKUP(C470,CurrentRank!$B$2:$C$132,2,FALSE),0))</f>
        <v>34.63</v>
      </c>
      <c r="J470" s="4">
        <f>IFERROR(VLOOKUP(C470,Week11,3,FALSE),130)</f>
        <v>67</v>
      </c>
      <c r="K470" s="4">
        <f>IFERROR(VLOOKUP(C470,CurrentRank!$B$2:$D$132,3,FALSE),130)</f>
        <v>69</v>
      </c>
      <c r="L470" s="19">
        <f t="shared" ref="L470:M470" si="196">IF(ISBLANK(C470),,(D470+H470)*0.015)</f>
        <v>0.9675</v>
      </c>
      <c r="M470" s="19">
        <f t="shared" si="196"/>
        <v>0.9675</v>
      </c>
      <c r="N470" s="24">
        <f>(F470+K470)/2</f>
        <v>90</v>
      </c>
      <c r="O470" s="21">
        <f t="shared" si="4"/>
        <v>-2.86375</v>
      </c>
      <c r="P470" s="24">
        <f>(D470-(H470+L470))/2</f>
        <v>-2.86375</v>
      </c>
      <c r="Q470" s="22">
        <f t="shared" si="6"/>
        <v>0.53568125</v>
      </c>
      <c r="R470" s="25" t="str">
        <f t="shared" si="7"/>
        <v>F</v>
      </c>
      <c r="S470" s="19" t="str">
        <f t="shared" si="8"/>
        <v/>
      </c>
      <c r="T470" s="19" t="str">
        <f t="shared" si="9"/>
        <v/>
      </c>
      <c r="U470" s="3" t="s">
        <v>203</v>
      </c>
      <c r="V470" s="4" t="str">
        <f>IFERROR(IF(VLOOKUP(B470,Standings!$A:$F, 6, 0)=VLOOKUP(C470,Standings!$A:$F, 6, 0), VLOOKUP(B470,Standings!$A:$F, 6, 0), "Non-con"), "FCS")</f>
        <v>MWC</v>
      </c>
      <c r="W470" s="3" t="str">
        <f t="shared" si="10"/>
        <v>UNLV</v>
      </c>
      <c r="X470" s="3" t="str">
        <f t="shared" si="11"/>
        <v>Colorado State</v>
      </c>
      <c r="Y470" s="30">
        <f>IF(D470=0,,IF(ISBLANK(Q470),,VLOOKUP(X470,Week11,2,FALSE)/(VLOOKUP(X470,Week11,2,FALSE)+VLOOKUP(W470,Week11,2,FALSE))+0.05)*100)</f>
        <v>57.13867627</v>
      </c>
      <c r="Z470" s="3"/>
      <c r="AA470" s="3"/>
      <c r="AB470" s="4" t="str">
        <f t="shared" si="20"/>
        <v/>
      </c>
      <c r="AC470" s="3"/>
      <c r="AD470" s="3"/>
      <c r="AE470" s="3" t="str">
        <f t="shared" si="13"/>
        <v/>
      </c>
      <c r="AF470" s="3" t="s">
        <v>226</v>
      </c>
      <c r="AG470" s="3" t="str">
        <f t="shared" si="133"/>
        <v/>
      </c>
      <c r="AH470" s="3"/>
      <c r="AI470" s="7"/>
      <c r="AJ470" s="4"/>
      <c r="AK470" s="7"/>
      <c r="AL470" s="7"/>
      <c r="AM470" s="7"/>
      <c r="AN470" s="7"/>
      <c r="AO470" s="7"/>
      <c r="AP470" s="7"/>
      <c r="AQ470" s="7"/>
      <c r="AR470" s="7"/>
      <c r="AS470" s="7"/>
      <c r="AT470" s="7"/>
      <c r="AU470" s="7"/>
      <c r="AV470" s="7"/>
      <c r="AW470" s="7"/>
      <c r="AX470" s="7"/>
    </row>
    <row r="471" ht="12.75" hidden="1" customHeight="1">
      <c r="A471" s="3">
        <v>7.0</v>
      </c>
      <c r="B471" s="3" t="s">
        <v>139</v>
      </c>
      <c r="C471" s="3" t="s">
        <v>102</v>
      </c>
      <c r="D471" s="4">
        <f>IFERROR(VLOOKUP(B471,Week6,2,FALSE),0)</f>
        <v>30.36</v>
      </c>
      <c r="E471" s="4">
        <f>IF(ISBLANK(B471),,IFERROR(VLOOKUP(B471,CurrentRank!$B$2:$C$132,2,FALSE),0))</f>
        <v>28.86</v>
      </c>
      <c r="F471" s="4">
        <f>IFERROR(VLOOKUP(B471,Week6,3,FALSE),130)</f>
        <v>71</v>
      </c>
      <c r="G471" s="4">
        <f>IF(ISBLANK(B471),,IFERROR(VLOOKUP(B471,CurrentRank!$B$2:$D$132,3,FALSE),130))</f>
        <v>119</v>
      </c>
      <c r="H471" s="4">
        <f>IFERROR(VLOOKUP(C471,Week6,2,FALSE),0)</f>
        <v>33.03</v>
      </c>
      <c r="I471" s="4">
        <f>IF(ISBLANK(B471),,IFERROR(VLOOKUP(C471,CurrentRank!$B$2:$C$132,2,FALSE),0))</f>
        <v>31.07</v>
      </c>
      <c r="J471" s="4">
        <f>IFERROR(VLOOKUP(C471,Week6,3,FALSE),130)</f>
        <v>58</v>
      </c>
      <c r="K471" s="4">
        <f>IF(ISBLANK(C471),,IFERROR(VLOOKUP(C471,CurrentRank!$B$2:$D$132,3,FALSE),130))</f>
        <v>102</v>
      </c>
      <c r="L471" s="19">
        <f>IF(U471= "Yes", 0, IF(ISBLANK(C471),,(D471+H471)*0.015))</f>
        <v>0.95085</v>
      </c>
      <c r="M471" s="19">
        <f>IF(U471= "Yes", 0, IF(ISBLANK(D471),,(E471+I471)*0.015))</f>
        <v>0.89895</v>
      </c>
      <c r="N471" s="24">
        <f t="shared" ref="N471:N513" si="198">IF(ISBLANK(C471),,(F471+J471)/2)</f>
        <v>64.5</v>
      </c>
      <c r="O471" s="21">
        <f t="shared" si="4"/>
        <v>-1.810425</v>
      </c>
      <c r="P471" s="21">
        <f t="shared" ref="P471:P481" si="199">IF(ISBLANK(C471),,(E471-(I471+L471))/2)</f>
        <v>-1.580425</v>
      </c>
      <c r="Q471" s="22">
        <f t="shared" si="6"/>
        <v>0.668447875</v>
      </c>
      <c r="R471" s="25" t="str">
        <f t="shared" si="7"/>
        <v>D+</v>
      </c>
      <c r="S471" s="19">
        <f t="shared" si="8"/>
        <v>0.6275</v>
      </c>
      <c r="T471" s="19" t="str">
        <f t="shared" si="9"/>
        <v>D</v>
      </c>
      <c r="U471" s="3" t="s">
        <v>203</v>
      </c>
      <c r="V471" s="4" t="str">
        <f>IF(ISBLANK(C471),,IFERROR(IF(VLOOKUP(B471,Standings!$A:$F, 6, 0)=VLOOKUP(C471,Standings!$A:$F, 6, 0), VLOOKUP(B471,Standings!$A:$F, 6, 0), "Non-con"), "FCS"))</f>
        <v>SUN</v>
      </c>
      <c r="W471" s="3" t="str">
        <f t="shared" si="10"/>
        <v>Texas State</v>
      </c>
      <c r="X471" s="3" t="str">
        <f t="shared" si="11"/>
        <v>South Alabama</v>
      </c>
      <c r="Y471" s="30">
        <f>IF(D471=0,,IF(ISBLANK(Q471),,VLOOKUP(X471,Week6,2,FALSE)/(VLOOKUP(X471,Week6,2,FALSE)+VLOOKUP(W471,Week6,2,FALSE))+0.05)*100)</f>
        <v>57.10601041</v>
      </c>
      <c r="Z471" s="3" t="s">
        <v>102</v>
      </c>
      <c r="AA471" s="3">
        <v>30.0</v>
      </c>
      <c r="AB471" s="4" t="str">
        <f t="shared" si="20"/>
        <v>Texas State</v>
      </c>
      <c r="AC471" s="3">
        <v>20.0</v>
      </c>
      <c r="AD471" s="3"/>
      <c r="AE471" s="3">
        <f t="shared" si="13"/>
        <v>10</v>
      </c>
      <c r="AF471" s="3"/>
      <c r="AG471" s="3">
        <f t="shared" si="133"/>
        <v>1</v>
      </c>
      <c r="AH471" s="3"/>
      <c r="AI471" s="7"/>
      <c r="AJ471" s="4"/>
      <c r="AK471" s="7"/>
      <c r="AL471" s="7"/>
      <c r="AM471" s="7"/>
      <c r="AN471" s="7"/>
      <c r="AO471" s="7"/>
      <c r="AP471" s="7"/>
      <c r="AQ471" s="7"/>
      <c r="AR471" s="7"/>
      <c r="AS471" s="7"/>
      <c r="AT471" s="7"/>
      <c r="AU471" s="7"/>
      <c r="AV471" s="7"/>
      <c r="AW471" s="7"/>
      <c r="AX471" s="7"/>
    </row>
    <row r="472" ht="12.75" hidden="1" customHeight="1">
      <c r="A472" s="3">
        <v>13.0</v>
      </c>
      <c r="B472" s="3" t="s">
        <v>170</v>
      </c>
      <c r="C472" s="3" t="s">
        <v>119</v>
      </c>
      <c r="D472" s="4">
        <f>IFERROR(VLOOKUP(B472,Week12,2,FALSE),0)</f>
        <v>25.37</v>
      </c>
      <c r="E472" s="4">
        <f>IF(ISBLANK(B472),,IFERROR(VLOOKUP(B472,CurrentRank!$B$2:$C$132,2,FALSE),0))</f>
        <v>28.08</v>
      </c>
      <c r="F472" s="4">
        <f>IFERROR(VLOOKUP(B472,Week12,3,FALSE),130)</f>
        <v>125</v>
      </c>
      <c r="G472" s="4">
        <f>IF(ISBLANK(B472),,IFERROR(VLOOKUP(B472,CurrentRank!$B$2:$D$132,3,FALSE),130))</f>
        <v>121</v>
      </c>
      <c r="H472" s="4">
        <f>IFERROR(VLOOKUP(C472,Week12,2,FALSE),0)</f>
        <v>27.58</v>
      </c>
      <c r="I472" s="4">
        <f>IF(ISBLANK(B472),,IFERROR(VLOOKUP(C472,CurrentRank!$B$2:$C$132,2,FALSE),0))</f>
        <v>31.96</v>
      </c>
      <c r="J472" s="4">
        <f>IFERROR(VLOOKUP(C472,Week12,3,FALSE),130)</f>
        <v>119</v>
      </c>
      <c r="K472" s="4">
        <f>IF(ISBLANK(C472),,IFERROR(VLOOKUP(C472,CurrentRank!$B$2:$D$132,3,FALSE),130))</f>
        <v>94</v>
      </c>
      <c r="L472" s="19">
        <f t="shared" ref="L472:M472" si="197">IF(ISBLANK(C472),,(D472+H472)*0.015)</f>
        <v>0.79425</v>
      </c>
      <c r="M472" s="19">
        <f t="shared" si="197"/>
        <v>0.9006</v>
      </c>
      <c r="N472" s="24">
        <f t="shared" si="198"/>
        <v>122</v>
      </c>
      <c r="O472" s="24">
        <f t="shared" si="4"/>
        <v>-1.502125</v>
      </c>
      <c r="P472" s="24">
        <f t="shared" si="199"/>
        <v>-2.337125</v>
      </c>
      <c r="Q472" s="22">
        <f t="shared" si="6"/>
        <v>0.382489375</v>
      </c>
      <c r="R472" s="25" t="str">
        <f t="shared" si="7"/>
        <v>F</v>
      </c>
      <c r="S472" s="19" t="str">
        <f t="shared" si="8"/>
        <v/>
      </c>
      <c r="T472" s="19" t="str">
        <f t="shared" si="9"/>
        <v/>
      </c>
      <c r="U472" s="3" t="s">
        <v>203</v>
      </c>
      <c r="V472" s="4" t="str">
        <f>IF(ISBLANK(C472),,IFERROR(IF(VLOOKUP(B472,Standings!$A:$F, 6, 0)=VLOOKUP(C472,Standings!$A:$F, 6, 0), VLOOKUP(B472,Standings!$A:$F, 6, 0), "Non-con"), "FCS"))</f>
        <v>CUSA</v>
      </c>
      <c r="W472" s="3" t="str">
        <f t="shared" si="10"/>
        <v>Southern Mississippi</v>
      </c>
      <c r="X472" s="3" t="str">
        <f t="shared" si="11"/>
        <v>UAB</v>
      </c>
      <c r="Y472" s="30">
        <f>IF(D472=0,,IF(ISBLANK(Q472),,VLOOKUP(X472,Week12,2,FALSE)/(VLOOKUP(X472,Week12,2,FALSE)+VLOOKUP(W472,Week12,2,FALSE))+0.05)*100)</f>
        <v>57.08687441</v>
      </c>
      <c r="Z472" s="3"/>
      <c r="AA472" s="3"/>
      <c r="AB472" s="4" t="str">
        <f t="shared" si="20"/>
        <v/>
      </c>
      <c r="AC472" s="3"/>
      <c r="AD472" s="3"/>
      <c r="AE472" s="3" t="str">
        <f t="shared" si="13"/>
        <v/>
      </c>
      <c r="AF472" s="3" t="s">
        <v>226</v>
      </c>
      <c r="AG472" s="3" t="str">
        <f t="shared" si="133"/>
        <v/>
      </c>
      <c r="AH472" s="3"/>
      <c r="AI472" s="7"/>
      <c r="AJ472" s="4" t="s">
        <v>104</v>
      </c>
      <c r="AK472" s="7"/>
      <c r="AL472" s="7"/>
      <c r="AM472" s="7"/>
      <c r="AN472" s="7"/>
      <c r="AO472" s="7"/>
      <c r="AP472" s="7"/>
      <c r="AQ472" s="7"/>
      <c r="AR472" s="7"/>
      <c r="AS472" s="7"/>
      <c r="AT472" s="7"/>
      <c r="AU472" s="7"/>
      <c r="AV472" s="7"/>
      <c r="AW472" s="7"/>
      <c r="AX472" s="7"/>
    </row>
    <row r="473" ht="12.75" hidden="1" customHeight="1">
      <c r="A473" s="3">
        <v>12.0</v>
      </c>
      <c r="B473" s="3" t="s">
        <v>126</v>
      </c>
      <c r="C473" s="3" t="s">
        <v>169</v>
      </c>
      <c r="D473" s="4">
        <f>IFERROR(VLOOKUP(B473,Week11,2,FALSE),0)</f>
        <v>34.66</v>
      </c>
      <c r="E473" s="4">
        <f>IF(ISBLANK(B473),,IFERROR(VLOOKUP(B473,CurrentRank!$B$2:$C$132,2,FALSE),0))</f>
        <v>36.79</v>
      </c>
      <c r="F473" s="4">
        <f>IFERROR(VLOOKUP(B473,Week11,3,FALSE),130)</f>
        <v>68</v>
      </c>
      <c r="G473" s="4">
        <f>IF(ISBLANK(B473),,IFERROR(VLOOKUP(B473,CurrentRank!$B$2:$D$132,3,FALSE),130))</f>
        <v>49</v>
      </c>
      <c r="H473" s="4">
        <f>IFERROR(VLOOKUP(C473,Week11,2,FALSE),0)</f>
        <v>31.89</v>
      </c>
      <c r="I473" s="4">
        <f>IF(ISBLANK(B473),,IFERROR(VLOOKUP(C473,CurrentRank!$B$2:$C$132,2,FALSE),0))</f>
        <v>34.3</v>
      </c>
      <c r="J473" s="4">
        <f>IFERROR(VLOOKUP(C473,Week11,3,FALSE),130)</f>
        <v>88</v>
      </c>
      <c r="K473" s="4">
        <f>IF(ISBLANK(C473),,IFERROR(VLOOKUP(C473,CurrentRank!$B$2:$D$132,3,FALSE),130))</f>
        <v>71</v>
      </c>
      <c r="L473" s="19">
        <f t="shared" ref="L473:L478" si="200">IF(U473= "Yes", 0, IF(ISBLANK(C473),,(D473+H473)*0.015))</f>
        <v>0.99825</v>
      </c>
      <c r="M473" s="19">
        <f t="shared" ref="M473:M478" si="201">IF(U473= "Yes", 0, IF(ISBLANK(D473),,(E473+I473)*0.015))</f>
        <v>1.06635</v>
      </c>
      <c r="N473" s="24">
        <f t="shared" si="198"/>
        <v>78</v>
      </c>
      <c r="O473" s="21">
        <f t="shared" si="4"/>
        <v>0.885875</v>
      </c>
      <c r="P473" s="21">
        <f t="shared" si="199"/>
        <v>0.745875</v>
      </c>
      <c r="Q473" s="22">
        <f t="shared" si="6"/>
        <v>0.605570625</v>
      </c>
      <c r="R473" s="25" t="str">
        <f t="shared" si="7"/>
        <v>D-</v>
      </c>
      <c r="S473" s="19">
        <f t="shared" si="8"/>
        <v>0.525</v>
      </c>
      <c r="T473" s="19" t="str">
        <f t="shared" si="9"/>
        <v>F</v>
      </c>
      <c r="U473" s="3" t="s">
        <v>203</v>
      </c>
      <c r="V473" s="4" t="str">
        <f>IF(ISBLANK(C473),,IFERROR(IF(VLOOKUP(B473,Standings!$A:$F, 6, 0)=VLOOKUP(C473,Standings!$A:$F, 6, 0), VLOOKUP(B473,Standings!$A:$F, 6, 0), "Non-con"), "FCS"))</f>
        <v>MAC</v>
      </c>
      <c r="W473" s="3" t="str">
        <f t="shared" si="10"/>
        <v>Eastern Michigan</v>
      </c>
      <c r="X473" s="3" t="str">
        <f t="shared" si="11"/>
        <v>Toledo</v>
      </c>
      <c r="Y473" s="30">
        <f>IF(D473=0,,IF(ISBLANK(Q473),,VLOOKUP(X473,Week11,2,FALSE)/(VLOOKUP(X473,Week11,2,FALSE)+VLOOKUP(W473,Week11,2,FALSE))+0.05)*100)</f>
        <v>57.081142</v>
      </c>
      <c r="Z473" s="3" t="s">
        <v>126</v>
      </c>
      <c r="AA473" s="3">
        <v>45.0</v>
      </c>
      <c r="AB473" s="4" t="str">
        <f t="shared" si="20"/>
        <v>Eastern Michigan</v>
      </c>
      <c r="AC473" s="3">
        <v>28.0</v>
      </c>
      <c r="AD473" s="3"/>
      <c r="AE473" s="3">
        <f t="shared" si="13"/>
        <v>17</v>
      </c>
      <c r="AF473" s="3"/>
      <c r="AG473" s="3">
        <f t="shared" si="133"/>
        <v>1</v>
      </c>
      <c r="AH473" s="3"/>
      <c r="AI473" s="7"/>
      <c r="AJ473" s="4"/>
      <c r="AK473" s="7"/>
      <c r="AL473" s="7"/>
      <c r="AM473" s="7"/>
      <c r="AN473" s="7"/>
      <c r="AO473" s="7"/>
      <c r="AP473" s="7"/>
      <c r="AQ473" s="7"/>
      <c r="AR473" s="7"/>
      <c r="AS473" s="7"/>
      <c r="AT473" s="7"/>
      <c r="AU473" s="7"/>
      <c r="AV473" s="7"/>
      <c r="AW473" s="7"/>
      <c r="AX473" s="7"/>
    </row>
    <row r="474" ht="12.75" customHeight="1">
      <c r="A474" s="3">
        <v>8.0</v>
      </c>
      <c r="B474" s="3" t="s">
        <v>186</v>
      </c>
      <c r="C474" s="3" t="s">
        <v>144</v>
      </c>
      <c r="D474" s="4">
        <f>IFERROR(VLOOKUP(B474,Week7,2,FALSE),0)</f>
        <v>30.76</v>
      </c>
      <c r="E474" s="4">
        <f>IF(ISBLANK(B474),,IFERROR(VLOOKUP(B474,CurrentRank!$B$2:$C$132,2,FALSE),0))</f>
        <v>33.49</v>
      </c>
      <c r="F474" s="4">
        <f>IFERROR(VLOOKUP(B474,Week7,3,FALSE),130)</f>
        <v>72</v>
      </c>
      <c r="G474" s="4">
        <f>IF(ISBLANK(B474),,IFERROR(VLOOKUP(B474,CurrentRank!$B$2:$D$132,3,FALSE),130))</f>
        <v>79</v>
      </c>
      <c r="H474" s="4">
        <f>IFERROR(VLOOKUP(C474,Week7,2,FALSE),0)</f>
        <v>30.76</v>
      </c>
      <c r="I474" s="4">
        <f>IF(ISBLANK(B474),,IFERROR(VLOOKUP(C474,CurrentRank!$B$2:$C$132,2,FALSE),0))</f>
        <v>35.51</v>
      </c>
      <c r="J474" s="4">
        <f>IFERROR(VLOOKUP(C474,Week7,3,FALSE),130)</f>
        <v>72</v>
      </c>
      <c r="K474" s="4">
        <f>IF(ISBLANK(C474),,IFERROR(VLOOKUP(C474,CurrentRank!$B$2:$D$132,3,FALSE),130))</f>
        <v>58</v>
      </c>
      <c r="L474" s="19">
        <f t="shared" si="200"/>
        <v>0.9228</v>
      </c>
      <c r="M474" s="19">
        <f t="shared" si="201"/>
        <v>1.035</v>
      </c>
      <c r="N474" s="24">
        <f t="shared" si="198"/>
        <v>72</v>
      </c>
      <c r="O474" s="21">
        <f t="shared" si="4"/>
        <v>-0.4614</v>
      </c>
      <c r="P474" s="21">
        <f t="shared" si="199"/>
        <v>-1.4714</v>
      </c>
      <c r="Q474" s="22">
        <f t="shared" si="6"/>
        <v>0.637693</v>
      </c>
      <c r="R474" s="25" t="str">
        <f t="shared" si="7"/>
        <v>D</v>
      </c>
      <c r="S474" s="19">
        <f t="shared" si="8"/>
        <v>0.565</v>
      </c>
      <c r="T474" s="19" t="str">
        <f t="shared" si="9"/>
        <v>F</v>
      </c>
      <c r="U474" s="3" t="s">
        <v>203</v>
      </c>
      <c r="V474" s="4" t="str">
        <f>IF(ISBLANK(C474),,IFERROR(IF(VLOOKUP(B474,Standings!$A:$F, 6, 0)=VLOOKUP(C474,Standings!$A:$F, 6, 0), VLOOKUP(B474,Standings!$A:$F, 6, 0), "Non-con"), "FCS"))</f>
        <v>MWC</v>
      </c>
      <c r="W474" s="3" t="str">
        <f t="shared" si="10"/>
        <v>Hawaii</v>
      </c>
      <c r="X474" s="3" t="str">
        <f t="shared" si="11"/>
        <v>Fresno State</v>
      </c>
      <c r="Y474" s="30">
        <f>IF(D474=0,,IF(ISBLANK(Q474),,VLOOKUP(X474,Week7,2,FALSE)/(VLOOKUP(X474,Week7,2,FALSE)+VLOOKUP(W474,Week7,2,FALSE))+0.05)*100)</f>
        <v>55</v>
      </c>
      <c r="Z474" s="3" t="s">
        <v>186</v>
      </c>
      <c r="AA474" s="3">
        <v>34.0</v>
      </c>
      <c r="AB474" s="4" t="str">
        <f t="shared" si="20"/>
        <v>Fresno State</v>
      </c>
      <c r="AC474" s="3">
        <v>19.0</v>
      </c>
      <c r="AD474" s="3"/>
      <c r="AE474" s="3">
        <f t="shared" si="13"/>
        <v>15</v>
      </c>
      <c r="AF474" s="3"/>
      <c r="AG474" s="3">
        <f t="shared" si="133"/>
        <v>0</v>
      </c>
      <c r="AH474" s="3"/>
      <c r="AI474" s="7"/>
      <c r="AJ474" s="4"/>
      <c r="AK474" s="7"/>
      <c r="AL474" s="7"/>
      <c r="AM474" s="7"/>
      <c r="AN474" s="7"/>
      <c r="AO474" s="7"/>
      <c r="AP474" s="7"/>
      <c r="AQ474" s="7"/>
      <c r="AR474" s="7"/>
      <c r="AS474" s="7"/>
      <c r="AT474" s="7"/>
      <c r="AU474" s="7"/>
      <c r="AV474" s="7"/>
      <c r="AW474" s="7"/>
      <c r="AX474" s="7"/>
    </row>
    <row r="475" ht="12.75" customHeight="1">
      <c r="A475" s="3">
        <v>14.0</v>
      </c>
      <c r="B475" s="3" t="s">
        <v>57</v>
      </c>
      <c r="C475" s="3" t="s">
        <v>166</v>
      </c>
      <c r="D475" s="4">
        <f>IFERROR(VLOOKUP(B475,Week13,2,FALSE),0)</f>
        <v>33.04</v>
      </c>
      <c r="E475" s="4">
        <f>IF(ISBLANK(B475),,IFERROR(VLOOKUP(B475,CurrentRank!$B$2:$C$132,2,FALSE),0))</f>
        <v>40.05</v>
      </c>
      <c r="F475" s="4">
        <f>IFERROR(VLOOKUP(B475,Week13,3,FALSE),130)</f>
        <v>78</v>
      </c>
      <c r="G475" s="4">
        <f>IF(ISBLANK(B475),,IFERROR(VLOOKUP(B475,CurrentRank!$B$2:$D$132,3,FALSE),130))</f>
        <v>34</v>
      </c>
      <c r="H475" s="4">
        <f>IFERROR(VLOOKUP(C475,Week13,2,FALSE),0)</f>
        <v>34.71</v>
      </c>
      <c r="I475" s="4">
        <f>IF(ISBLANK(B475),,IFERROR(VLOOKUP(C475,CurrentRank!$B$2:$C$132,2,FALSE),0))</f>
        <v>31.48</v>
      </c>
      <c r="J475" s="4">
        <f>IFERROR(VLOOKUP(C475,Week13,3,FALSE),130)</f>
        <v>64</v>
      </c>
      <c r="K475" s="4">
        <f>IF(ISBLANK(C475),,IFERROR(VLOOKUP(C475,CurrentRank!$B$2:$D$132,3,FALSE),130))</f>
        <v>99</v>
      </c>
      <c r="L475" s="19">
        <f t="shared" si="200"/>
        <v>1.01625</v>
      </c>
      <c r="M475" s="19">
        <f t="shared" si="201"/>
        <v>1.07295</v>
      </c>
      <c r="N475" s="24">
        <f t="shared" si="198"/>
        <v>71</v>
      </c>
      <c r="O475" s="21">
        <f t="shared" si="4"/>
        <v>-1.343125</v>
      </c>
      <c r="P475" s="21">
        <f t="shared" si="199"/>
        <v>3.776875</v>
      </c>
      <c r="Q475" s="22">
        <f t="shared" si="6"/>
        <v>0.638284375</v>
      </c>
      <c r="R475" s="25" t="str">
        <f t="shared" si="7"/>
        <v>D</v>
      </c>
      <c r="S475" s="19">
        <f t="shared" si="8"/>
        <v>0.565</v>
      </c>
      <c r="T475" s="19" t="str">
        <f t="shared" si="9"/>
        <v>F</v>
      </c>
      <c r="U475" s="3" t="s">
        <v>203</v>
      </c>
      <c r="V475" s="4" t="str">
        <f>IF(ISBLANK(C475),,IFERROR(IF(VLOOKUP(B475,Standings!$A:$F, 6, 0)=VLOOKUP(C475,Standings!$A:$F, 6, 0), VLOOKUP(B475,Standings!$A:$F, 6, 0), "Non-con"), "FCS"))</f>
        <v>B1G</v>
      </c>
      <c r="W475" s="3" t="str">
        <f t="shared" si="10"/>
        <v>Penn State</v>
      </c>
      <c r="X475" s="3" t="str">
        <f t="shared" si="11"/>
        <v>Rutgers</v>
      </c>
      <c r="Y475" s="30">
        <f>IF(D475=0,,IF(ISBLANK(Q475),,VLOOKUP(X475,Week13,2,FALSE)/(VLOOKUP(X475,Week13,2,FALSE)+VLOOKUP(W475,Week13,2,FALSE))+0.05)*100)</f>
        <v>56.23247232</v>
      </c>
      <c r="Z475" s="3" t="s">
        <v>57</v>
      </c>
      <c r="AA475" s="3">
        <v>23.0</v>
      </c>
      <c r="AB475" s="4" t="str">
        <f t="shared" si="20"/>
        <v>Rutgers</v>
      </c>
      <c r="AC475" s="3">
        <v>7.0</v>
      </c>
      <c r="AD475" s="3"/>
      <c r="AE475" s="3">
        <f t="shared" si="13"/>
        <v>16</v>
      </c>
      <c r="AF475" s="3"/>
      <c r="AG475" s="3">
        <f t="shared" si="133"/>
        <v>0</v>
      </c>
      <c r="AH475" s="3"/>
      <c r="AI475" s="7"/>
      <c r="AJ475" s="4"/>
      <c r="AK475" s="7"/>
      <c r="AL475" s="7"/>
      <c r="AM475" s="7"/>
      <c r="AN475" s="7"/>
      <c r="AO475" s="7"/>
      <c r="AP475" s="7"/>
      <c r="AQ475" s="7"/>
      <c r="AR475" s="7"/>
      <c r="AS475" s="7"/>
      <c r="AT475" s="7"/>
      <c r="AU475" s="7"/>
      <c r="AV475" s="7"/>
      <c r="AW475" s="7"/>
      <c r="AX475" s="7"/>
    </row>
    <row r="476" ht="12.75" customHeight="1">
      <c r="A476" s="3">
        <v>4.0</v>
      </c>
      <c r="B476" s="3" t="s">
        <v>92</v>
      </c>
      <c r="C476" s="3" t="s">
        <v>113</v>
      </c>
      <c r="D476" s="4">
        <f>IFERROR(VLOOKUP(B476,Week3,2,FALSE),0)</f>
        <v>29.65</v>
      </c>
      <c r="E476" s="4">
        <f>IF(ISBLANK(B476),,IFERROR(VLOOKUP(B476,CurrentRank!$B$2:$C$132,2,FALSE),0))</f>
        <v>73.64</v>
      </c>
      <c r="F476" s="4">
        <f>IFERROR(VLOOKUP(B476,Week3,3,FALSE),130)</f>
        <v>118</v>
      </c>
      <c r="G476" s="4">
        <f>IF(ISBLANK(B476),,IFERROR(VLOOKUP(B476,CurrentRank!$B$2:$D$132,3,FALSE),130))</f>
        <v>8</v>
      </c>
      <c r="H476" s="4">
        <f>IFERROR(VLOOKUP(C476,Week3,2,FALSE),0)</f>
        <v>31.02</v>
      </c>
      <c r="I476" s="4">
        <f>IF(ISBLANK(B476),,IFERROR(VLOOKUP(C476,CurrentRank!$B$2:$C$132,2,FALSE),0))</f>
        <v>41.9</v>
      </c>
      <c r="J476" s="4">
        <f>IFERROR(VLOOKUP(C476,Week3,3,FALSE),130)</f>
        <v>51</v>
      </c>
      <c r="K476" s="4">
        <f>IF(ISBLANK(C476),,IFERROR(VLOOKUP(C476,CurrentRank!$B$2:$D$132,3,FALSE),130))</f>
        <v>29</v>
      </c>
      <c r="L476" s="19">
        <f t="shared" si="200"/>
        <v>0.91005</v>
      </c>
      <c r="M476" s="19">
        <f t="shared" si="201"/>
        <v>1.7331</v>
      </c>
      <c r="N476" s="24">
        <f t="shared" si="198"/>
        <v>84.5</v>
      </c>
      <c r="O476" s="21">
        <f t="shared" si="4"/>
        <v>-1.140025</v>
      </c>
      <c r="P476" s="21">
        <f t="shared" si="199"/>
        <v>15.414975</v>
      </c>
      <c r="Q476" s="22">
        <f t="shared" si="6"/>
        <v>0.571799875</v>
      </c>
      <c r="R476" s="25" t="str">
        <f t="shared" si="7"/>
        <v>F</v>
      </c>
      <c r="S476" s="19">
        <f t="shared" si="8"/>
        <v>0.5625</v>
      </c>
      <c r="T476" s="19" t="str">
        <f t="shared" si="9"/>
        <v>F</v>
      </c>
      <c r="U476" s="3" t="s">
        <v>203</v>
      </c>
      <c r="V476" s="4" t="str">
        <f>IF(ISBLANK(C476),,IFERROR(IF(VLOOKUP(B476,Standings!$A:$F, 6, 0)=VLOOKUP(C476,Standings!$A:$F, 6, 0), VLOOKUP(B476,Standings!$A:$F, 6, 0), "Non-con"), "FCS"))</f>
        <v>BIG12</v>
      </c>
      <c r="W476" s="3" t="str">
        <f t="shared" si="10"/>
        <v>Iowa State</v>
      </c>
      <c r="X476" s="3" t="str">
        <f t="shared" si="11"/>
        <v>TCU</v>
      </c>
      <c r="Y476" s="30">
        <f>IF(D476=0,,IF(ISBLANK(Q476),,VLOOKUP(X476,Week3,2,FALSE)/(VLOOKUP(X476,Week3,2,FALSE)+VLOOKUP(W476,Week3,2,FALSE))+0.05)*100)</f>
        <v>56.12905884</v>
      </c>
      <c r="Z476" s="3" t="s">
        <v>92</v>
      </c>
      <c r="AA476" s="3">
        <v>37.0</v>
      </c>
      <c r="AB476" s="4" t="str">
        <f t="shared" si="20"/>
        <v>TCU</v>
      </c>
      <c r="AC476" s="3">
        <v>34.0</v>
      </c>
      <c r="AD476" s="3"/>
      <c r="AE476" s="3">
        <f t="shared" si="13"/>
        <v>3</v>
      </c>
      <c r="AF476" s="3"/>
      <c r="AG476" s="3">
        <f t="shared" si="133"/>
        <v>0</v>
      </c>
      <c r="AH476" s="3"/>
      <c r="AI476" s="7"/>
      <c r="AJ476" s="4" t="s">
        <v>92</v>
      </c>
      <c r="AK476" s="7"/>
      <c r="AL476" s="7"/>
      <c r="AM476" s="7"/>
      <c r="AN476" s="7"/>
      <c r="AO476" s="7"/>
      <c r="AP476" s="7"/>
      <c r="AQ476" s="7"/>
      <c r="AR476" s="7"/>
      <c r="AS476" s="7"/>
      <c r="AT476" s="7"/>
      <c r="AU476" s="7"/>
      <c r="AV476" s="7"/>
      <c r="AW476" s="7"/>
      <c r="AX476" s="7"/>
    </row>
    <row r="477" ht="12.75" customHeight="1">
      <c r="A477" s="3">
        <v>16.0</v>
      </c>
      <c r="B477" s="3" t="s">
        <v>153</v>
      </c>
      <c r="C477" s="3" t="s">
        <v>166</v>
      </c>
      <c r="D477" s="4">
        <f>IFERROR(VLOOKUP(B477,Week15,2,FALSE),0)</f>
        <v>33.43</v>
      </c>
      <c r="E477" s="4">
        <f>IF(ISBLANK(B477),,IFERROR(VLOOKUP(B477,CurrentRank!$B$2:$C$132,2,FALSE),0))</f>
        <v>35.51</v>
      </c>
      <c r="F477" s="4">
        <f>IFERROR(VLOOKUP(B477,Week15,3,FALSE),130)</f>
        <v>85</v>
      </c>
      <c r="G477" s="4">
        <f>IF(ISBLANK(B477),,IFERROR(VLOOKUP(B477,CurrentRank!$B$2:$D$132,3,FALSE),130))</f>
        <v>58</v>
      </c>
      <c r="H477" s="4">
        <f>IFERROR(VLOOKUP(C477,Week15,2,FALSE),0)</f>
        <v>34.21</v>
      </c>
      <c r="I477" s="4">
        <f>IF(ISBLANK(B477),,IFERROR(VLOOKUP(C477,CurrentRank!$B$2:$C$132,2,FALSE),0))</f>
        <v>31.48</v>
      </c>
      <c r="J477" s="4">
        <f>IFERROR(VLOOKUP(C477,Week15,3,FALSE),130)</f>
        <v>77</v>
      </c>
      <c r="K477" s="4">
        <f>IF(ISBLANK(C477),,IFERROR(VLOOKUP(C477,CurrentRank!$B$2:$D$132,3,FALSE),130))</f>
        <v>99</v>
      </c>
      <c r="L477" s="19">
        <f t="shared" si="200"/>
        <v>1.0146</v>
      </c>
      <c r="M477" s="19">
        <f t="shared" si="201"/>
        <v>1.00485</v>
      </c>
      <c r="N477" s="24">
        <f t="shared" si="198"/>
        <v>81</v>
      </c>
      <c r="O477" s="21">
        <f t="shared" si="4"/>
        <v>-0.8973</v>
      </c>
      <c r="P477" s="21">
        <f t="shared" si="199"/>
        <v>1.5077</v>
      </c>
      <c r="Q477" s="22">
        <f t="shared" si="6"/>
        <v>0.5905135</v>
      </c>
      <c r="R477" s="25" t="str">
        <f t="shared" si="7"/>
        <v>F</v>
      </c>
      <c r="S477" s="19">
        <f t="shared" si="8"/>
        <v>0.56</v>
      </c>
      <c r="T477" s="19" t="str">
        <f t="shared" si="9"/>
        <v>F</v>
      </c>
      <c r="U477" s="3" t="s">
        <v>203</v>
      </c>
      <c r="V477" s="4" t="str">
        <f>IF(ISBLANK(C477),,IFERROR(IF(VLOOKUP(B477,Standings!$A:$F, 6, 0)=VLOOKUP(C477,Standings!$A:$F, 6, 0), VLOOKUP(B477,Standings!$A:$F, 6, 0), "Non-con"), "FCS"))</f>
        <v>B1G</v>
      </c>
      <c r="W477" s="3" t="str">
        <f t="shared" si="10"/>
        <v>Nebraska</v>
      </c>
      <c r="X477" s="3" t="str">
        <f t="shared" si="11"/>
        <v>Rutgers</v>
      </c>
      <c r="Y477" s="30">
        <f>IF(D477=0,,IF(ISBLANK(Q477),,VLOOKUP(X477,Week15,2,FALSE)/(VLOOKUP(X477,Week15,2,FALSE)+VLOOKUP(W477,Week15,2,FALSE))+0.05)*100)</f>
        <v>55.5765819</v>
      </c>
      <c r="Z477" s="3" t="s">
        <v>153</v>
      </c>
      <c r="AA477" s="3">
        <v>28.0</v>
      </c>
      <c r="AB477" s="4" t="str">
        <f t="shared" si="20"/>
        <v>Rutgers</v>
      </c>
      <c r="AC477" s="3">
        <v>21.0</v>
      </c>
      <c r="AD477" s="3"/>
      <c r="AE477" s="3">
        <f t="shared" si="13"/>
        <v>7</v>
      </c>
      <c r="AF477" s="3"/>
      <c r="AG477" s="3">
        <f t="shared" si="133"/>
        <v>0</v>
      </c>
      <c r="AH477" s="3"/>
      <c r="AI477" s="7"/>
      <c r="AJ477" s="4" t="s">
        <v>173</v>
      </c>
      <c r="AK477" s="7"/>
      <c r="AL477" s="7"/>
      <c r="AM477" s="7"/>
      <c r="AN477" s="7"/>
      <c r="AO477" s="7"/>
      <c r="AP477" s="7"/>
      <c r="AQ477" s="7"/>
      <c r="AR477" s="7"/>
      <c r="AS477" s="7"/>
      <c r="AT477" s="7"/>
      <c r="AU477" s="7"/>
      <c r="AV477" s="7"/>
      <c r="AW477" s="7"/>
      <c r="AX477" s="7"/>
    </row>
    <row r="478" ht="12.75" hidden="1" customHeight="1">
      <c r="A478" s="3">
        <v>14.0</v>
      </c>
      <c r="B478" s="3" t="s">
        <v>161</v>
      </c>
      <c r="C478" s="3" t="s">
        <v>99</v>
      </c>
      <c r="D478" s="4">
        <f>IFERROR(VLOOKUP(B478,Week13,2,FALSE),0)</f>
        <v>30.56</v>
      </c>
      <c r="E478" s="4">
        <f>IF(ISBLANK(B478),,IFERROR(VLOOKUP(B478,CurrentRank!$B$2:$C$132,2,FALSE),0))</f>
        <v>31.11</v>
      </c>
      <c r="F478" s="4">
        <f>IFERROR(VLOOKUP(B478,Week13,3,FALSE),130)</f>
        <v>102</v>
      </c>
      <c r="G478" s="4">
        <f>IF(ISBLANK(B478),,IFERROR(VLOOKUP(B478,CurrentRank!$B$2:$D$132,3,FALSE),130))</f>
        <v>100</v>
      </c>
      <c r="H478" s="4">
        <f>IFERROR(VLOOKUP(C478,Week13,2,FALSE),0)</f>
        <v>33.08</v>
      </c>
      <c r="I478" s="4">
        <f>IF(ISBLANK(B478),,IFERROR(VLOOKUP(C478,CurrentRank!$B$2:$C$132,2,FALSE),0))</f>
        <v>36.94</v>
      </c>
      <c r="J478" s="4">
        <f>IFERROR(VLOOKUP(C478,Week13,3,FALSE),130)</f>
        <v>76</v>
      </c>
      <c r="K478" s="4">
        <f>IF(ISBLANK(C478),,IFERROR(VLOOKUP(C478,CurrentRank!$B$2:$D$132,3,FALSE),130))</f>
        <v>47</v>
      </c>
      <c r="L478" s="19">
        <f t="shared" si="200"/>
        <v>0.9546</v>
      </c>
      <c r="M478" s="19">
        <f t="shared" si="201"/>
        <v>1.02075</v>
      </c>
      <c r="N478" s="24">
        <f t="shared" si="198"/>
        <v>89</v>
      </c>
      <c r="O478" s="21">
        <f t="shared" si="4"/>
        <v>-1.7373</v>
      </c>
      <c r="P478" s="21">
        <f t="shared" si="199"/>
        <v>-3.3923</v>
      </c>
      <c r="Q478" s="22">
        <f t="shared" si="6"/>
        <v>0.5463135</v>
      </c>
      <c r="R478" s="25" t="str">
        <f t="shared" si="7"/>
        <v>F</v>
      </c>
      <c r="S478" s="19">
        <f t="shared" si="8"/>
        <v>0.44</v>
      </c>
      <c r="T478" s="19" t="str">
        <f t="shared" si="9"/>
        <v>F</v>
      </c>
      <c r="U478" s="3" t="s">
        <v>203</v>
      </c>
      <c r="V478" s="4" t="str">
        <f>IF(ISBLANK(C478),,IFERROR(IF(VLOOKUP(B478,Standings!$A:$F, 6, 0)=VLOOKUP(C478,Standings!$A:$F, 6, 0), VLOOKUP(B478,Standings!$A:$F, 6, 0), "Non-con"), "FCS"))</f>
        <v>SEC</v>
      </c>
      <c r="W478" s="3" t="str">
        <f t="shared" si="10"/>
        <v>South Carolina</v>
      </c>
      <c r="X478" s="3" t="str">
        <f t="shared" si="11"/>
        <v>Kentucky</v>
      </c>
      <c r="Y478" s="30">
        <f>IF(D478=0,,IF(ISBLANK(Q478),,VLOOKUP(X478,Week13,2,FALSE)/(VLOOKUP(X478,Week13,2,FALSE)+VLOOKUP(W478,Week13,2,FALSE))+0.05)*100)</f>
        <v>56.97988686</v>
      </c>
      <c r="Z478" s="3" t="s">
        <v>99</v>
      </c>
      <c r="AA478" s="3">
        <v>41.0</v>
      </c>
      <c r="AB478" s="4" t="str">
        <f t="shared" si="20"/>
        <v>South Carolina</v>
      </c>
      <c r="AC478" s="3">
        <v>18.0</v>
      </c>
      <c r="AD478" s="3"/>
      <c r="AE478" s="3">
        <f t="shared" si="13"/>
        <v>23</v>
      </c>
      <c r="AF478" s="3"/>
      <c r="AG478" s="3">
        <f t="shared" si="133"/>
        <v>1</v>
      </c>
      <c r="AH478" s="3"/>
      <c r="AI478" s="7"/>
      <c r="AJ478" s="4"/>
      <c r="AK478" s="7"/>
      <c r="AL478" s="7"/>
      <c r="AM478" s="7"/>
      <c r="AN478" s="7"/>
      <c r="AO478" s="7"/>
      <c r="AP478" s="7"/>
      <c r="AQ478" s="7"/>
      <c r="AR478" s="7"/>
      <c r="AS478" s="7"/>
      <c r="AT478" s="7"/>
      <c r="AU478" s="7"/>
      <c r="AV478" s="7"/>
      <c r="AW478" s="7"/>
      <c r="AX478" s="7"/>
    </row>
    <row r="479" ht="12.75" hidden="1" customHeight="1">
      <c r="A479" s="3">
        <v>13.0</v>
      </c>
      <c r="B479" s="3" t="s">
        <v>110</v>
      </c>
      <c r="C479" s="3" t="s">
        <v>141</v>
      </c>
      <c r="D479" s="4">
        <f>IFERROR(VLOOKUP(B479,Week12,2,FALSE),0)</f>
        <v>32.36</v>
      </c>
      <c r="E479" s="4">
        <f>IF(ISBLANK(B479),,IFERROR(VLOOKUP(B479,CurrentRank!$B$2:$C$132,2,FALSE),0))</f>
        <v>20.47</v>
      </c>
      <c r="F479" s="4">
        <f>IFERROR(VLOOKUP(B479,Week12,3,FALSE),130)</f>
        <v>81</v>
      </c>
      <c r="G479" s="4">
        <f>IF(ISBLANK(B479),,IFERROR(VLOOKUP(B479,CurrentRank!$B$2:$D$132,3,FALSE),130))</f>
        <v>128</v>
      </c>
      <c r="H479" s="4">
        <f>IFERROR(VLOOKUP(C479,Week12,2,FALSE),0)</f>
        <v>29.95</v>
      </c>
      <c r="I479" s="4">
        <f>IF(ISBLANK(B479),,IFERROR(VLOOKUP(C479,CurrentRank!$B$2:$C$132,2,FALSE),0))</f>
        <v>30.89</v>
      </c>
      <c r="J479" s="4">
        <f>IFERROR(VLOOKUP(C479,Week12,3,FALSE),130)</f>
        <v>108</v>
      </c>
      <c r="K479" s="4">
        <f>IF(ISBLANK(C479),,IFERROR(VLOOKUP(C479,CurrentRank!$B$2:$D$132,3,FALSE),130))</f>
        <v>103</v>
      </c>
      <c r="L479" s="19">
        <f t="shared" ref="L479:M479" si="202">IF(ISBLANK(C479),,(D479+H479)*0.015)</f>
        <v>0.93465</v>
      </c>
      <c r="M479" s="19">
        <f t="shared" si="202"/>
        <v>0.7704</v>
      </c>
      <c r="N479" s="24">
        <f t="shared" si="198"/>
        <v>94.5</v>
      </c>
      <c r="O479" s="24">
        <f t="shared" si="4"/>
        <v>0.737675</v>
      </c>
      <c r="P479" s="24">
        <f t="shared" si="199"/>
        <v>-5.677325</v>
      </c>
      <c r="Q479" s="22">
        <f t="shared" si="6"/>
        <v>0.523811625</v>
      </c>
      <c r="R479" s="25" t="str">
        <f t="shared" si="7"/>
        <v>F</v>
      </c>
      <c r="S479" s="19" t="str">
        <f t="shared" si="8"/>
        <v/>
      </c>
      <c r="T479" s="19" t="str">
        <f t="shared" si="9"/>
        <v/>
      </c>
      <c r="U479" s="3" t="s">
        <v>203</v>
      </c>
      <c r="V479" s="4" t="str">
        <f>IF(ISBLANK(C479),,IFERROR(IF(VLOOKUP(B479,Standings!$A:$F, 6, 0)=VLOOKUP(C479,Standings!$A:$F, 6, 0), VLOOKUP(B479,Standings!$A:$F, 6, 0), "Non-con"), "FCS"))</f>
        <v>CUSA</v>
      </c>
      <c r="W479" s="3" t="str">
        <f t="shared" si="10"/>
        <v>Florida International</v>
      </c>
      <c r="X479" s="3" t="str">
        <f t="shared" si="11"/>
        <v>Louisiana Tech</v>
      </c>
      <c r="Y479" s="30">
        <f>IF(D479=0,,IF(ISBLANK(Q479),,VLOOKUP(X479,Week12,2,FALSE)/(VLOOKUP(X479,Week12,2,FALSE)+VLOOKUP(W479,Week12,2,FALSE))+0.05)*100)</f>
        <v>56.93387899</v>
      </c>
      <c r="Z479" s="3"/>
      <c r="AA479" s="3"/>
      <c r="AB479" s="4" t="str">
        <f t="shared" si="20"/>
        <v/>
      </c>
      <c r="AC479" s="3"/>
      <c r="AD479" s="3"/>
      <c r="AE479" s="3" t="str">
        <f t="shared" si="13"/>
        <v/>
      </c>
      <c r="AF479" s="3" t="s">
        <v>228</v>
      </c>
      <c r="AG479" s="3" t="str">
        <f t="shared" si="133"/>
        <v/>
      </c>
      <c r="AH479" s="3"/>
      <c r="AI479" s="7"/>
      <c r="AJ479" s="4"/>
      <c r="AK479" s="7"/>
      <c r="AL479" s="7"/>
      <c r="AM479" s="7"/>
      <c r="AN479" s="7"/>
      <c r="AO479" s="7"/>
      <c r="AP479" s="7"/>
      <c r="AQ479" s="7"/>
      <c r="AR479" s="7"/>
      <c r="AS479" s="7"/>
      <c r="AT479" s="7"/>
      <c r="AU479" s="7"/>
      <c r="AV479" s="7"/>
      <c r="AW479" s="7"/>
      <c r="AX479" s="7"/>
    </row>
    <row r="480" ht="12.75" customHeight="1">
      <c r="A480" s="3">
        <v>16.0</v>
      </c>
      <c r="B480" s="3" t="s">
        <v>149</v>
      </c>
      <c r="C480" s="3" t="s">
        <v>81</v>
      </c>
      <c r="D480" s="4">
        <f>IFERROR(VLOOKUP(B480,Week15,2,FALSE),0)</f>
        <v>38.72</v>
      </c>
      <c r="E480" s="4">
        <f>IF(ISBLANK(B480),,IFERROR(VLOOKUP(B480,CurrentRank!$B$2:$C$132,2,FALSE),0))</f>
        <v>36.59</v>
      </c>
      <c r="F480" s="4">
        <f>IFERROR(VLOOKUP(B480,Week15,3,FALSE),130)</f>
        <v>40</v>
      </c>
      <c r="G480" s="4">
        <f>IF(ISBLANK(B480),,IFERROR(VLOOKUP(B480,CurrentRank!$B$2:$D$132,3,FALSE),130))</f>
        <v>51</v>
      </c>
      <c r="H480" s="4">
        <f>IFERROR(VLOOKUP(C480,Week15,2,FALSE),0)</f>
        <v>31</v>
      </c>
      <c r="I480" s="4">
        <f>IF(ISBLANK(B480),,IFERROR(VLOOKUP(C480,CurrentRank!$B$2:$C$132,2,FALSE),0))</f>
        <v>33.91</v>
      </c>
      <c r="J480" s="4">
        <f>IFERROR(VLOOKUP(C480,Week15,3,FALSE),130)</f>
        <v>98</v>
      </c>
      <c r="K480" s="4">
        <f>IF(ISBLANK(C480),,IFERROR(VLOOKUP(C480,CurrentRank!$B$2:$D$132,3,FALSE),130))</f>
        <v>75</v>
      </c>
      <c r="L480" s="19">
        <f>IF(U480= "Yes", 0, IF(ISBLANK(C480),,(D480+H480)*0.015))</f>
        <v>1.0458</v>
      </c>
      <c r="M480" s="19">
        <f>IF(U480= "Yes", 0, IF(ISBLANK(D480),,(E480+I480)*0.015))</f>
        <v>1.0575</v>
      </c>
      <c r="N480" s="24">
        <f t="shared" si="198"/>
        <v>69</v>
      </c>
      <c r="O480" s="21">
        <f t="shared" si="4"/>
        <v>3.3371</v>
      </c>
      <c r="P480" s="21">
        <f t="shared" si="199"/>
        <v>0.8171</v>
      </c>
      <c r="Q480" s="22">
        <f t="shared" si="6"/>
        <v>0.6383145</v>
      </c>
      <c r="R480" s="25" t="str">
        <f t="shared" si="7"/>
        <v>D</v>
      </c>
      <c r="S480" s="19">
        <f t="shared" si="8"/>
        <v>0.56</v>
      </c>
      <c r="T480" s="19" t="str">
        <f t="shared" si="9"/>
        <v>F</v>
      </c>
      <c r="U480" s="3" t="s">
        <v>203</v>
      </c>
      <c r="V480" s="4" t="str">
        <f>IF(ISBLANK(C480),,IFERROR(IF(VLOOKUP(B480,Standings!$A:$F, 6, 0)=VLOOKUP(C480,Standings!$A:$F, 6, 0), VLOOKUP(B480,Standings!$A:$F, 6, 0), "Non-con"), "FCS"))</f>
        <v>SEC</v>
      </c>
      <c r="W480" s="3" t="str">
        <f t="shared" si="10"/>
        <v>Mississippi State</v>
      </c>
      <c r="X480" s="3" t="str">
        <f t="shared" si="11"/>
        <v>Missouri</v>
      </c>
      <c r="Y480" s="30">
        <f>IF(D480=0,,IF(ISBLANK(Q480),,VLOOKUP(X480,Week15,2,FALSE)/(VLOOKUP(X480,Week15,2,FALSE)+VLOOKUP(W480,Week15,2,FALSE))+0.05)*100)</f>
        <v>60.53643144</v>
      </c>
      <c r="Z480" s="3" t="s">
        <v>81</v>
      </c>
      <c r="AA480" s="3">
        <v>51.0</v>
      </c>
      <c r="AB480" s="4" t="str">
        <f t="shared" si="20"/>
        <v>Missouri</v>
      </c>
      <c r="AC480" s="3">
        <v>32.0</v>
      </c>
      <c r="AD480" s="3"/>
      <c r="AE480" s="3">
        <f t="shared" si="13"/>
        <v>19</v>
      </c>
      <c r="AF480" s="3"/>
      <c r="AG480" s="3">
        <f t="shared" si="133"/>
        <v>0</v>
      </c>
      <c r="AH480" s="3"/>
      <c r="AI480" s="7"/>
      <c r="AJ480" s="4"/>
      <c r="AK480" s="7"/>
      <c r="AL480" s="7"/>
      <c r="AM480" s="7"/>
      <c r="AN480" s="7"/>
      <c r="AO480" s="7"/>
      <c r="AP480" s="7"/>
      <c r="AQ480" s="7"/>
      <c r="AR480" s="7"/>
      <c r="AS480" s="7"/>
      <c r="AT480" s="7"/>
      <c r="AU480" s="7"/>
      <c r="AV480" s="7"/>
      <c r="AW480" s="7"/>
      <c r="AX480" s="7"/>
    </row>
    <row r="481" ht="12.75" hidden="1" customHeight="1">
      <c r="A481" s="3">
        <v>16.0</v>
      </c>
      <c r="B481" s="3" t="s">
        <v>62</v>
      </c>
      <c r="C481" s="3" t="s">
        <v>180</v>
      </c>
      <c r="D481" s="4">
        <f>IFERROR(VLOOKUP(B481,Week15,2,FALSE),0)</f>
        <v>37.51</v>
      </c>
      <c r="E481" s="4">
        <f>IF(ISBLANK(B481),,IFERROR(VLOOKUP(B481,CurrentRank!$B$2:$C$132,2,FALSE),0))</f>
        <v>37.34</v>
      </c>
      <c r="F481" s="4">
        <f>IFERROR(VLOOKUP(B481,Week15,3,FALSE),130)</f>
        <v>46</v>
      </c>
      <c r="G481" s="4">
        <f>IF(ISBLANK(B481),,IFERROR(VLOOKUP(B481,CurrentRank!$B$2:$D$132,3,FALSE),130))</f>
        <v>44</v>
      </c>
      <c r="H481" s="4">
        <f>IFERROR(VLOOKUP(C481,Week15,2,FALSE),0)</f>
        <v>40.42</v>
      </c>
      <c r="I481" s="4">
        <f>IF(ISBLANK(B481),,IFERROR(VLOOKUP(C481,CurrentRank!$B$2:$C$132,2,FALSE),0))</f>
        <v>35.77</v>
      </c>
      <c r="J481" s="4">
        <f>IFERROR(VLOOKUP(C481,Week15,3,FALSE),130)</f>
        <v>35</v>
      </c>
      <c r="K481" s="4">
        <f>IF(ISBLANK(C481),,IFERROR(VLOOKUP(C481,CurrentRank!$B$2:$D$132,3,FALSE),130))</f>
        <v>55</v>
      </c>
      <c r="L481" s="19">
        <f t="shared" ref="L481:M481" si="203">IF(ISBLANK(C481),,(D481+H481)*0.015)</f>
        <v>1.16895</v>
      </c>
      <c r="M481" s="19">
        <f t="shared" si="203"/>
        <v>1.09665</v>
      </c>
      <c r="N481" s="24">
        <f t="shared" si="198"/>
        <v>40.5</v>
      </c>
      <c r="O481" s="21">
        <f t="shared" si="4"/>
        <v>-2.039475</v>
      </c>
      <c r="P481" s="21">
        <f t="shared" si="199"/>
        <v>0.200525</v>
      </c>
      <c r="Q481" s="22">
        <f t="shared" si="6"/>
        <v>0.787302625</v>
      </c>
      <c r="R481" s="25" t="str">
        <f t="shared" si="7"/>
        <v>C+</v>
      </c>
      <c r="S481" s="19" t="str">
        <f t="shared" si="8"/>
        <v/>
      </c>
      <c r="T481" s="19" t="str">
        <f t="shared" si="9"/>
        <v/>
      </c>
      <c r="U481" s="3" t="s">
        <v>223</v>
      </c>
      <c r="V481" s="4" t="str">
        <f>IF(ISBLANK(C481),,IFERROR(IF(VLOOKUP(B481,Standings!$A:$F, 6, 0)=VLOOKUP(C481,Standings!$A:$F, 6, 0), VLOOKUP(B481,Standings!$A:$F, 6, 0), "Non-con"), "FCS"))</f>
        <v>PAC12</v>
      </c>
      <c r="W481" s="3" t="str">
        <f t="shared" si="10"/>
        <v>Oregon</v>
      </c>
      <c r="X481" s="3" t="str">
        <f t="shared" si="11"/>
        <v>Colorado</v>
      </c>
      <c r="Y481" s="30">
        <f>IF(D481=0,,IF(ISBLANK(Q481),,VLOOKUP(X481,Week15,2,FALSE)/(VLOOKUP(X481,Week15,2,FALSE)+VLOOKUP(W481,Week15,2,FALSE))+0.05)*100)</f>
        <v>56.86706018</v>
      </c>
      <c r="Z481" s="4"/>
      <c r="AA481" s="3"/>
      <c r="AB481" s="4" t="str">
        <f t="shared" si="20"/>
        <v/>
      </c>
      <c r="AC481" s="3"/>
      <c r="AD481" s="3"/>
      <c r="AE481" s="3" t="str">
        <f t="shared" si="13"/>
        <v/>
      </c>
      <c r="AF481" s="3" t="s">
        <v>226</v>
      </c>
      <c r="AG481" s="3" t="str">
        <f t="shared" si="133"/>
        <v/>
      </c>
      <c r="AH481" s="3"/>
      <c r="AI481" s="7"/>
      <c r="AJ481" s="4"/>
      <c r="AK481" s="7"/>
      <c r="AL481" s="7"/>
      <c r="AM481" s="7"/>
      <c r="AN481" s="7"/>
      <c r="AO481" s="7"/>
      <c r="AP481" s="7"/>
      <c r="AQ481" s="7"/>
      <c r="AR481" s="7"/>
      <c r="AS481" s="7"/>
      <c r="AT481" s="7"/>
      <c r="AU481" s="7"/>
      <c r="AV481" s="7"/>
      <c r="AW481" s="7"/>
      <c r="AX481" s="7"/>
    </row>
    <row r="482" ht="12.75" hidden="1" customHeight="1">
      <c r="A482" s="3">
        <v>10.0</v>
      </c>
      <c r="B482" s="3" t="s">
        <v>94</v>
      </c>
      <c r="C482" s="3" t="s">
        <v>112</v>
      </c>
      <c r="D482" s="4">
        <f>IFERROR(VLOOKUP(B482,CurrentRank!$B$2:$C$132,2,FALSE),0)</f>
        <v>36.87</v>
      </c>
      <c r="E482" s="4">
        <f>IF(ISBLANK(B482),,IFERROR(VLOOKUP(B482,CurrentRank!$B$2:$C$132,2,FALSE),0))</f>
        <v>36.87</v>
      </c>
      <c r="F482" s="4">
        <f>IFERROR(VLOOKUP(B482,Week9,3,FALSE),130)</f>
        <v>56</v>
      </c>
      <c r="G482" s="4">
        <f>IF(ISBLANK(B482),,IFERROR(VLOOKUP(B482,CurrentRank!$B$2:$D$132,3,FALSE),130))</f>
        <v>48</v>
      </c>
      <c r="H482" s="4">
        <f>IFERROR(VLOOKUP(C482,CurrentRank!$B$2:$C$132,2,FALSE),0)</f>
        <v>36.98</v>
      </c>
      <c r="I482" s="4">
        <f>IF(ISBLANK(B482),,IFERROR(VLOOKUP(C482,CurrentRank!$B$2:$C$132,2,FALSE),0))</f>
        <v>36.98</v>
      </c>
      <c r="J482" s="4">
        <f>IFERROR(VLOOKUP(C482,Week9,3,FALSE),130)</f>
        <v>48</v>
      </c>
      <c r="K482" s="4">
        <f>IF(ISBLANK(C482),,IFERROR(VLOOKUP(C482,CurrentRank!$B$2:$D$132,3,FALSE),130))</f>
        <v>46</v>
      </c>
      <c r="L482" s="19">
        <f t="shared" ref="L482:M482" si="204">IF(ISBLANK(C482),,(D482+H482)*0.015)</f>
        <v>1.10775</v>
      </c>
      <c r="M482" s="19">
        <f t="shared" si="204"/>
        <v>1.10775</v>
      </c>
      <c r="N482" s="24">
        <f t="shared" si="198"/>
        <v>52</v>
      </c>
      <c r="O482" s="21">
        <f t="shared" si="4"/>
        <v>-0.608875</v>
      </c>
      <c r="P482" s="24">
        <f>(D482-(H482+L482))/2</f>
        <v>-0.608875</v>
      </c>
      <c r="Q482" s="22">
        <f t="shared" si="6"/>
        <v>0.736955625</v>
      </c>
      <c r="R482" s="25" t="str">
        <f t="shared" si="7"/>
        <v>C</v>
      </c>
      <c r="S482" s="19" t="str">
        <f t="shared" si="8"/>
        <v/>
      </c>
      <c r="T482" s="19" t="str">
        <f t="shared" si="9"/>
        <v/>
      </c>
      <c r="U482" s="3" t="s">
        <v>203</v>
      </c>
      <c r="V482" s="4" t="str">
        <f>IFERROR(IF(VLOOKUP(B482,Standings!$A:$F, 6, 0)=VLOOKUP(C482,Standings!$A:$F, 6, 0), VLOOKUP(B482,Standings!$A:$F, 6, 0), "Non-con"), "FCS")</f>
        <v>ACC</v>
      </c>
      <c r="W482" s="3" t="str">
        <f t="shared" si="10"/>
        <v>Louisville</v>
      </c>
      <c r="X482" s="3" t="str">
        <f t="shared" si="11"/>
        <v>Virginia</v>
      </c>
      <c r="Y482" s="30">
        <f>IF(D482=0,,IF(ISBLANK(Q482),,VLOOKUP(X482,Week9,2,FALSE)/(VLOOKUP(X482,Week9,2,FALSE)+VLOOKUP(W482,Week9,2,FALSE))+0.05)*100)</f>
        <v>56.75145955</v>
      </c>
      <c r="Z482" s="3"/>
      <c r="AA482" s="3"/>
      <c r="AB482" s="4" t="str">
        <f t="shared" si="20"/>
        <v/>
      </c>
      <c r="AC482" s="3"/>
      <c r="AD482" s="3"/>
      <c r="AE482" s="3" t="str">
        <f t="shared" si="13"/>
        <v/>
      </c>
      <c r="AF482" s="3" t="s">
        <v>228</v>
      </c>
      <c r="AG482" s="3" t="str">
        <f t="shared" si="133"/>
        <v/>
      </c>
      <c r="AH482" s="3"/>
      <c r="AI482" s="7"/>
      <c r="AJ482" s="4"/>
      <c r="AK482" s="7"/>
      <c r="AL482" s="7"/>
      <c r="AM482" s="7"/>
      <c r="AN482" s="7"/>
      <c r="AO482" s="7"/>
      <c r="AP482" s="7"/>
      <c r="AQ482" s="7"/>
      <c r="AR482" s="7"/>
      <c r="AS482" s="7"/>
      <c r="AT482" s="7"/>
      <c r="AU482" s="7"/>
      <c r="AV482" s="7"/>
      <c r="AW482" s="7"/>
      <c r="AX482" s="7"/>
    </row>
    <row r="483" ht="12.75" customHeight="1">
      <c r="A483" s="3">
        <v>6.0</v>
      </c>
      <c r="B483" s="3" t="s">
        <v>200</v>
      </c>
      <c r="C483" s="3" t="s">
        <v>141</v>
      </c>
      <c r="D483" s="4">
        <f>IFERROR(VLOOKUP(B483,Week5,2,FALSE),0)</f>
        <v>26.68</v>
      </c>
      <c r="E483" s="4">
        <f>IF(ISBLANK(B483),,IFERROR(VLOOKUP(B483,CurrentRank!$B$2:$C$132,2,FALSE),0))</f>
        <v>32.76</v>
      </c>
      <c r="F483" s="4">
        <f>IFERROR(VLOOKUP(B483,Week5,3,FALSE),130)</f>
        <v>121</v>
      </c>
      <c r="G483" s="4">
        <f>IF(ISBLANK(B483),,IFERROR(VLOOKUP(B483,CurrentRank!$B$2:$D$132,3,FALSE),130))</f>
        <v>89</v>
      </c>
      <c r="H483" s="4">
        <f>IFERROR(VLOOKUP(C483,Week5,2,FALSE),0)</f>
        <v>33.48</v>
      </c>
      <c r="I483" s="4">
        <f>IF(ISBLANK(B483),,IFERROR(VLOOKUP(C483,CurrentRank!$B$2:$C$132,2,FALSE),0))</f>
        <v>30.89</v>
      </c>
      <c r="J483" s="4">
        <f>IFERROR(VLOOKUP(C483,Week5,3,FALSE),130)</f>
        <v>54</v>
      </c>
      <c r="K483" s="4">
        <f>IF(ISBLANK(C483),,IFERROR(VLOOKUP(C483,CurrentRank!$B$2:$D$132,3,FALSE),130))</f>
        <v>103</v>
      </c>
      <c r="L483" s="19">
        <f t="shared" ref="L483:L486" si="205">IF(U483= "Yes", 0, IF(ISBLANK(C483),,(D483+H483)*0.015))</f>
        <v>0.9024</v>
      </c>
      <c r="M483" s="19">
        <f t="shared" ref="M483:M486" si="206">IF(U483= "Yes", 0, IF(ISBLANK(D483),,(E483+I483)*0.015))</f>
        <v>0.95475</v>
      </c>
      <c r="N483" s="24">
        <f t="shared" si="198"/>
        <v>87.5</v>
      </c>
      <c r="O483" s="21">
        <f t="shared" si="4"/>
        <v>-3.8512</v>
      </c>
      <c r="P483" s="21">
        <f t="shared" ref="P483:P513" si="207">IF(ISBLANK(C483),,(E483-(I483+L483))/2)</f>
        <v>0.4838</v>
      </c>
      <c r="Q483" s="22">
        <f t="shared" si="6"/>
        <v>0.543244</v>
      </c>
      <c r="R483" s="25" t="str">
        <f t="shared" si="7"/>
        <v>F</v>
      </c>
      <c r="S483" s="19">
        <f t="shared" si="8"/>
        <v>0.5475</v>
      </c>
      <c r="T483" s="19" t="str">
        <f t="shared" si="9"/>
        <v>F</v>
      </c>
      <c r="U483" s="3" t="s">
        <v>203</v>
      </c>
      <c r="V483" s="4" t="str">
        <f>IF(ISBLANK(C483),,IFERROR(IF(VLOOKUP(B483,Standings!$A:$F, 6, 0)=VLOOKUP(C483,Standings!$A:$F, 6, 0), VLOOKUP(B483,Standings!$A:$F, 6, 0), "Non-con"), "FCS"))</f>
        <v>CUSA</v>
      </c>
      <c r="W483" s="3" t="str">
        <f t="shared" si="10"/>
        <v>Middle Tennessee</v>
      </c>
      <c r="X483" s="3" t="str">
        <f t="shared" si="11"/>
        <v>Florida International</v>
      </c>
      <c r="Y483" s="30">
        <f>IF(D483=0,,IF(ISBLANK(Q483),,VLOOKUP(X483,Week5,2,FALSE)/(VLOOKUP(X483,Week5,2,FALSE)+VLOOKUP(W483,Week5,2,FALSE))+0.05)*100)</f>
        <v>60.65159574</v>
      </c>
      <c r="Z483" s="3" t="s">
        <v>200</v>
      </c>
      <c r="AA483" s="3">
        <v>31.0</v>
      </c>
      <c r="AB483" s="4" t="str">
        <f t="shared" si="20"/>
        <v>Florida International</v>
      </c>
      <c r="AC483" s="3">
        <v>28.0</v>
      </c>
      <c r="AD483" s="3"/>
      <c r="AE483" s="3">
        <f t="shared" si="13"/>
        <v>3</v>
      </c>
      <c r="AF483" s="3"/>
      <c r="AG483" s="3">
        <f t="shared" si="133"/>
        <v>0</v>
      </c>
      <c r="AH483" s="3"/>
      <c r="AI483" s="7"/>
      <c r="AJ483" s="4"/>
      <c r="AK483" s="7"/>
      <c r="AL483" s="7"/>
      <c r="AM483" s="7"/>
      <c r="AN483" s="7"/>
      <c r="AO483" s="7"/>
      <c r="AP483" s="7"/>
      <c r="AQ483" s="7"/>
      <c r="AR483" s="7"/>
      <c r="AS483" s="7"/>
      <c r="AT483" s="7"/>
      <c r="AU483" s="7"/>
      <c r="AV483" s="7"/>
      <c r="AW483" s="7"/>
      <c r="AX483" s="7"/>
    </row>
    <row r="484" ht="12.75" customHeight="1">
      <c r="A484" s="3">
        <v>8.0</v>
      </c>
      <c r="B484" s="3" t="s">
        <v>147</v>
      </c>
      <c r="C484" s="3" t="s">
        <v>94</v>
      </c>
      <c r="D484" s="4">
        <f>IFERROR(VLOOKUP(B484,Week7,2,FALSE),0)</f>
        <v>36.33</v>
      </c>
      <c r="E484" s="4">
        <f>IF(ISBLANK(B484),,IFERROR(VLOOKUP(B484,CurrentRank!$B$2:$C$132,2,FALSE),0))</f>
        <v>32.08</v>
      </c>
      <c r="F484" s="4">
        <f>IFERROR(VLOOKUP(B484,Week7,3,FALSE),130)</f>
        <v>52</v>
      </c>
      <c r="G484" s="4">
        <f>IF(ISBLANK(B484),,IFERROR(VLOOKUP(B484,CurrentRank!$B$2:$D$132,3,FALSE),130))</f>
        <v>93</v>
      </c>
      <c r="H484" s="4">
        <f>IFERROR(VLOOKUP(C484,Week7,2,FALSE),0)</f>
        <v>32.09</v>
      </c>
      <c r="I484" s="4">
        <f>IF(ISBLANK(B484),,IFERROR(VLOOKUP(C484,CurrentRank!$B$2:$C$132,2,FALSE),0))</f>
        <v>36.87</v>
      </c>
      <c r="J484" s="4">
        <f>IFERROR(VLOOKUP(C484,Week7,3,FALSE),130)</f>
        <v>67</v>
      </c>
      <c r="K484" s="4">
        <f>IF(ISBLANK(C484),,IFERROR(VLOOKUP(C484,CurrentRank!$B$2:$D$132,3,FALSE),130))</f>
        <v>48</v>
      </c>
      <c r="L484" s="19">
        <f t="shared" si="205"/>
        <v>1.0263</v>
      </c>
      <c r="M484" s="19">
        <f t="shared" si="206"/>
        <v>1.03425</v>
      </c>
      <c r="N484" s="24">
        <f t="shared" si="198"/>
        <v>59.5</v>
      </c>
      <c r="O484" s="21">
        <f t="shared" si="4"/>
        <v>1.60685</v>
      </c>
      <c r="P484" s="21">
        <f t="shared" si="207"/>
        <v>-2.90815</v>
      </c>
      <c r="Q484" s="22">
        <f t="shared" si="6"/>
        <v>0.69446575</v>
      </c>
      <c r="R484" s="25" t="str">
        <f t="shared" si="7"/>
        <v>D+</v>
      </c>
      <c r="S484" s="19">
        <f t="shared" si="8"/>
        <v>0.5425</v>
      </c>
      <c r="T484" s="19" t="str">
        <f t="shared" si="9"/>
        <v>F</v>
      </c>
      <c r="U484" s="3" t="s">
        <v>203</v>
      </c>
      <c r="V484" s="4" t="str">
        <f>IF(ISBLANK(C484),,IFERROR(IF(VLOOKUP(B484,Standings!$A:$F, 6, 0)=VLOOKUP(C484,Standings!$A:$F, 6, 0), VLOOKUP(B484,Standings!$A:$F, 6, 0), "Non-con"), "FCS"))</f>
        <v>ACC</v>
      </c>
      <c r="W484" s="3" t="str">
        <f t="shared" si="10"/>
        <v>Louisville</v>
      </c>
      <c r="X484" s="3" t="str">
        <f t="shared" si="11"/>
        <v>Florida State</v>
      </c>
      <c r="Y484" s="30">
        <f>IF(D484=0,,IF(ISBLANK(Q484),,VLOOKUP(X484,Week7,2,FALSE)/(VLOOKUP(X484,Week7,2,FALSE)+VLOOKUP(W484,Week7,2,FALSE))+0.05)*100)</f>
        <v>58.09850921</v>
      </c>
      <c r="Z484" s="3" t="s">
        <v>94</v>
      </c>
      <c r="AA484" s="3">
        <v>48.0</v>
      </c>
      <c r="AB484" s="4" t="str">
        <f t="shared" si="20"/>
        <v>Florida State</v>
      </c>
      <c r="AC484" s="3">
        <v>16.0</v>
      </c>
      <c r="AD484" s="3"/>
      <c r="AE484" s="3">
        <f t="shared" si="13"/>
        <v>32</v>
      </c>
      <c r="AF484" s="3"/>
      <c r="AG484" s="3">
        <f t="shared" si="133"/>
        <v>0</v>
      </c>
      <c r="AH484" s="3"/>
      <c r="AI484" s="7"/>
      <c r="AJ484" s="4"/>
      <c r="AK484" s="7"/>
      <c r="AL484" s="7"/>
      <c r="AM484" s="7"/>
      <c r="AN484" s="7"/>
      <c r="AO484" s="7"/>
      <c r="AP484" s="7"/>
      <c r="AQ484" s="7"/>
      <c r="AR484" s="7"/>
      <c r="AS484" s="7"/>
      <c r="AT484" s="7"/>
      <c r="AU484" s="7"/>
      <c r="AV484" s="7"/>
      <c r="AW484" s="7"/>
      <c r="AX484" s="7"/>
    </row>
    <row r="485" ht="12.75" hidden="1" customHeight="1">
      <c r="A485" s="3">
        <v>5.0</v>
      </c>
      <c r="B485" s="3" t="s">
        <v>64</v>
      </c>
      <c r="C485" s="3" t="s">
        <v>33</v>
      </c>
      <c r="D485" s="4">
        <f>IFERROR(VLOOKUP(B485,Week4,2,FALSE),0)</f>
        <v>77.21</v>
      </c>
      <c r="E485" s="4">
        <f>IF(ISBLANK(B485),,IFERROR(VLOOKUP(B485,CurrentRank!$B$2:$C$132,2,FALSE),0))</f>
        <v>39.11</v>
      </c>
      <c r="F485" s="4">
        <f>IFERROR(VLOOKUP(B485,Week4,3,FALSE),130)</f>
        <v>9</v>
      </c>
      <c r="G485" s="4">
        <f>IF(ISBLANK(B485),,IFERROR(VLOOKUP(B485,CurrentRank!$B$2:$D$132,3,FALSE),130))</f>
        <v>36</v>
      </c>
      <c r="H485" s="4">
        <f>IFERROR(VLOOKUP(C485,Week4,2,FALSE),0)</f>
        <v>82.44</v>
      </c>
      <c r="I485" s="4">
        <f>IF(ISBLANK(B485),,IFERROR(VLOOKUP(C485,CurrentRank!$B$2:$C$132,2,FALSE),0))</f>
        <v>79.21</v>
      </c>
      <c r="J485" s="4">
        <f>IFERROR(VLOOKUP(C485,Week4,3,FALSE),130)</f>
        <v>4</v>
      </c>
      <c r="K485" s="4">
        <f>IF(ISBLANK(C485),,IFERROR(VLOOKUP(C485,CurrentRank!$B$2:$D$132,3,FALSE),130))</f>
        <v>6</v>
      </c>
      <c r="L485" s="19">
        <f t="shared" si="205"/>
        <v>2.39475</v>
      </c>
      <c r="M485" s="19">
        <f t="shared" si="206"/>
        <v>1.7748</v>
      </c>
      <c r="N485" s="24">
        <f t="shared" si="198"/>
        <v>6.5</v>
      </c>
      <c r="O485" s="21">
        <f t="shared" si="4"/>
        <v>-3.812375</v>
      </c>
      <c r="P485" s="21">
        <f t="shared" si="207"/>
        <v>-21.247375</v>
      </c>
      <c r="Q485" s="22">
        <f t="shared" si="6"/>
        <v>0.948438125</v>
      </c>
      <c r="R485" s="25" t="str">
        <f t="shared" si="7"/>
        <v>A</v>
      </c>
      <c r="S485" s="19">
        <f t="shared" si="8"/>
        <v>0.8625</v>
      </c>
      <c r="T485" s="19" t="str">
        <f t="shared" si="9"/>
        <v>B</v>
      </c>
      <c r="U485" s="3" t="s">
        <v>203</v>
      </c>
      <c r="V485" s="4" t="str">
        <f>IF(ISBLANK(C485),,IFERROR(IF(VLOOKUP(B485,Standings!$A:$F, 6, 0)=VLOOKUP(C485,Standings!$A:$F, 6, 0), VLOOKUP(B485,Standings!$A:$F, 6, 0), "Non-con"), "FCS"))</f>
        <v>SEC</v>
      </c>
      <c r="W485" s="3" t="str">
        <f t="shared" si="10"/>
        <v>Auburn</v>
      </c>
      <c r="X485" s="3" t="str">
        <f t="shared" si="11"/>
        <v>Georgia</v>
      </c>
      <c r="Y485" s="30">
        <f>IF(D485=0,,IF(ISBLANK(Q485),,VLOOKUP(X485,Week4,2,FALSE)/(VLOOKUP(X485,Week4,2,FALSE)+VLOOKUP(W485,Week4,2,FALSE))+0.05)*100)</f>
        <v>56.63795803</v>
      </c>
      <c r="Z485" s="3" t="s">
        <v>33</v>
      </c>
      <c r="AA485" s="3">
        <v>27.0</v>
      </c>
      <c r="AB485" s="4" t="str">
        <f t="shared" si="20"/>
        <v>Auburn</v>
      </c>
      <c r="AC485" s="3">
        <v>6.0</v>
      </c>
      <c r="AD485" s="3"/>
      <c r="AE485" s="3">
        <f t="shared" si="13"/>
        <v>21</v>
      </c>
      <c r="AF485" s="3"/>
      <c r="AG485" s="3">
        <f t="shared" si="133"/>
        <v>1</v>
      </c>
      <c r="AH485" s="3"/>
      <c r="AI485" s="7"/>
      <c r="AJ485" s="4"/>
      <c r="AK485" s="7"/>
      <c r="AL485" s="7"/>
      <c r="AM485" s="7"/>
      <c r="AN485" s="7"/>
      <c r="AO485" s="7"/>
      <c r="AP485" s="7"/>
      <c r="AQ485" s="7"/>
      <c r="AR485" s="7"/>
      <c r="AS485" s="7"/>
      <c r="AT485" s="7"/>
      <c r="AU485" s="7"/>
      <c r="AV485" s="7"/>
      <c r="AW485" s="7"/>
      <c r="AX485" s="7"/>
    </row>
    <row r="486" ht="12.75" hidden="1" customHeight="1">
      <c r="A486" s="3">
        <v>15.0</v>
      </c>
      <c r="B486" s="3" t="s">
        <v>98</v>
      </c>
      <c r="C486" s="3" t="s">
        <v>131</v>
      </c>
      <c r="D486" s="4">
        <f>IFERROR(VLOOKUP(B486,Week14,2,FALSE),0)</f>
        <v>35.91</v>
      </c>
      <c r="E486" s="4">
        <f>IF(ISBLANK(B486),,IFERROR(VLOOKUP(B486,CurrentRank!$B$2:$C$132,2,FALSE),0))</f>
        <v>37.44</v>
      </c>
      <c r="F486" s="4">
        <f>IFERROR(VLOOKUP(B486,Week14,3,FALSE),130)</f>
        <v>59</v>
      </c>
      <c r="G486" s="4">
        <f>IF(ISBLANK(B486),,IFERROR(VLOOKUP(B486,CurrentRank!$B$2:$D$132,3,FALSE),130))</f>
        <v>42</v>
      </c>
      <c r="H486" s="4">
        <f>IFERROR(VLOOKUP(C486,Week14,2,FALSE),0)</f>
        <v>33.71</v>
      </c>
      <c r="I486" s="4">
        <f>IF(ISBLANK(B486),,IFERROR(VLOOKUP(C486,CurrentRank!$B$2:$C$132,2,FALSE),0))</f>
        <v>33.34</v>
      </c>
      <c r="J486" s="4">
        <f>IFERROR(VLOOKUP(C486,Week14,3,FALSE),130)</f>
        <v>85</v>
      </c>
      <c r="K486" s="4">
        <f>IF(ISBLANK(C486),,IFERROR(VLOOKUP(C486,CurrentRank!$B$2:$D$132,3,FALSE),130))</f>
        <v>82</v>
      </c>
      <c r="L486" s="19">
        <f t="shared" si="205"/>
        <v>1.0443</v>
      </c>
      <c r="M486" s="19">
        <f t="shared" si="206"/>
        <v>1.0617</v>
      </c>
      <c r="N486" s="24">
        <f t="shared" si="198"/>
        <v>72</v>
      </c>
      <c r="O486" s="21">
        <f t="shared" si="4"/>
        <v>0.57785</v>
      </c>
      <c r="P486" s="21">
        <f t="shared" si="207"/>
        <v>1.52785</v>
      </c>
      <c r="Q486" s="22">
        <f t="shared" si="6"/>
        <v>0.63711075</v>
      </c>
      <c r="R486" s="25" t="str">
        <f t="shared" si="7"/>
        <v>D</v>
      </c>
      <c r="S486" s="19">
        <f t="shared" si="8"/>
        <v>0.6</v>
      </c>
      <c r="T486" s="19" t="str">
        <f t="shared" si="9"/>
        <v>D-</v>
      </c>
      <c r="U486" s="3" t="s">
        <v>203</v>
      </c>
      <c r="V486" s="4" t="str">
        <f>IF(ISBLANK(C486),,IFERROR(IF(VLOOKUP(B486,Standings!$A:$F, 6, 0)=VLOOKUP(C486,Standings!$A:$F, 6, 0), VLOOKUP(B486,Standings!$A:$F, 6, 0), "Non-con"), "FCS"))</f>
        <v>SUN</v>
      </c>
      <c r="W486" s="3" t="str">
        <f t="shared" si="10"/>
        <v>Georgia Southern</v>
      </c>
      <c r="X486" s="3" t="str">
        <f t="shared" si="11"/>
        <v>Appalachian State</v>
      </c>
      <c r="Y486" s="30">
        <f>IF(D486=0,,IF(ISBLANK(Q486),,VLOOKUP(X486,Week14,2,FALSE)/(VLOOKUP(X486,Week14,2,FALSE)+VLOOKUP(W486,Week14,2,FALSE))+0.05)*100)</f>
        <v>56.58000575</v>
      </c>
      <c r="Z486" s="3" t="s">
        <v>98</v>
      </c>
      <c r="AA486" s="3">
        <v>34.0</v>
      </c>
      <c r="AB486" s="4" t="str">
        <f t="shared" si="20"/>
        <v>Georgia Southern</v>
      </c>
      <c r="AC486" s="3">
        <v>26.0</v>
      </c>
      <c r="AD486" s="3"/>
      <c r="AE486" s="3">
        <f t="shared" si="13"/>
        <v>8</v>
      </c>
      <c r="AF486" s="3"/>
      <c r="AG486" s="3">
        <f t="shared" si="133"/>
        <v>1</v>
      </c>
      <c r="AH486" s="3"/>
      <c r="AI486" s="7"/>
      <c r="AJ486" s="4"/>
      <c r="AK486" s="7"/>
      <c r="AL486" s="7"/>
      <c r="AM486" s="7"/>
      <c r="AN486" s="7"/>
      <c r="AO486" s="7"/>
      <c r="AP486" s="7"/>
      <c r="AQ486" s="7"/>
      <c r="AR486" s="7"/>
      <c r="AS486" s="7"/>
      <c r="AT486" s="7"/>
      <c r="AU486" s="7"/>
      <c r="AV486" s="7"/>
      <c r="AW486" s="7"/>
      <c r="AX486" s="7"/>
    </row>
    <row r="487" ht="12.75" hidden="1" customHeight="1">
      <c r="A487" s="3">
        <v>15.0</v>
      </c>
      <c r="B487" s="3" t="s">
        <v>156</v>
      </c>
      <c r="C487" s="3" t="s">
        <v>133</v>
      </c>
      <c r="D487" s="4">
        <f>IFERROR(VLOOKUP(B487,Week14,2,FALSE),0)</f>
        <v>32.75</v>
      </c>
      <c r="E487" s="4">
        <f>IF(ISBLANK(B487),,IFERROR(VLOOKUP(B487,CurrentRank!$B$2:$C$132,2,FALSE),0))</f>
        <v>32.81</v>
      </c>
      <c r="F487" s="4">
        <f>IFERROR(VLOOKUP(B487,Week14,3,FALSE),130)</f>
        <v>90</v>
      </c>
      <c r="G487" s="4">
        <f>IF(ISBLANK(B487),,IFERROR(VLOOKUP(B487,CurrentRank!$B$2:$D$132,3,FALSE),130))</f>
        <v>88</v>
      </c>
      <c r="H487" s="4">
        <f>IFERROR(VLOOKUP(C487,Week14,2,FALSE),0)</f>
        <v>34.85</v>
      </c>
      <c r="I487" s="4">
        <f>IF(ISBLANK(B487),,IFERROR(VLOOKUP(C487,CurrentRank!$B$2:$C$132,2,FALSE),0))</f>
        <v>34.63</v>
      </c>
      <c r="J487" s="4">
        <f>IFERROR(VLOOKUP(C487,Week14,3,FALSE),130)</f>
        <v>72</v>
      </c>
      <c r="K487" s="4">
        <f>IF(ISBLANK(C487),,IFERROR(VLOOKUP(C487,CurrentRank!$B$2:$D$132,3,FALSE),130))</f>
        <v>69</v>
      </c>
      <c r="L487" s="19">
        <f t="shared" ref="L487:M487" si="208">IF(ISBLANK(C487),,(D487+H487)*0.015)</f>
        <v>1.014</v>
      </c>
      <c r="M487" s="19">
        <f t="shared" si="208"/>
        <v>1.0116</v>
      </c>
      <c r="N487" s="24">
        <f t="shared" si="198"/>
        <v>81</v>
      </c>
      <c r="O487" s="21">
        <f t="shared" si="4"/>
        <v>-1.557</v>
      </c>
      <c r="P487" s="21">
        <f t="shared" si="207"/>
        <v>-1.417</v>
      </c>
      <c r="Q487" s="22">
        <f t="shared" si="6"/>
        <v>0.587215</v>
      </c>
      <c r="R487" s="25" t="str">
        <f t="shared" si="7"/>
        <v>F</v>
      </c>
      <c r="S487" s="19" t="str">
        <f t="shared" si="8"/>
        <v/>
      </c>
      <c r="T487" s="19" t="str">
        <f t="shared" si="9"/>
        <v/>
      </c>
      <c r="U487" s="3" t="s">
        <v>203</v>
      </c>
      <c r="V487" s="4" t="str">
        <f>IF(ISBLANK(C487),,IFERROR(IF(VLOOKUP(B487,Standings!$A:$F, 6, 0)=VLOOKUP(C487,Standings!$A:$F, 6, 0), VLOOKUP(B487,Standings!$A:$F, 6, 0), "Non-con"), "FCS"))</f>
        <v>MWC</v>
      </c>
      <c r="W487" s="3" t="str">
        <f t="shared" si="10"/>
        <v>Utah State</v>
      </c>
      <c r="X487" s="3" t="str">
        <f t="shared" si="11"/>
        <v>Colorado State</v>
      </c>
      <c r="Y487" s="30">
        <f>IF(D487=0,,IF(ISBLANK(Q487),,VLOOKUP(X487,Week14,2,FALSE)/(VLOOKUP(X487,Week14,2,FALSE)+VLOOKUP(W487,Week14,2,FALSE))+0.05)*100)</f>
        <v>56.55325444</v>
      </c>
      <c r="Z487" s="3"/>
      <c r="AA487" s="3"/>
      <c r="AB487" s="4" t="str">
        <f t="shared" si="20"/>
        <v/>
      </c>
      <c r="AC487" s="3"/>
      <c r="AD487" s="3"/>
      <c r="AE487" s="3" t="str">
        <f t="shared" si="13"/>
        <v/>
      </c>
      <c r="AF487" s="3" t="s">
        <v>226</v>
      </c>
      <c r="AG487" s="3" t="str">
        <f t="shared" si="133"/>
        <v/>
      </c>
      <c r="AH487" s="3"/>
      <c r="AI487" s="7"/>
      <c r="AJ487" s="4"/>
      <c r="AK487" s="7"/>
      <c r="AL487" s="7"/>
      <c r="AM487" s="7"/>
      <c r="AN487" s="7"/>
      <c r="AO487" s="7"/>
      <c r="AP487" s="7"/>
      <c r="AQ487" s="7"/>
      <c r="AR487" s="7"/>
      <c r="AS487" s="7"/>
      <c r="AT487" s="7"/>
      <c r="AU487" s="7"/>
      <c r="AV487" s="7"/>
      <c r="AW487" s="7"/>
      <c r="AX487" s="7"/>
    </row>
    <row r="488" ht="12.75" customHeight="1">
      <c r="A488" s="3">
        <v>10.0</v>
      </c>
      <c r="B488" s="3" t="s">
        <v>145</v>
      </c>
      <c r="C488" s="3" t="s">
        <v>97</v>
      </c>
      <c r="D488" s="4">
        <f>IFERROR(VLOOKUP(B488,Week9,2,FALSE),0)</f>
        <v>38.44</v>
      </c>
      <c r="E488" s="4">
        <f>IF(ISBLANK(B488),,IFERROR(VLOOKUP(B488,CurrentRank!$B$2:$C$132,2,FALSE),0))</f>
        <v>29.42</v>
      </c>
      <c r="F488" s="4">
        <f>IFERROR(VLOOKUP(B488,Week9,3,FALSE),130)</f>
        <v>42</v>
      </c>
      <c r="G488" s="4">
        <f>IF(ISBLANK(B488),,IFERROR(VLOOKUP(B488,CurrentRank!$B$2:$D$132,3,FALSE),130))</f>
        <v>114</v>
      </c>
      <c r="H488" s="4">
        <f>IFERROR(VLOOKUP(C488,Week9,2,FALSE),0)</f>
        <v>34.44</v>
      </c>
      <c r="I488" s="4">
        <f>IF(ISBLANK(B488),,IFERROR(VLOOKUP(C488,CurrentRank!$B$2:$C$132,2,FALSE),0))</f>
        <v>71.81</v>
      </c>
      <c r="J488" s="4">
        <f>IFERROR(VLOOKUP(C488,Week9,3,FALSE),130)</f>
        <v>57</v>
      </c>
      <c r="K488" s="4">
        <f>IF(ISBLANK(C488),,IFERROR(VLOOKUP(C488,CurrentRank!$B$2:$D$132,3,FALSE),130))</f>
        <v>12</v>
      </c>
      <c r="L488" s="19">
        <f t="shared" ref="L488:L489" si="209">IF(U488= "Yes", 0, IF(ISBLANK(C488),,(D488+H488)*0.015))</f>
        <v>1.0932</v>
      </c>
      <c r="M488" s="19">
        <f t="shared" ref="M488:M489" si="210">IF(U488= "Yes", 0, IF(ISBLANK(D488),,(E488+I488)*0.015))</f>
        <v>1.51845</v>
      </c>
      <c r="N488" s="24">
        <f t="shared" si="198"/>
        <v>49.5</v>
      </c>
      <c r="O488" s="21">
        <f t="shared" si="4"/>
        <v>1.4534</v>
      </c>
      <c r="P488" s="21">
        <f t="shared" si="207"/>
        <v>-21.7416</v>
      </c>
      <c r="Q488" s="22">
        <f t="shared" si="6"/>
        <v>0.745233</v>
      </c>
      <c r="R488" s="25" t="str">
        <f t="shared" si="7"/>
        <v>C</v>
      </c>
      <c r="S488" s="19">
        <f t="shared" si="8"/>
        <v>0.5425</v>
      </c>
      <c r="T488" s="19" t="str">
        <f t="shared" si="9"/>
        <v>F</v>
      </c>
      <c r="U488" s="3" t="s">
        <v>203</v>
      </c>
      <c r="V488" s="4" t="str">
        <f>IF(ISBLANK(C488),,IFERROR(IF(VLOOKUP(B488,Standings!$A:$F, 6, 0)=VLOOKUP(C488,Standings!$A:$F, 6, 0), VLOOKUP(B488,Standings!$A:$F, 6, 0), "Non-con"), "FCS"))</f>
        <v>B1G</v>
      </c>
      <c r="W488" s="3" t="str">
        <f t="shared" si="10"/>
        <v>Iowa</v>
      </c>
      <c r="X488" s="3" t="str">
        <f t="shared" si="11"/>
        <v>Michigan State</v>
      </c>
      <c r="Y488" s="30">
        <f>IF(D488=0,,IF(ISBLANK(Q488),,VLOOKUP(X488,Week9,2,FALSE)/(VLOOKUP(X488,Week9,2,FALSE)+VLOOKUP(W488,Week9,2,FALSE))+0.05)*100)</f>
        <v>57.7442371</v>
      </c>
      <c r="Z488" s="3" t="s">
        <v>97</v>
      </c>
      <c r="AA488" s="3">
        <v>49.0</v>
      </c>
      <c r="AB488" s="4" t="str">
        <f t="shared" si="20"/>
        <v>Michigan State</v>
      </c>
      <c r="AC488" s="3">
        <v>7.0</v>
      </c>
      <c r="AD488" s="3"/>
      <c r="AE488" s="3">
        <f t="shared" si="13"/>
        <v>42</v>
      </c>
      <c r="AF488" s="3"/>
      <c r="AG488" s="3">
        <f t="shared" si="133"/>
        <v>0</v>
      </c>
      <c r="AH488" s="3"/>
      <c r="AI488" s="7"/>
      <c r="AJ488" s="4" t="s">
        <v>138</v>
      </c>
      <c r="AK488" s="7"/>
      <c r="AL488" s="7"/>
      <c r="AM488" s="7"/>
      <c r="AN488" s="7"/>
      <c r="AO488" s="7"/>
      <c r="AP488" s="7"/>
      <c r="AQ488" s="7"/>
      <c r="AR488" s="7"/>
      <c r="AS488" s="7"/>
      <c r="AT488" s="7"/>
      <c r="AU488" s="7"/>
      <c r="AV488" s="7"/>
      <c r="AW488" s="7"/>
      <c r="AX488" s="7"/>
    </row>
    <row r="489" ht="12.75" customHeight="1">
      <c r="A489" s="3">
        <v>10.0</v>
      </c>
      <c r="B489" s="3" t="s">
        <v>103</v>
      </c>
      <c r="C489" s="3" t="s">
        <v>148</v>
      </c>
      <c r="D489" s="4">
        <f>IFERROR(VLOOKUP(B489,Week9,2,FALSE),0)</f>
        <v>32.66</v>
      </c>
      <c r="E489" s="4">
        <f>IF(ISBLANK(B489),,IFERROR(VLOOKUP(B489,CurrentRank!$B$2:$C$132,2,FALSE),0))</f>
        <v>34.42</v>
      </c>
      <c r="F489" s="4">
        <f>IFERROR(VLOOKUP(B489,Week9,3,FALSE),130)</f>
        <v>72</v>
      </c>
      <c r="G489" s="4">
        <f>IF(ISBLANK(B489),,IFERROR(VLOOKUP(B489,CurrentRank!$B$2:$D$132,3,FALSE),130))</f>
        <v>70</v>
      </c>
      <c r="H489" s="4">
        <f>IFERROR(VLOOKUP(C489,Week9,2,FALSE),0)</f>
        <v>31.99</v>
      </c>
      <c r="I489" s="4">
        <f>IF(ISBLANK(B489),,IFERROR(VLOOKUP(C489,CurrentRank!$B$2:$C$132,2,FALSE),0))</f>
        <v>32.94</v>
      </c>
      <c r="J489" s="4">
        <f>IFERROR(VLOOKUP(C489,Week9,3,FALSE),130)</f>
        <v>78</v>
      </c>
      <c r="K489" s="4">
        <f>IF(ISBLANK(C489),,IFERROR(VLOOKUP(C489,CurrentRank!$B$2:$D$132,3,FALSE),130))</f>
        <v>87</v>
      </c>
      <c r="L489" s="19">
        <f t="shared" si="209"/>
        <v>0.96975</v>
      </c>
      <c r="M489" s="19">
        <f t="shared" si="210"/>
        <v>1.0104</v>
      </c>
      <c r="N489" s="24">
        <f t="shared" si="198"/>
        <v>75</v>
      </c>
      <c r="O489" s="21">
        <f t="shared" si="4"/>
        <v>-0.149875</v>
      </c>
      <c r="P489" s="21">
        <f t="shared" si="207"/>
        <v>0.255125</v>
      </c>
      <c r="Q489" s="22">
        <f t="shared" si="6"/>
        <v>0.624250625</v>
      </c>
      <c r="R489" s="25" t="str">
        <f t="shared" si="7"/>
        <v>D-</v>
      </c>
      <c r="S489" s="19">
        <f t="shared" si="8"/>
        <v>0.54</v>
      </c>
      <c r="T489" s="19" t="str">
        <f t="shared" si="9"/>
        <v>F</v>
      </c>
      <c r="U489" s="3" t="s">
        <v>203</v>
      </c>
      <c r="V489" s="4" t="str">
        <f>IF(ISBLANK(C489),,IFERROR(IF(VLOOKUP(B489,Standings!$A:$F, 6, 0)=VLOOKUP(C489,Standings!$A:$F, 6, 0), VLOOKUP(B489,Standings!$A:$F, 6, 0), "Non-con"), "FCS"))</f>
        <v>AAC</v>
      </c>
      <c r="W489" s="3" t="str">
        <f t="shared" si="10"/>
        <v>Tulane</v>
      </c>
      <c r="X489" s="3" t="str">
        <f t="shared" si="11"/>
        <v>East Carolina</v>
      </c>
      <c r="Y489" s="30">
        <f>IF(D489=0,,IF(ISBLANK(Q489),,VLOOKUP(X489,Week9,2,FALSE)/(VLOOKUP(X489,Week9,2,FALSE)+VLOOKUP(W489,Week9,2,FALSE))+0.05)*100)</f>
        <v>54.48182521</v>
      </c>
      <c r="Z489" s="3" t="s">
        <v>103</v>
      </c>
      <c r="AA489" s="3">
        <v>38.0</v>
      </c>
      <c r="AB489" s="4" t="str">
        <f t="shared" si="20"/>
        <v>East Carolina</v>
      </c>
      <c r="AC489" s="3">
        <v>21.0</v>
      </c>
      <c r="AD489" s="3"/>
      <c r="AE489" s="3">
        <f t="shared" si="13"/>
        <v>17</v>
      </c>
      <c r="AF489" s="3"/>
      <c r="AG489" s="3">
        <f t="shared" si="133"/>
        <v>0</v>
      </c>
      <c r="AH489" s="3"/>
      <c r="AI489" s="7"/>
      <c r="AJ489" s="4"/>
      <c r="AK489" s="7"/>
      <c r="AL489" s="7"/>
      <c r="AM489" s="7"/>
      <c r="AN489" s="7"/>
      <c r="AO489" s="7"/>
      <c r="AP489" s="7"/>
      <c r="AQ489" s="7"/>
      <c r="AR489" s="7"/>
      <c r="AS489" s="7"/>
      <c r="AT489" s="7"/>
      <c r="AU489" s="7"/>
      <c r="AV489" s="7"/>
      <c r="AW489" s="7"/>
      <c r="AX489" s="7"/>
    </row>
    <row r="490" ht="12.75" hidden="1" customHeight="1">
      <c r="A490" s="3">
        <v>15.0</v>
      </c>
      <c r="B490" s="3" t="s">
        <v>138</v>
      </c>
      <c r="C490" s="3" t="s">
        <v>62</v>
      </c>
      <c r="D490" s="4">
        <f>IFERROR(VLOOKUP(B490,Week14,2,FALSE),0)</f>
        <v>40.1</v>
      </c>
      <c r="E490" s="4">
        <f>IF(ISBLANK(B490),,IFERROR(VLOOKUP(B490,CurrentRank!$B$2:$C$132,2,FALSE),0))</f>
        <v>40.47</v>
      </c>
      <c r="F490" s="4">
        <f>IFERROR(VLOOKUP(B490,Week14,3,FALSE),130)</f>
        <v>36</v>
      </c>
      <c r="G490" s="4">
        <f>IF(ISBLANK(B490),,IFERROR(VLOOKUP(B490,CurrentRank!$B$2:$D$132,3,FALSE),130))</f>
        <v>33</v>
      </c>
      <c r="H490" s="4">
        <f>IFERROR(VLOOKUP(C490,Week14,2,FALSE),0)</f>
        <v>37.73</v>
      </c>
      <c r="I490" s="4">
        <f>IF(ISBLANK(B490),,IFERROR(VLOOKUP(C490,CurrentRank!$B$2:$C$132,2,FALSE),0))</f>
        <v>37.34</v>
      </c>
      <c r="J490" s="4">
        <f>IFERROR(VLOOKUP(C490,Week14,3,FALSE),130)</f>
        <v>45</v>
      </c>
      <c r="K490" s="4">
        <f>IF(ISBLANK(C490),,IFERROR(VLOOKUP(C490,CurrentRank!$B$2:$D$132,3,FALSE),130))</f>
        <v>44</v>
      </c>
      <c r="L490" s="19">
        <f t="shared" ref="L490:M490" si="211">IF(ISBLANK(C490),,(D490+H490)*0.015)</f>
        <v>1.16745</v>
      </c>
      <c r="M490" s="19">
        <f t="shared" si="211"/>
        <v>1.16715</v>
      </c>
      <c r="N490" s="24">
        <f t="shared" si="198"/>
        <v>40.5</v>
      </c>
      <c r="O490" s="21">
        <f t="shared" si="4"/>
        <v>0.601275</v>
      </c>
      <c r="P490" s="21">
        <f t="shared" si="207"/>
        <v>0.981275</v>
      </c>
      <c r="Q490" s="22">
        <f t="shared" si="6"/>
        <v>0.794493625</v>
      </c>
      <c r="R490" s="25" t="str">
        <f t="shared" si="7"/>
        <v>C+</v>
      </c>
      <c r="S490" s="19" t="str">
        <f t="shared" si="8"/>
        <v/>
      </c>
      <c r="T490" s="19" t="str">
        <f t="shared" si="9"/>
        <v/>
      </c>
      <c r="U490" s="3" t="s">
        <v>203</v>
      </c>
      <c r="V490" s="4" t="str">
        <f>IF(ISBLANK(C490),,IFERROR(IF(VLOOKUP(B490,Standings!$A:$F, 6, 0)=VLOOKUP(C490,Standings!$A:$F, 6, 0), VLOOKUP(B490,Standings!$A:$F, 6, 0), "Non-con"), "FCS"))</f>
        <v>PAC12</v>
      </c>
      <c r="W490" s="3" t="str">
        <f t="shared" si="10"/>
        <v>Oregon</v>
      </c>
      <c r="X490" s="3" t="str">
        <f t="shared" si="11"/>
        <v>Washington</v>
      </c>
      <c r="Y490" s="30">
        <f>IF(D490=0,,IF(ISBLANK(Q490),,VLOOKUP(X490,Week14,2,FALSE)/(VLOOKUP(X490,Week14,2,FALSE)+VLOOKUP(W490,Week14,2,FALSE))+0.05)*100)</f>
        <v>56.52254915</v>
      </c>
      <c r="Z490" s="3"/>
      <c r="AA490" s="3"/>
      <c r="AB490" s="4" t="str">
        <f t="shared" si="20"/>
        <v/>
      </c>
      <c r="AC490" s="3"/>
      <c r="AD490" s="3"/>
      <c r="AE490" s="3" t="str">
        <f t="shared" si="13"/>
        <v/>
      </c>
      <c r="AF490" s="3" t="s">
        <v>226</v>
      </c>
      <c r="AG490" s="3" t="str">
        <f t="shared" si="133"/>
        <v/>
      </c>
      <c r="AH490" s="3"/>
      <c r="AI490" s="7"/>
      <c r="AJ490" s="4"/>
      <c r="AK490" s="7"/>
      <c r="AL490" s="7"/>
      <c r="AM490" s="7"/>
      <c r="AN490" s="7"/>
      <c r="AO490" s="7"/>
      <c r="AP490" s="7"/>
      <c r="AQ490" s="7"/>
      <c r="AR490" s="7"/>
      <c r="AS490" s="7"/>
      <c r="AT490" s="7"/>
      <c r="AU490" s="7"/>
      <c r="AV490" s="7"/>
      <c r="AW490" s="7"/>
      <c r="AX490" s="7"/>
    </row>
    <row r="491" ht="12.75" hidden="1" customHeight="1">
      <c r="A491" s="3">
        <v>13.0</v>
      </c>
      <c r="B491" s="3" t="s">
        <v>182</v>
      </c>
      <c r="C491" s="3" t="s">
        <v>176</v>
      </c>
      <c r="D491" s="4">
        <f>IFERROR(VLOOKUP(B491,Week12,2,FALSE),0)</f>
        <v>37.05</v>
      </c>
      <c r="E491" s="4">
        <f>IF(ISBLANK(B491),,IFERROR(VLOOKUP(B491,CurrentRank!$B$2:$C$132,2,FALSE),0))</f>
        <v>51.02</v>
      </c>
      <c r="F491" s="4">
        <f>IFERROR(VLOOKUP(B491,Week12,3,FALSE),130)</f>
        <v>50</v>
      </c>
      <c r="G491" s="4">
        <f>IF(ISBLANK(B491),,IFERROR(VLOOKUP(B491,CurrentRank!$B$2:$D$132,3,FALSE),130))</f>
        <v>25</v>
      </c>
      <c r="H491" s="4">
        <f>IFERROR(VLOOKUP(C491,Week12,2,FALSE),0)</f>
        <v>39.34</v>
      </c>
      <c r="I491" s="4">
        <f>IF(ISBLANK(B491),,IFERROR(VLOOKUP(C491,CurrentRank!$B$2:$C$132,2,FALSE),0))</f>
        <v>38.02</v>
      </c>
      <c r="J491" s="4">
        <f>IFERROR(VLOOKUP(C491,Week12,3,FALSE),130)</f>
        <v>41</v>
      </c>
      <c r="K491" s="4">
        <f>IF(ISBLANK(C491),,IFERROR(VLOOKUP(C491,CurrentRank!$B$2:$D$132,3,FALSE),130))</f>
        <v>38</v>
      </c>
      <c r="L491" s="19">
        <f t="shared" ref="L491:M491" si="212">IF(ISBLANK(C491),,(D491+H491)*0.015)</f>
        <v>1.14585</v>
      </c>
      <c r="M491" s="19">
        <f t="shared" si="212"/>
        <v>1.3356</v>
      </c>
      <c r="N491" s="24">
        <f t="shared" si="198"/>
        <v>45.5</v>
      </c>
      <c r="O491" s="24">
        <f t="shared" si="4"/>
        <v>-1.717925</v>
      </c>
      <c r="P491" s="24">
        <f t="shared" si="207"/>
        <v>5.927075</v>
      </c>
      <c r="Q491" s="22">
        <f t="shared" si="6"/>
        <v>0.763910375</v>
      </c>
      <c r="R491" s="25" t="str">
        <f t="shared" si="7"/>
        <v>C</v>
      </c>
      <c r="S491" s="19" t="str">
        <f t="shared" si="8"/>
        <v/>
      </c>
      <c r="T491" s="19" t="str">
        <f t="shared" si="9"/>
        <v/>
      </c>
      <c r="U491" s="3" t="s">
        <v>203</v>
      </c>
      <c r="V491" s="4" t="str">
        <f>IF(ISBLANK(C491),,IFERROR(IF(VLOOKUP(B491,Standings!$A:$F, 6, 0)=VLOOKUP(C491,Standings!$A:$F, 6, 0), VLOOKUP(B491,Standings!$A:$F, 6, 0), "Non-con"), "FCS"))</f>
        <v>MWC</v>
      </c>
      <c r="W491" s="3" t="str">
        <f t="shared" si="10"/>
        <v>San Jose State</v>
      </c>
      <c r="X491" s="3" t="str">
        <f t="shared" si="11"/>
        <v>Boise State</v>
      </c>
      <c r="Y491" s="30">
        <f>IF(D491=0,,IF(ISBLANK(Q491),,VLOOKUP(X491,Week12,2,FALSE)/(VLOOKUP(X491,Week12,2,FALSE)+VLOOKUP(W491,Week12,2,FALSE))+0.05)*100)</f>
        <v>56.49888729</v>
      </c>
      <c r="Z491" s="3"/>
      <c r="AA491" s="3"/>
      <c r="AB491" s="4" t="str">
        <f t="shared" si="20"/>
        <v/>
      </c>
      <c r="AC491" s="3"/>
      <c r="AD491" s="3"/>
      <c r="AE491" s="3" t="str">
        <f t="shared" si="13"/>
        <v/>
      </c>
      <c r="AF491" s="3" t="s">
        <v>226</v>
      </c>
      <c r="AG491" s="3" t="str">
        <f t="shared" si="133"/>
        <v/>
      </c>
      <c r="AH491" s="3"/>
      <c r="AI491" s="7"/>
      <c r="AJ491" s="4"/>
      <c r="AK491" s="7"/>
      <c r="AL491" s="7"/>
      <c r="AM491" s="7"/>
      <c r="AN491" s="7"/>
      <c r="AO491" s="7"/>
      <c r="AP491" s="7"/>
      <c r="AQ491" s="7"/>
      <c r="AR491" s="7"/>
      <c r="AS491" s="7"/>
      <c r="AT491" s="7"/>
      <c r="AU491" s="7"/>
      <c r="AV491" s="7"/>
      <c r="AW491" s="7"/>
      <c r="AX491" s="7"/>
    </row>
    <row r="492" ht="12.75" hidden="1" customHeight="1">
      <c r="A492" s="3">
        <v>13.0</v>
      </c>
      <c r="B492" s="3" t="s">
        <v>101</v>
      </c>
      <c r="C492" s="3" t="s">
        <v>94</v>
      </c>
      <c r="D492" s="4">
        <f>IFERROR(VLOOKUP(B492,Week12,2,FALSE),0)</f>
        <v>37.59</v>
      </c>
      <c r="E492" s="4">
        <f>IF(ISBLANK(B492),,IFERROR(VLOOKUP(B492,CurrentRank!$B$2:$C$132,2,FALSE),0))</f>
        <v>36.62</v>
      </c>
      <c r="F492" s="4">
        <f>IFERROR(VLOOKUP(B492,Week12,3,FALSE),130)</f>
        <v>47</v>
      </c>
      <c r="G492" s="4">
        <f>IF(ISBLANK(B492),,IFERROR(VLOOKUP(B492,CurrentRank!$B$2:$D$132,3,FALSE),130))</f>
        <v>50</v>
      </c>
      <c r="H492" s="4">
        <f>IFERROR(VLOOKUP(C492,Week12,2,FALSE),0)</f>
        <v>35.41</v>
      </c>
      <c r="I492" s="4">
        <f>IF(ISBLANK(B492),,IFERROR(VLOOKUP(C492,CurrentRank!$B$2:$C$132,2,FALSE),0))</f>
        <v>36.87</v>
      </c>
      <c r="J492" s="4">
        <f>IFERROR(VLOOKUP(C492,Week12,3,FALSE),130)</f>
        <v>59</v>
      </c>
      <c r="K492" s="4">
        <f>IF(ISBLANK(C492),,IFERROR(VLOOKUP(C492,CurrentRank!$B$2:$D$132,3,FALSE),130))</f>
        <v>48</v>
      </c>
      <c r="L492" s="19">
        <f t="shared" ref="L492:L500" si="213">IF(U492= "Yes", 0, IF(ISBLANK(C492),,(D492+H492)*0.015))</f>
        <v>1.095</v>
      </c>
      <c r="M492" s="19">
        <f t="shared" ref="M492:M500" si="214">IF(U492= "Yes", 0, IF(ISBLANK(D492),,(E492+I492)*0.015))</f>
        <v>1.10235</v>
      </c>
      <c r="N492" s="24">
        <f t="shared" si="198"/>
        <v>53</v>
      </c>
      <c r="O492" s="21">
        <f t="shared" si="4"/>
        <v>0.5425</v>
      </c>
      <c r="P492" s="21">
        <f t="shared" si="207"/>
        <v>-0.6725</v>
      </c>
      <c r="Q492" s="22">
        <f t="shared" si="6"/>
        <v>0.7322875</v>
      </c>
      <c r="R492" s="25" t="str">
        <f t="shared" si="7"/>
        <v>C</v>
      </c>
      <c r="S492" s="19">
        <f t="shared" si="8"/>
        <v>0.7</v>
      </c>
      <c r="T492" s="19" t="str">
        <f t="shared" si="9"/>
        <v>C-</v>
      </c>
      <c r="U492" s="3" t="s">
        <v>203</v>
      </c>
      <c r="V492" s="4" t="str">
        <f>IF(ISBLANK(C492),,IFERROR(IF(VLOOKUP(B492,Standings!$A:$F, 6, 0)=VLOOKUP(C492,Standings!$A:$F, 6, 0), VLOOKUP(B492,Standings!$A:$F, 6, 0), "Non-con"), "FCS"))</f>
        <v>ACC</v>
      </c>
      <c r="W492" s="3" t="str">
        <f t="shared" si="10"/>
        <v>Louisville</v>
      </c>
      <c r="X492" s="3" t="str">
        <f t="shared" si="11"/>
        <v>Boston College</v>
      </c>
      <c r="Y492" s="30">
        <f>IF(D492=0,,IF(ISBLANK(Q492),,VLOOKUP(X492,Week12,2,FALSE)/(VLOOKUP(X492,Week12,2,FALSE)+VLOOKUP(W492,Week12,2,FALSE))+0.05)*100)</f>
        <v>56.49315068</v>
      </c>
      <c r="Z492" s="3" t="s">
        <v>101</v>
      </c>
      <c r="AA492" s="3">
        <v>34.0</v>
      </c>
      <c r="AB492" s="4" t="str">
        <f t="shared" si="20"/>
        <v>Louisville</v>
      </c>
      <c r="AC492" s="3">
        <v>27.0</v>
      </c>
      <c r="AD492" s="3"/>
      <c r="AE492" s="3">
        <f t="shared" si="13"/>
        <v>7</v>
      </c>
      <c r="AF492" s="3"/>
      <c r="AG492" s="3">
        <f t="shared" si="133"/>
        <v>1</v>
      </c>
      <c r="AH492" s="3"/>
      <c r="AI492" s="7"/>
      <c r="AJ492" s="4"/>
      <c r="AK492" s="7"/>
      <c r="AL492" s="7"/>
      <c r="AM492" s="7"/>
      <c r="AN492" s="7"/>
      <c r="AO492" s="7"/>
      <c r="AP492" s="7"/>
      <c r="AQ492" s="7"/>
      <c r="AR492" s="7"/>
      <c r="AS492" s="7"/>
      <c r="AT492" s="7"/>
      <c r="AU492" s="7"/>
      <c r="AV492" s="7"/>
      <c r="AW492" s="7"/>
      <c r="AX492" s="7"/>
    </row>
    <row r="493" ht="12.75" hidden="1" customHeight="1">
      <c r="A493" s="3">
        <v>11.0</v>
      </c>
      <c r="B493" s="3" t="s">
        <v>94</v>
      </c>
      <c r="C493" s="3" t="s">
        <v>112</v>
      </c>
      <c r="D493" s="4">
        <f>IFERROR(VLOOKUP(B493,Week10,2,FALSE),0)</f>
        <v>34.97</v>
      </c>
      <c r="E493" s="4">
        <f>IF(ISBLANK(B493),,IFERROR(VLOOKUP(B493,CurrentRank!$B$2:$C$132,2,FALSE),0))</f>
        <v>36.87</v>
      </c>
      <c r="F493" s="4">
        <f>IFERROR(VLOOKUP(B493,Week10,3,FALSE),130)</f>
        <v>66</v>
      </c>
      <c r="G493" s="4">
        <f>IF(ISBLANK(B493),,IFERROR(VLOOKUP(B493,CurrentRank!$B$2:$D$132,3,FALSE),130))</f>
        <v>48</v>
      </c>
      <c r="H493" s="4">
        <f>IFERROR(VLOOKUP(C493,Week10,2,FALSE),0)</f>
        <v>37.04</v>
      </c>
      <c r="I493" s="4">
        <f>IF(ISBLANK(B493),,IFERROR(VLOOKUP(C493,CurrentRank!$B$2:$C$132,2,FALSE),0))</f>
        <v>36.98</v>
      </c>
      <c r="J493" s="4">
        <f>IFERROR(VLOOKUP(C493,Week10,3,FALSE),130)</f>
        <v>55</v>
      </c>
      <c r="K493" s="4">
        <f>IF(ISBLANK(C493),,IFERROR(VLOOKUP(C493,CurrentRank!$B$2:$D$132,3,FALSE),130))</f>
        <v>46</v>
      </c>
      <c r="L493" s="19">
        <f t="shared" si="213"/>
        <v>1.08015</v>
      </c>
      <c r="M493" s="19">
        <f t="shared" si="214"/>
        <v>1.10775</v>
      </c>
      <c r="N493" s="24">
        <f t="shared" si="198"/>
        <v>60.5</v>
      </c>
      <c r="O493" s="21">
        <f t="shared" si="4"/>
        <v>-1.575075</v>
      </c>
      <c r="P493" s="21">
        <f t="shared" si="207"/>
        <v>-0.595075</v>
      </c>
      <c r="Q493" s="22">
        <f t="shared" si="6"/>
        <v>0.689624625</v>
      </c>
      <c r="R493" s="25" t="str">
        <f t="shared" si="7"/>
        <v>D+</v>
      </c>
      <c r="S493" s="19">
        <f t="shared" si="8"/>
        <v>0.6275</v>
      </c>
      <c r="T493" s="19" t="str">
        <f t="shared" si="9"/>
        <v>D</v>
      </c>
      <c r="U493" s="3" t="s">
        <v>203</v>
      </c>
      <c r="V493" s="4" t="str">
        <f>IF(ISBLANK(C493),,IFERROR(IF(VLOOKUP(B493,Standings!$A:$F, 6, 0)=VLOOKUP(C493,Standings!$A:$F, 6, 0), VLOOKUP(B493,Standings!$A:$F, 6, 0), "Non-con"), "FCS"))</f>
        <v>ACC</v>
      </c>
      <c r="W493" s="3" t="str">
        <f t="shared" si="10"/>
        <v>Louisville</v>
      </c>
      <c r="X493" s="3" t="str">
        <f t="shared" si="11"/>
        <v>Virginia</v>
      </c>
      <c r="Y493" s="30">
        <f>IF(D493=0,,IF(ISBLANK(Q493),,VLOOKUP(X493,Week10,2,FALSE)/(VLOOKUP(X493,Week10,2,FALSE)+VLOOKUP(W493,Week10,2,FALSE))+0.05)*100)</f>
        <v>56.43730037</v>
      </c>
      <c r="Z493" s="3" t="s">
        <v>112</v>
      </c>
      <c r="AA493" s="3">
        <v>31.0</v>
      </c>
      <c r="AB493" s="4" t="str">
        <f t="shared" si="20"/>
        <v>Louisville</v>
      </c>
      <c r="AC493" s="3">
        <v>17.0</v>
      </c>
      <c r="AD493" s="3"/>
      <c r="AE493" s="3">
        <f t="shared" si="13"/>
        <v>14</v>
      </c>
      <c r="AF493" s="3"/>
      <c r="AG493" s="3">
        <f t="shared" si="133"/>
        <v>1</v>
      </c>
      <c r="AH493" s="3"/>
      <c r="AI493" s="7"/>
      <c r="AJ493" s="4" t="s">
        <v>143</v>
      </c>
      <c r="AK493" s="7"/>
      <c r="AL493" s="7"/>
      <c r="AM493" s="7"/>
      <c r="AN493" s="7"/>
      <c r="AO493" s="7"/>
      <c r="AP493" s="7"/>
      <c r="AQ493" s="7"/>
      <c r="AR493" s="7"/>
      <c r="AS493" s="7"/>
      <c r="AT493" s="7"/>
      <c r="AU493" s="7"/>
      <c r="AV493" s="7"/>
      <c r="AW493" s="7"/>
      <c r="AX493" s="7"/>
    </row>
    <row r="494" ht="12.75" hidden="1" customHeight="1">
      <c r="A494" s="3">
        <v>9.0</v>
      </c>
      <c r="B494" s="3" t="s">
        <v>82</v>
      </c>
      <c r="C494" s="3" t="s">
        <v>94</v>
      </c>
      <c r="D494" s="4">
        <f>IFERROR(VLOOKUP(B494,Week8,2,FALSE),0)</f>
        <v>38.48</v>
      </c>
      <c r="E494" s="4">
        <f>IF(ISBLANK(B494),,IFERROR(VLOOKUP(B494,CurrentRank!$B$2:$C$132,2,FALSE),0))</f>
        <v>36.12</v>
      </c>
      <c r="F494" s="4">
        <f>IFERROR(VLOOKUP(B494,Week8,3,FALSE),130)</f>
        <v>44</v>
      </c>
      <c r="G494" s="4">
        <f>IF(ISBLANK(B494),,IFERROR(VLOOKUP(B494,CurrentRank!$B$2:$D$132,3,FALSE),130))</f>
        <v>54</v>
      </c>
      <c r="H494" s="4">
        <f>IFERROR(VLOOKUP(C494,Week8,2,FALSE),0)</f>
        <v>36.35</v>
      </c>
      <c r="I494" s="4">
        <f>IF(ISBLANK(B494),,IFERROR(VLOOKUP(C494,CurrentRank!$B$2:$C$132,2,FALSE),0))</f>
        <v>36.87</v>
      </c>
      <c r="J494" s="4">
        <f>IFERROR(VLOOKUP(C494,Week8,3,FALSE),130)</f>
        <v>51</v>
      </c>
      <c r="K494" s="4">
        <f>IF(ISBLANK(C494),,IFERROR(VLOOKUP(C494,CurrentRank!$B$2:$D$132,3,FALSE),130))</f>
        <v>48</v>
      </c>
      <c r="L494" s="19">
        <f t="shared" si="213"/>
        <v>1.12245</v>
      </c>
      <c r="M494" s="19">
        <f t="shared" si="214"/>
        <v>1.09485</v>
      </c>
      <c r="N494" s="24">
        <f t="shared" si="198"/>
        <v>47.5</v>
      </c>
      <c r="O494" s="21">
        <f t="shared" si="4"/>
        <v>0.503775</v>
      </c>
      <c r="P494" s="21">
        <f t="shared" si="207"/>
        <v>-0.936225</v>
      </c>
      <c r="Q494" s="22">
        <f t="shared" si="6"/>
        <v>0.759981125</v>
      </c>
      <c r="R494" s="25" t="str">
        <f t="shared" si="7"/>
        <v>C</v>
      </c>
      <c r="S494" s="19">
        <f t="shared" si="8"/>
        <v>0.7275</v>
      </c>
      <c r="T494" s="19" t="str">
        <f t="shared" si="9"/>
        <v>C</v>
      </c>
      <c r="U494" s="3" t="s">
        <v>203</v>
      </c>
      <c r="V494" s="4" t="str">
        <f>IF(ISBLANK(C494),,IFERROR(IF(VLOOKUP(B494,Standings!$A:$F, 6, 0)=VLOOKUP(C494,Standings!$A:$F, 6, 0), VLOOKUP(B494,Standings!$A:$F, 6, 0), "Non-con"), "FCS"))</f>
        <v>ACC</v>
      </c>
      <c r="W494" s="3" t="str">
        <f t="shared" si="10"/>
        <v>Louisville</v>
      </c>
      <c r="X494" s="3" t="str">
        <f t="shared" si="11"/>
        <v>Virginia Tech</v>
      </c>
      <c r="Y494" s="30">
        <f>IF(D494=0,,IF(ISBLANK(Q494),,VLOOKUP(X494,Week8,2,FALSE)/(VLOOKUP(X494,Week8,2,FALSE)+VLOOKUP(W494,Week8,2,FALSE))+0.05)*100)</f>
        <v>56.42322598</v>
      </c>
      <c r="Z494" s="3" t="s">
        <v>82</v>
      </c>
      <c r="AA494" s="3">
        <v>42.0</v>
      </c>
      <c r="AB494" s="4" t="str">
        <f t="shared" si="20"/>
        <v>Louisville</v>
      </c>
      <c r="AC494" s="3">
        <v>35.0</v>
      </c>
      <c r="AD494" s="3"/>
      <c r="AE494" s="3">
        <f t="shared" si="13"/>
        <v>7</v>
      </c>
      <c r="AF494" s="3"/>
      <c r="AG494" s="3">
        <f t="shared" si="133"/>
        <v>1</v>
      </c>
      <c r="AH494" s="3"/>
      <c r="AI494" s="7"/>
      <c r="AJ494" s="4" t="s">
        <v>123</v>
      </c>
      <c r="AM494" s="7"/>
      <c r="AN494" s="7"/>
      <c r="AO494" s="7"/>
      <c r="AP494" s="7"/>
      <c r="AQ494" s="7"/>
      <c r="AR494" s="7"/>
      <c r="AS494" s="7"/>
      <c r="AT494" s="7"/>
      <c r="AU494" s="7"/>
      <c r="AV494" s="7"/>
      <c r="AW494" s="7"/>
      <c r="AX494" s="7"/>
    </row>
    <row r="495" ht="12.75" hidden="1" customHeight="1">
      <c r="A495" s="3">
        <v>10.0</v>
      </c>
      <c r="B495" s="3" t="s">
        <v>111</v>
      </c>
      <c r="C495" s="3" t="s">
        <v>131</v>
      </c>
      <c r="D495" s="4">
        <f>IFERROR(VLOOKUP(B495,Week9,2,FALSE),0)</f>
        <v>32.51</v>
      </c>
      <c r="E495" s="4">
        <f>IF(ISBLANK(B495),,IFERROR(VLOOKUP(B495,CurrentRank!$B$2:$C$132,2,FALSE),0))</f>
        <v>29.75</v>
      </c>
      <c r="F495" s="4">
        <f>IFERROR(VLOOKUP(B495,Week9,3,FALSE),130)</f>
        <v>73</v>
      </c>
      <c r="G495" s="4">
        <f>IF(ISBLANK(B495),,IFERROR(VLOOKUP(B495,CurrentRank!$B$2:$D$132,3,FALSE),130))</f>
        <v>112</v>
      </c>
      <c r="H495" s="4">
        <f>IFERROR(VLOOKUP(C495,Week9,2,FALSE),0)</f>
        <v>34.41</v>
      </c>
      <c r="I495" s="4">
        <f>IF(ISBLANK(B495),,IFERROR(VLOOKUP(C495,CurrentRank!$B$2:$C$132,2,FALSE),0))</f>
        <v>33.34</v>
      </c>
      <c r="J495" s="4">
        <f>IFERROR(VLOOKUP(C495,Week9,3,FALSE),130)</f>
        <v>58</v>
      </c>
      <c r="K495" s="4">
        <f>IF(ISBLANK(C495),,IFERROR(VLOOKUP(C495,CurrentRank!$B$2:$D$132,3,FALSE),130))</f>
        <v>82</v>
      </c>
      <c r="L495" s="19">
        <f t="shared" si="213"/>
        <v>1.0038</v>
      </c>
      <c r="M495" s="19">
        <f t="shared" si="214"/>
        <v>0.94635</v>
      </c>
      <c r="N495" s="24">
        <f t="shared" si="198"/>
        <v>65.5</v>
      </c>
      <c r="O495" s="21">
        <f t="shared" si="4"/>
        <v>-1.4519</v>
      </c>
      <c r="P495" s="21">
        <f t="shared" si="207"/>
        <v>-2.2969</v>
      </c>
      <c r="Q495" s="22">
        <f t="shared" si="6"/>
        <v>0.6652405</v>
      </c>
      <c r="R495" s="25" t="str">
        <f t="shared" si="7"/>
        <v>D+</v>
      </c>
      <c r="S495" s="19">
        <f t="shared" si="8"/>
        <v>0.6375</v>
      </c>
      <c r="T495" s="19" t="str">
        <f t="shared" si="9"/>
        <v>D</v>
      </c>
      <c r="U495" s="3" t="s">
        <v>203</v>
      </c>
      <c r="V495" s="4" t="str">
        <f>IF(ISBLANK(C495),,IFERROR(IF(VLOOKUP(B495,Standings!$A:$F, 6, 0)=VLOOKUP(C495,Standings!$A:$F, 6, 0), VLOOKUP(B495,Standings!$A:$F, 6, 0), "Non-con"), "FCS"))</f>
        <v>SUN</v>
      </c>
      <c r="W495" s="3" t="str">
        <f t="shared" si="10"/>
        <v>Troy</v>
      </c>
      <c r="X495" s="3" t="str">
        <f t="shared" si="11"/>
        <v>Georgia Southern</v>
      </c>
      <c r="Y495" s="30">
        <f>IF(D495=0,,IF(ISBLANK(Q495),,VLOOKUP(X495,Week9,2,FALSE)/(VLOOKUP(X495,Week9,2,FALSE)+VLOOKUP(W495,Week9,2,FALSE))+0.05)*100)</f>
        <v>56.4196055</v>
      </c>
      <c r="Z495" s="3" t="s">
        <v>131</v>
      </c>
      <c r="AA495" s="3">
        <v>20.0</v>
      </c>
      <c r="AB495" s="4" t="str">
        <f t="shared" si="20"/>
        <v>Troy</v>
      </c>
      <c r="AC495" s="3">
        <v>13.0</v>
      </c>
      <c r="AD495" s="3"/>
      <c r="AE495" s="3">
        <f t="shared" si="13"/>
        <v>7</v>
      </c>
      <c r="AF495" s="3"/>
      <c r="AG495" s="3">
        <f t="shared" si="133"/>
        <v>1</v>
      </c>
      <c r="AH495" s="3"/>
      <c r="AI495" s="7"/>
      <c r="AJ495" s="4"/>
      <c r="AK495" s="7"/>
      <c r="AL495" s="7"/>
      <c r="AM495" s="7"/>
      <c r="AN495" s="7"/>
      <c r="AO495" s="7"/>
      <c r="AP495" s="7"/>
      <c r="AQ495" s="7"/>
      <c r="AR495" s="7"/>
      <c r="AS495" s="7"/>
      <c r="AT495" s="7"/>
      <c r="AU495" s="7"/>
      <c r="AV495" s="7"/>
      <c r="AW495" s="7"/>
      <c r="AX495" s="7"/>
    </row>
    <row r="496" ht="12.75" hidden="1" customHeight="1">
      <c r="A496" s="3">
        <v>4.0</v>
      </c>
      <c r="B496" s="3" t="s">
        <v>103</v>
      </c>
      <c r="C496" s="3" t="s">
        <v>170</v>
      </c>
      <c r="D496" s="4">
        <f>IFERROR(VLOOKUP(B496,Week3,2,FALSE),0)</f>
        <v>28.72</v>
      </c>
      <c r="E496" s="4">
        <f>IF(ISBLANK(B496),,IFERROR(VLOOKUP(B496,CurrentRank!$B$2:$C$132,2,FALSE),0))</f>
        <v>34.42</v>
      </c>
      <c r="F496" s="4">
        <f>IFERROR(VLOOKUP(B496,Week3,3,FALSE),130)</f>
        <v>119</v>
      </c>
      <c r="G496" s="4">
        <f>IF(ISBLANK(B496),,IFERROR(VLOOKUP(B496,CurrentRank!$B$2:$D$132,3,FALSE),130))</f>
        <v>70</v>
      </c>
      <c r="H496" s="4">
        <f>IFERROR(VLOOKUP(C496,Week3,2,FALSE),0)</f>
        <v>27.15</v>
      </c>
      <c r="I496" s="4">
        <f>IF(ISBLANK(B496),,IFERROR(VLOOKUP(C496,CurrentRank!$B$2:$C$132,2,FALSE),0))</f>
        <v>28.08</v>
      </c>
      <c r="J496" s="4">
        <f>IFERROR(VLOOKUP(C496,Week3,3,FALSE),130)</f>
        <v>123</v>
      </c>
      <c r="K496" s="4">
        <f>IF(ISBLANK(C496),,IFERROR(VLOOKUP(C496,CurrentRank!$B$2:$D$132,3,FALSE),130))</f>
        <v>121</v>
      </c>
      <c r="L496" s="19">
        <f t="shared" si="213"/>
        <v>0.83805</v>
      </c>
      <c r="M496" s="19">
        <f t="shared" si="214"/>
        <v>0.9375</v>
      </c>
      <c r="N496" s="24">
        <f t="shared" si="198"/>
        <v>121</v>
      </c>
      <c r="O496" s="21">
        <f t="shared" si="4"/>
        <v>0.365975</v>
      </c>
      <c r="P496" s="21">
        <f t="shared" si="207"/>
        <v>2.750975</v>
      </c>
      <c r="Q496" s="22">
        <f t="shared" si="6"/>
        <v>0.393170125</v>
      </c>
      <c r="R496" s="25" t="str">
        <f t="shared" si="7"/>
        <v>F</v>
      </c>
      <c r="S496" s="19">
        <f t="shared" si="8"/>
        <v>0.185</v>
      </c>
      <c r="T496" s="19" t="str">
        <f t="shared" si="9"/>
        <v>F</v>
      </c>
      <c r="U496" s="3" t="s">
        <v>203</v>
      </c>
      <c r="V496" s="4" t="str">
        <f>IF(ISBLANK(C496),,IFERROR(IF(VLOOKUP(B496,Standings!$A:$F, 6, 0)=VLOOKUP(C496,Standings!$A:$F, 6, 0), VLOOKUP(B496,Standings!$A:$F, 6, 0), "Non-con"), "FCS"))</f>
        <v>Non-con</v>
      </c>
      <c r="W496" s="3" t="str">
        <f t="shared" si="10"/>
        <v>Southern Mississippi</v>
      </c>
      <c r="X496" s="3" t="str">
        <f t="shared" si="11"/>
        <v>Tulane</v>
      </c>
      <c r="Y496" s="30">
        <f>IF(D496=0,,IF(ISBLANK(Q496),,VLOOKUP(X496,Week3,2,FALSE)/(VLOOKUP(X496,Week3,2,FALSE)+VLOOKUP(W496,Week3,2,FALSE))+0.05)*100)</f>
        <v>56.40504743</v>
      </c>
      <c r="Z496" s="3" t="s">
        <v>103</v>
      </c>
      <c r="AA496" s="3">
        <v>66.0</v>
      </c>
      <c r="AB496" s="4" t="str">
        <f t="shared" si="20"/>
        <v>Southern Mississippi</v>
      </c>
      <c r="AC496" s="3">
        <v>24.0</v>
      </c>
      <c r="AD496" s="3"/>
      <c r="AE496" s="3">
        <f t="shared" si="13"/>
        <v>42</v>
      </c>
      <c r="AF496" s="3"/>
      <c r="AG496" s="3">
        <f t="shared" si="133"/>
        <v>1</v>
      </c>
      <c r="AH496" s="3"/>
      <c r="AI496" s="7"/>
      <c r="AJ496" s="4"/>
      <c r="AK496" s="7"/>
      <c r="AL496" s="7"/>
      <c r="AM496" s="7"/>
      <c r="AN496" s="7"/>
      <c r="AO496" s="7"/>
      <c r="AP496" s="7"/>
      <c r="AQ496" s="7"/>
      <c r="AR496" s="7"/>
      <c r="AS496" s="7"/>
      <c r="AT496" s="7"/>
      <c r="AU496" s="7"/>
      <c r="AV496" s="7"/>
      <c r="AW496" s="7"/>
      <c r="AX496" s="7"/>
    </row>
    <row r="497" ht="12.75" customHeight="1">
      <c r="A497" s="3">
        <v>9.0</v>
      </c>
      <c r="B497" s="3" t="s">
        <v>111</v>
      </c>
      <c r="C497" s="3" t="s">
        <v>115</v>
      </c>
      <c r="D497" s="4">
        <f>IFERROR(VLOOKUP(B497,Week8,2,FALSE),0)</f>
        <v>31.01</v>
      </c>
      <c r="E497" s="4">
        <f>IF(ISBLANK(B497),,IFERROR(VLOOKUP(B497,CurrentRank!$B$2:$C$132,2,FALSE),0))</f>
        <v>29.75</v>
      </c>
      <c r="F497" s="4">
        <f>IFERROR(VLOOKUP(B497,Week8,3,FALSE),130)</f>
        <v>72</v>
      </c>
      <c r="G497" s="4">
        <f>IF(ISBLANK(B497),,IFERROR(VLOOKUP(B497,CurrentRank!$B$2:$D$132,3,FALSE),130))</f>
        <v>112</v>
      </c>
      <c r="H497" s="4">
        <f>IFERROR(VLOOKUP(C497,Week8,2,FALSE),0)</f>
        <v>35.97</v>
      </c>
      <c r="I497" s="4">
        <f>IF(ISBLANK(B497),,IFERROR(VLOOKUP(C497,CurrentRank!$B$2:$C$132,2,FALSE),0))</f>
        <v>32.29</v>
      </c>
      <c r="J497" s="4">
        <f>IFERROR(VLOOKUP(C497,Week8,3,FALSE),130)</f>
        <v>56</v>
      </c>
      <c r="K497" s="4">
        <f>IF(ISBLANK(C497),,IFERROR(VLOOKUP(C497,CurrentRank!$B$2:$D$132,3,FALSE),130))</f>
        <v>91</v>
      </c>
      <c r="L497" s="19">
        <f t="shared" si="213"/>
        <v>1.0047</v>
      </c>
      <c r="M497" s="19">
        <f t="shared" si="214"/>
        <v>0.9306</v>
      </c>
      <c r="N497" s="24">
        <f t="shared" si="198"/>
        <v>64</v>
      </c>
      <c r="O497" s="21">
        <f t="shared" si="4"/>
        <v>-2.98235</v>
      </c>
      <c r="P497" s="21">
        <f t="shared" si="207"/>
        <v>-1.77235</v>
      </c>
      <c r="Q497" s="22">
        <f t="shared" si="6"/>
        <v>0.66508825</v>
      </c>
      <c r="R497" s="25" t="str">
        <f t="shared" si="7"/>
        <v>D+</v>
      </c>
      <c r="S497" s="19">
        <f t="shared" si="8"/>
        <v>0.54</v>
      </c>
      <c r="T497" s="19" t="str">
        <f t="shared" si="9"/>
        <v>F</v>
      </c>
      <c r="U497" s="3" t="s">
        <v>203</v>
      </c>
      <c r="V497" s="4" t="str">
        <f>IF(ISBLANK(C497),,IFERROR(IF(VLOOKUP(B497,Standings!$A:$F, 6, 0)=VLOOKUP(C497,Standings!$A:$F, 6, 0), VLOOKUP(B497,Standings!$A:$F, 6, 0), "Non-con"), "FCS"))</f>
        <v>SUN</v>
      </c>
      <c r="W497" s="3" t="str">
        <f t="shared" si="10"/>
        <v>Troy</v>
      </c>
      <c r="X497" s="3" t="str">
        <f t="shared" si="11"/>
        <v>Arkansas State</v>
      </c>
      <c r="Y497" s="30">
        <f>IF(D497=0,,IF(ISBLANK(Q497),,VLOOKUP(X497,Week8,2,FALSE)/(VLOOKUP(X497,Week8,2,FALSE)+VLOOKUP(W497,Week8,2,FALSE))+0.05)*100)</f>
        <v>58.70259779</v>
      </c>
      <c r="Z497" s="3" t="s">
        <v>111</v>
      </c>
      <c r="AA497" s="3">
        <v>38.0</v>
      </c>
      <c r="AB497" s="4" t="str">
        <f t="shared" si="20"/>
        <v>Arkansas State</v>
      </c>
      <c r="AC497" s="3">
        <v>10.0</v>
      </c>
      <c r="AD497" s="3"/>
      <c r="AE497" s="3">
        <f t="shared" si="13"/>
        <v>28</v>
      </c>
      <c r="AF497" s="3"/>
      <c r="AG497" s="3">
        <f t="shared" si="133"/>
        <v>0</v>
      </c>
      <c r="AH497" s="3"/>
      <c r="AI497" s="7"/>
      <c r="AJ497" s="4" t="s">
        <v>274</v>
      </c>
      <c r="AK497" s="7"/>
      <c r="AL497" s="7"/>
      <c r="AM497" s="7"/>
      <c r="AN497" s="7"/>
      <c r="AO497" s="7"/>
      <c r="AP497" s="7"/>
      <c r="AQ497" s="7"/>
      <c r="AR497" s="7"/>
      <c r="AS497" s="7"/>
      <c r="AT497" s="7"/>
      <c r="AU497" s="7"/>
      <c r="AV497" s="7"/>
      <c r="AW497" s="7"/>
      <c r="AX497" s="7"/>
    </row>
    <row r="498" ht="12.75" hidden="1" customHeight="1">
      <c r="A498" s="3">
        <v>11.0</v>
      </c>
      <c r="B498" s="3" t="s">
        <v>184</v>
      </c>
      <c r="C498" s="3" t="s">
        <v>142</v>
      </c>
      <c r="D498" s="4">
        <f>IFERROR(VLOOKUP(B498,Week10,2,FALSE),0)</f>
        <v>28.57</v>
      </c>
      <c r="E498" s="4">
        <f>IF(ISBLANK(B498),,IFERROR(VLOOKUP(B498,CurrentRank!$B$2:$C$132,2,FALSE),0))</f>
        <v>28.91</v>
      </c>
      <c r="F498" s="4">
        <f>IFERROR(VLOOKUP(B498,Week10,3,FALSE),130)</f>
        <v>114</v>
      </c>
      <c r="G498" s="4">
        <f>IF(ISBLANK(B498),,IFERROR(VLOOKUP(B498,CurrentRank!$B$2:$D$132,3,FALSE),130))</f>
        <v>118</v>
      </c>
      <c r="H498" s="4">
        <f>IFERROR(VLOOKUP(C498,Week10,2,FALSE),0)</f>
        <v>30.14</v>
      </c>
      <c r="I498" s="4">
        <f>IF(ISBLANK(B498),,IFERROR(VLOOKUP(C498,CurrentRank!$B$2:$C$132,2,FALSE),0))</f>
        <v>35.28</v>
      </c>
      <c r="J498" s="4">
        <f>IFERROR(VLOOKUP(C498,Week10,3,FALSE),130)</f>
        <v>102</v>
      </c>
      <c r="K498" s="4">
        <f>IF(ISBLANK(C498),,IFERROR(VLOOKUP(C498,CurrentRank!$B$2:$D$132,3,FALSE),130))</f>
        <v>63</v>
      </c>
      <c r="L498" s="19">
        <f t="shared" si="213"/>
        <v>0.88065</v>
      </c>
      <c r="M498" s="19">
        <f t="shared" si="214"/>
        <v>0.96285</v>
      </c>
      <c r="N498" s="24">
        <f t="shared" si="198"/>
        <v>108</v>
      </c>
      <c r="O498" s="21">
        <f t="shared" si="4"/>
        <v>-1.225325</v>
      </c>
      <c r="P498" s="21">
        <f t="shared" si="207"/>
        <v>-3.625325</v>
      </c>
      <c r="Q498" s="22">
        <f t="shared" si="6"/>
        <v>0.453873375</v>
      </c>
      <c r="R498" s="25" t="str">
        <f t="shared" si="7"/>
        <v>F</v>
      </c>
      <c r="S498" s="19">
        <f t="shared" si="8"/>
        <v>0.39</v>
      </c>
      <c r="T498" s="19" t="str">
        <f t="shared" si="9"/>
        <v>F</v>
      </c>
      <c r="U498" s="3" t="s">
        <v>203</v>
      </c>
      <c r="V498" s="4" t="str">
        <f>IF(ISBLANK(C498),,IFERROR(IF(VLOOKUP(B498,Standings!$A:$F, 6, 0)=VLOOKUP(C498,Standings!$A:$F, 6, 0), VLOOKUP(B498,Standings!$A:$F, 6, 0), "Non-con"), "FCS"))</f>
        <v>MAC</v>
      </c>
      <c r="W498" s="3" t="str">
        <f t="shared" si="10"/>
        <v>Akron</v>
      </c>
      <c r="X498" s="3" t="str">
        <f t="shared" si="11"/>
        <v>Ohio</v>
      </c>
      <c r="Y498" s="30">
        <f>IF(D498=0,,IF(ISBLANK(Q498),,VLOOKUP(X498,Week10,2,FALSE)/(VLOOKUP(X498,Week10,2,FALSE)+VLOOKUP(W498,Week10,2,FALSE))+0.05)*100)</f>
        <v>56.33708057</v>
      </c>
      <c r="Z498" s="3" t="s">
        <v>142</v>
      </c>
      <c r="AA498" s="3">
        <v>24.0</v>
      </c>
      <c r="AB498" s="4" t="str">
        <f t="shared" si="20"/>
        <v>Akron</v>
      </c>
      <c r="AC498" s="3">
        <v>10.0</v>
      </c>
      <c r="AD498" s="3"/>
      <c r="AE498" s="3">
        <f t="shared" si="13"/>
        <v>14</v>
      </c>
      <c r="AF498" s="3"/>
      <c r="AG498" s="3">
        <f t="shared" si="133"/>
        <v>1</v>
      </c>
      <c r="AH498" s="3"/>
      <c r="AI498" s="7"/>
      <c r="AJ498" s="4"/>
      <c r="AN498" s="7"/>
      <c r="AO498" s="7"/>
      <c r="AP498" s="7"/>
      <c r="AQ498" s="7"/>
      <c r="AR498" s="7"/>
      <c r="AS498" s="7"/>
      <c r="AT498" s="7"/>
      <c r="AU498" s="7"/>
      <c r="AV498" s="7"/>
      <c r="AW498" s="7"/>
      <c r="AX498" s="7"/>
    </row>
    <row r="499" ht="12.75" customHeight="1">
      <c r="A499" s="3">
        <v>12.0</v>
      </c>
      <c r="B499" s="3" t="s">
        <v>87</v>
      </c>
      <c r="C499" s="3" t="s">
        <v>166</v>
      </c>
      <c r="D499" s="4">
        <f>IFERROR(VLOOKUP(B499,Week11,2,FALSE),0)</f>
        <v>29.36</v>
      </c>
      <c r="E499" s="4">
        <f>IF(ISBLANK(B499),,IFERROR(VLOOKUP(B499,CurrentRank!$B$2:$C$132,2,FALSE),0))</f>
        <v>31.54</v>
      </c>
      <c r="F499" s="4">
        <f>IFERROR(VLOOKUP(B499,Week11,3,FALSE),130)</f>
        <v>112</v>
      </c>
      <c r="G499" s="4">
        <f>IF(ISBLANK(B499),,IFERROR(VLOOKUP(B499,CurrentRank!$B$2:$D$132,3,FALSE),130))</f>
        <v>97</v>
      </c>
      <c r="H499" s="4">
        <f>IFERROR(VLOOKUP(C499,Week11,2,FALSE),0)</f>
        <v>32.29</v>
      </c>
      <c r="I499" s="4">
        <f>IF(ISBLANK(B499),,IFERROR(VLOOKUP(C499,CurrentRank!$B$2:$C$132,2,FALSE),0))</f>
        <v>31.48</v>
      </c>
      <c r="J499" s="4">
        <f>IFERROR(VLOOKUP(C499,Week11,3,FALSE),130)</f>
        <v>85</v>
      </c>
      <c r="K499" s="4">
        <f>IF(ISBLANK(C499),,IFERROR(VLOOKUP(C499,CurrentRank!$B$2:$D$132,3,FALSE),130))</f>
        <v>99</v>
      </c>
      <c r="L499" s="19">
        <f t="shared" si="213"/>
        <v>0.92475</v>
      </c>
      <c r="M499" s="19">
        <f t="shared" si="214"/>
        <v>0.9453</v>
      </c>
      <c r="N499" s="24">
        <f t="shared" si="198"/>
        <v>98.5</v>
      </c>
      <c r="O499" s="21">
        <f t="shared" si="4"/>
        <v>-1.927375</v>
      </c>
      <c r="P499" s="21">
        <f t="shared" si="207"/>
        <v>-0.432375</v>
      </c>
      <c r="Q499" s="22">
        <f t="shared" si="6"/>
        <v>0.497863125</v>
      </c>
      <c r="R499" s="25" t="str">
        <f t="shared" si="7"/>
        <v>F</v>
      </c>
      <c r="S499" s="19">
        <f t="shared" si="8"/>
        <v>0.5375</v>
      </c>
      <c r="T499" s="19" t="str">
        <f t="shared" si="9"/>
        <v>F</v>
      </c>
      <c r="U499" s="3" t="s">
        <v>203</v>
      </c>
      <c r="V499" s="4" t="str">
        <f>IF(ISBLANK(C499),,IFERROR(IF(VLOOKUP(B499,Standings!$A:$F, 6, 0)=VLOOKUP(C499,Standings!$A:$F, 6, 0), VLOOKUP(B499,Standings!$A:$F, 6, 0), "Non-con"), "FCS"))</f>
        <v>B1G</v>
      </c>
      <c r="W499" s="3" t="str">
        <f t="shared" si="10"/>
        <v>Michigan</v>
      </c>
      <c r="X499" s="3" t="str">
        <f t="shared" si="11"/>
        <v>Rutgers</v>
      </c>
      <c r="Y499" s="30">
        <f>IF(D499=0,,IF(ISBLANK(Q499),,VLOOKUP(X499,Week11,2,FALSE)/(VLOOKUP(X499,Week11,2,FALSE)+VLOOKUP(W499,Week11,2,FALSE))+0.05)*100)</f>
        <v>57.37631792</v>
      </c>
      <c r="Z499" s="3" t="s">
        <v>87</v>
      </c>
      <c r="AA499" s="3">
        <v>48.0</v>
      </c>
      <c r="AB499" s="4" t="str">
        <f t="shared" si="20"/>
        <v>Rutgers</v>
      </c>
      <c r="AC499" s="3">
        <v>42.0</v>
      </c>
      <c r="AD499" s="3">
        <v>3.0</v>
      </c>
      <c r="AE499" s="3">
        <f t="shared" si="13"/>
        <v>6</v>
      </c>
      <c r="AF499" s="3"/>
      <c r="AG499" s="3">
        <f t="shared" si="133"/>
        <v>0</v>
      </c>
      <c r="AH499" s="3"/>
      <c r="AI499" s="7"/>
      <c r="AJ499" s="4"/>
      <c r="AK499" s="7"/>
      <c r="AL499" s="7"/>
      <c r="AM499" s="7"/>
      <c r="AN499" s="7"/>
      <c r="AO499" s="7"/>
      <c r="AP499" s="7"/>
      <c r="AQ499" s="7"/>
      <c r="AR499" s="7"/>
      <c r="AS499" s="7"/>
      <c r="AT499" s="7"/>
      <c r="AU499" s="7"/>
      <c r="AV499" s="7"/>
      <c r="AW499" s="7"/>
      <c r="AX499" s="7"/>
    </row>
    <row r="500" ht="12.75" hidden="1" customHeight="1">
      <c r="A500" s="3">
        <v>5.0</v>
      </c>
      <c r="B500" s="3" t="s">
        <v>140</v>
      </c>
      <c r="C500" s="3" t="s">
        <v>124</v>
      </c>
      <c r="D500" s="4">
        <f>IFERROR(VLOOKUP(B500,Week4,2,FALSE),0)</f>
        <v>29.49</v>
      </c>
      <c r="E500" s="4">
        <f>IF(ISBLANK(B500),,IFERROR(VLOOKUP(B500,CurrentRank!$B$2:$C$132,2,FALSE),0))</f>
        <v>22.5</v>
      </c>
      <c r="F500" s="4">
        <f>IFERROR(VLOOKUP(B500,Week4,3,FALSE),130)</f>
        <v>113</v>
      </c>
      <c r="G500" s="4">
        <f>IF(ISBLANK(B500),,IFERROR(VLOOKUP(B500,CurrentRank!$B$2:$D$132,3,FALSE),130))</f>
        <v>126</v>
      </c>
      <c r="H500" s="4">
        <f>IFERROR(VLOOKUP(C500,Week4,2,FALSE),0)</f>
        <v>31.05</v>
      </c>
      <c r="I500" s="4">
        <f>IF(ISBLANK(B500),,IFERROR(VLOOKUP(C500,CurrentRank!$B$2:$C$132,2,FALSE),0))</f>
        <v>33.33</v>
      </c>
      <c r="J500" s="4">
        <f>IFERROR(VLOOKUP(C500,Week4,3,FALSE),130)</f>
        <v>58</v>
      </c>
      <c r="K500" s="4">
        <f>IF(ISBLANK(C500),,IFERROR(VLOOKUP(C500,CurrentRank!$B$2:$D$132,3,FALSE),130))</f>
        <v>83</v>
      </c>
      <c r="L500" s="19">
        <f t="shared" si="213"/>
        <v>0.9081</v>
      </c>
      <c r="M500" s="19">
        <f t="shared" si="214"/>
        <v>0.83745</v>
      </c>
      <c r="N500" s="24">
        <f t="shared" si="198"/>
        <v>85.5</v>
      </c>
      <c r="O500" s="21">
        <f t="shared" si="4"/>
        <v>-1.23405</v>
      </c>
      <c r="P500" s="21">
        <f t="shared" si="207"/>
        <v>-5.86905</v>
      </c>
      <c r="Q500" s="22">
        <f t="shared" si="6"/>
        <v>0.56632975</v>
      </c>
      <c r="R500" s="25" t="str">
        <f t="shared" si="7"/>
        <v>F</v>
      </c>
      <c r="S500" s="19">
        <f t="shared" si="8"/>
        <v>0.5525</v>
      </c>
      <c r="T500" s="19" t="str">
        <f t="shared" si="9"/>
        <v>F</v>
      </c>
      <c r="U500" s="3" t="s">
        <v>203</v>
      </c>
      <c r="V500" s="4" t="str">
        <f>IF(ISBLANK(C500),,IFERROR(IF(VLOOKUP(B500,Standings!$A:$F, 6, 0)=VLOOKUP(C500,Standings!$A:$F, 6, 0), VLOOKUP(B500,Standings!$A:$F, 6, 0), "Non-con"), "FCS"))</f>
        <v>CUSA</v>
      </c>
      <c r="W500" s="3" t="str">
        <f t="shared" si="10"/>
        <v>Charlotte</v>
      </c>
      <c r="X500" s="3" t="str">
        <f t="shared" si="11"/>
        <v>Florida Atlantic</v>
      </c>
      <c r="Y500" s="30">
        <f>IF(D500=0,,IF(ISBLANK(Q500),,VLOOKUP(X500,Week4,2,FALSE)/(VLOOKUP(X500,Week4,2,FALSE)+VLOOKUP(W500,Week4,2,FALSE))+0.05)*100)</f>
        <v>56.28840436</v>
      </c>
      <c r="Z500" s="3" t="s">
        <v>124</v>
      </c>
      <c r="AA500" s="3">
        <v>21.0</v>
      </c>
      <c r="AB500" s="4" t="str">
        <f t="shared" si="20"/>
        <v>Charlotte</v>
      </c>
      <c r="AC500" s="3">
        <v>17.0</v>
      </c>
      <c r="AD500" s="3"/>
      <c r="AE500" s="3">
        <f t="shared" si="13"/>
        <v>4</v>
      </c>
      <c r="AF500" s="3"/>
      <c r="AG500" s="3">
        <f t="shared" si="133"/>
        <v>1</v>
      </c>
      <c r="AH500" s="3"/>
      <c r="AI500" s="7"/>
      <c r="AJ500" s="4"/>
      <c r="AK500" s="7"/>
      <c r="AL500" s="7"/>
      <c r="AM500" s="7"/>
      <c r="AN500" s="7"/>
      <c r="AO500" s="7"/>
      <c r="AP500" s="7"/>
      <c r="AQ500" s="7"/>
      <c r="AR500" s="7"/>
      <c r="AS500" s="7"/>
      <c r="AT500" s="7"/>
      <c r="AU500" s="7"/>
      <c r="AV500" s="7"/>
      <c r="AW500" s="7"/>
      <c r="AX500" s="7"/>
    </row>
    <row r="501" ht="12.75" hidden="1" customHeight="1">
      <c r="A501" s="3">
        <v>14.0</v>
      </c>
      <c r="B501" s="3" t="s">
        <v>191</v>
      </c>
      <c r="C501" s="3" t="s">
        <v>179</v>
      </c>
      <c r="D501" s="4">
        <f>IFERROR(VLOOKUP(B501,Week13,2,FALSE),0)</f>
        <v>34.79</v>
      </c>
      <c r="E501" s="4">
        <f>IF(ISBLANK(B501),,IFERROR(VLOOKUP(B501,CurrentRank!$B$2:$C$132,2,FALSE),0))</f>
        <v>34.71</v>
      </c>
      <c r="F501" s="4">
        <f>IFERROR(VLOOKUP(B501,Week13,3,FALSE),130)</f>
        <v>63</v>
      </c>
      <c r="G501" s="4">
        <f>IF(ISBLANK(B501),,IFERROR(VLOOKUP(B501,CurrentRank!$B$2:$D$132,3,FALSE),130))</f>
        <v>68</v>
      </c>
      <c r="H501" s="4">
        <f>IFERROR(VLOOKUP(C501,Week13,2,FALSE),0)</f>
        <v>36.58</v>
      </c>
      <c r="I501" s="4">
        <f>IF(ISBLANK(B501),,IFERROR(VLOOKUP(C501,CurrentRank!$B$2:$C$132,2,FALSE),0))</f>
        <v>37.85</v>
      </c>
      <c r="J501" s="4">
        <f>IFERROR(VLOOKUP(C501,Week13,3,FALSE),130)</f>
        <v>48</v>
      </c>
      <c r="K501" s="4">
        <f>IF(ISBLANK(C501),,IFERROR(VLOOKUP(C501,CurrentRank!$B$2:$D$132,3,FALSE),130))</f>
        <v>39</v>
      </c>
      <c r="L501" s="19">
        <f t="shared" ref="L501:M501" si="215">IF(ISBLANK(C501),,(D501+H501)*0.015)</f>
        <v>1.07055</v>
      </c>
      <c r="M501" s="19">
        <f t="shared" si="215"/>
        <v>1.0884</v>
      </c>
      <c r="N501" s="24">
        <f t="shared" si="198"/>
        <v>55.5</v>
      </c>
      <c r="O501" s="21">
        <f t="shared" si="4"/>
        <v>-1.430275</v>
      </c>
      <c r="P501" s="21">
        <f t="shared" si="207"/>
        <v>-2.105275</v>
      </c>
      <c r="Q501" s="22">
        <f t="shared" si="6"/>
        <v>0.715348625</v>
      </c>
      <c r="R501" s="25" t="str">
        <f t="shared" si="7"/>
        <v>C-</v>
      </c>
      <c r="S501" s="19" t="str">
        <f t="shared" si="8"/>
        <v/>
      </c>
      <c r="T501" s="19" t="str">
        <f t="shared" si="9"/>
        <v/>
      </c>
      <c r="U501" s="3" t="s">
        <v>203</v>
      </c>
      <c r="V501" s="4" t="str">
        <f>IF(ISBLANK(C501),,IFERROR(IF(VLOOKUP(B501,Standings!$A:$F, 6, 0)=VLOOKUP(C501,Standings!$A:$F, 6, 0), VLOOKUP(B501,Standings!$A:$F, 6, 0), "Non-con"), "FCS"))</f>
        <v>MAC</v>
      </c>
      <c r="W501" s="3" t="str">
        <f t="shared" si="10"/>
        <v>Kent State</v>
      </c>
      <c r="X501" s="3" t="str">
        <f t="shared" si="11"/>
        <v>Miami (OH)</v>
      </c>
      <c r="Y501" s="30">
        <f>IF(D501=0,,IF(ISBLANK(Q501),,VLOOKUP(X501,Week13,2,FALSE)/(VLOOKUP(X501,Week13,2,FALSE)+VLOOKUP(W501,Week13,2,FALSE))+0.05)*100)</f>
        <v>56.2540283</v>
      </c>
      <c r="Z501" s="3"/>
      <c r="AA501" s="3"/>
      <c r="AB501" s="4" t="str">
        <f t="shared" si="20"/>
        <v/>
      </c>
      <c r="AC501" s="3"/>
      <c r="AD501" s="3"/>
      <c r="AE501" s="3" t="str">
        <f t="shared" si="13"/>
        <v/>
      </c>
      <c r="AF501" s="3" t="s">
        <v>226</v>
      </c>
      <c r="AG501" s="3" t="str">
        <f t="shared" si="133"/>
        <v/>
      </c>
      <c r="AH501" s="3"/>
      <c r="AI501" s="7"/>
      <c r="AJ501" s="4"/>
      <c r="AK501" s="7"/>
      <c r="AL501" s="7"/>
      <c r="AM501" s="7"/>
      <c r="AN501" s="7"/>
      <c r="AO501" s="7"/>
      <c r="AP501" s="7"/>
      <c r="AQ501" s="7"/>
      <c r="AR501" s="7"/>
      <c r="AS501" s="7"/>
      <c r="AT501" s="7"/>
      <c r="AU501" s="7"/>
      <c r="AV501" s="7"/>
      <c r="AW501" s="7"/>
      <c r="AX501" s="7"/>
    </row>
    <row r="502" ht="12.75" hidden="1" customHeight="1">
      <c r="A502" s="3">
        <v>14.0</v>
      </c>
      <c r="B502" s="3" t="s">
        <v>122</v>
      </c>
      <c r="C502" s="3" t="s">
        <v>111</v>
      </c>
      <c r="D502" s="4">
        <f>IFERROR(VLOOKUP(B502,Week13,2,FALSE),0)</f>
        <v>25.29</v>
      </c>
      <c r="E502" s="4">
        <f>IF(ISBLANK(B502),,IFERROR(VLOOKUP(B502,CurrentRank!$B$2:$C$132,2,FALSE),0))</f>
        <v>25.95</v>
      </c>
      <c r="F502" s="4">
        <f>IFERROR(VLOOKUP(B502,Week13,3,FALSE),130)</f>
        <v>124</v>
      </c>
      <c r="G502" s="4">
        <f>IF(ISBLANK(B502),,IFERROR(VLOOKUP(B502,CurrentRank!$B$2:$D$132,3,FALSE),130))</f>
        <v>124</v>
      </c>
      <c r="H502" s="4">
        <f>IFERROR(VLOOKUP(C502,Week13,2,FALSE),0)</f>
        <v>26.59</v>
      </c>
      <c r="I502" s="4">
        <f>IF(ISBLANK(B502),,IFERROR(VLOOKUP(C502,CurrentRank!$B$2:$C$132,2,FALSE),0))</f>
        <v>29.75</v>
      </c>
      <c r="J502" s="4">
        <f>IFERROR(VLOOKUP(C502,Week13,3,FALSE),130)</f>
        <v>122</v>
      </c>
      <c r="K502" s="4">
        <f>IF(ISBLANK(C502),,IFERROR(VLOOKUP(C502,CurrentRank!$B$2:$D$132,3,FALSE),130))</f>
        <v>112</v>
      </c>
      <c r="L502" s="19">
        <f t="shared" ref="L502:M502" si="216">IF(ISBLANK(C502),,(D502+H502)*0.015)</f>
        <v>0.7782</v>
      </c>
      <c r="M502" s="19">
        <f t="shared" si="216"/>
        <v>0.8355</v>
      </c>
      <c r="N502" s="24">
        <f t="shared" si="198"/>
        <v>123</v>
      </c>
      <c r="O502" s="21">
        <f t="shared" si="4"/>
        <v>-1.0391</v>
      </c>
      <c r="P502" s="21">
        <f t="shared" si="207"/>
        <v>-2.2891</v>
      </c>
      <c r="Q502" s="22">
        <f t="shared" si="6"/>
        <v>0.3798045</v>
      </c>
      <c r="R502" s="25" t="str">
        <f t="shared" si="7"/>
        <v>F</v>
      </c>
      <c r="S502" s="19" t="str">
        <f t="shared" si="8"/>
        <v/>
      </c>
      <c r="T502" s="19" t="str">
        <f t="shared" si="9"/>
        <v/>
      </c>
      <c r="U502" s="3" t="s">
        <v>203</v>
      </c>
      <c r="V502" s="4" t="str">
        <f>IF(ISBLANK(C502),,IFERROR(IF(VLOOKUP(B502,Standings!$A:$F, 6, 0)=VLOOKUP(C502,Standings!$A:$F, 6, 0), VLOOKUP(B502,Standings!$A:$F, 6, 0), "Non-con"), "FCS"))</f>
        <v>SUN</v>
      </c>
      <c r="W502" s="3" t="str">
        <f t="shared" si="10"/>
        <v>UL-Monroe</v>
      </c>
      <c r="X502" s="3" t="str">
        <f t="shared" si="11"/>
        <v>Troy</v>
      </c>
      <c r="Y502" s="30">
        <f>IF(D502=0,,IF(ISBLANK(Q502),,VLOOKUP(X502,Week13,2,FALSE)/(VLOOKUP(X502,Week13,2,FALSE)+VLOOKUP(W502,Week13,2,FALSE))+0.05)*100)</f>
        <v>56.25289129</v>
      </c>
      <c r="Z502" s="3"/>
      <c r="AA502" s="3"/>
      <c r="AB502" s="4" t="str">
        <f t="shared" si="20"/>
        <v/>
      </c>
      <c r="AC502" s="3"/>
      <c r="AD502" s="3"/>
      <c r="AE502" s="3" t="str">
        <f t="shared" si="13"/>
        <v/>
      </c>
      <c r="AF502" s="3" t="s">
        <v>228</v>
      </c>
      <c r="AG502" s="3" t="str">
        <f t="shared" si="133"/>
        <v/>
      </c>
      <c r="AH502" s="3"/>
      <c r="AI502" s="7"/>
      <c r="AJ502" s="4"/>
      <c r="AK502" s="7"/>
      <c r="AL502" s="7"/>
      <c r="AM502" s="7"/>
      <c r="AN502" s="7"/>
      <c r="AO502" s="7"/>
      <c r="AP502" s="7"/>
      <c r="AQ502" s="7"/>
      <c r="AR502" s="7"/>
      <c r="AS502" s="7"/>
      <c r="AT502" s="7"/>
      <c r="AU502" s="7"/>
      <c r="AV502" s="7"/>
      <c r="AW502" s="7"/>
      <c r="AX502" s="7"/>
    </row>
    <row r="503" ht="12.75" customHeight="1">
      <c r="A503" s="3">
        <v>10.0</v>
      </c>
      <c r="B503" s="3" t="s">
        <v>158</v>
      </c>
      <c r="C503" s="3" t="s">
        <v>160</v>
      </c>
      <c r="D503" s="4">
        <f>IFERROR(VLOOKUP(B503,Week9,2,FALSE),0)</f>
        <v>30.61</v>
      </c>
      <c r="E503" s="4">
        <f>IF(ISBLANK(B503),,IFERROR(VLOOKUP(B503,CurrentRank!$B$2:$C$132,2,FALSE),0))</f>
        <v>34.21</v>
      </c>
      <c r="F503" s="4">
        <f>IFERROR(VLOOKUP(B503,Week9,3,FALSE),130)</f>
        <v>83</v>
      </c>
      <c r="G503" s="4">
        <f>IF(ISBLANK(B503),,IFERROR(VLOOKUP(B503,CurrentRank!$B$2:$D$132,3,FALSE),130))</f>
        <v>72</v>
      </c>
      <c r="H503" s="4">
        <f>IFERROR(VLOOKUP(C503,Week9,2,FALSE),0)</f>
        <v>30.61</v>
      </c>
      <c r="I503" s="4">
        <f>IF(ISBLANK(B503),,IFERROR(VLOOKUP(C503,CurrentRank!$B$2:$C$132,2,FALSE),0))</f>
        <v>34.87</v>
      </c>
      <c r="J503" s="4">
        <f>IFERROR(VLOOKUP(C503,Week9,3,FALSE),130)</f>
        <v>83</v>
      </c>
      <c r="K503" s="4">
        <f>IF(ISBLANK(C503),,IFERROR(VLOOKUP(C503,CurrentRank!$B$2:$D$132,3,FALSE),130))</f>
        <v>66</v>
      </c>
      <c r="L503" s="19">
        <f t="shared" ref="L503:L513" si="217">IF(U503= "Yes", 0, IF(ISBLANK(C503),,(D503+H503)*0.015))</f>
        <v>0.9183</v>
      </c>
      <c r="M503" s="19">
        <f t="shared" ref="M503:M513" si="218">IF(U503= "Yes", 0, IF(ISBLANK(D503),,(E503+I503)*0.015))</f>
        <v>1.0362</v>
      </c>
      <c r="N503" s="24">
        <f t="shared" si="198"/>
        <v>83</v>
      </c>
      <c r="O503" s="21">
        <f t="shared" si="4"/>
        <v>-0.45915</v>
      </c>
      <c r="P503" s="21">
        <f t="shared" si="207"/>
        <v>-0.78915</v>
      </c>
      <c r="Q503" s="22">
        <f t="shared" si="6"/>
        <v>0.58270425</v>
      </c>
      <c r="R503" s="25" t="str">
        <f t="shared" si="7"/>
        <v>F</v>
      </c>
      <c r="S503" s="19">
        <f t="shared" si="8"/>
        <v>0.535</v>
      </c>
      <c r="T503" s="19" t="str">
        <f t="shared" si="9"/>
        <v>F</v>
      </c>
      <c r="U503" s="3" t="s">
        <v>203</v>
      </c>
      <c r="V503" s="4" t="str">
        <f>IF(ISBLANK(C503),,IFERROR(IF(VLOOKUP(B503,Standings!$A:$F, 6, 0)=VLOOKUP(C503,Standings!$A:$F, 6, 0), VLOOKUP(B503,Standings!$A:$F, 6, 0), "Non-con"), "FCS"))</f>
        <v>PAC12</v>
      </c>
      <c r="W503" s="3" t="str">
        <f t="shared" si="10"/>
        <v>Washington State</v>
      </c>
      <c r="X503" s="3" t="str">
        <f t="shared" si="11"/>
        <v>Oregon State</v>
      </c>
      <c r="Y503" s="30">
        <f>IF(D503=0,,IF(ISBLANK(Q503),,VLOOKUP(X503,Week9,2,FALSE)/(VLOOKUP(X503,Week9,2,FALSE)+VLOOKUP(W503,Week9,2,FALSE))+0.05)*100)</f>
        <v>55</v>
      </c>
      <c r="Z503" s="3" t="s">
        <v>158</v>
      </c>
      <c r="AA503" s="3">
        <v>38.0</v>
      </c>
      <c r="AB503" s="4" t="str">
        <f t="shared" si="20"/>
        <v>Oregon State</v>
      </c>
      <c r="AC503" s="3">
        <v>28.0</v>
      </c>
      <c r="AD503" s="3"/>
      <c r="AE503" s="3">
        <f t="shared" si="13"/>
        <v>10</v>
      </c>
      <c r="AF503" s="3"/>
      <c r="AG503" s="3">
        <f t="shared" si="133"/>
        <v>0</v>
      </c>
      <c r="AH503" s="3"/>
      <c r="AI503" s="7"/>
      <c r="AJ503" s="4"/>
      <c r="AK503" s="7"/>
      <c r="AL503" s="7"/>
      <c r="AM503" s="7"/>
      <c r="AN503" s="7"/>
      <c r="AO503" s="7"/>
      <c r="AP503" s="7"/>
      <c r="AQ503" s="7"/>
      <c r="AR503" s="7"/>
      <c r="AS503" s="7"/>
      <c r="AT503" s="7"/>
      <c r="AU503" s="7"/>
      <c r="AV503" s="7"/>
      <c r="AW503" s="7"/>
      <c r="AX503" s="7"/>
    </row>
    <row r="504" ht="12.75" customHeight="1">
      <c r="A504" s="3">
        <v>11.0</v>
      </c>
      <c r="B504" s="3" t="s">
        <v>137</v>
      </c>
      <c r="C504" s="3" t="s">
        <v>166</v>
      </c>
      <c r="D504" s="4">
        <f>IFERROR(VLOOKUP(B504,Week10,2,FALSE),0)</f>
        <v>23.53</v>
      </c>
      <c r="E504" s="4">
        <f>IF(ISBLANK(B504),,IFERROR(VLOOKUP(B504,CurrentRank!$B$2:$C$132,2,FALSE),0))</f>
        <v>31.52</v>
      </c>
      <c r="F504" s="4">
        <f>IFERROR(VLOOKUP(B504,Week10,3,FALSE),130)</f>
        <v>127</v>
      </c>
      <c r="G504" s="4">
        <f>IF(ISBLANK(B504),,IFERROR(VLOOKUP(B504,CurrentRank!$B$2:$D$132,3,FALSE),130))</f>
        <v>98</v>
      </c>
      <c r="H504" s="4">
        <f>IFERROR(VLOOKUP(C504,Week10,2,FALSE),0)</f>
        <v>36.69</v>
      </c>
      <c r="I504" s="4">
        <f>IF(ISBLANK(B504),,IFERROR(VLOOKUP(C504,CurrentRank!$B$2:$C$132,2,FALSE),0))</f>
        <v>31.48</v>
      </c>
      <c r="J504" s="4">
        <f>IFERROR(VLOOKUP(C504,Week10,3,FALSE),130)</f>
        <v>58</v>
      </c>
      <c r="K504" s="4">
        <f>IF(ISBLANK(C504),,IFERROR(VLOOKUP(C504,CurrentRank!$B$2:$D$132,3,FALSE),130))</f>
        <v>99</v>
      </c>
      <c r="L504" s="19">
        <f t="shared" si="217"/>
        <v>0.9033</v>
      </c>
      <c r="M504" s="19">
        <f t="shared" si="218"/>
        <v>0.945</v>
      </c>
      <c r="N504" s="24">
        <f t="shared" si="198"/>
        <v>92.5</v>
      </c>
      <c r="O504" s="21">
        <f t="shared" si="4"/>
        <v>-7.03165</v>
      </c>
      <c r="P504" s="21">
        <f t="shared" si="207"/>
        <v>-0.43165</v>
      </c>
      <c r="Q504" s="22">
        <f t="shared" si="6"/>
        <v>0.50234175</v>
      </c>
      <c r="R504" s="25" t="str">
        <f t="shared" si="7"/>
        <v>F</v>
      </c>
      <c r="S504" s="19">
        <f t="shared" si="8"/>
        <v>0.5225</v>
      </c>
      <c r="T504" s="19" t="str">
        <f t="shared" si="9"/>
        <v>F</v>
      </c>
      <c r="U504" s="3" t="s">
        <v>203</v>
      </c>
      <c r="V504" s="4" t="str">
        <f>IF(ISBLANK(C504),,IFERROR(IF(VLOOKUP(B504,Standings!$A:$F, 6, 0)=VLOOKUP(C504,Standings!$A:$F, 6, 0), VLOOKUP(B504,Standings!$A:$F, 6, 0), "Non-con"), "FCS"))</f>
        <v>B1G</v>
      </c>
      <c r="W504" s="3" t="str">
        <f t="shared" si="10"/>
        <v>Illinois</v>
      </c>
      <c r="X504" s="3" t="str">
        <f t="shared" si="11"/>
        <v>Rutgers</v>
      </c>
      <c r="Y504" s="30">
        <f>IF(D504=0,,IF(ISBLANK(Q504),,VLOOKUP(X504,Week10,2,FALSE)/(VLOOKUP(X504,Week10,2,FALSE)+VLOOKUP(W504,Week10,2,FALSE))+0.05)*100)</f>
        <v>65.92660246</v>
      </c>
      <c r="Z504" s="3" t="s">
        <v>137</v>
      </c>
      <c r="AA504" s="3">
        <v>23.0</v>
      </c>
      <c r="AB504" s="4" t="str">
        <f t="shared" si="20"/>
        <v>Rutgers</v>
      </c>
      <c r="AC504" s="3">
        <v>20.0</v>
      </c>
      <c r="AD504" s="3"/>
      <c r="AE504" s="3">
        <f t="shared" si="13"/>
        <v>3</v>
      </c>
      <c r="AF504" s="3"/>
      <c r="AG504" s="3">
        <f t="shared" si="133"/>
        <v>0</v>
      </c>
      <c r="AH504" s="3"/>
      <c r="AI504" s="7"/>
      <c r="AJ504" s="4"/>
      <c r="AK504" s="7"/>
      <c r="AL504" s="7"/>
      <c r="AM504" s="7"/>
      <c r="AN504" s="7"/>
      <c r="AO504" s="7"/>
      <c r="AP504" s="7"/>
      <c r="AQ504" s="7"/>
      <c r="AR504" s="7"/>
      <c r="AS504" s="7"/>
      <c r="AT504" s="7"/>
      <c r="AU504" s="7"/>
      <c r="AV504" s="7"/>
      <c r="AW504" s="7"/>
      <c r="AX504" s="7"/>
    </row>
    <row r="505" ht="12.75" hidden="1" customHeight="1">
      <c r="A505" s="3">
        <v>14.0</v>
      </c>
      <c r="B505" s="3" t="s">
        <v>126</v>
      </c>
      <c r="C505" s="3" t="s">
        <v>143</v>
      </c>
      <c r="D505" s="4">
        <f>IFERROR(VLOOKUP(B505,Week13,2,FALSE),0)</f>
        <v>33.98</v>
      </c>
      <c r="E505" s="4">
        <f>IF(ISBLANK(B505),,IFERROR(VLOOKUP(B505,CurrentRank!$B$2:$C$132,2,FALSE),0))</f>
        <v>36.79</v>
      </c>
      <c r="F505" s="4">
        <f>IFERROR(VLOOKUP(B505,Week13,3,FALSE),130)</f>
        <v>70</v>
      </c>
      <c r="G505" s="4">
        <f>IF(ISBLANK(B505),,IFERROR(VLOOKUP(B505,CurrentRank!$B$2:$D$132,3,FALSE),130))</f>
        <v>49</v>
      </c>
      <c r="H505" s="4">
        <f>IFERROR(VLOOKUP(C505,Week13,2,FALSE),0)</f>
        <v>32.37</v>
      </c>
      <c r="I505" s="4">
        <f>IF(ISBLANK(B505),,IFERROR(VLOOKUP(C505,CurrentRank!$B$2:$C$132,2,FALSE),0))</f>
        <v>30.67</v>
      </c>
      <c r="J505" s="4">
        <f>IFERROR(VLOOKUP(C505,Week13,3,FALSE),130)</f>
        <v>83</v>
      </c>
      <c r="K505" s="4">
        <f>IF(ISBLANK(C505),,IFERROR(VLOOKUP(C505,CurrentRank!$B$2:$D$132,3,FALSE),130))</f>
        <v>108</v>
      </c>
      <c r="L505" s="19">
        <f t="shared" si="217"/>
        <v>0.99525</v>
      </c>
      <c r="M505" s="19">
        <f t="shared" si="218"/>
        <v>1.0119</v>
      </c>
      <c r="N505" s="24">
        <f t="shared" si="198"/>
        <v>76.5</v>
      </c>
      <c r="O505" s="21">
        <f t="shared" si="4"/>
        <v>0.307375</v>
      </c>
      <c r="P505" s="21">
        <f t="shared" si="207"/>
        <v>2.562375</v>
      </c>
      <c r="Q505" s="22">
        <f t="shared" si="6"/>
        <v>0.615963125</v>
      </c>
      <c r="R505" s="25" t="str">
        <f t="shared" si="7"/>
        <v>D-</v>
      </c>
      <c r="S505" s="19">
        <f t="shared" si="8"/>
        <v>0.5325</v>
      </c>
      <c r="T505" s="19" t="str">
        <f t="shared" si="9"/>
        <v>F</v>
      </c>
      <c r="U505" s="3" t="s">
        <v>203</v>
      </c>
      <c r="V505" s="4" t="str">
        <f>IF(ISBLANK(C505),,IFERROR(IF(VLOOKUP(B505,Standings!$A:$F, 6, 0)=VLOOKUP(C505,Standings!$A:$F, 6, 0), VLOOKUP(B505,Standings!$A:$F, 6, 0), "Non-con"), "FCS"))</f>
        <v>MAC</v>
      </c>
      <c r="W505" s="3" t="str">
        <f t="shared" si="10"/>
        <v>Northern Illinois</v>
      </c>
      <c r="X505" s="3" t="str">
        <f t="shared" si="11"/>
        <v>Toledo</v>
      </c>
      <c r="Y505" s="30">
        <f>IF(D505=0,,IF(ISBLANK(Q505),,VLOOKUP(X505,Week13,2,FALSE)/(VLOOKUP(X505,Week13,2,FALSE)+VLOOKUP(W505,Week13,2,FALSE))+0.05)*100)</f>
        <v>56.213263</v>
      </c>
      <c r="Z505" s="3" t="s">
        <v>126</v>
      </c>
      <c r="AA505" s="3">
        <v>41.0</v>
      </c>
      <c r="AB505" s="4" t="str">
        <f t="shared" si="20"/>
        <v>Northern Illinois</v>
      </c>
      <c r="AC505" s="3">
        <v>24.0</v>
      </c>
      <c r="AD505" s="3"/>
      <c r="AE505" s="3">
        <f t="shared" si="13"/>
        <v>17</v>
      </c>
      <c r="AF505" s="3"/>
      <c r="AG505" s="3">
        <f t="shared" si="133"/>
        <v>1</v>
      </c>
      <c r="AH505" s="3"/>
      <c r="AI505" s="7"/>
      <c r="AJ505" s="4"/>
      <c r="AK505" s="7"/>
      <c r="AL505" s="7"/>
      <c r="AM505" s="7"/>
      <c r="AN505" s="7"/>
      <c r="AO505" s="7"/>
      <c r="AP505" s="7"/>
      <c r="AQ505" s="7"/>
      <c r="AR505" s="7"/>
      <c r="AS505" s="7"/>
      <c r="AT505" s="7"/>
      <c r="AU505" s="7"/>
      <c r="AV505" s="7"/>
      <c r="AW505" s="7"/>
      <c r="AX505" s="7"/>
    </row>
    <row r="506" ht="12.75" customHeight="1">
      <c r="A506" s="3">
        <v>13.0</v>
      </c>
      <c r="B506" s="3" t="s">
        <v>116</v>
      </c>
      <c r="C506" s="3" t="s">
        <v>104</v>
      </c>
      <c r="D506" s="4">
        <f>IFERROR(VLOOKUP(B506,Week12,2,FALSE),0)</f>
        <v>32.86</v>
      </c>
      <c r="E506" s="4">
        <f>IF(ISBLANK(B506),,IFERROR(VLOOKUP(B506,CurrentRank!$B$2:$C$132,2,FALSE),0))</f>
        <v>31.6</v>
      </c>
      <c r="F506" s="4">
        <f>IFERROR(VLOOKUP(B506,Week12,3,FALSE),130)</f>
        <v>77</v>
      </c>
      <c r="G506" s="4">
        <f>IF(ISBLANK(B506),,IFERROR(VLOOKUP(B506,CurrentRank!$B$2:$D$132,3,FALSE),130))</f>
        <v>96</v>
      </c>
      <c r="H506" s="4">
        <f>IFERROR(VLOOKUP(C506,Week12,2,FALSE),0)</f>
        <v>29.63</v>
      </c>
      <c r="I506" s="4">
        <f>IF(ISBLANK(B506),,IFERROR(VLOOKUP(C506,CurrentRank!$B$2:$C$132,2,FALSE),0))</f>
        <v>31.08</v>
      </c>
      <c r="J506" s="4">
        <f>IFERROR(VLOOKUP(C506,Week12,3,FALSE),130)</f>
        <v>112</v>
      </c>
      <c r="K506" s="4">
        <f>IF(ISBLANK(C506),,IFERROR(VLOOKUP(C506,CurrentRank!$B$2:$D$132,3,FALSE),130))</f>
        <v>101</v>
      </c>
      <c r="L506" s="19">
        <f t="shared" si="217"/>
        <v>0.93735</v>
      </c>
      <c r="M506" s="19">
        <f t="shared" si="218"/>
        <v>0.9402</v>
      </c>
      <c r="N506" s="24">
        <f t="shared" si="198"/>
        <v>94.5</v>
      </c>
      <c r="O506" s="21">
        <f t="shared" si="4"/>
        <v>1.146325</v>
      </c>
      <c r="P506" s="21">
        <f t="shared" si="207"/>
        <v>-0.208675</v>
      </c>
      <c r="Q506" s="22">
        <f t="shared" si="6"/>
        <v>0.521768375</v>
      </c>
      <c r="R506" s="25" t="str">
        <f t="shared" si="7"/>
        <v>F</v>
      </c>
      <c r="S506" s="19">
        <f t="shared" si="8"/>
        <v>0.5225</v>
      </c>
      <c r="T506" s="19" t="str">
        <f t="shared" si="9"/>
        <v>F</v>
      </c>
      <c r="U506" s="3" t="s">
        <v>203</v>
      </c>
      <c r="V506" s="4" t="str">
        <f>IF(ISBLANK(C506),,IFERROR(IF(VLOOKUP(B506,Standings!$A:$F, 6, 0)=VLOOKUP(C506,Standings!$A:$F, 6, 0), VLOOKUP(B506,Standings!$A:$F, 6, 0), "Non-con"), "FCS"))</f>
        <v>BIG12</v>
      </c>
      <c r="W506" s="3" t="str">
        <f t="shared" si="10"/>
        <v>Baylor</v>
      </c>
      <c r="X506" s="3" t="str">
        <f t="shared" si="11"/>
        <v>Kansas State</v>
      </c>
      <c r="Y506" s="30">
        <f>IF(D506=0,,IF(ISBLANK(Q506),,VLOOKUP(X506,Week12,2,FALSE)/(VLOOKUP(X506,Week12,2,FALSE)+VLOOKUP(W506,Week12,2,FALSE))+0.05)*100)</f>
        <v>57.58441351</v>
      </c>
      <c r="Z506" s="3" t="s">
        <v>104</v>
      </c>
      <c r="AA506" s="3">
        <v>32.0</v>
      </c>
      <c r="AB506" s="4" t="str">
        <f t="shared" si="20"/>
        <v>Kansas State</v>
      </c>
      <c r="AC506" s="3">
        <v>31.0</v>
      </c>
      <c r="AD506" s="3"/>
      <c r="AE506" s="3">
        <f t="shared" si="13"/>
        <v>1</v>
      </c>
      <c r="AF506" s="3"/>
      <c r="AG506" s="3">
        <f t="shared" si="133"/>
        <v>0</v>
      </c>
      <c r="AH506" s="3"/>
      <c r="AI506" s="7"/>
      <c r="AJ506" s="4"/>
      <c r="AK506" s="7"/>
      <c r="AL506" s="7"/>
      <c r="AM506" s="7"/>
      <c r="AN506" s="7"/>
      <c r="AO506" s="7"/>
      <c r="AP506" s="7"/>
      <c r="AQ506" s="7"/>
      <c r="AR506" s="7"/>
      <c r="AS506" s="7"/>
      <c r="AT506" s="7"/>
      <c r="AU506" s="7"/>
      <c r="AV506" s="7"/>
      <c r="AW506" s="7"/>
      <c r="AX506" s="7"/>
    </row>
    <row r="507" ht="12.75" customHeight="1">
      <c r="A507" s="3">
        <v>12.0</v>
      </c>
      <c r="B507" s="3" t="s">
        <v>115</v>
      </c>
      <c r="C507" s="3" t="s">
        <v>139</v>
      </c>
      <c r="D507" s="4">
        <f>IFERROR(VLOOKUP(B507,Week11,2,FALSE),0)</f>
        <v>33.92</v>
      </c>
      <c r="E507" s="4">
        <f>IF(ISBLANK(B507),,IFERROR(VLOOKUP(B507,CurrentRank!$B$2:$C$132,2,FALSE),0))</f>
        <v>32.29</v>
      </c>
      <c r="F507" s="4">
        <f>IFERROR(VLOOKUP(B507,Week11,3,FALSE),130)</f>
        <v>71</v>
      </c>
      <c r="G507" s="4">
        <f>IF(ISBLANK(B507),,IFERROR(VLOOKUP(B507,CurrentRank!$B$2:$D$132,3,FALSE),130))</f>
        <v>91</v>
      </c>
      <c r="H507" s="4">
        <f>IFERROR(VLOOKUP(C507,Week11,2,FALSE),0)</f>
        <v>27.78</v>
      </c>
      <c r="I507" s="4">
        <f>IF(ISBLANK(B507),,IFERROR(VLOOKUP(C507,CurrentRank!$B$2:$C$132,2,FALSE),0))</f>
        <v>28.86</v>
      </c>
      <c r="J507" s="4">
        <f>IFERROR(VLOOKUP(C507,Week11,3,FALSE),130)</f>
        <v>117</v>
      </c>
      <c r="K507" s="4">
        <f>IF(ISBLANK(C507),,IFERROR(VLOOKUP(C507,CurrentRank!$B$2:$D$132,3,FALSE),130))</f>
        <v>119</v>
      </c>
      <c r="L507" s="19">
        <f t="shared" si="217"/>
        <v>0.9255</v>
      </c>
      <c r="M507" s="19">
        <f t="shared" si="218"/>
        <v>0.91725</v>
      </c>
      <c r="N507" s="24">
        <f t="shared" si="198"/>
        <v>94</v>
      </c>
      <c r="O507" s="21">
        <f t="shared" si="4"/>
        <v>2.60725</v>
      </c>
      <c r="P507" s="21">
        <f t="shared" si="207"/>
        <v>1.25225</v>
      </c>
      <c r="Q507" s="22">
        <f t="shared" si="6"/>
        <v>0.51696375</v>
      </c>
      <c r="R507" s="25" t="str">
        <f t="shared" si="7"/>
        <v>F</v>
      </c>
      <c r="S507" s="19">
        <f t="shared" si="8"/>
        <v>0.52</v>
      </c>
      <c r="T507" s="19" t="str">
        <f t="shared" si="9"/>
        <v>F</v>
      </c>
      <c r="U507" s="3" t="s">
        <v>203</v>
      </c>
      <c r="V507" s="4" t="str">
        <f>IF(ISBLANK(C507),,IFERROR(IF(VLOOKUP(B507,Standings!$A:$F, 6, 0)=VLOOKUP(C507,Standings!$A:$F, 6, 0), VLOOKUP(B507,Standings!$A:$F, 6, 0), "Non-con"), "FCS"))</f>
        <v>SUN</v>
      </c>
      <c r="W507" s="3" t="str">
        <f t="shared" si="10"/>
        <v>Texas State</v>
      </c>
      <c r="X507" s="3" t="str">
        <f t="shared" si="11"/>
        <v>Arkansas State</v>
      </c>
      <c r="Y507" s="30">
        <f>IF(D507=0,,IF(ISBLANK(Q507),,VLOOKUP(X507,Week11,2,FALSE)/(VLOOKUP(X507,Week11,2,FALSE)+VLOOKUP(W507,Week11,2,FALSE))+0.05)*100)</f>
        <v>59.97568882</v>
      </c>
      <c r="Z507" s="3" t="s">
        <v>139</v>
      </c>
      <c r="AA507" s="3">
        <v>47.0</v>
      </c>
      <c r="AB507" s="4" t="str">
        <f t="shared" si="20"/>
        <v>Arkansas State</v>
      </c>
      <c r="AC507" s="3">
        <v>45.0</v>
      </c>
      <c r="AD507" s="3"/>
      <c r="AE507" s="3">
        <f t="shared" si="13"/>
        <v>2</v>
      </c>
      <c r="AF507" s="3"/>
      <c r="AG507" s="3">
        <f t="shared" si="133"/>
        <v>0</v>
      </c>
      <c r="AH507" s="3"/>
      <c r="AI507" s="7"/>
      <c r="AJ507" s="4"/>
      <c r="AK507" s="7"/>
      <c r="AL507" s="7"/>
      <c r="AM507" s="7"/>
      <c r="AN507" s="7"/>
      <c r="AO507" s="7"/>
      <c r="AP507" s="7"/>
      <c r="AQ507" s="7"/>
      <c r="AR507" s="7"/>
      <c r="AS507" s="7"/>
      <c r="AT507" s="7"/>
      <c r="AU507" s="7"/>
      <c r="AV507" s="7"/>
      <c r="AW507" s="7"/>
      <c r="AX507" s="7"/>
    </row>
    <row r="508" ht="12.75" customHeight="1">
      <c r="A508" s="3">
        <v>9.0</v>
      </c>
      <c r="B508" s="3" t="s">
        <v>186</v>
      </c>
      <c r="C508" s="3" t="s">
        <v>175</v>
      </c>
      <c r="D508" s="4">
        <f>IFERROR(VLOOKUP(B508,Week8,2,FALSE),0)</f>
        <v>39.69</v>
      </c>
      <c r="E508" s="4">
        <f>IF(ISBLANK(B508),,IFERROR(VLOOKUP(B508,CurrentRank!$B$2:$C$132,2,FALSE),0))</f>
        <v>33.49</v>
      </c>
      <c r="F508" s="4">
        <f>IFERROR(VLOOKUP(B508,Week8,3,FALSE),130)</f>
        <v>37</v>
      </c>
      <c r="G508" s="4">
        <f>IF(ISBLANK(B508),,IFERROR(VLOOKUP(B508,CurrentRank!$B$2:$D$132,3,FALSE),130))</f>
        <v>79</v>
      </c>
      <c r="H508" s="4">
        <f>IFERROR(VLOOKUP(C508,Week8,2,FALSE),0)</f>
        <v>30.08</v>
      </c>
      <c r="I508" s="4">
        <f>IF(ISBLANK(B508),,IFERROR(VLOOKUP(C508,CurrentRank!$B$2:$C$132,2,FALSE),0))</f>
        <v>31.85</v>
      </c>
      <c r="J508" s="4">
        <f>IFERROR(VLOOKUP(C508,Week8,3,FALSE),130)</f>
        <v>107</v>
      </c>
      <c r="K508" s="4">
        <f>IF(ISBLANK(C508),,IFERROR(VLOOKUP(C508,CurrentRank!$B$2:$D$132,3,FALSE),130))</f>
        <v>95</v>
      </c>
      <c r="L508" s="19">
        <f t="shared" si="217"/>
        <v>1.04655</v>
      </c>
      <c r="M508" s="19">
        <f t="shared" si="218"/>
        <v>0.9801</v>
      </c>
      <c r="N508" s="24">
        <f t="shared" si="198"/>
        <v>72</v>
      </c>
      <c r="O508" s="21">
        <f t="shared" si="4"/>
        <v>4.281725</v>
      </c>
      <c r="P508" s="21">
        <f t="shared" si="207"/>
        <v>0.296725</v>
      </c>
      <c r="Q508" s="22">
        <f t="shared" si="6"/>
        <v>0.618591375</v>
      </c>
      <c r="R508" s="25" t="str">
        <f t="shared" si="7"/>
        <v>D-</v>
      </c>
      <c r="S508" s="19">
        <f t="shared" si="8"/>
        <v>0.52</v>
      </c>
      <c r="T508" s="19" t="str">
        <f t="shared" si="9"/>
        <v>F</v>
      </c>
      <c r="U508" s="3" t="s">
        <v>203</v>
      </c>
      <c r="V508" s="4" t="str">
        <f>IF(ISBLANK(C508),,IFERROR(IF(VLOOKUP(B508,Standings!$A:$F, 6, 0)=VLOOKUP(C508,Standings!$A:$F, 6, 0), VLOOKUP(B508,Standings!$A:$F, 6, 0), "Non-con"), "FCS"))</f>
        <v>MWC</v>
      </c>
      <c r="W508" s="3" t="str">
        <f t="shared" si="10"/>
        <v>Wyoming</v>
      </c>
      <c r="X508" s="3" t="str">
        <f t="shared" si="11"/>
        <v>Hawaii</v>
      </c>
      <c r="Y508" s="30">
        <f>IF(D508=0,,IF(ISBLANK(Q508),,VLOOKUP(X508,Week8,2,FALSE)/(VLOOKUP(X508,Week8,2,FALSE)+VLOOKUP(W508,Week8,2,FALSE))+0.05)*100)</f>
        <v>61.88691415</v>
      </c>
      <c r="Z508" s="3" t="s">
        <v>175</v>
      </c>
      <c r="AA508" s="3">
        <v>31.0</v>
      </c>
      <c r="AB508" s="4" t="str">
        <f t="shared" si="20"/>
        <v>Hawaii</v>
      </c>
      <c r="AC508" s="3">
        <v>7.0</v>
      </c>
      <c r="AD508" s="3"/>
      <c r="AE508" s="3">
        <f t="shared" si="13"/>
        <v>24</v>
      </c>
      <c r="AF508" s="3"/>
      <c r="AG508" s="3">
        <f t="shared" si="133"/>
        <v>0</v>
      </c>
      <c r="AH508" s="3"/>
      <c r="AI508" s="7"/>
      <c r="AJ508" s="4"/>
      <c r="AK508" s="7"/>
      <c r="AL508" s="7"/>
      <c r="AM508" s="7"/>
      <c r="AN508" s="7"/>
      <c r="AO508" s="7"/>
      <c r="AP508" s="7"/>
      <c r="AQ508" s="7"/>
      <c r="AR508" s="7"/>
      <c r="AS508" s="7"/>
      <c r="AT508" s="7"/>
      <c r="AU508" s="7"/>
      <c r="AV508" s="7"/>
      <c r="AW508" s="7"/>
      <c r="AX508" s="7"/>
    </row>
    <row r="509" ht="12.75" hidden="1" customHeight="1">
      <c r="A509" s="3">
        <v>6.0</v>
      </c>
      <c r="B509" s="3" t="s">
        <v>178</v>
      </c>
      <c r="C509" s="3" t="s">
        <v>130</v>
      </c>
      <c r="D509" s="4">
        <f>IFERROR(VLOOKUP(B509,Week5,2,FALSE),0)</f>
        <v>30.22</v>
      </c>
      <c r="E509" s="4">
        <f>IF(ISBLANK(B509),,IFERROR(VLOOKUP(B509,CurrentRank!$B$2:$C$132,2,FALSE),0))</f>
        <v>30.84</v>
      </c>
      <c r="F509" s="4">
        <f>IFERROR(VLOOKUP(B509,Week5,3,FALSE),130)</f>
        <v>63</v>
      </c>
      <c r="G509" s="4">
        <f>IF(ISBLANK(B509),,IFERROR(VLOOKUP(B509,CurrentRank!$B$2:$D$132,3,FALSE),130))</f>
        <v>104</v>
      </c>
      <c r="H509" s="4">
        <f>IFERROR(VLOOKUP(C509,Week5,2,FALSE),0)</f>
        <v>31.62</v>
      </c>
      <c r="I509" s="4">
        <f>IF(ISBLANK(B509),,IFERROR(VLOOKUP(C509,CurrentRank!$B$2:$C$132,2,FALSE),0))</f>
        <v>29.22</v>
      </c>
      <c r="J509" s="4">
        <f>IFERROR(VLOOKUP(C509,Week5,3,FALSE),130)</f>
        <v>59</v>
      </c>
      <c r="K509" s="4">
        <f>IF(ISBLANK(C509),,IFERROR(VLOOKUP(C509,CurrentRank!$B$2:$D$132,3,FALSE),130))</f>
        <v>116</v>
      </c>
      <c r="L509" s="19">
        <f t="shared" si="217"/>
        <v>0.9276</v>
      </c>
      <c r="M509" s="19">
        <f t="shared" si="218"/>
        <v>0.9009</v>
      </c>
      <c r="N509" s="24">
        <f t="shared" si="198"/>
        <v>61</v>
      </c>
      <c r="O509" s="21">
        <f t="shared" si="4"/>
        <v>-1.1638</v>
      </c>
      <c r="P509" s="21">
        <f t="shared" si="207"/>
        <v>0.3462</v>
      </c>
      <c r="Q509" s="22">
        <f t="shared" si="6"/>
        <v>0.689181</v>
      </c>
      <c r="R509" s="25" t="str">
        <f t="shared" si="7"/>
        <v>D+</v>
      </c>
      <c r="S509" s="19">
        <f t="shared" si="8"/>
        <v>0.685</v>
      </c>
      <c r="T509" s="19" t="str">
        <f t="shared" si="9"/>
        <v>D+</v>
      </c>
      <c r="U509" s="3" t="s">
        <v>203</v>
      </c>
      <c r="V509" s="4" t="str">
        <f>IF(ISBLANK(C509),,IFERROR(IF(VLOOKUP(B509,Standings!$A:$F, 6, 0)=VLOOKUP(C509,Standings!$A:$F, 6, 0), VLOOKUP(B509,Standings!$A:$F, 6, 0), "Non-con"), "FCS"))</f>
        <v>AAC</v>
      </c>
      <c r="W509" s="3" t="str">
        <f t="shared" si="10"/>
        <v>Temple</v>
      </c>
      <c r="X509" s="3" t="str">
        <f t="shared" si="11"/>
        <v>Navy</v>
      </c>
      <c r="Y509" s="30">
        <f>IF(D509=0,,IF(ISBLANK(Q509),,VLOOKUP(X509,Week5,2,FALSE)/(VLOOKUP(X509,Week5,2,FALSE)+VLOOKUP(W509,Week5,2,FALSE))+0.05)*100)</f>
        <v>56.13195343</v>
      </c>
      <c r="Z509" s="3" t="s">
        <v>130</v>
      </c>
      <c r="AA509" s="3">
        <v>31.0</v>
      </c>
      <c r="AB509" s="4" t="str">
        <f t="shared" si="20"/>
        <v>Temple</v>
      </c>
      <c r="AC509" s="3">
        <v>29.0</v>
      </c>
      <c r="AD509" s="3"/>
      <c r="AE509" s="3">
        <f t="shared" si="13"/>
        <v>2</v>
      </c>
      <c r="AF509" s="3"/>
      <c r="AG509" s="3">
        <f t="shared" si="133"/>
        <v>1</v>
      </c>
      <c r="AH509" s="3"/>
      <c r="AI509" s="7"/>
      <c r="AJ509" s="4" t="s">
        <v>181</v>
      </c>
      <c r="AK509" s="7"/>
      <c r="AL509" s="7"/>
      <c r="AM509" s="7"/>
      <c r="AN509" s="7"/>
      <c r="AO509" s="7"/>
      <c r="AP509" s="7"/>
      <c r="AQ509" s="7"/>
      <c r="AR509" s="7"/>
      <c r="AS509" s="7"/>
      <c r="AT509" s="7"/>
      <c r="AU509" s="7"/>
      <c r="AV509" s="7"/>
      <c r="AW509" s="7"/>
      <c r="AX509" s="7"/>
    </row>
    <row r="510" ht="12.75" customHeight="1">
      <c r="A510" s="3">
        <v>5.0</v>
      </c>
      <c r="B510" s="3" t="s">
        <v>170</v>
      </c>
      <c r="C510" s="3" t="s">
        <v>114</v>
      </c>
      <c r="D510" s="4">
        <f>IFERROR(VLOOKUP(B510,Week4,2,FALSE),0)</f>
        <v>27.39</v>
      </c>
      <c r="E510" s="4">
        <f>IF(ISBLANK(B510),,IFERROR(VLOOKUP(B510,CurrentRank!$B$2:$C$132,2,FALSE),0))</f>
        <v>28.08</v>
      </c>
      <c r="F510" s="4">
        <f>IFERROR(VLOOKUP(B510,Week4,3,FALSE),130)</f>
        <v>119</v>
      </c>
      <c r="G510" s="4">
        <f>IF(ISBLANK(B510),,IFERROR(VLOOKUP(B510,CurrentRank!$B$2:$D$132,3,FALSE),130))</f>
        <v>121</v>
      </c>
      <c r="H510" s="4">
        <f>IFERROR(VLOOKUP(C510,Week4,2,FALSE),0)</f>
        <v>32.04</v>
      </c>
      <c r="I510" s="4">
        <f>IF(ISBLANK(B510),,IFERROR(VLOOKUP(C510,CurrentRank!$B$2:$C$132,2,FALSE),0))</f>
        <v>29.9</v>
      </c>
      <c r="J510" s="4">
        <f>IFERROR(VLOOKUP(C510,Week4,3,FALSE),130)</f>
        <v>54</v>
      </c>
      <c r="K510" s="4">
        <f>IF(ISBLANK(C510),,IFERROR(VLOOKUP(C510,CurrentRank!$B$2:$D$132,3,FALSE),130))</f>
        <v>110</v>
      </c>
      <c r="L510" s="19">
        <f t="shared" si="217"/>
        <v>0.89145</v>
      </c>
      <c r="M510" s="19">
        <f t="shared" si="218"/>
        <v>0.8697</v>
      </c>
      <c r="N510" s="24">
        <f t="shared" si="198"/>
        <v>86.5</v>
      </c>
      <c r="O510" s="21">
        <f t="shared" si="4"/>
        <v>-2.770725</v>
      </c>
      <c r="P510" s="21">
        <f t="shared" si="207"/>
        <v>-1.355725</v>
      </c>
      <c r="Q510" s="22">
        <f t="shared" si="6"/>
        <v>0.553646375</v>
      </c>
      <c r="R510" s="25" t="str">
        <f t="shared" si="7"/>
        <v>F</v>
      </c>
      <c r="S510" s="19">
        <f t="shared" si="8"/>
        <v>0.5175</v>
      </c>
      <c r="T510" s="19" t="str">
        <f t="shared" si="9"/>
        <v>F</v>
      </c>
      <c r="U510" s="3" t="s">
        <v>203</v>
      </c>
      <c r="V510" s="4" t="str">
        <f>IF(ISBLANK(C510),,IFERROR(IF(VLOOKUP(B510,Standings!$A:$F, 6, 0)=VLOOKUP(C510,Standings!$A:$F, 6, 0), VLOOKUP(B510,Standings!$A:$F, 6, 0), "Non-con"), "FCS"))</f>
        <v>CUSA</v>
      </c>
      <c r="W510" s="3" t="str">
        <f t="shared" si="10"/>
        <v>Southern Mississippi</v>
      </c>
      <c r="X510" s="3" t="str">
        <f t="shared" si="11"/>
        <v>North Texas</v>
      </c>
      <c r="Y510" s="30">
        <f>IF(D510=0,,IF(ISBLANK(Q510),,VLOOKUP(X510,Week4,2,FALSE)/(VLOOKUP(X510,Week4,2,FALSE)+VLOOKUP(W510,Week4,2,FALSE))+0.05)*100)</f>
        <v>58.91216557</v>
      </c>
      <c r="Z510" s="3" t="s">
        <v>170</v>
      </c>
      <c r="AA510" s="3">
        <v>41.0</v>
      </c>
      <c r="AB510" s="4" t="str">
        <f t="shared" si="20"/>
        <v>North Texas</v>
      </c>
      <c r="AC510" s="3">
        <v>31.0</v>
      </c>
      <c r="AD510" s="3"/>
      <c r="AE510" s="3">
        <f t="shared" si="13"/>
        <v>10</v>
      </c>
      <c r="AF510" s="3"/>
      <c r="AG510" s="3">
        <f t="shared" si="133"/>
        <v>0</v>
      </c>
      <c r="AH510" s="3"/>
      <c r="AI510" s="7"/>
      <c r="AJ510" s="4"/>
      <c r="AK510" s="7"/>
      <c r="AL510" s="7"/>
      <c r="AM510" s="7"/>
      <c r="AN510" s="7"/>
      <c r="AO510" s="7"/>
      <c r="AP510" s="7"/>
      <c r="AQ510" s="7"/>
      <c r="AR510" s="7"/>
      <c r="AS510" s="7"/>
      <c r="AT510" s="7"/>
      <c r="AU510" s="7"/>
      <c r="AV510" s="7"/>
      <c r="AW510" s="7"/>
      <c r="AX510" s="7"/>
    </row>
    <row r="511" ht="12.75" hidden="1" customHeight="1">
      <c r="A511" s="3">
        <v>6.0</v>
      </c>
      <c r="B511" s="3" t="s">
        <v>40</v>
      </c>
      <c r="C511" s="3" t="s">
        <v>18</v>
      </c>
      <c r="D511" s="4">
        <f>IFERROR(VLOOKUP(B511,Week5,2,FALSE),0)</f>
        <v>85.49</v>
      </c>
      <c r="E511" s="4">
        <f>IF(ISBLANK(B511),,IFERROR(VLOOKUP(B511,CurrentRank!$B$2:$C$132,2,FALSE),0))</f>
        <v>57.15</v>
      </c>
      <c r="F511" s="4">
        <f>IFERROR(VLOOKUP(B511,Week5,3,FALSE),130)</f>
        <v>5</v>
      </c>
      <c r="G511" s="4">
        <f>IF(ISBLANK(B511),,IFERROR(VLOOKUP(B511,CurrentRank!$B$2:$D$132,3,FALSE),130))</f>
        <v>23</v>
      </c>
      <c r="H511" s="4">
        <f>IFERROR(VLOOKUP(C511,Week5,2,FALSE),0)</f>
        <v>89.43</v>
      </c>
      <c r="I511" s="4">
        <f>IF(ISBLANK(B511),,IFERROR(VLOOKUP(C511,CurrentRank!$B$2:$C$132,2,FALSE),0))</f>
        <v>84.24</v>
      </c>
      <c r="J511" s="4">
        <f>IFERROR(VLOOKUP(C511,Week5,3,FALSE),130)</f>
        <v>3</v>
      </c>
      <c r="K511" s="4">
        <f>IF(ISBLANK(C511),,IFERROR(VLOOKUP(C511,CurrentRank!$B$2:$D$132,3,FALSE),130))</f>
        <v>4</v>
      </c>
      <c r="L511" s="19">
        <f t="shared" si="217"/>
        <v>2.6238</v>
      </c>
      <c r="M511" s="19">
        <f t="shared" si="218"/>
        <v>2.12085</v>
      </c>
      <c r="N511" s="24">
        <f t="shared" si="198"/>
        <v>4</v>
      </c>
      <c r="O511" s="21">
        <f t="shared" si="4"/>
        <v>-3.2819</v>
      </c>
      <c r="P511" s="21">
        <f t="shared" si="207"/>
        <v>-14.8569</v>
      </c>
      <c r="Q511" s="22">
        <f t="shared" si="6"/>
        <v>0.9635905</v>
      </c>
      <c r="R511" s="25" t="str">
        <f t="shared" si="7"/>
        <v>A</v>
      </c>
      <c r="S511" s="19">
        <f t="shared" si="8"/>
        <v>0.855</v>
      </c>
      <c r="T511" s="19" t="str">
        <f t="shared" si="9"/>
        <v>B</v>
      </c>
      <c r="U511" s="3" t="s">
        <v>203</v>
      </c>
      <c r="V511" s="4" t="str">
        <f>IF(ISBLANK(C511),,IFERROR(IF(VLOOKUP(B511,Standings!$A:$F, 6, 0)=VLOOKUP(C511,Standings!$A:$F, 6, 0), VLOOKUP(B511,Standings!$A:$F, 6, 0), "Non-con"), "FCS"))</f>
        <v>ACC</v>
      </c>
      <c r="W511" s="3" t="str">
        <f t="shared" si="10"/>
        <v>Miami</v>
      </c>
      <c r="X511" s="3" t="str">
        <f t="shared" si="11"/>
        <v>Clemson</v>
      </c>
      <c r="Y511" s="30">
        <f>IF(D511=0,,IF(ISBLANK(Q511),,VLOOKUP(X511,Week5,2,FALSE)/(VLOOKUP(X511,Week5,2,FALSE)+VLOOKUP(W511,Week5,2,FALSE))+0.05)*100)</f>
        <v>56.12622913</v>
      </c>
      <c r="Z511" s="3" t="s">
        <v>18</v>
      </c>
      <c r="AA511" s="3">
        <v>42.0</v>
      </c>
      <c r="AB511" s="4" t="str">
        <f t="shared" si="20"/>
        <v>Miami</v>
      </c>
      <c r="AC511" s="3">
        <v>17.0</v>
      </c>
      <c r="AD511" s="3"/>
      <c r="AE511" s="3">
        <f t="shared" si="13"/>
        <v>25</v>
      </c>
      <c r="AF511" s="3"/>
      <c r="AG511" s="3">
        <f t="shared" si="133"/>
        <v>1</v>
      </c>
      <c r="AH511" s="3"/>
      <c r="AI511" s="7"/>
      <c r="AJ511" s="4"/>
      <c r="AK511" s="7"/>
      <c r="AL511" s="7"/>
      <c r="AM511" s="7"/>
      <c r="AN511" s="7"/>
      <c r="AO511" s="7"/>
      <c r="AP511" s="7"/>
      <c r="AQ511" s="7"/>
      <c r="AR511" s="7"/>
      <c r="AS511" s="7"/>
      <c r="AT511" s="7"/>
      <c r="AU511" s="7"/>
      <c r="AV511" s="7"/>
      <c r="AW511" s="7"/>
      <c r="AX511" s="7"/>
    </row>
    <row r="512" ht="12.75" customHeight="1">
      <c r="A512" s="3">
        <v>9.0</v>
      </c>
      <c r="B512" s="3" t="s">
        <v>140</v>
      </c>
      <c r="C512" s="3" t="s">
        <v>187</v>
      </c>
      <c r="D512" s="4">
        <f>IFERROR(VLOOKUP(B512,Week8,2,FALSE),0)</f>
        <v>36.31</v>
      </c>
      <c r="E512" s="4">
        <f>IF(ISBLANK(B512),,IFERROR(VLOOKUP(B512,CurrentRank!$B$2:$C$132,2,FALSE),0))</f>
        <v>22.5</v>
      </c>
      <c r="F512" s="4">
        <f>IFERROR(VLOOKUP(B512,Week8,3,FALSE),130)</f>
        <v>52</v>
      </c>
      <c r="G512" s="4">
        <f>IF(ISBLANK(B512),,IFERROR(VLOOKUP(B512,CurrentRank!$B$2:$D$132,3,FALSE),130))</f>
        <v>126</v>
      </c>
      <c r="H512" s="4">
        <f>IFERROR(VLOOKUP(C512,Week8,2,FALSE),0)</f>
        <v>30.96</v>
      </c>
      <c r="I512" s="4">
        <f>IF(ISBLANK(B512),,IFERROR(VLOOKUP(C512,CurrentRank!$B$2:$C$132,2,FALSE),0))</f>
        <v>28.66</v>
      </c>
      <c r="J512" s="4">
        <f>IFERROR(VLOOKUP(C512,Week8,3,FALSE),130)</f>
        <v>73</v>
      </c>
      <c r="K512" s="4">
        <f>IF(ISBLANK(C512),,IFERROR(VLOOKUP(C512,CurrentRank!$B$2:$D$132,3,FALSE),130))</f>
        <v>120</v>
      </c>
      <c r="L512" s="19">
        <f t="shared" si="217"/>
        <v>1.00905</v>
      </c>
      <c r="M512" s="19">
        <f t="shared" si="218"/>
        <v>0.7674</v>
      </c>
      <c r="N512" s="24">
        <f t="shared" si="198"/>
        <v>62.5</v>
      </c>
      <c r="O512" s="21">
        <f t="shared" si="4"/>
        <v>2.170475</v>
      </c>
      <c r="P512" s="21">
        <f t="shared" si="207"/>
        <v>-3.584525</v>
      </c>
      <c r="Q512" s="22">
        <f t="shared" si="6"/>
        <v>0.676647625</v>
      </c>
      <c r="R512" s="25" t="str">
        <f t="shared" si="7"/>
        <v>D+</v>
      </c>
      <c r="S512" s="19">
        <f t="shared" si="8"/>
        <v>0.5175</v>
      </c>
      <c r="T512" s="19" t="str">
        <f t="shared" si="9"/>
        <v>F</v>
      </c>
      <c r="U512" s="3" t="s">
        <v>203</v>
      </c>
      <c r="V512" s="4" t="str">
        <f>IF(ISBLANK(C512),,IFERROR(IF(VLOOKUP(B512,Standings!$A:$F, 6, 0)=VLOOKUP(C512,Standings!$A:$F, 6, 0), VLOOKUP(B512,Standings!$A:$F, 6, 0), "Non-con"), "FCS"))</f>
        <v>Non-con</v>
      </c>
      <c r="W512" s="3" t="str">
        <f t="shared" si="10"/>
        <v>Duke</v>
      </c>
      <c r="X512" s="3" t="str">
        <f t="shared" si="11"/>
        <v>Charlotte</v>
      </c>
      <c r="Y512" s="30">
        <f>IF(D512=0,,IF(ISBLANK(Q512),,VLOOKUP(X512,Week8,2,FALSE)/(VLOOKUP(X512,Week8,2,FALSE)+VLOOKUP(W512,Week8,2,FALSE))+0.05)*100)</f>
        <v>58.97651256</v>
      </c>
      <c r="Z512" s="3" t="s">
        <v>187</v>
      </c>
      <c r="AA512" s="3">
        <v>53.0</v>
      </c>
      <c r="AB512" s="4" t="str">
        <f t="shared" si="20"/>
        <v>Charlotte</v>
      </c>
      <c r="AC512" s="3">
        <v>19.0</v>
      </c>
      <c r="AD512" s="3"/>
      <c r="AE512" s="3">
        <f t="shared" si="13"/>
        <v>34</v>
      </c>
      <c r="AF512" s="3"/>
      <c r="AG512" s="3">
        <f t="shared" si="133"/>
        <v>0</v>
      </c>
      <c r="AH512" s="3"/>
      <c r="AI512" s="7"/>
      <c r="AJ512" s="4"/>
      <c r="AK512" s="7"/>
      <c r="AL512" s="7"/>
      <c r="AM512" s="7"/>
      <c r="AN512" s="7"/>
      <c r="AO512" s="7"/>
      <c r="AP512" s="7"/>
      <c r="AQ512" s="7"/>
      <c r="AR512" s="7"/>
      <c r="AS512" s="7"/>
      <c r="AT512" s="7"/>
      <c r="AU512" s="7"/>
      <c r="AV512" s="7"/>
      <c r="AW512" s="7"/>
      <c r="AX512" s="7"/>
    </row>
    <row r="513" ht="12.75" customHeight="1">
      <c r="A513" s="3">
        <v>6.0</v>
      </c>
      <c r="B513" s="3" t="s">
        <v>187</v>
      </c>
      <c r="C513" s="3" t="s">
        <v>128</v>
      </c>
      <c r="D513" s="4">
        <f>IFERROR(VLOOKUP(B513,Week5,2,FALSE),0)</f>
        <v>26.66</v>
      </c>
      <c r="E513" s="4">
        <f>IF(ISBLANK(B513),,IFERROR(VLOOKUP(B513,CurrentRank!$B$2:$C$132,2,FALSE),0))</f>
        <v>28.66</v>
      </c>
      <c r="F513" s="4">
        <f>IFERROR(VLOOKUP(B513,Week5,3,FALSE),130)</f>
        <v>123</v>
      </c>
      <c r="G513" s="4">
        <f>IF(ISBLANK(B513),,IFERROR(VLOOKUP(B513,CurrentRank!$B$2:$D$132,3,FALSE),130))</f>
        <v>120</v>
      </c>
      <c r="H513" s="4">
        <f>IFERROR(VLOOKUP(C513,Week5,2,FALSE),0)</f>
        <v>36.53</v>
      </c>
      <c r="I513" s="4">
        <f>IF(ISBLANK(B513),,IFERROR(VLOOKUP(C513,CurrentRank!$B$2:$C$132,2,FALSE),0))</f>
        <v>26.74</v>
      </c>
      <c r="J513" s="4">
        <f>IFERROR(VLOOKUP(C513,Week5,3,FALSE),130)</f>
        <v>43</v>
      </c>
      <c r="K513" s="4">
        <f>IF(ISBLANK(C513),,IFERROR(VLOOKUP(C513,CurrentRank!$B$2:$D$132,3,FALSE),130))</f>
        <v>123</v>
      </c>
      <c r="L513" s="19">
        <f t="shared" si="217"/>
        <v>0.94785</v>
      </c>
      <c r="M513" s="19">
        <f t="shared" si="218"/>
        <v>0.831</v>
      </c>
      <c r="N513" s="24">
        <f t="shared" si="198"/>
        <v>83</v>
      </c>
      <c r="O513" s="21">
        <f t="shared" si="4"/>
        <v>-5.408925</v>
      </c>
      <c r="P513" s="21">
        <f t="shared" si="207"/>
        <v>0.486075</v>
      </c>
      <c r="Q513" s="22">
        <f t="shared" si="6"/>
        <v>0.557955375</v>
      </c>
      <c r="R513" s="25" t="str">
        <f t="shared" si="7"/>
        <v>F</v>
      </c>
      <c r="S513" s="19">
        <f t="shared" si="8"/>
        <v>0.515</v>
      </c>
      <c r="T513" s="19" t="str">
        <f t="shared" si="9"/>
        <v>F</v>
      </c>
      <c r="U513" s="3" t="s">
        <v>203</v>
      </c>
      <c r="V513" s="4" t="str">
        <f>IF(ISBLANK(C513),,IFERROR(IF(VLOOKUP(B513,Standings!$A:$F, 6, 0)=VLOOKUP(C513,Standings!$A:$F, 6, 0), VLOOKUP(B513,Standings!$A:$F, 6, 0), "Non-con"), "FCS"))</f>
        <v>ACC</v>
      </c>
      <c r="W513" s="3" t="str">
        <f t="shared" si="10"/>
        <v>Duke</v>
      </c>
      <c r="X513" s="3" t="str">
        <f t="shared" si="11"/>
        <v>Syracuse</v>
      </c>
      <c r="Y513" s="30">
        <f>IF(D513=0,,IF(ISBLANK(Q513),,VLOOKUP(X513,Week5,2,FALSE)/(VLOOKUP(X513,Week5,2,FALSE)+VLOOKUP(W513,Week5,2,FALSE))+0.05)*100)</f>
        <v>62.80978003</v>
      </c>
      <c r="Z513" s="3" t="s">
        <v>187</v>
      </c>
      <c r="AA513" s="3">
        <v>38.0</v>
      </c>
      <c r="AB513" s="4" t="str">
        <f t="shared" si="20"/>
        <v>Syracuse</v>
      </c>
      <c r="AC513" s="3">
        <v>24.0</v>
      </c>
      <c r="AD513" s="3"/>
      <c r="AE513" s="3">
        <f t="shared" si="13"/>
        <v>14</v>
      </c>
      <c r="AF513" s="3"/>
      <c r="AG513" s="3">
        <f t="shared" si="133"/>
        <v>0</v>
      </c>
      <c r="AH513" s="3"/>
      <c r="AI513" s="7"/>
      <c r="AJ513" s="4"/>
      <c r="AK513" s="7"/>
      <c r="AL513" s="7"/>
      <c r="AM513" s="7"/>
      <c r="AN513" s="7"/>
      <c r="AO513" s="7"/>
      <c r="AP513" s="7"/>
      <c r="AQ513" s="7"/>
      <c r="AR513" s="7"/>
      <c r="AS513" s="7"/>
      <c r="AT513" s="7"/>
      <c r="AU513" s="7"/>
      <c r="AV513" s="7"/>
      <c r="AW513" s="7"/>
      <c r="AX513" s="7"/>
    </row>
    <row r="514" ht="12.75" hidden="1" customHeight="1">
      <c r="A514" s="3">
        <v>12.0</v>
      </c>
      <c r="B514" s="3" t="s">
        <v>196</v>
      </c>
      <c r="C514" s="3" t="s">
        <v>86</v>
      </c>
      <c r="D514" s="4">
        <f>IFERROR(VLOOKUP(B514,CurrentRank!$B$2:$C$132,2,FALSE),0)</f>
        <v>33.03</v>
      </c>
      <c r="E514" s="4">
        <f>IF(ISBLANK(B514),,IFERROR(VLOOKUP(B514,CurrentRank!$B$2:$C$132,2,FALSE),0))</f>
        <v>33.03</v>
      </c>
      <c r="F514" s="4">
        <f>IFERROR(VLOOKUP(B514,CurrentRank!$B$2:$D$132,3,FALSE),130)</f>
        <v>86</v>
      </c>
      <c r="G514" s="4">
        <f>IF(ISBLANK(B514),,IFERROR(VLOOKUP(B514,CurrentRank!$B$2:$D$132,3,FALSE),130))</f>
        <v>86</v>
      </c>
      <c r="H514" s="4">
        <f>IFERROR(VLOOKUP(C514,CurrentRank!$B$2:$C$132,2,FALSE),0)</f>
        <v>33.56</v>
      </c>
      <c r="I514" s="4">
        <f>IF(ISBLANK(B514),,IFERROR(VLOOKUP(C514,CurrentRank!$B$2:$C$132,2,FALSE),0))</f>
        <v>33.56</v>
      </c>
      <c r="J514" s="4">
        <f>IFERROR(VLOOKUP(C514,Week11,3,FALSE),130)</f>
        <v>61</v>
      </c>
      <c r="K514" s="4">
        <f>IFERROR(VLOOKUP(C514,CurrentRank!$B$2:$D$132,3,FALSE),130)</f>
        <v>78</v>
      </c>
      <c r="L514" s="19">
        <f t="shared" ref="L514:M514" si="219">IF(ISBLANK(C514),,(D514+H514)*0.015)</f>
        <v>0.99885</v>
      </c>
      <c r="M514" s="19">
        <f t="shared" si="219"/>
        <v>0.99885</v>
      </c>
      <c r="N514" s="24">
        <f>(F514+K514)/2</f>
        <v>82</v>
      </c>
      <c r="O514" s="21">
        <f t="shared" si="4"/>
        <v>-0.764425</v>
      </c>
      <c r="P514" s="24">
        <f>(D514-(H514+L514))/2</f>
        <v>-0.764425</v>
      </c>
      <c r="Q514" s="22">
        <f t="shared" si="6"/>
        <v>0.586177875</v>
      </c>
      <c r="R514" s="25" t="str">
        <f t="shared" si="7"/>
        <v>F</v>
      </c>
      <c r="S514" s="19" t="str">
        <f t="shared" si="8"/>
        <v/>
      </c>
      <c r="T514" s="19" t="str">
        <f t="shared" si="9"/>
        <v/>
      </c>
      <c r="U514" s="3" t="s">
        <v>203</v>
      </c>
      <c r="V514" s="4" t="str">
        <f>IFERROR(IF(VLOOKUP(B514,Standings!$A:$F, 6, 0)=VLOOKUP(C514,Standings!$A:$F, 6, 0), VLOOKUP(B514,Standings!$A:$F, 6, 0), "Non-con"), "FCS")</f>
        <v>AAC</v>
      </c>
      <c r="W514" s="3" t="str">
        <f t="shared" si="10"/>
        <v>Houston</v>
      </c>
      <c r="X514" s="3" t="str">
        <f t="shared" si="11"/>
        <v>Southern Methodist</v>
      </c>
      <c r="Y514" s="30">
        <f>IF(D514=0,,IF(ISBLANK(Q514),,VLOOKUP(X514,Week11,2,FALSE)/(VLOOKUP(X514,Week11,2,FALSE)+VLOOKUP(W514,Week11,2,FALSE))+0.05)*100)</f>
        <v>56.08350188</v>
      </c>
      <c r="Z514" s="3"/>
      <c r="AA514" s="3"/>
      <c r="AB514" s="4" t="str">
        <f t="shared" si="20"/>
        <v/>
      </c>
      <c r="AC514" s="3"/>
      <c r="AD514" s="3"/>
      <c r="AE514" s="3" t="str">
        <f t="shared" si="13"/>
        <v/>
      </c>
      <c r="AF514" s="3" t="s">
        <v>228</v>
      </c>
      <c r="AG514" s="3" t="str">
        <f t="shared" si="133"/>
        <v/>
      </c>
      <c r="AH514" s="3"/>
      <c r="AI514" s="7"/>
      <c r="AJ514" s="4"/>
      <c r="AK514" s="7"/>
      <c r="AL514" s="7"/>
      <c r="AM514" s="7"/>
      <c r="AN514" s="7"/>
      <c r="AO514" s="7"/>
      <c r="AP514" s="7"/>
      <c r="AQ514" s="7"/>
      <c r="AR514" s="7"/>
      <c r="AS514" s="7"/>
      <c r="AT514" s="7"/>
      <c r="AU514" s="7"/>
      <c r="AV514" s="7"/>
      <c r="AW514" s="7"/>
      <c r="AX514" s="7"/>
    </row>
    <row r="515" ht="12.75" customHeight="1">
      <c r="A515" s="3">
        <v>9.0</v>
      </c>
      <c r="B515" s="3" t="s">
        <v>172</v>
      </c>
      <c r="C515" s="3" t="s">
        <v>170</v>
      </c>
      <c r="D515" s="4">
        <f>IFERROR(VLOOKUP(B515,Week8,2,FALSE),0)</f>
        <v>31.03</v>
      </c>
      <c r="E515" s="4">
        <f>IF(ISBLANK(B515),,IFERROR(VLOOKUP(B515,CurrentRank!$B$2:$C$132,2,FALSE),0))</f>
        <v>33.49</v>
      </c>
      <c r="F515" s="4">
        <f>IFERROR(VLOOKUP(B515,Week8,3,FALSE),130)</f>
        <v>71</v>
      </c>
      <c r="G515" s="4">
        <f>IF(ISBLANK(B515),,IFERROR(VLOOKUP(B515,CurrentRank!$B$2:$D$132,3,FALSE),130))</f>
        <v>79</v>
      </c>
      <c r="H515" s="4">
        <f>IFERROR(VLOOKUP(C515,Week8,2,FALSE),0)</f>
        <v>30.83</v>
      </c>
      <c r="I515" s="4">
        <f>IF(ISBLANK(B515),,IFERROR(VLOOKUP(C515,CurrentRank!$B$2:$C$132,2,FALSE),0))</f>
        <v>28.08</v>
      </c>
      <c r="J515" s="4">
        <f>IFERROR(VLOOKUP(C515,Week8,3,FALSE),130)</f>
        <v>75</v>
      </c>
      <c r="K515" s="4">
        <f>IF(ISBLANK(C515),,IFERROR(VLOOKUP(C515,CurrentRank!$B$2:$D$132,3,FALSE),130))</f>
        <v>121</v>
      </c>
      <c r="L515" s="19">
        <f t="shared" ref="L515:L524" si="220">IF(U515= "Yes", 0, IF(ISBLANK(C515),,(D515+H515)*0.015))</f>
        <v>0.9279</v>
      </c>
      <c r="M515" s="19">
        <f t="shared" ref="M515:M524" si="221">IF(U515= "Yes", 0, IF(ISBLANK(D515),,(E515+I515)*0.015))</f>
        <v>0.92355</v>
      </c>
      <c r="N515" s="24">
        <f t="shared" ref="N515:N541" si="222">IF(ISBLANK(C515),,(F515+J515)/2)</f>
        <v>73</v>
      </c>
      <c r="O515" s="21">
        <f t="shared" si="4"/>
        <v>-0.36395</v>
      </c>
      <c r="P515" s="21">
        <f t="shared" ref="P515:P541" si="223">IF(ISBLANK(C515),,(E515-(I515+L515))/2)</f>
        <v>2.24105</v>
      </c>
      <c r="Q515" s="22">
        <f t="shared" si="6"/>
        <v>0.63318025</v>
      </c>
      <c r="R515" s="25" t="str">
        <f t="shared" si="7"/>
        <v>D</v>
      </c>
      <c r="S515" s="19">
        <f t="shared" si="8"/>
        <v>0.515</v>
      </c>
      <c r="T515" s="19" t="str">
        <f t="shared" si="9"/>
        <v>F</v>
      </c>
      <c r="U515" s="3" t="s">
        <v>203</v>
      </c>
      <c r="V515" s="4" t="str">
        <f>IF(ISBLANK(C515),,IFERROR(IF(VLOOKUP(B515,Standings!$A:$F, 6, 0)=VLOOKUP(C515,Standings!$A:$F, 6, 0), VLOOKUP(B515,Standings!$A:$F, 6, 0), "Non-con"), "FCS"))</f>
        <v>CUSA</v>
      </c>
      <c r="W515" s="3" t="str">
        <f t="shared" si="10"/>
        <v>Rice</v>
      </c>
      <c r="X515" s="3" t="str">
        <f t="shared" si="11"/>
        <v>Southern Mississippi</v>
      </c>
      <c r="Y515" s="30">
        <f>IF(D515=0,,IF(ISBLANK(Q515),,VLOOKUP(X515,Week8,2,FALSE)/(VLOOKUP(X515,Week8,2,FALSE)+VLOOKUP(W515,Week8,2,FALSE))+0.05)*100)</f>
        <v>54.83834465</v>
      </c>
      <c r="Z515" s="3" t="s">
        <v>172</v>
      </c>
      <c r="AA515" s="3">
        <v>30.0</v>
      </c>
      <c r="AB515" s="4" t="str">
        <f t="shared" si="20"/>
        <v>Southern Mississippi</v>
      </c>
      <c r="AC515" s="3">
        <v>6.0</v>
      </c>
      <c r="AD515" s="3"/>
      <c r="AE515" s="3">
        <f t="shared" si="13"/>
        <v>24</v>
      </c>
      <c r="AF515" s="3"/>
      <c r="AG515" s="3">
        <f t="shared" si="133"/>
        <v>0</v>
      </c>
      <c r="AH515" s="3"/>
      <c r="AI515" s="7"/>
      <c r="AJ515" s="4"/>
      <c r="AK515" s="7"/>
      <c r="AL515" s="7"/>
      <c r="AM515" s="7"/>
      <c r="AN515" s="7"/>
      <c r="AO515" s="7"/>
      <c r="AP515" s="7"/>
      <c r="AQ515" s="7"/>
      <c r="AR515" s="7"/>
      <c r="AS515" s="7"/>
      <c r="AT515" s="7"/>
      <c r="AU515" s="7"/>
      <c r="AV515" s="7"/>
      <c r="AW515" s="7"/>
      <c r="AX515" s="7"/>
    </row>
    <row r="516" ht="12.75" hidden="1" customHeight="1">
      <c r="A516" s="3">
        <v>12.0</v>
      </c>
      <c r="B516" s="3" t="s">
        <v>185</v>
      </c>
      <c r="C516" s="3" t="s">
        <v>107</v>
      </c>
      <c r="D516" s="4">
        <f>IFERROR(VLOOKUP(B516,Week11,2,FALSE),0)</f>
        <v>32.51</v>
      </c>
      <c r="E516" s="4">
        <f>IF(ISBLANK(B516),,IFERROR(VLOOKUP(B516,CurrentRank!$B$2:$C$132,2,FALSE),0))</f>
        <v>33.22</v>
      </c>
      <c r="F516" s="4">
        <f>IFERROR(VLOOKUP(B516,Week11,3,FALSE),130)</f>
        <v>81</v>
      </c>
      <c r="G516" s="4">
        <f>IF(ISBLANK(B516),,IFERROR(VLOOKUP(B516,CurrentRank!$B$2:$D$132,3,FALSE),130))</f>
        <v>84</v>
      </c>
      <c r="H516" s="4">
        <f>IFERROR(VLOOKUP(C516,Week11,2,FALSE),0)</f>
        <v>33.92</v>
      </c>
      <c r="I516" s="4">
        <f>IF(ISBLANK(B516),,IFERROR(VLOOKUP(C516,CurrentRank!$B$2:$C$132,2,FALSE),0))</f>
        <v>35.54</v>
      </c>
      <c r="J516" s="4">
        <f>IFERROR(VLOOKUP(C516,Week11,3,FALSE),130)</f>
        <v>71</v>
      </c>
      <c r="K516" s="4">
        <f>IF(ISBLANK(C516),,IFERROR(VLOOKUP(C516,CurrentRank!$B$2:$D$132,3,FALSE),130))</f>
        <v>57</v>
      </c>
      <c r="L516" s="19">
        <f t="shared" si="220"/>
        <v>0.99645</v>
      </c>
      <c r="M516" s="19">
        <f t="shared" si="221"/>
        <v>1.0314</v>
      </c>
      <c r="N516" s="24">
        <f t="shared" si="222"/>
        <v>76</v>
      </c>
      <c r="O516" s="21">
        <f t="shared" si="4"/>
        <v>-1.203225</v>
      </c>
      <c r="P516" s="21">
        <f t="shared" si="223"/>
        <v>-1.658225</v>
      </c>
      <c r="Q516" s="22">
        <f t="shared" si="6"/>
        <v>0.613983875</v>
      </c>
      <c r="R516" s="25" t="str">
        <f t="shared" si="7"/>
        <v>D-</v>
      </c>
      <c r="S516" s="19">
        <f t="shared" si="8"/>
        <v>0.48</v>
      </c>
      <c r="T516" s="19" t="str">
        <f t="shared" si="9"/>
        <v>F</v>
      </c>
      <c r="U516" s="3" t="s">
        <v>203</v>
      </c>
      <c r="V516" s="4" t="str">
        <f>IF(ISBLANK(C516),,IFERROR(IF(VLOOKUP(B516,Standings!$A:$F, 6, 0)=VLOOKUP(C516,Standings!$A:$F, 6, 0), VLOOKUP(B516,Standings!$A:$F, 6, 0), "Non-con"), "FCS"))</f>
        <v>MWC</v>
      </c>
      <c r="W516" s="3" t="str">
        <f t="shared" si="10"/>
        <v>New Mexico</v>
      </c>
      <c r="X516" s="3" t="str">
        <f t="shared" si="11"/>
        <v>Air Force</v>
      </c>
      <c r="Y516" s="30">
        <f>IF(D516=0,,IF(ISBLANK(Q516),,VLOOKUP(X516,Week11,2,FALSE)/(VLOOKUP(X516,Week11,2,FALSE)+VLOOKUP(W516,Week11,2,FALSE))+0.05)*100)</f>
        <v>56.0612675</v>
      </c>
      <c r="Z516" s="3" t="s">
        <v>107</v>
      </c>
      <c r="AA516" s="3">
        <v>28.0</v>
      </c>
      <c r="AB516" s="4" t="str">
        <f t="shared" si="20"/>
        <v>New Mexico</v>
      </c>
      <c r="AC516" s="3">
        <v>0.0</v>
      </c>
      <c r="AD516" s="3"/>
      <c r="AE516" s="3">
        <f t="shared" si="13"/>
        <v>28</v>
      </c>
      <c r="AF516" s="3"/>
      <c r="AG516" s="3">
        <f t="shared" si="133"/>
        <v>1</v>
      </c>
      <c r="AH516" s="3"/>
      <c r="AI516" s="7"/>
      <c r="AJ516" s="3" t="s">
        <v>275</v>
      </c>
      <c r="AK516" s="7"/>
      <c r="AL516" s="7"/>
      <c r="AM516" s="7"/>
      <c r="AN516" s="7"/>
      <c r="AO516" s="7"/>
      <c r="AP516" s="7"/>
      <c r="AQ516" s="7"/>
      <c r="AR516" s="7"/>
      <c r="AS516" s="7"/>
      <c r="AT516" s="7"/>
      <c r="AU516" s="7"/>
      <c r="AV516" s="7"/>
      <c r="AW516" s="7"/>
      <c r="AX516" s="7"/>
    </row>
    <row r="517" ht="12.75" customHeight="1">
      <c r="A517" s="3">
        <v>12.0</v>
      </c>
      <c r="B517" s="3" t="s">
        <v>172</v>
      </c>
      <c r="C517" s="3" t="s">
        <v>114</v>
      </c>
      <c r="D517" s="4">
        <f>IFERROR(VLOOKUP(B517,Week11,2,FALSE),0)</f>
        <v>35.31</v>
      </c>
      <c r="E517" s="4">
        <f>IF(ISBLANK(B517),,IFERROR(VLOOKUP(B517,CurrentRank!$B$2:$C$132,2,FALSE),0))</f>
        <v>33.49</v>
      </c>
      <c r="F517" s="4">
        <f>IFERROR(VLOOKUP(B517,Week11,3,FALSE),130)</f>
        <v>62</v>
      </c>
      <c r="G517" s="4">
        <f>IF(ISBLANK(B517),,IFERROR(VLOOKUP(B517,CurrentRank!$B$2:$D$132,3,FALSE),130))</f>
        <v>79</v>
      </c>
      <c r="H517" s="4">
        <f>IFERROR(VLOOKUP(C517,Week11,2,FALSE),0)</f>
        <v>29.26</v>
      </c>
      <c r="I517" s="4">
        <f>IF(ISBLANK(B517),,IFERROR(VLOOKUP(C517,CurrentRank!$B$2:$C$132,2,FALSE),0))</f>
        <v>29.9</v>
      </c>
      <c r="J517" s="4">
        <f>IFERROR(VLOOKUP(C517,Week11,3,FALSE),130)</f>
        <v>114</v>
      </c>
      <c r="K517" s="4">
        <f>IF(ISBLANK(C517),,IFERROR(VLOOKUP(C517,CurrentRank!$B$2:$D$132,3,FALSE),130))</f>
        <v>110</v>
      </c>
      <c r="L517" s="19">
        <f t="shared" si="220"/>
        <v>0.96855</v>
      </c>
      <c r="M517" s="19">
        <f t="shared" si="221"/>
        <v>0.95085</v>
      </c>
      <c r="N517" s="24">
        <f t="shared" si="222"/>
        <v>88</v>
      </c>
      <c r="O517" s="21">
        <f t="shared" si="4"/>
        <v>2.540725</v>
      </c>
      <c r="P517" s="21">
        <f t="shared" si="223"/>
        <v>1.310725</v>
      </c>
      <c r="Q517" s="22">
        <f t="shared" si="6"/>
        <v>0.547296375</v>
      </c>
      <c r="R517" s="25" t="str">
        <f t="shared" si="7"/>
        <v>F</v>
      </c>
      <c r="S517" s="19">
        <f t="shared" si="8"/>
        <v>0.51</v>
      </c>
      <c r="T517" s="19" t="str">
        <f t="shared" si="9"/>
        <v>F</v>
      </c>
      <c r="U517" s="3" t="s">
        <v>203</v>
      </c>
      <c r="V517" s="4" t="str">
        <f>IF(ISBLANK(C517),,IFERROR(IF(VLOOKUP(B517,Standings!$A:$F, 6, 0)=VLOOKUP(C517,Standings!$A:$F, 6, 0), VLOOKUP(B517,Standings!$A:$F, 6, 0), "Non-con"), "FCS"))</f>
        <v>CUSA</v>
      </c>
      <c r="W517" s="3" t="str">
        <f t="shared" si="10"/>
        <v>North Texas</v>
      </c>
      <c r="X517" s="3" t="str">
        <f t="shared" si="11"/>
        <v>Rice</v>
      </c>
      <c r="Y517" s="30">
        <f>IF(D517=0,,IF(ISBLANK(Q517),,VLOOKUP(X517,Week11,2,FALSE)/(VLOOKUP(X517,Week11,2,FALSE)+VLOOKUP(W517,Week11,2,FALSE))+0.05)*100)</f>
        <v>59.68483816</v>
      </c>
      <c r="Z517" s="3" t="s">
        <v>114</v>
      </c>
      <c r="AA517" s="3">
        <v>27.0</v>
      </c>
      <c r="AB517" s="4" t="str">
        <f t="shared" si="20"/>
        <v>Rice</v>
      </c>
      <c r="AC517" s="3">
        <v>17.0</v>
      </c>
      <c r="AD517" s="3"/>
      <c r="AE517" s="3">
        <f t="shared" si="13"/>
        <v>10</v>
      </c>
      <c r="AF517" s="3"/>
      <c r="AG517" s="3">
        <f t="shared" si="133"/>
        <v>0</v>
      </c>
      <c r="AH517" s="3"/>
      <c r="AI517" s="7"/>
      <c r="AJ517" s="4"/>
      <c r="AN517" s="7"/>
      <c r="AO517" s="7"/>
      <c r="AP517" s="7"/>
      <c r="AQ517" s="7"/>
      <c r="AR517" s="7"/>
      <c r="AS517" s="7"/>
      <c r="AT517" s="7"/>
      <c r="AU517" s="7"/>
      <c r="AV517" s="7"/>
      <c r="AW517" s="7"/>
      <c r="AX517" s="7"/>
    </row>
    <row r="518" ht="12.75" customHeight="1">
      <c r="A518" s="3">
        <v>14.0</v>
      </c>
      <c r="B518" s="3" t="s">
        <v>153</v>
      </c>
      <c r="C518" s="3" t="s">
        <v>152</v>
      </c>
      <c r="D518" s="4">
        <f>IFERROR(VLOOKUP(B518,Week13,2,FALSE),0)</f>
        <v>30.88</v>
      </c>
      <c r="E518" s="4">
        <f>IF(ISBLANK(B518),,IFERROR(VLOOKUP(B518,CurrentRank!$B$2:$C$132,2,FALSE),0))</f>
        <v>35.51</v>
      </c>
      <c r="F518" s="4">
        <f>IFERROR(VLOOKUP(B518,Week13,3,FALSE),130)</f>
        <v>97</v>
      </c>
      <c r="G518" s="4">
        <f>IF(ISBLANK(B518),,IFERROR(VLOOKUP(B518,CurrentRank!$B$2:$D$132,3,FALSE),130))</f>
        <v>58</v>
      </c>
      <c r="H518" s="4">
        <f>IFERROR(VLOOKUP(C518,Week13,2,FALSE),0)</f>
        <v>32.85</v>
      </c>
      <c r="I518" s="4">
        <f>IF(ISBLANK(B518),,IFERROR(VLOOKUP(C518,CurrentRank!$B$2:$C$132,2,FALSE),0))</f>
        <v>32.23</v>
      </c>
      <c r="J518" s="4">
        <f>IFERROR(VLOOKUP(C518,Week13,3,FALSE),130)</f>
        <v>79</v>
      </c>
      <c r="K518" s="4">
        <f>IF(ISBLANK(C518),,IFERROR(VLOOKUP(C518,CurrentRank!$B$2:$D$132,3,FALSE),130))</f>
        <v>92</v>
      </c>
      <c r="L518" s="19">
        <f t="shared" si="220"/>
        <v>0.95595</v>
      </c>
      <c r="M518" s="19">
        <f t="shared" si="221"/>
        <v>1.0161</v>
      </c>
      <c r="N518" s="24">
        <f t="shared" si="222"/>
        <v>88</v>
      </c>
      <c r="O518" s="21">
        <f t="shared" si="4"/>
        <v>-1.462975</v>
      </c>
      <c r="P518" s="21">
        <f t="shared" si="223"/>
        <v>1.162025</v>
      </c>
      <c r="Q518" s="22">
        <f t="shared" si="6"/>
        <v>0.552685125</v>
      </c>
      <c r="R518" s="25" t="str">
        <f t="shared" si="7"/>
        <v>F</v>
      </c>
      <c r="S518" s="19">
        <f t="shared" si="8"/>
        <v>0.51</v>
      </c>
      <c r="T518" s="19" t="str">
        <f t="shared" si="9"/>
        <v>F</v>
      </c>
      <c r="U518" s="3" t="s">
        <v>203</v>
      </c>
      <c r="V518" s="4" t="str">
        <f>IF(ISBLANK(C518),,IFERROR(IF(VLOOKUP(B518,Standings!$A:$F, 6, 0)=VLOOKUP(C518,Standings!$A:$F, 6, 0), VLOOKUP(B518,Standings!$A:$F, 6, 0), "Non-con"), "FCS"))</f>
        <v>B1G</v>
      </c>
      <c r="W518" s="3" t="str">
        <f t="shared" si="10"/>
        <v>Nebraska</v>
      </c>
      <c r="X518" s="3" t="str">
        <f t="shared" si="11"/>
        <v>Purdue</v>
      </c>
      <c r="Y518" s="30">
        <f>IF(D518=0,,IF(ISBLANK(Q518),,VLOOKUP(X518,Week13,2,FALSE)/(VLOOKUP(X518,Week13,2,FALSE)+VLOOKUP(W518,Week13,2,FALSE))+0.05)*100)</f>
        <v>56.54558293</v>
      </c>
      <c r="Z518" s="3" t="s">
        <v>153</v>
      </c>
      <c r="AA518" s="3">
        <v>37.0</v>
      </c>
      <c r="AB518" s="4" t="str">
        <f t="shared" si="20"/>
        <v>Purdue</v>
      </c>
      <c r="AC518" s="3">
        <v>27.0</v>
      </c>
      <c r="AD518" s="3"/>
      <c r="AE518" s="3">
        <f t="shared" si="13"/>
        <v>10</v>
      </c>
      <c r="AF518" s="3"/>
      <c r="AG518" s="3">
        <f t="shared" si="133"/>
        <v>0</v>
      </c>
      <c r="AH518" s="3"/>
      <c r="AI518" s="7"/>
      <c r="AJ518" s="4"/>
      <c r="AK518" s="7"/>
      <c r="AL518" s="7"/>
      <c r="AM518" s="7"/>
      <c r="AN518" s="7"/>
      <c r="AO518" s="7"/>
      <c r="AP518" s="7"/>
      <c r="AQ518" s="7"/>
      <c r="AR518" s="7"/>
      <c r="AS518" s="7"/>
      <c r="AT518" s="7"/>
      <c r="AU518" s="7"/>
      <c r="AV518" s="7"/>
      <c r="AW518" s="7"/>
      <c r="AX518" s="7"/>
    </row>
    <row r="519" ht="12.75" hidden="1" customHeight="1">
      <c r="A519" s="3">
        <v>16.0</v>
      </c>
      <c r="B519" s="3" t="s">
        <v>91</v>
      </c>
      <c r="C519" s="3" t="s">
        <v>74</v>
      </c>
      <c r="D519" s="4">
        <f>IFERROR(VLOOKUP(B519,Week15,2,FALSE),0)</f>
        <v>38.12</v>
      </c>
      <c r="E519" s="4">
        <f>IF(ISBLANK(B519),,IFERROR(VLOOKUP(B519,CurrentRank!$B$2:$C$132,2,FALSE),0))</f>
        <v>35.39</v>
      </c>
      <c r="F519" s="4">
        <f>IFERROR(VLOOKUP(B519,Week15,3,FALSE),130)</f>
        <v>42</v>
      </c>
      <c r="G519" s="4">
        <f>IF(ISBLANK(B519),,IFERROR(VLOOKUP(B519,CurrentRank!$B$2:$D$132,3,FALSE),130))</f>
        <v>60</v>
      </c>
      <c r="H519" s="4">
        <f>IFERROR(VLOOKUP(C519,Week15,2,FALSE),0)</f>
        <v>39.64</v>
      </c>
      <c r="I519" s="4">
        <f>IF(ISBLANK(B519),,IFERROR(VLOOKUP(C519,CurrentRank!$B$2:$C$132,2,FALSE),0))</f>
        <v>41.11</v>
      </c>
      <c r="J519" s="4">
        <f>IFERROR(VLOOKUP(C519,Week15,3,FALSE),130)</f>
        <v>39</v>
      </c>
      <c r="K519" s="4">
        <f>IF(ISBLANK(C519),,IFERROR(VLOOKUP(C519,CurrentRank!$B$2:$D$132,3,FALSE),130))</f>
        <v>32</v>
      </c>
      <c r="L519" s="19">
        <f t="shared" si="220"/>
        <v>1.1664</v>
      </c>
      <c r="M519" s="19">
        <f t="shared" si="221"/>
        <v>1.1475</v>
      </c>
      <c r="N519" s="24">
        <f t="shared" si="222"/>
        <v>40.5</v>
      </c>
      <c r="O519" s="21">
        <f t="shared" si="4"/>
        <v>-1.3432</v>
      </c>
      <c r="P519" s="21">
        <f t="shared" si="223"/>
        <v>-3.4432</v>
      </c>
      <c r="Q519" s="22">
        <f t="shared" si="6"/>
        <v>0.790784</v>
      </c>
      <c r="R519" s="25" t="str">
        <f t="shared" si="7"/>
        <v>C+</v>
      </c>
      <c r="S519" s="19">
        <f t="shared" si="8"/>
        <v>0.8025</v>
      </c>
      <c r="T519" s="19" t="str">
        <f t="shared" si="9"/>
        <v>B-</v>
      </c>
      <c r="U519" s="3" t="s">
        <v>203</v>
      </c>
      <c r="V519" s="4" t="str">
        <f>IF(ISBLANK(C519),,IFERROR(IF(VLOOKUP(B519,Standings!$A:$F, 6, 0)=VLOOKUP(C519,Standings!$A:$F, 6, 0), VLOOKUP(B519,Standings!$A:$F, 6, 0), "Non-con"), "FCS"))</f>
        <v>B1G</v>
      </c>
      <c r="W519" s="3" t="str">
        <f t="shared" si="10"/>
        <v>Minnesota</v>
      </c>
      <c r="X519" s="3" t="str">
        <f t="shared" si="11"/>
        <v>Wisconsin</v>
      </c>
      <c r="Y519" s="30">
        <f>IF(D519=0,,IF(ISBLANK(Q519),,VLOOKUP(X519,Week15,2,FALSE)/(VLOOKUP(X519,Week15,2,FALSE)+VLOOKUP(W519,Week15,2,FALSE))+0.05)*100)</f>
        <v>55.97736626</v>
      </c>
      <c r="Z519" s="3" t="s">
        <v>74</v>
      </c>
      <c r="AA519" s="3">
        <v>20.0</v>
      </c>
      <c r="AB519" s="4" t="str">
        <f t="shared" si="20"/>
        <v>Minnesota</v>
      </c>
      <c r="AC519" s="3">
        <v>17.0</v>
      </c>
      <c r="AD519" s="3">
        <v>1.0</v>
      </c>
      <c r="AE519" s="3">
        <f t="shared" si="13"/>
        <v>3</v>
      </c>
      <c r="AF519" s="3"/>
      <c r="AG519" s="3">
        <f t="shared" si="133"/>
        <v>1</v>
      </c>
      <c r="AH519" s="3"/>
      <c r="AI519" s="7"/>
      <c r="AJ519" s="4"/>
      <c r="AK519" s="7"/>
      <c r="AL519" s="7"/>
      <c r="AM519" s="7"/>
      <c r="AN519" s="7"/>
      <c r="AO519" s="7"/>
      <c r="AP519" s="7"/>
      <c r="AQ519" s="7"/>
      <c r="AR519" s="7"/>
      <c r="AS519" s="7"/>
      <c r="AT519" s="7"/>
      <c r="AU519" s="7"/>
      <c r="AV519" s="7"/>
      <c r="AW519" s="7"/>
      <c r="AX519" s="7"/>
    </row>
    <row r="520" ht="12.75" hidden="1" customHeight="1">
      <c r="A520" s="3">
        <v>14.0</v>
      </c>
      <c r="B520" s="3" t="s">
        <v>107</v>
      </c>
      <c r="C520" s="3" t="s">
        <v>156</v>
      </c>
      <c r="D520" s="4">
        <f>IFERROR(VLOOKUP(B520,Week13,2,FALSE),0)</f>
        <v>35.08</v>
      </c>
      <c r="E520" s="4">
        <f>IF(ISBLANK(B520),,IFERROR(VLOOKUP(B520,CurrentRank!$B$2:$C$132,2,FALSE),0))</f>
        <v>35.54</v>
      </c>
      <c r="F520" s="4">
        <f>IFERROR(VLOOKUP(B520,Week13,3,FALSE),130)</f>
        <v>61</v>
      </c>
      <c r="G520" s="4">
        <f>IF(ISBLANK(B520),,IFERROR(VLOOKUP(B520,CurrentRank!$B$2:$D$132,3,FALSE),130))</f>
        <v>57</v>
      </c>
      <c r="H520" s="4">
        <f>IFERROR(VLOOKUP(C520,Week13,2,FALSE),0)</f>
        <v>33.74</v>
      </c>
      <c r="I520" s="4">
        <f>IF(ISBLANK(B520),,IFERROR(VLOOKUP(C520,CurrentRank!$B$2:$C$132,2,FALSE),0))</f>
        <v>32.81</v>
      </c>
      <c r="J520" s="4">
        <f>IFERROR(VLOOKUP(C520,Week13,3,FALSE),130)</f>
        <v>72</v>
      </c>
      <c r="K520" s="4">
        <f>IF(ISBLANK(C520),,IFERROR(VLOOKUP(C520,CurrentRank!$B$2:$D$132,3,FALSE),130))</f>
        <v>88</v>
      </c>
      <c r="L520" s="19">
        <f t="shared" si="220"/>
        <v>1.0323</v>
      </c>
      <c r="M520" s="19">
        <f t="shared" si="221"/>
        <v>1.02525</v>
      </c>
      <c r="N520" s="24">
        <f t="shared" si="222"/>
        <v>66.5</v>
      </c>
      <c r="O520" s="21">
        <f t="shared" si="4"/>
        <v>0.15385</v>
      </c>
      <c r="P520" s="21">
        <f t="shared" si="223"/>
        <v>0.84885</v>
      </c>
      <c r="Q520" s="22">
        <f t="shared" si="6"/>
        <v>0.66673075</v>
      </c>
      <c r="R520" s="25" t="str">
        <f t="shared" si="7"/>
        <v>D+</v>
      </c>
      <c r="S520" s="19">
        <f t="shared" si="8"/>
        <v>0.5275</v>
      </c>
      <c r="T520" s="19" t="str">
        <f t="shared" si="9"/>
        <v>F</v>
      </c>
      <c r="U520" s="3" t="s">
        <v>203</v>
      </c>
      <c r="V520" s="4" t="str">
        <f>IF(ISBLANK(C520),,IFERROR(IF(VLOOKUP(B520,Standings!$A:$F, 6, 0)=VLOOKUP(C520,Standings!$A:$F, 6, 0), VLOOKUP(B520,Standings!$A:$F, 6, 0), "Non-con"), "FCS"))</f>
        <v>MWC</v>
      </c>
      <c r="W520" s="3" t="str">
        <f t="shared" si="10"/>
        <v>Utah State</v>
      </c>
      <c r="X520" s="3" t="str">
        <f t="shared" si="11"/>
        <v>Air Force</v>
      </c>
      <c r="Y520" s="30">
        <f>IF(D520=0,,IF(ISBLANK(Q520),,VLOOKUP(X520,Week13,2,FALSE)/(VLOOKUP(X520,Week13,2,FALSE)+VLOOKUP(W520,Week13,2,FALSE))+0.05)*100)</f>
        <v>55.9735542</v>
      </c>
      <c r="Z520" s="3" t="s">
        <v>107</v>
      </c>
      <c r="AA520" s="3">
        <v>35.0</v>
      </c>
      <c r="AB520" s="4" t="str">
        <f t="shared" si="20"/>
        <v>Utah State</v>
      </c>
      <c r="AC520" s="3">
        <v>7.0</v>
      </c>
      <c r="AD520" s="3"/>
      <c r="AE520" s="3">
        <f t="shared" si="13"/>
        <v>28</v>
      </c>
      <c r="AF520" s="3"/>
      <c r="AG520" s="3">
        <f t="shared" si="133"/>
        <v>1</v>
      </c>
      <c r="AH520" s="3"/>
      <c r="AI520" s="7"/>
      <c r="AJ520" s="4"/>
      <c r="AK520" s="7"/>
      <c r="AL520" s="7"/>
      <c r="AM520" s="7"/>
      <c r="AN520" s="7"/>
      <c r="AO520" s="7"/>
      <c r="AP520" s="7"/>
      <c r="AQ520" s="7"/>
      <c r="AR520" s="7"/>
      <c r="AS520" s="7"/>
      <c r="AT520" s="7"/>
      <c r="AU520" s="7"/>
      <c r="AV520" s="7"/>
      <c r="AW520" s="7"/>
      <c r="AX520" s="7"/>
    </row>
    <row r="521" ht="12.75" hidden="1" customHeight="1">
      <c r="A521" s="3">
        <v>8.0</v>
      </c>
      <c r="B521" s="3" t="s">
        <v>69</v>
      </c>
      <c r="C521" s="3" t="s">
        <v>86</v>
      </c>
      <c r="D521" s="4">
        <f>IFERROR(VLOOKUP(B521,Week7,2,FALSE),0)</f>
        <v>74.26</v>
      </c>
      <c r="E521" s="4">
        <f>IF(ISBLANK(B521),,IFERROR(VLOOKUP(B521,CurrentRank!$B$2:$C$132,2,FALSE),0))</f>
        <v>72.9</v>
      </c>
      <c r="F521" s="4">
        <f>IFERROR(VLOOKUP(B521,Week7,3,FALSE),130)</f>
        <v>8</v>
      </c>
      <c r="G521" s="4">
        <f>IF(ISBLANK(B521),,IFERROR(VLOOKUP(B521,CurrentRank!$B$2:$D$132,3,FALSE),130))</f>
        <v>9</v>
      </c>
      <c r="H521" s="4">
        <f>IFERROR(VLOOKUP(C521,Week7,2,FALSE),0)</f>
        <v>71.45</v>
      </c>
      <c r="I521" s="4">
        <f>IF(ISBLANK(B521),,IFERROR(VLOOKUP(C521,CurrentRank!$B$2:$C$132,2,FALSE),0))</f>
        <v>33.56</v>
      </c>
      <c r="J521" s="4">
        <f>IFERROR(VLOOKUP(C521,Week7,3,FALSE),130)</f>
        <v>11</v>
      </c>
      <c r="K521" s="4">
        <f>IF(ISBLANK(C521),,IFERROR(VLOOKUP(C521,CurrentRank!$B$2:$D$132,3,FALSE),130))</f>
        <v>78</v>
      </c>
      <c r="L521" s="19">
        <f t="shared" si="220"/>
        <v>2.18565</v>
      </c>
      <c r="M521" s="19">
        <f t="shared" si="221"/>
        <v>1.5969</v>
      </c>
      <c r="N521" s="24">
        <f t="shared" si="222"/>
        <v>9.5</v>
      </c>
      <c r="O521" s="21">
        <f t="shared" si="4"/>
        <v>0.312175</v>
      </c>
      <c r="P521" s="21">
        <f t="shared" si="223"/>
        <v>18.577175</v>
      </c>
      <c r="Q521" s="22">
        <f t="shared" si="6"/>
        <v>0.950939125</v>
      </c>
      <c r="R521" s="25" t="str">
        <f t="shared" si="7"/>
        <v>A</v>
      </c>
      <c r="S521" s="19">
        <f t="shared" si="8"/>
        <v>0.8075</v>
      </c>
      <c r="T521" s="19" t="str">
        <f t="shared" si="9"/>
        <v>B-</v>
      </c>
      <c r="U521" s="3" t="s">
        <v>203</v>
      </c>
      <c r="V521" s="4" t="str">
        <f>IF(ISBLANK(C521),,IFERROR(IF(VLOOKUP(B521,Standings!$A:$F, 6, 0)=VLOOKUP(C521,Standings!$A:$F, 6, 0), VLOOKUP(B521,Standings!$A:$F, 6, 0), "Non-con"), "FCS"))</f>
        <v>AAC</v>
      </c>
      <c r="W521" s="3" t="str">
        <f t="shared" si="10"/>
        <v>Southern Methodist</v>
      </c>
      <c r="X521" s="3" t="str">
        <f t="shared" si="11"/>
        <v>Cincinnati</v>
      </c>
      <c r="Y521" s="30">
        <f>IF(D521=0,,IF(ISBLANK(Q521),,VLOOKUP(X521,Week7,2,FALSE)/(VLOOKUP(X521,Week7,2,FALSE)+VLOOKUP(W521,Week7,2,FALSE))+0.05)*100)</f>
        <v>55.96424405</v>
      </c>
      <c r="Z521" s="3" t="s">
        <v>69</v>
      </c>
      <c r="AA521" s="3">
        <v>42.0</v>
      </c>
      <c r="AB521" s="4" t="str">
        <f t="shared" si="20"/>
        <v>Southern Methodist</v>
      </c>
      <c r="AC521" s="3">
        <v>13.0</v>
      </c>
      <c r="AD521" s="3"/>
      <c r="AE521" s="3">
        <f t="shared" si="13"/>
        <v>29</v>
      </c>
      <c r="AF521" s="3"/>
      <c r="AG521" s="3">
        <f t="shared" si="133"/>
        <v>1</v>
      </c>
      <c r="AH521" s="3"/>
      <c r="AI521" s="7"/>
      <c r="AJ521" s="4"/>
      <c r="AM521" s="7"/>
      <c r="AN521" s="7"/>
      <c r="AO521" s="7"/>
      <c r="AP521" s="7"/>
      <c r="AQ521" s="7"/>
      <c r="AR521" s="7"/>
      <c r="AS521" s="7"/>
      <c r="AT521" s="7"/>
      <c r="AU521" s="7"/>
      <c r="AV521" s="7"/>
      <c r="AW521" s="7"/>
      <c r="AX521" s="7"/>
    </row>
    <row r="522" ht="12.75" customHeight="1">
      <c r="A522" s="3">
        <v>17.0</v>
      </c>
      <c r="B522" s="3" t="s">
        <v>186</v>
      </c>
      <c r="C522" s="3" t="s">
        <v>196</v>
      </c>
      <c r="D522" s="4">
        <f>IFERROR(VLOOKUP(B522,Week16,2,FALSE),0)</f>
        <v>32.78</v>
      </c>
      <c r="E522" s="4">
        <f>IF(ISBLANK(B522),,IFERROR(VLOOKUP(B522,CurrentRank!$B$2:$C$132,2,FALSE),0))</f>
        <v>33.49</v>
      </c>
      <c r="F522" s="4">
        <f>IFERROR(VLOOKUP(B522,Week16,3,FALSE),130)</f>
        <v>89</v>
      </c>
      <c r="G522" s="4">
        <f>IF(ISBLANK(B522),,IFERROR(VLOOKUP(B522,CurrentRank!$B$2:$D$132,3,FALSE),130))</f>
        <v>79</v>
      </c>
      <c r="H522" s="4">
        <f>IFERROR(VLOOKUP(C522,Week16,2,FALSE),0)</f>
        <v>34.28</v>
      </c>
      <c r="I522" s="4">
        <f>IF(ISBLANK(B522),,IFERROR(VLOOKUP(C522,CurrentRank!$B$2:$C$132,2,FALSE),0))</f>
        <v>33.03</v>
      </c>
      <c r="J522" s="4">
        <f>IFERROR(VLOOKUP(C522,Week16,3,FALSE),130)</f>
        <v>80</v>
      </c>
      <c r="K522" s="4">
        <f>IF(ISBLANK(C522),,IFERROR(VLOOKUP(C522,CurrentRank!$B$2:$D$132,3,FALSE),130))</f>
        <v>86</v>
      </c>
      <c r="L522" s="19">
        <f t="shared" si="220"/>
        <v>0</v>
      </c>
      <c r="M522" s="19">
        <f t="shared" si="221"/>
        <v>0</v>
      </c>
      <c r="N522" s="24">
        <f t="shared" si="222"/>
        <v>84.5</v>
      </c>
      <c r="O522" s="21">
        <f t="shared" si="4"/>
        <v>-0.75</v>
      </c>
      <c r="P522" s="21">
        <f t="shared" si="223"/>
        <v>0.23</v>
      </c>
      <c r="Q522" s="22">
        <f t="shared" si="6"/>
        <v>0.57375</v>
      </c>
      <c r="R522" s="25" t="str">
        <f t="shared" si="7"/>
        <v>F</v>
      </c>
      <c r="S522" s="19">
        <f t="shared" si="8"/>
        <v>0.5075</v>
      </c>
      <c r="T522" s="19" t="str">
        <f t="shared" si="9"/>
        <v>F</v>
      </c>
      <c r="U522" s="3" t="s">
        <v>223</v>
      </c>
      <c r="V522" s="4" t="str">
        <f>IF(ISBLANK(C522),,IFERROR(IF(VLOOKUP(B522,Standings!$A:$F, 6, 0)=VLOOKUP(C522,Standings!$A:$F, 6, 0), VLOOKUP(B522,Standings!$A:$F, 6, 0), "Non-con"), "FCS"))</f>
        <v>Non-con</v>
      </c>
      <c r="W522" s="3" t="str">
        <f t="shared" si="10"/>
        <v>Hawaii</v>
      </c>
      <c r="X522" s="3" t="str">
        <f t="shared" si="11"/>
        <v>Houston</v>
      </c>
      <c r="Y522" s="30">
        <f>IF(D522=0,,IF(ISBLANK(Q522),,VLOOKUP(X522,Week16,2,FALSE)/(VLOOKUP(X522,Week16,2,FALSE)+VLOOKUP(W522,Week16,2,FALSE)))*100)</f>
        <v>51.11840143</v>
      </c>
      <c r="Z522" s="3" t="s">
        <v>186</v>
      </c>
      <c r="AA522" s="3">
        <v>28.0</v>
      </c>
      <c r="AB522" s="4" t="str">
        <f t="shared" si="20"/>
        <v>Houston</v>
      </c>
      <c r="AC522" s="3">
        <v>14.0</v>
      </c>
      <c r="AD522" s="3"/>
      <c r="AE522" s="3">
        <f t="shared" si="13"/>
        <v>14</v>
      </c>
      <c r="AF522" s="3" t="s">
        <v>224</v>
      </c>
      <c r="AG522" s="3">
        <f t="shared" si="133"/>
        <v>0</v>
      </c>
      <c r="AH522" s="3"/>
      <c r="AI522" s="7"/>
      <c r="AJ522" s="4"/>
      <c r="AK522" s="7"/>
      <c r="AL522" s="7"/>
      <c r="AM522" s="7"/>
      <c r="AN522" s="7"/>
      <c r="AO522" s="7"/>
      <c r="AP522" s="7"/>
      <c r="AQ522" s="7"/>
      <c r="AR522" s="7"/>
      <c r="AS522" s="7"/>
      <c r="AT522" s="7"/>
      <c r="AU522" s="7"/>
      <c r="AV522" s="7"/>
      <c r="AW522" s="7"/>
      <c r="AX522" s="7"/>
    </row>
    <row r="523" ht="12.75" hidden="1" customHeight="1">
      <c r="A523" s="3">
        <v>15.0</v>
      </c>
      <c r="B523" s="3" t="s">
        <v>91</v>
      </c>
      <c r="C523" s="3" t="s">
        <v>153</v>
      </c>
      <c r="D523" s="4">
        <f>IFERROR(VLOOKUP(B523,Week14,2,FALSE),0)</f>
        <v>36.35</v>
      </c>
      <c r="E523" s="4">
        <f>IF(ISBLANK(B523),,IFERROR(VLOOKUP(B523,CurrentRank!$B$2:$C$132,2,FALSE),0))</f>
        <v>35.39</v>
      </c>
      <c r="F523" s="4">
        <f>IFERROR(VLOOKUP(B523,Week14,3,FALSE),130)</f>
        <v>54</v>
      </c>
      <c r="G523" s="4">
        <f>IF(ISBLANK(B523),,IFERROR(VLOOKUP(B523,CurrentRank!$B$2:$D$132,3,FALSE),130))</f>
        <v>60</v>
      </c>
      <c r="H523" s="4">
        <f>IFERROR(VLOOKUP(C523,Week14,2,FALSE),0)</f>
        <v>35.06</v>
      </c>
      <c r="I523" s="4">
        <f>IF(ISBLANK(B523),,IFERROR(VLOOKUP(C523,CurrentRank!$B$2:$C$132,2,FALSE),0))</f>
        <v>35.51</v>
      </c>
      <c r="J523" s="4">
        <f>IFERROR(VLOOKUP(C523,Week14,3,FALSE),130)</f>
        <v>69</v>
      </c>
      <c r="K523" s="4">
        <f>IF(ISBLANK(C523),,IFERROR(VLOOKUP(C523,CurrentRank!$B$2:$D$132,3,FALSE),130))</f>
        <v>58</v>
      </c>
      <c r="L523" s="19">
        <f t="shared" si="220"/>
        <v>1.07115</v>
      </c>
      <c r="M523" s="19">
        <f t="shared" si="221"/>
        <v>1.0635</v>
      </c>
      <c r="N523" s="24">
        <f t="shared" si="222"/>
        <v>61.5</v>
      </c>
      <c r="O523" s="21">
        <f t="shared" si="4"/>
        <v>0.109425</v>
      </c>
      <c r="P523" s="21">
        <f t="shared" si="223"/>
        <v>-0.595575</v>
      </c>
      <c r="Q523" s="22">
        <f t="shared" si="6"/>
        <v>0.691952875</v>
      </c>
      <c r="R523" s="25" t="str">
        <f t="shared" si="7"/>
        <v>D+</v>
      </c>
      <c r="S523" s="19">
        <f t="shared" si="8"/>
        <v>0.6575</v>
      </c>
      <c r="T523" s="19" t="str">
        <f t="shared" si="9"/>
        <v>D</v>
      </c>
      <c r="U523" s="3" t="s">
        <v>203</v>
      </c>
      <c r="V523" s="4" t="str">
        <f>IF(ISBLANK(C523),,IFERROR(IF(VLOOKUP(B523,Standings!$A:$F, 6, 0)=VLOOKUP(C523,Standings!$A:$F, 6, 0), VLOOKUP(B523,Standings!$A:$F, 6, 0), "Non-con"), "FCS"))</f>
        <v>B1G</v>
      </c>
      <c r="W523" s="3" t="str">
        <f t="shared" si="10"/>
        <v>Nebraska</v>
      </c>
      <c r="X523" s="3" t="str">
        <f t="shared" si="11"/>
        <v>Minnesota</v>
      </c>
      <c r="Y523" s="30">
        <f>IF(D523=0,,IF(ISBLANK(Q523),,VLOOKUP(X523,Week14,2,FALSE)/(VLOOKUP(X523,Week14,2,FALSE)+VLOOKUP(W523,Week14,2,FALSE))+0.05)*100)</f>
        <v>55.90323484</v>
      </c>
      <c r="Z523" s="3" t="s">
        <v>91</v>
      </c>
      <c r="AA523" s="3">
        <v>24.0</v>
      </c>
      <c r="AB523" s="4" t="str">
        <f t="shared" si="20"/>
        <v>Nebraska</v>
      </c>
      <c r="AC523" s="3">
        <v>17.0</v>
      </c>
      <c r="AD523" s="3"/>
      <c r="AE523" s="3">
        <f t="shared" si="13"/>
        <v>7</v>
      </c>
      <c r="AF523" s="3"/>
      <c r="AG523" s="3">
        <f t="shared" si="133"/>
        <v>1</v>
      </c>
      <c r="AH523" s="3"/>
      <c r="AI523" s="7"/>
      <c r="AJ523" s="4"/>
      <c r="AK523" s="7"/>
      <c r="AL523" s="7"/>
      <c r="AM523" s="7"/>
      <c r="AN523" s="7"/>
      <c r="AO523" s="7"/>
      <c r="AP523" s="7"/>
      <c r="AQ523" s="7"/>
      <c r="AR523" s="7"/>
      <c r="AS523" s="7"/>
      <c r="AT523" s="7"/>
      <c r="AU523" s="7"/>
      <c r="AV523" s="7"/>
      <c r="AW523" s="7"/>
      <c r="AX523" s="7"/>
    </row>
    <row r="524" ht="12.75" hidden="1" customHeight="1">
      <c r="A524" s="3">
        <v>13.0</v>
      </c>
      <c r="B524" s="3" t="s">
        <v>175</v>
      </c>
      <c r="C524" s="3" t="s">
        <v>167</v>
      </c>
      <c r="D524" s="4">
        <f>IFERROR(VLOOKUP(B524,Week12,2,FALSE),0)</f>
        <v>32.81</v>
      </c>
      <c r="E524" s="4">
        <f>IF(ISBLANK(B524),,IFERROR(VLOOKUP(B524,CurrentRank!$B$2:$C$132,2,FALSE),0))</f>
        <v>31.85</v>
      </c>
      <c r="F524" s="4">
        <f>IFERROR(VLOOKUP(B524,Week12,3,FALSE),130)</f>
        <v>78</v>
      </c>
      <c r="G524" s="4">
        <f>IF(ISBLANK(B524),,IFERROR(VLOOKUP(B524,CurrentRank!$B$2:$D$132,3,FALSE),130))</f>
        <v>95</v>
      </c>
      <c r="H524" s="4">
        <f>IFERROR(VLOOKUP(C524,Week12,2,FALSE),0)</f>
        <v>31.69</v>
      </c>
      <c r="I524" s="4">
        <f>IF(ISBLANK(B524),,IFERROR(VLOOKUP(C524,CurrentRank!$B$2:$C$132,2,FALSE),0))</f>
        <v>29.87</v>
      </c>
      <c r="J524" s="4">
        <f>IFERROR(VLOOKUP(C524,Week12,3,FALSE),130)</f>
        <v>88</v>
      </c>
      <c r="K524" s="4">
        <f>IF(ISBLANK(C524),,IFERROR(VLOOKUP(C524,CurrentRank!$B$2:$D$132,3,FALSE),130))</f>
        <v>111</v>
      </c>
      <c r="L524" s="19">
        <f t="shared" si="220"/>
        <v>0.9675</v>
      </c>
      <c r="M524" s="19">
        <f t="shared" si="221"/>
        <v>0.9258</v>
      </c>
      <c r="N524" s="24">
        <f t="shared" si="222"/>
        <v>83</v>
      </c>
      <c r="O524" s="21">
        <f t="shared" si="4"/>
        <v>0.07625</v>
      </c>
      <c r="P524" s="21">
        <f t="shared" si="223"/>
        <v>0.50625</v>
      </c>
      <c r="Q524" s="22">
        <f t="shared" si="6"/>
        <v>0.58461875</v>
      </c>
      <c r="R524" s="25" t="str">
        <f t="shared" si="7"/>
        <v>F</v>
      </c>
      <c r="S524" s="19">
        <f t="shared" si="8"/>
        <v>0.43</v>
      </c>
      <c r="T524" s="19" t="str">
        <f t="shared" si="9"/>
        <v>F</v>
      </c>
      <c r="U524" s="3" t="s">
        <v>203</v>
      </c>
      <c r="V524" s="4" t="str">
        <f>IF(ISBLANK(C524),,IFERROR(IF(VLOOKUP(B524,Standings!$A:$F, 6, 0)=VLOOKUP(C524,Standings!$A:$F, 6, 0), VLOOKUP(B524,Standings!$A:$F, 6, 0), "Non-con"), "FCS"))</f>
        <v>MWC</v>
      </c>
      <c r="W524" s="3" t="str">
        <f t="shared" si="10"/>
        <v>UNLV</v>
      </c>
      <c r="X524" s="3" t="str">
        <f t="shared" si="11"/>
        <v>Wyoming</v>
      </c>
      <c r="Y524" s="30">
        <f>IF(D524=0,,IF(ISBLANK(Q524),,VLOOKUP(X524,Week12,2,FALSE)/(VLOOKUP(X524,Week12,2,FALSE)+VLOOKUP(W524,Week12,2,FALSE))+0.05)*100)</f>
        <v>55.86821705</v>
      </c>
      <c r="Z524" s="3" t="s">
        <v>175</v>
      </c>
      <c r="AA524" s="3">
        <v>45.0</v>
      </c>
      <c r="AB524" s="4" t="str">
        <f t="shared" si="20"/>
        <v>UNLV</v>
      </c>
      <c r="AC524" s="3">
        <v>14.0</v>
      </c>
      <c r="AD524" s="3"/>
      <c r="AE524" s="3">
        <f t="shared" si="13"/>
        <v>31</v>
      </c>
      <c r="AF524" s="3"/>
      <c r="AG524" s="3">
        <f t="shared" si="133"/>
        <v>1</v>
      </c>
      <c r="AH524" s="3"/>
      <c r="AI524" s="7"/>
      <c r="AJ524" s="3" t="s">
        <v>276</v>
      </c>
      <c r="AK524" s="7"/>
      <c r="AL524" s="7"/>
      <c r="AM524" s="7"/>
      <c r="AN524" s="7"/>
      <c r="AO524" s="7"/>
      <c r="AP524" s="7"/>
      <c r="AQ524" s="7"/>
      <c r="AR524" s="7"/>
      <c r="AS524" s="7"/>
      <c r="AT524" s="7"/>
      <c r="AU524" s="7"/>
      <c r="AV524" s="7"/>
      <c r="AW524" s="7"/>
      <c r="AX524" s="7"/>
    </row>
    <row r="525" ht="12.75" hidden="1" customHeight="1">
      <c r="A525" s="3">
        <v>15.0</v>
      </c>
      <c r="B525" s="3" t="s">
        <v>142</v>
      </c>
      <c r="C525" s="3" t="s">
        <v>191</v>
      </c>
      <c r="D525" s="4">
        <f>IFERROR(VLOOKUP(B525,Week14,2,FALSE),0)</f>
        <v>35.44</v>
      </c>
      <c r="E525" s="4">
        <f>IF(ISBLANK(B525),,IFERROR(VLOOKUP(B525,CurrentRank!$B$2:$C$132,2,FALSE),0))</f>
        <v>35.28</v>
      </c>
      <c r="F525" s="4">
        <f>IFERROR(VLOOKUP(B525,Week14,3,FALSE),130)</f>
        <v>62</v>
      </c>
      <c r="G525" s="4">
        <f>IF(ISBLANK(B525),,IFERROR(VLOOKUP(B525,CurrentRank!$B$2:$D$132,3,FALSE),130))</f>
        <v>63</v>
      </c>
      <c r="H525" s="4">
        <f>IFERROR(VLOOKUP(C525,Week14,2,FALSE),0)</f>
        <v>34.27</v>
      </c>
      <c r="I525" s="4">
        <f>IF(ISBLANK(B525),,IFERROR(VLOOKUP(C525,CurrentRank!$B$2:$C$132,2,FALSE),0))</f>
        <v>34.71</v>
      </c>
      <c r="J525" s="4">
        <f>IFERROR(VLOOKUP(C525,Week14,3,FALSE),130)</f>
        <v>77</v>
      </c>
      <c r="K525" s="4">
        <f>IF(ISBLANK(C525),,IFERROR(VLOOKUP(C525,CurrentRank!$B$2:$D$132,3,FALSE),130))</f>
        <v>68</v>
      </c>
      <c r="L525" s="19">
        <f t="shared" ref="L525:M525" si="224">IF(ISBLANK(C525),,(D525+H525)*0.015)</f>
        <v>1.04565</v>
      </c>
      <c r="M525" s="19">
        <f t="shared" si="224"/>
        <v>1.04985</v>
      </c>
      <c r="N525" s="24">
        <f t="shared" si="222"/>
        <v>69.5</v>
      </c>
      <c r="O525" s="21">
        <f t="shared" si="4"/>
        <v>0.062175</v>
      </c>
      <c r="P525" s="21">
        <f t="shared" si="223"/>
        <v>-0.237825</v>
      </c>
      <c r="Q525" s="22">
        <f t="shared" si="6"/>
        <v>0.652189125</v>
      </c>
      <c r="R525" s="25" t="str">
        <f t="shared" si="7"/>
        <v>D</v>
      </c>
      <c r="S525" s="19" t="str">
        <f t="shared" si="8"/>
        <v/>
      </c>
      <c r="T525" s="19" t="str">
        <f t="shared" si="9"/>
        <v/>
      </c>
      <c r="U525" s="3" t="s">
        <v>203</v>
      </c>
      <c r="V525" s="4" t="str">
        <f>IF(ISBLANK(C525),,IFERROR(IF(VLOOKUP(B525,Standings!$A:$F, 6, 0)=VLOOKUP(C525,Standings!$A:$F, 6, 0), VLOOKUP(B525,Standings!$A:$F, 6, 0), "Non-con"), "FCS"))</f>
        <v>MAC</v>
      </c>
      <c r="W525" s="3" t="str">
        <f t="shared" si="10"/>
        <v>Kent State</v>
      </c>
      <c r="X525" s="3" t="str">
        <f t="shared" si="11"/>
        <v>Ohio</v>
      </c>
      <c r="Y525" s="30">
        <f>IF(D525=0,,IF(ISBLANK(Q525),,VLOOKUP(X525,Week14,2,FALSE)/(VLOOKUP(X525,Week14,2,FALSE)+VLOOKUP(W525,Week14,2,FALSE))+0.05)*100)</f>
        <v>55.83919093</v>
      </c>
      <c r="Z525" s="3"/>
      <c r="AA525" s="3"/>
      <c r="AB525" s="4" t="str">
        <f t="shared" si="20"/>
        <v/>
      </c>
      <c r="AC525" s="3"/>
      <c r="AD525" s="3"/>
      <c r="AE525" s="3" t="str">
        <f t="shared" si="13"/>
        <v/>
      </c>
      <c r="AF525" s="3" t="s">
        <v>226</v>
      </c>
      <c r="AG525" s="3" t="str">
        <f t="shared" si="133"/>
        <v/>
      </c>
      <c r="AH525" s="3"/>
      <c r="AI525" s="7"/>
      <c r="AJ525" s="4"/>
      <c r="AK525" s="7"/>
      <c r="AL525" s="7"/>
      <c r="AM525" s="7"/>
      <c r="AN525" s="7"/>
      <c r="AO525" s="7"/>
      <c r="AP525" s="7"/>
      <c r="AQ525" s="7"/>
      <c r="AR525" s="7"/>
      <c r="AS525" s="7"/>
      <c r="AT525" s="7"/>
      <c r="AU525" s="7"/>
      <c r="AV525" s="7"/>
      <c r="AW525" s="7"/>
      <c r="AX525" s="7"/>
    </row>
    <row r="526" ht="12.75" hidden="1" customHeight="1">
      <c r="A526" s="3">
        <v>11.0</v>
      </c>
      <c r="B526" s="3" t="s">
        <v>104</v>
      </c>
      <c r="C526" s="3" t="s">
        <v>127</v>
      </c>
      <c r="D526" s="4">
        <f>IFERROR(VLOOKUP(B526,Week10,2,FALSE),0)</f>
        <v>30.56</v>
      </c>
      <c r="E526" s="4">
        <f>IF(ISBLANK(B526),,IFERROR(VLOOKUP(B526,CurrentRank!$B$2:$C$132,2,FALSE),0))</f>
        <v>31.08</v>
      </c>
      <c r="F526" s="4">
        <f>IFERROR(VLOOKUP(B526,Week10,3,FALSE),130)</f>
        <v>99</v>
      </c>
      <c r="G526" s="4">
        <f>IF(ISBLANK(B526),,IFERROR(VLOOKUP(B526,CurrentRank!$B$2:$D$132,3,FALSE),130))</f>
        <v>101</v>
      </c>
      <c r="H526" s="4">
        <f>IFERROR(VLOOKUP(C526,Week10,2,FALSE),0)</f>
        <v>31.57</v>
      </c>
      <c r="I526" s="4">
        <f>IF(ISBLANK(B526),,IFERROR(VLOOKUP(C526,CurrentRank!$B$2:$C$132,2,FALSE),0))</f>
        <v>35.27</v>
      </c>
      <c r="J526" s="4">
        <f>IFERROR(VLOOKUP(C526,Week10,3,FALSE),130)</f>
        <v>86</v>
      </c>
      <c r="K526" s="4">
        <f>IF(ISBLANK(C526),,IFERROR(VLOOKUP(C526,CurrentRank!$B$2:$D$132,3,FALSE),130))</f>
        <v>64</v>
      </c>
      <c r="L526" s="19">
        <f t="shared" ref="L526:L527" si="225">IF(U526= "Yes", 0, IF(ISBLANK(C526),,(D526+H526)*0.015))</f>
        <v>0.93195</v>
      </c>
      <c r="M526" s="19">
        <f t="shared" ref="M526:M527" si="226">IF(U526= "Yes", 0, IF(ISBLANK(D526),,(E526+I526)*0.015))</f>
        <v>0.99525</v>
      </c>
      <c r="N526" s="24">
        <f t="shared" si="222"/>
        <v>92.5</v>
      </c>
      <c r="O526" s="21">
        <f t="shared" si="4"/>
        <v>-0.970975</v>
      </c>
      <c r="P526" s="21">
        <f t="shared" si="223"/>
        <v>-2.560975</v>
      </c>
      <c r="Q526" s="22">
        <f t="shared" si="6"/>
        <v>0.532645125</v>
      </c>
      <c r="R526" s="25" t="str">
        <f t="shared" si="7"/>
        <v>F</v>
      </c>
      <c r="S526" s="19">
        <f t="shared" si="8"/>
        <v>0.5325</v>
      </c>
      <c r="T526" s="19" t="str">
        <f t="shared" si="9"/>
        <v>F</v>
      </c>
      <c r="U526" s="3" t="s">
        <v>203</v>
      </c>
      <c r="V526" s="4" t="str">
        <f>IF(ISBLANK(C526),,IFERROR(IF(VLOOKUP(B526,Standings!$A:$F, 6, 0)=VLOOKUP(C526,Standings!$A:$F, 6, 0), VLOOKUP(B526,Standings!$A:$F, 6, 0), "Non-con"), "FCS"))</f>
        <v>BIG12</v>
      </c>
      <c r="W526" s="3" t="str">
        <f t="shared" si="10"/>
        <v>Baylor</v>
      </c>
      <c r="X526" s="3" t="str">
        <f t="shared" si="11"/>
        <v>Texas Tech</v>
      </c>
      <c r="Y526" s="30">
        <f>IF(D526=0,,IF(ISBLANK(Q526),,VLOOKUP(X526,Week10,2,FALSE)/(VLOOKUP(X526,Week10,2,FALSE)+VLOOKUP(W526,Week10,2,FALSE))+0.05)*100)</f>
        <v>55.81281185</v>
      </c>
      <c r="Z526" s="3" t="s">
        <v>127</v>
      </c>
      <c r="AA526" s="3">
        <v>24.0</v>
      </c>
      <c r="AB526" s="4" t="str">
        <f t="shared" si="20"/>
        <v>Baylor</v>
      </c>
      <c r="AC526" s="3">
        <v>23.0</v>
      </c>
      <c r="AD526" s="3"/>
      <c r="AE526" s="3">
        <f t="shared" si="13"/>
        <v>1</v>
      </c>
      <c r="AF526" s="3"/>
      <c r="AG526" s="3">
        <f t="shared" si="133"/>
        <v>1</v>
      </c>
      <c r="AH526" s="3"/>
      <c r="AI526" s="7"/>
      <c r="AJ526" s="4"/>
      <c r="AK526" s="7"/>
      <c r="AL526" s="7"/>
      <c r="AM526" s="7"/>
      <c r="AN526" s="7"/>
      <c r="AO526" s="7"/>
      <c r="AP526" s="7"/>
      <c r="AQ526" s="7"/>
      <c r="AR526" s="7"/>
      <c r="AS526" s="7"/>
      <c r="AT526" s="7"/>
      <c r="AU526" s="7"/>
      <c r="AV526" s="7"/>
      <c r="AW526" s="7"/>
      <c r="AX526" s="7"/>
    </row>
    <row r="527" ht="12.75" hidden="1" customHeight="1">
      <c r="A527" s="3">
        <v>9.0</v>
      </c>
      <c r="B527" s="3" t="s">
        <v>47</v>
      </c>
      <c r="C527" s="3" t="s">
        <v>196</v>
      </c>
      <c r="D527" s="4">
        <f>IFERROR(VLOOKUP(B527,Week8,2,FALSE),0)</f>
        <v>40.16</v>
      </c>
      <c r="E527" s="4">
        <f>IF(ISBLANK(B527),,IFERROR(VLOOKUP(B527,CurrentRank!$B$2:$C$132,2,FALSE),0))</f>
        <v>41.86</v>
      </c>
      <c r="F527" s="4">
        <f>IFERROR(VLOOKUP(B527,Week8,3,FALSE),130)</f>
        <v>34</v>
      </c>
      <c r="G527" s="4">
        <f>IF(ISBLANK(B527),,IFERROR(VLOOKUP(B527,CurrentRank!$B$2:$D$132,3,FALSE),130))</f>
        <v>30</v>
      </c>
      <c r="H527" s="4">
        <f>IFERROR(VLOOKUP(C527,Week8,2,FALSE),0)</f>
        <v>38.88</v>
      </c>
      <c r="I527" s="4">
        <f>IF(ISBLANK(B527),,IFERROR(VLOOKUP(C527,CurrentRank!$B$2:$C$132,2,FALSE),0))</f>
        <v>33.03</v>
      </c>
      <c r="J527" s="4">
        <f>IFERROR(VLOOKUP(C527,Week8,3,FALSE),130)</f>
        <v>43</v>
      </c>
      <c r="K527" s="4">
        <f>IF(ISBLANK(C527),,IFERROR(VLOOKUP(C527,CurrentRank!$B$2:$D$132,3,FALSE),130))</f>
        <v>86</v>
      </c>
      <c r="L527" s="19">
        <f t="shared" si="225"/>
        <v>1.1856</v>
      </c>
      <c r="M527" s="19">
        <f t="shared" si="226"/>
        <v>1.12335</v>
      </c>
      <c r="N527" s="24">
        <f t="shared" si="222"/>
        <v>38.5</v>
      </c>
      <c r="O527" s="21">
        <f t="shared" si="4"/>
        <v>0.0472</v>
      </c>
      <c r="P527" s="21">
        <f t="shared" si="223"/>
        <v>3.8222</v>
      </c>
      <c r="Q527" s="22">
        <f t="shared" si="6"/>
        <v>0.807264</v>
      </c>
      <c r="R527" s="25" t="str">
        <f t="shared" si="7"/>
        <v>B-</v>
      </c>
      <c r="S527" s="19">
        <f t="shared" si="8"/>
        <v>0.6925</v>
      </c>
      <c r="T527" s="19" t="str">
        <f t="shared" si="9"/>
        <v>D+</v>
      </c>
      <c r="U527" s="3" t="s">
        <v>203</v>
      </c>
      <c r="V527" s="4" t="str">
        <f>IF(ISBLANK(C527),,IFERROR(IF(VLOOKUP(B527,Standings!$A:$F, 6, 0)=VLOOKUP(C527,Standings!$A:$F, 6, 0), VLOOKUP(B527,Standings!$A:$F, 6, 0), "Non-con"), "FCS"))</f>
        <v>AAC</v>
      </c>
      <c r="W527" s="3" t="str">
        <f t="shared" si="10"/>
        <v>Houston</v>
      </c>
      <c r="X527" s="3" t="str">
        <f t="shared" si="11"/>
        <v>Central Florida</v>
      </c>
      <c r="Y527" s="30">
        <f>IF(D527=0,,IF(ISBLANK(Q527),,VLOOKUP(X527,Week8,2,FALSE)/(VLOOKUP(X527,Week8,2,FALSE)+VLOOKUP(W527,Week8,2,FALSE))+0.05)*100)</f>
        <v>55.8097166</v>
      </c>
      <c r="Z527" s="3" t="s">
        <v>47</v>
      </c>
      <c r="AA527" s="3">
        <v>44.0</v>
      </c>
      <c r="AB527" s="4" t="str">
        <f t="shared" si="20"/>
        <v>Houston</v>
      </c>
      <c r="AC527" s="3">
        <v>21.0</v>
      </c>
      <c r="AD527" s="3"/>
      <c r="AE527" s="3">
        <f t="shared" si="13"/>
        <v>23</v>
      </c>
      <c r="AF527" s="3"/>
      <c r="AG527" s="3">
        <f t="shared" si="133"/>
        <v>1</v>
      </c>
      <c r="AH527" s="3"/>
      <c r="AI527" s="7"/>
      <c r="AJ527" s="4"/>
      <c r="AK527" s="7"/>
      <c r="AL527" s="7"/>
      <c r="AM527" s="7"/>
      <c r="AN527" s="7"/>
      <c r="AO527" s="7"/>
      <c r="AP527" s="7"/>
      <c r="AQ527" s="7"/>
      <c r="AR527" s="7"/>
      <c r="AS527" s="7"/>
      <c r="AT527" s="7"/>
      <c r="AU527" s="7"/>
      <c r="AV527" s="7"/>
      <c r="AW527" s="7"/>
      <c r="AX527" s="7"/>
    </row>
    <row r="528" ht="12.75" hidden="1" customHeight="1">
      <c r="A528" s="3">
        <v>11.0</v>
      </c>
      <c r="B528" s="3" t="s">
        <v>96</v>
      </c>
      <c r="C528" s="3" t="s">
        <v>125</v>
      </c>
      <c r="D528" s="4">
        <f>IFERROR(VLOOKUP(B528,CurrentRank!$B$2:$C$132,2,FALSE),0)</f>
        <v>43.66</v>
      </c>
      <c r="E528" s="4">
        <f>IF(ISBLANK(B528),,IFERROR(VLOOKUP(B528,CurrentRank!$B$2:$C$132,2,FALSE),0))</f>
        <v>43.66</v>
      </c>
      <c r="F528" s="4">
        <f>IFERROR(VLOOKUP(B528,Week10,3,FALSE),130)</f>
        <v>91</v>
      </c>
      <c r="G528" s="4">
        <f>IF(ISBLANK(B528),,IFERROR(VLOOKUP(B528,CurrentRank!$B$2:$D$132,3,FALSE),130))</f>
        <v>27</v>
      </c>
      <c r="H528" s="4">
        <f>IFERROR(VLOOKUP(C528,CurrentRank!$B$2:$C$132,2,FALSE),0)</f>
        <v>41.14</v>
      </c>
      <c r="I528" s="4">
        <f>IF(ISBLANK(B528),,IFERROR(VLOOKUP(C528,CurrentRank!$B$2:$C$132,2,FALSE),0))</f>
        <v>41.14</v>
      </c>
      <c r="J528" s="4">
        <f>IFERROR(VLOOKUP(C528,Week10,3,FALSE),130)</f>
        <v>107</v>
      </c>
      <c r="K528" s="4">
        <f>IF(ISBLANK(C528),,IFERROR(VLOOKUP(C528,CurrentRank!$B$2:$D$132,3,FALSE),130))</f>
        <v>31</v>
      </c>
      <c r="L528" s="19">
        <f t="shared" ref="L528:M528" si="227">IF(ISBLANK(C528),,(D528+H528)*0.015)</f>
        <v>1.272</v>
      </c>
      <c r="M528" s="19">
        <f t="shared" si="227"/>
        <v>1.272</v>
      </c>
      <c r="N528" s="24">
        <f t="shared" si="222"/>
        <v>99</v>
      </c>
      <c r="O528" s="21">
        <f t="shared" si="4"/>
        <v>0.624</v>
      </c>
      <c r="P528" s="21">
        <f t="shared" si="223"/>
        <v>0.624</v>
      </c>
      <c r="Q528" s="22">
        <f t="shared" si="6"/>
        <v>0.50188</v>
      </c>
      <c r="R528" s="25" t="str">
        <f t="shared" si="7"/>
        <v>F</v>
      </c>
      <c r="S528" s="19" t="str">
        <f t="shared" si="8"/>
        <v/>
      </c>
      <c r="T528" s="19" t="str">
        <f t="shared" si="9"/>
        <v/>
      </c>
      <c r="U528" s="3" t="s">
        <v>203</v>
      </c>
      <c r="V528" s="4" t="str">
        <f>IFERROR(IF(VLOOKUP(B528,Standings!$A:$F, 6, 0)=VLOOKUP(C528,Standings!$A:$F, 6, 0), VLOOKUP(B528,Standings!$A:$F, 6, 0), "Non-con"), "FCS")</f>
        <v>PAC12</v>
      </c>
      <c r="W528" s="3" t="str">
        <f t="shared" si="10"/>
        <v>UCLA</v>
      </c>
      <c r="X528" s="3" t="str">
        <f t="shared" si="11"/>
        <v>Utah</v>
      </c>
      <c r="Y528" s="30">
        <f>IF(D528=0,,IF(ISBLANK(Q528),,VLOOKUP(X528,Week10,2,FALSE)/(VLOOKUP(X528,Week10,2,FALSE)+VLOOKUP(W528,Week10,2,FALSE))+0.05)*100)</f>
        <v>55.8096497</v>
      </c>
      <c r="Z528" s="3"/>
      <c r="AA528" s="3"/>
      <c r="AB528" s="4" t="str">
        <f t="shared" si="20"/>
        <v/>
      </c>
      <c r="AC528" s="3"/>
      <c r="AD528" s="3"/>
      <c r="AE528" s="3" t="str">
        <f t="shared" si="13"/>
        <v/>
      </c>
      <c r="AF528" s="3" t="s">
        <v>226</v>
      </c>
      <c r="AG528" s="3" t="str">
        <f t="shared" si="133"/>
        <v/>
      </c>
      <c r="AH528" s="3"/>
      <c r="AI528" s="7"/>
      <c r="AJ528" s="4" t="s">
        <v>178</v>
      </c>
      <c r="AK528" s="7"/>
      <c r="AL528" s="7"/>
      <c r="AM528" s="7"/>
      <c r="AN528" s="7"/>
      <c r="AO528" s="7"/>
      <c r="AP528" s="7"/>
      <c r="AQ528" s="7"/>
      <c r="AR528" s="7"/>
      <c r="AS528" s="7"/>
      <c r="AT528" s="7"/>
      <c r="AU528" s="7"/>
      <c r="AV528" s="7"/>
      <c r="AW528" s="7"/>
      <c r="AX528" s="7"/>
    </row>
    <row r="529" ht="12.75" customHeight="1">
      <c r="A529" s="3">
        <v>15.0</v>
      </c>
      <c r="B529" s="3" t="s">
        <v>119</v>
      </c>
      <c r="C529" s="3" t="s">
        <v>172</v>
      </c>
      <c r="D529" s="4">
        <f>IFERROR(VLOOKUP(B529,Week14,2,FALSE),0)</f>
        <v>30.01</v>
      </c>
      <c r="E529" s="4">
        <f>IF(ISBLANK(B529),,IFERROR(VLOOKUP(B529,CurrentRank!$B$2:$C$132,2,FALSE),0))</f>
        <v>31.96</v>
      </c>
      <c r="F529" s="4">
        <f>IFERROR(VLOOKUP(B529,Week14,3,FALSE),130)</f>
        <v>116</v>
      </c>
      <c r="G529" s="4">
        <f>IF(ISBLANK(B529),,IFERROR(VLOOKUP(B529,CurrentRank!$B$2:$D$132,3,FALSE),130))</f>
        <v>94</v>
      </c>
      <c r="H529" s="4">
        <f>IFERROR(VLOOKUP(C529,Week14,2,FALSE),0)</f>
        <v>34.73</v>
      </c>
      <c r="I529" s="4">
        <f>IF(ISBLANK(B529),,IFERROR(VLOOKUP(C529,CurrentRank!$B$2:$C$132,2,FALSE),0))</f>
        <v>33.49</v>
      </c>
      <c r="J529" s="4">
        <f>IFERROR(VLOOKUP(C529,Week14,3,FALSE),130)</f>
        <v>74</v>
      </c>
      <c r="K529" s="4">
        <f>IF(ISBLANK(C529),,IFERROR(VLOOKUP(C529,CurrentRank!$B$2:$D$132,3,FALSE),130))</f>
        <v>79</v>
      </c>
      <c r="L529" s="19">
        <f t="shared" ref="L529:L541" si="228">IF(U529= "Yes", 0, IF(ISBLANK(C529),,(D529+H529)*0.015))</f>
        <v>0.9711</v>
      </c>
      <c r="M529" s="19">
        <f t="shared" ref="M529:M541" si="229">IF(U529= "Yes", 0, IF(ISBLANK(D529),,(E529+I529)*0.015))</f>
        <v>0.98175</v>
      </c>
      <c r="N529" s="24">
        <f t="shared" si="222"/>
        <v>95</v>
      </c>
      <c r="O529" s="21">
        <f t="shared" si="4"/>
        <v>-2.84555</v>
      </c>
      <c r="P529" s="21">
        <f t="shared" si="223"/>
        <v>-1.25055</v>
      </c>
      <c r="Q529" s="22">
        <f t="shared" si="6"/>
        <v>0.51077225</v>
      </c>
      <c r="R529" s="25" t="str">
        <f t="shared" si="7"/>
        <v>F</v>
      </c>
      <c r="S529" s="19">
        <f t="shared" si="8"/>
        <v>0.5</v>
      </c>
      <c r="T529" s="19" t="str">
        <f t="shared" si="9"/>
        <v>F</v>
      </c>
      <c r="U529" s="3" t="s">
        <v>203</v>
      </c>
      <c r="V529" s="4" t="str">
        <f>IF(ISBLANK(C529),,IFERROR(IF(VLOOKUP(B529,Standings!$A:$F, 6, 0)=VLOOKUP(C529,Standings!$A:$F, 6, 0), VLOOKUP(B529,Standings!$A:$F, 6, 0), "Non-con"), "FCS"))</f>
        <v>CUSA</v>
      </c>
      <c r="W529" s="3" t="str">
        <f t="shared" si="10"/>
        <v>UAB</v>
      </c>
      <c r="X529" s="3" t="str">
        <f t="shared" si="11"/>
        <v>Rice</v>
      </c>
      <c r="Y529" s="30">
        <f>IF(D529=0,,IF(ISBLANK(Q529),,VLOOKUP(X529,Week14,2,FALSE)/(VLOOKUP(X529,Week14,2,FALSE)+VLOOKUP(W529,Week14,2,FALSE))+0.05)*100)</f>
        <v>58.64535063</v>
      </c>
      <c r="Z529" s="3" t="s">
        <v>119</v>
      </c>
      <c r="AA529" s="3">
        <v>21.0</v>
      </c>
      <c r="AB529" s="4" t="str">
        <f t="shared" si="20"/>
        <v>Rice</v>
      </c>
      <c r="AC529" s="3">
        <v>16.0</v>
      </c>
      <c r="AD529" s="3"/>
      <c r="AE529" s="3">
        <f t="shared" si="13"/>
        <v>5</v>
      </c>
      <c r="AF529" s="3"/>
      <c r="AG529" s="3">
        <f t="shared" si="133"/>
        <v>0</v>
      </c>
      <c r="AH529" s="3"/>
      <c r="AI529" s="7"/>
      <c r="AJ529" s="4"/>
      <c r="AK529" s="7"/>
      <c r="AL529" s="7"/>
      <c r="AM529" s="7"/>
      <c r="AN529" s="7"/>
      <c r="AO529" s="7"/>
      <c r="AP529" s="7"/>
      <c r="AQ529" s="7"/>
      <c r="AR529" s="7"/>
      <c r="AS529" s="7"/>
      <c r="AT529" s="7"/>
      <c r="AU529" s="7"/>
      <c r="AV529" s="7"/>
      <c r="AW529" s="7"/>
      <c r="AX529" s="7"/>
    </row>
    <row r="530" ht="12.75" customHeight="1">
      <c r="A530" s="3">
        <v>15.0</v>
      </c>
      <c r="B530" s="3" t="s">
        <v>124</v>
      </c>
      <c r="C530" s="3" t="s">
        <v>170</v>
      </c>
      <c r="D530" s="4">
        <f>IFERROR(VLOOKUP(B530,Week14,2,FALSE),0)</f>
        <v>36.65</v>
      </c>
      <c r="E530" s="4">
        <f>IF(ISBLANK(B530),,IFERROR(VLOOKUP(B530,CurrentRank!$B$2:$C$132,2,FALSE),0))</f>
        <v>33.33</v>
      </c>
      <c r="F530" s="4">
        <f>IFERROR(VLOOKUP(B530,Week14,3,FALSE),130)</f>
        <v>49</v>
      </c>
      <c r="G530" s="4">
        <f>IF(ISBLANK(B530),,IFERROR(VLOOKUP(B530,CurrentRank!$B$2:$D$132,3,FALSE),130))</f>
        <v>83</v>
      </c>
      <c r="H530" s="4">
        <f>IFERROR(VLOOKUP(C530,Week14,2,FALSE),0)</f>
        <v>27</v>
      </c>
      <c r="I530" s="4">
        <f>IF(ISBLANK(B530),,IFERROR(VLOOKUP(C530,CurrentRank!$B$2:$C$132,2,FALSE),0))</f>
        <v>28.08</v>
      </c>
      <c r="J530" s="4">
        <f>IFERROR(VLOOKUP(C530,Week14,3,FALSE),130)</f>
        <v>123</v>
      </c>
      <c r="K530" s="4">
        <f>IF(ISBLANK(C530),,IFERROR(VLOOKUP(C530,CurrentRank!$B$2:$D$132,3,FALSE),130))</f>
        <v>121</v>
      </c>
      <c r="L530" s="19">
        <f t="shared" si="228"/>
        <v>0.95475</v>
      </c>
      <c r="M530" s="19">
        <f t="shared" si="229"/>
        <v>0.92115</v>
      </c>
      <c r="N530" s="24">
        <f t="shared" si="222"/>
        <v>86</v>
      </c>
      <c r="O530" s="21">
        <f t="shared" si="4"/>
        <v>4.347625</v>
      </c>
      <c r="P530" s="21">
        <f t="shared" si="223"/>
        <v>2.147625</v>
      </c>
      <c r="Q530" s="22">
        <f t="shared" si="6"/>
        <v>0.548261875</v>
      </c>
      <c r="R530" s="25" t="str">
        <f t="shared" si="7"/>
        <v>F</v>
      </c>
      <c r="S530" s="19">
        <f t="shared" si="8"/>
        <v>0.5</v>
      </c>
      <c r="T530" s="19" t="str">
        <f t="shared" si="9"/>
        <v>F</v>
      </c>
      <c r="U530" s="3" t="s">
        <v>203</v>
      </c>
      <c r="V530" s="4" t="str">
        <f>IF(ISBLANK(C530),,IFERROR(IF(VLOOKUP(B530,Standings!$A:$F, 6, 0)=VLOOKUP(C530,Standings!$A:$F, 6, 0), VLOOKUP(B530,Standings!$A:$F, 6, 0), "Non-con"), "FCS"))</f>
        <v>CUSA</v>
      </c>
      <c r="W530" s="3" t="str">
        <f t="shared" si="10"/>
        <v>Southern Mississippi</v>
      </c>
      <c r="X530" s="3" t="str">
        <f t="shared" si="11"/>
        <v>Florida Atlantic</v>
      </c>
      <c r="Y530" s="30">
        <f>IF(D530=0,,IF(ISBLANK(Q530),,VLOOKUP(X530,Week14,2,FALSE)/(VLOOKUP(X530,Week14,2,FALSE)+VLOOKUP(W530,Week14,2,FALSE))+0.05)*100)</f>
        <v>62.58051846</v>
      </c>
      <c r="Z530" s="3" t="s">
        <v>170</v>
      </c>
      <c r="AA530" s="3">
        <v>45.0</v>
      </c>
      <c r="AB530" s="4" t="str">
        <f t="shared" si="20"/>
        <v>Florida Atlantic</v>
      </c>
      <c r="AC530" s="3">
        <v>31.0</v>
      </c>
      <c r="AD530" s="3"/>
      <c r="AE530" s="3">
        <f t="shared" si="13"/>
        <v>14</v>
      </c>
      <c r="AF530" s="3"/>
      <c r="AG530" s="3">
        <f t="shared" si="133"/>
        <v>0</v>
      </c>
      <c r="AH530" s="3"/>
      <c r="AI530" s="7"/>
      <c r="AJ530" s="4"/>
      <c r="AK530" s="7"/>
      <c r="AL530" s="7"/>
      <c r="AM530" s="7"/>
      <c r="AN530" s="7"/>
      <c r="AO530" s="7"/>
      <c r="AP530" s="7"/>
      <c r="AQ530" s="7"/>
      <c r="AR530" s="7"/>
      <c r="AS530" s="7"/>
      <c r="AT530" s="7"/>
      <c r="AU530" s="7"/>
      <c r="AV530" s="7"/>
      <c r="AW530" s="7"/>
      <c r="AX530" s="7"/>
    </row>
    <row r="531" ht="12.75" hidden="1" customHeight="1">
      <c r="A531" s="3">
        <v>8.0</v>
      </c>
      <c r="B531" s="3" t="s">
        <v>196</v>
      </c>
      <c r="C531" s="3" t="s">
        <v>130</v>
      </c>
      <c r="D531" s="4">
        <f>IFERROR(VLOOKUP(B531,Week7,2,FALSE),0)</f>
        <v>37.83</v>
      </c>
      <c r="E531" s="4">
        <f>IF(ISBLANK(B531),,IFERROR(VLOOKUP(B531,CurrentRank!$B$2:$C$132,2,FALSE),0))</f>
        <v>33.03</v>
      </c>
      <c r="F531" s="4">
        <f>IFERROR(VLOOKUP(B531,Week7,3,FALSE),130)</f>
        <v>42</v>
      </c>
      <c r="G531" s="4">
        <f>IF(ISBLANK(B531),,IFERROR(VLOOKUP(B531,CurrentRank!$B$2:$D$132,3,FALSE),130))</f>
        <v>86</v>
      </c>
      <c r="H531" s="4">
        <f>IFERROR(VLOOKUP(C531,Week7,2,FALSE),0)</f>
        <v>36.7</v>
      </c>
      <c r="I531" s="4">
        <f>IF(ISBLANK(B531),,IFERROR(VLOOKUP(C531,CurrentRank!$B$2:$C$132,2,FALSE),0))</f>
        <v>29.22</v>
      </c>
      <c r="J531" s="4">
        <f>IFERROR(VLOOKUP(C531,Week7,3,FALSE),130)</f>
        <v>47</v>
      </c>
      <c r="K531" s="4">
        <f>IF(ISBLANK(C531),,IFERROR(VLOOKUP(C531,CurrentRank!$B$2:$D$132,3,FALSE),130))</f>
        <v>116</v>
      </c>
      <c r="L531" s="19">
        <f t="shared" si="228"/>
        <v>1.11795</v>
      </c>
      <c r="M531" s="19">
        <f t="shared" si="229"/>
        <v>0.93375</v>
      </c>
      <c r="N531" s="24">
        <f t="shared" si="222"/>
        <v>44.5</v>
      </c>
      <c r="O531" s="21">
        <f t="shared" si="4"/>
        <v>0.006025</v>
      </c>
      <c r="P531" s="21">
        <f t="shared" si="223"/>
        <v>1.346025</v>
      </c>
      <c r="Q531" s="22">
        <f t="shared" si="6"/>
        <v>0.777469875</v>
      </c>
      <c r="R531" s="25" t="str">
        <f t="shared" si="7"/>
        <v>C+</v>
      </c>
      <c r="S531" s="19">
        <f t="shared" si="8"/>
        <v>0.6975</v>
      </c>
      <c r="T531" s="19" t="str">
        <f t="shared" si="9"/>
        <v>C-</v>
      </c>
      <c r="U531" s="3" t="s">
        <v>203</v>
      </c>
      <c r="V531" s="4" t="str">
        <f>IF(ISBLANK(C531),,IFERROR(IF(VLOOKUP(B531,Standings!$A:$F, 6, 0)=VLOOKUP(C531,Standings!$A:$F, 6, 0), VLOOKUP(B531,Standings!$A:$F, 6, 0), "Non-con"), "FCS"))</f>
        <v>AAC</v>
      </c>
      <c r="W531" s="3" t="str">
        <f t="shared" si="10"/>
        <v>Navy</v>
      </c>
      <c r="X531" s="3" t="str">
        <f t="shared" si="11"/>
        <v>Houston</v>
      </c>
      <c r="Y531" s="30">
        <f>IF(D531=0,,IF(ISBLANK(Q531),,VLOOKUP(X531,Week7,2,FALSE)/(VLOOKUP(X531,Week7,2,FALSE)+VLOOKUP(W531,Week7,2,FALSE))+0.05)*100)</f>
        <v>55.75808399</v>
      </c>
      <c r="Z531" s="3" t="s">
        <v>196</v>
      </c>
      <c r="AA531" s="3">
        <v>37.0</v>
      </c>
      <c r="AB531" s="4" t="str">
        <f t="shared" si="20"/>
        <v>Navy</v>
      </c>
      <c r="AC531" s="3">
        <v>21.0</v>
      </c>
      <c r="AD531" s="3"/>
      <c r="AE531" s="3">
        <f t="shared" si="13"/>
        <v>16</v>
      </c>
      <c r="AF531" s="3"/>
      <c r="AG531" s="3">
        <f t="shared" si="133"/>
        <v>1</v>
      </c>
      <c r="AH531" s="3"/>
      <c r="AI531" s="7"/>
      <c r="AJ531" s="4"/>
      <c r="AK531" s="7"/>
      <c r="AL531" s="7"/>
      <c r="AM531" s="7"/>
      <c r="AN531" s="7"/>
      <c r="AO531" s="7"/>
      <c r="AP531" s="7"/>
      <c r="AQ531" s="7"/>
      <c r="AR531" s="7"/>
      <c r="AS531" s="7"/>
      <c r="AT531" s="7"/>
      <c r="AU531" s="7"/>
      <c r="AV531" s="7"/>
      <c r="AW531" s="7"/>
      <c r="AX531" s="7"/>
    </row>
    <row r="532" ht="12.75" hidden="1" customHeight="1">
      <c r="A532" s="3">
        <v>13.0</v>
      </c>
      <c r="B532" s="3" t="s">
        <v>191</v>
      </c>
      <c r="C532" s="3" t="s">
        <v>162</v>
      </c>
      <c r="D532" s="4">
        <f>IFERROR(VLOOKUP(B532,Week12,2,FALSE),0)</f>
        <v>42.46</v>
      </c>
      <c r="E532" s="4">
        <f>IF(ISBLANK(B532),,IFERROR(VLOOKUP(B532,CurrentRank!$B$2:$C$132,2,FALSE),0))</f>
        <v>34.71</v>
      </c>
      <c r="F532" s="4">
        <f>IFERROR(VLOOKUP(B532,Week12,3,FALSE),130)</f>
        <v>32</v>
      </c>
      <c r="G532" s="4">
        <f>IF(ISBLANK(B532),,IFERROR(VLOOKUP(B532,CurrentRank!$B$2:$D$132,3,FALSE),130))</f>
        <v>68</v>
      </c>
      <c r="H532" s="4">
        <f>IFERROR(VLOOKUP(C532,Week12,2,FALSE),0)</f>
        <v>43.68</v>
      </c>
      <c r="I532" s="4">
        <f>IF(ISBLANK(B532),,IFERROR(VLOOKUP(C532,CurrentRank!$B$2:$C$132,2,FALSE),0))</f>
        <v>51.75</v>
      </c>
      <c r="J532" s="4">
        <f>IFERROR(VLOOKUP(C532,Week12,3,FALSE),130)</f>
        <v>30</v>
      </c>
      <c r="K532" s="4">
        <f>IF(ISBLANK(C532),,IFERROR(VLOOKUP(C532,CurrentRank!$B$2:$D$132,3,FALSE),130))</f>
        <v>24</v>
      </c>
      <c r="L532" s="19">
        <f t="shared" si="228"/>
        <v>1.2921</v>
      </c>
      <c r="M532" s="19">
        <f t="shared" si="229"/>
        <v>1.2969</v>
      </c>
      <c r="N532" s="24">
        <f t="shared" si="222"/>
        <v>31</v>
      </c>
      <c r="O532" s="21">
        <f t="shared" si="4"/>
        <v>-1.25605</v>
      </c>
      <c r="P532" s="21">
        <f t="shared" si="223"/>
        <v>-9.16605</v>
      </c>
      <c r="Q532" s="22">
        <f t="shared" si="6"/>
        <v>0.83871975</v>
      </c>
      <c r="R532" s="25" t="str">
        <f t="shared" si="7"/>
        <v>B</v>
      </c>
      <c r="S532" s="19">
        <f t="shared" si="8"/>
        <v>0.7</v>
      </c>
      <c r="T532" s="19" t="str">
        <f t="shared" si="9"/>
        <v>C-</v>
      </c>
      <c r="U532" s="3" t="s">
        <v>203</v>
      </c>
      <c r="V532" s="4" t="str">
        <f>IF(ISBLANK(C532),,IFERROR(IF(VLOOKUP(B532,Standings!$A:$F, 6, 0)=VLOOKUP(C532,Standings!$A:$F, 6, 0), VLOOKUP(B532,Standings!$A:$F, 6, 0), "Non-con"), "FCS"))</f>
        <v>MAC</v>
      </c>
      <c r="W532" s="3" t="str">
        <f t="shared" si="10"/>
        <v>Kent State</v>
      </c>
      <c r="X532" s="3" t="str">
        <f t="shared" si="11"/>
        <v>Buffalo</v>
      </c>
      <c r="Y532" s="30">
        <f>IF(D532=0,,IF(ISBLANK(Q532),,VLOOKUP(X532,Week12,2,FALSE)/(VLOOKUP(X532,Week12,2,FALSE)+VLOOKUP(W532,Week12,2,FALSE))+0.05)*100)</f>
        <v>55.70814952</v>
      </c>
      <c r="Z532" s="3" t="s">
        <v>162</v>
      </c>
      <c r="AA532" s="3">
        <v>70.0</v>
      </c>
      <c r="AB532" s="4" t="str">
        <f t="shared" si="20"/>
        <v>Kent State</v>
      </c>
      <c r="AC532" s="3">
        <v>41.0</v>
      </c>
      <c r="AD532" s="3"/>
      <c r="AE532" s="3">
        <f t="shared" si="13"/>
        <v>29</v>
      </c>
      <c r="AF532" s="3"/>
      <c r="AG532" s="3">
        <f t="shared" si="133"/>
        <v>1</v>
      </c>
      <c r="AH532" s="3"/>
      <c r="AI532" s="7"/>
      <c r="AJ532" s="4"/>
      <c r="AK532" s="7"/>
      <c r="AL532" s="7"/>
      <c r="AM532" s="7"/>
      <c r="AN532" s="7"/>
      <c r="AO532" s="7"/>
      <c r="AP532" s="7"/>
      <c r="AQ532" s="7"/>
      <c r="AR532" s="7"/>
      <c r="AS532" s="7"/>
      <c r="AT532" s="7"/>
      <c r="AU532" s="7"/>
      <c r="AV532" s="7"/>
      <c r="AW532" s="7"/>
      <c r="AX532" s="7"/>
    </row>
    <row r="533" ht="12.75" hidden="1" customHeight="1">
      <c r="A533" s="3">
        <v>15.0</v>
      </c>
      <c r="B533" s="3" t="s">
        <v>167</v>
      </c>
      <c r="C533" s="3" t="s">
        <v>186</v>
      </c>
      <c r="D533" s="4">
        <f>IFERROR(VLOOKUP(B533,Week14,2,FALSE),0)</f>
        <v>31.49</v>
      </c>
      <c r="E533" s="4">
        <f>IF(ISBLANK(B533),,IFERROR(VLOOKUP(B533,CurrentRank!$B$2:$C$132,2,FALSE),0))</f>
        <v>29.87</v>
      </c>
      <c r="F533" s="4">
        <f>IFERROR(VLOOKUP(B533,Week14,3,FALSE),130)</f>
        <v>100</v>
      </c>
      <c r="G533" s="4">
        <f>IF(ISBLANK(B533),,IFERROR(VLOOKUP(B533,CurrentRank!$B$2:$D$132,3,FALSE),130))</f>
        <v>111</v>
      </c>
      <c r="H533" s="4">
        <f>IFERROR(VLOOKUP(C533,Week14,2,FALSE),0)</f>
        <v>32.35</v>
      </c>
      <c r="I533" s="4">
        <f>IF(ISBLANK(B533),,IFERROR(VLOOKUP(C533,CurrentRank!$B$2:$C$132,2,FALSE),0))</f>
        <v>33.49</v>
      </c>
      <c r="J533" s="4">
        <f>IFERROR(VLOOKUP(C533,Week14,3,FALSE),130)</f>
        <v>93</v>
      </c>
      <c r="K533" s="4">
        <f>IF(ISBLANK(C533),,IFERROR(VLOOKUP(C533,CurrentRank!$B$2:$D$132,3,FALSE),130))</f>
        <v>79</v>
      </c>
      <c r="L533" s="19">
        <f t="shared" si="228"/>
        <v>0.9576</v>
      </c>
      <c r="M533" s="19">
        <f t="shared" si="229"/>
        <v>0.9504</v>
      </c>
      <c r="N533" s="24">
        <f t="shared" si="222"/>
        <v>96.5</v>
      </c>
      <c r="O533" s="21">
        <f t="shared" si="4"/>
        <v>-0.9088</v>
      </c>
      <c r="P533" s="21">
        <f t="shared" si="223"/>
        <v>-2.2888</v>
      </c>
      <c r="Q533" s="22">
        <f t="shared" si="6"/>
        <v>0.512956</v>
      </c>
      <c r="R533" s="25" t="str">
        <f t="shared" si="7"/>
        <v>F</v>
      </c>
      <c r="S533" s="19">
        <f t="shared" si="8"/>
        <v>0.4325</v>
      </c>
      <c r="T533" s="19" t="str">
        <f t="shared" si="9"/>
        <v>F</v>
      </c>
      <c r="U533" s="3" t="s">
        <v>203</v>
      </c>
      <c r="V533" s="4" t="str">
        <f>IF(ISBLANK(C533),,IFERROR(IF(VLOOKUP(B533,Standings!$A:$F, 6, 0)=VLOOKUP(C533,Standings!$A:$F, 6, 0), VLOOKUP(B533,Standings!$A:$F, 6, 0), "Non-con"), "FCS"))</f>
        <v>MWC</v>
      </c>
      <c r="W533" s="3" t="str">
        <f t="shared" si="10"/>
        <v>UNLV</v>
      </c>
      <c r="X533" s="3" t="str">
        <f t="shared" si="11"/>
        <v>Hawaii</v>
      </c>
      <c r="Y533" s="30">
        <f>IF(D533=0,,IF(ISBLANK(Q533),,VLOOKUP(X533,Week14,2,FALSE)/(VLOOKUP(X533,Week14,2,FALSE)+VLOOKUP(W533,Week14,2,FALSE))+0.05)*100)</f>
        <v>55.6735589</v>
      </c>
      <c r="Z533" s="3" t="s">
        <v>186</v>
      </c>
      <c r="AA533" s="3">
        <v>38.0</v>
      </c>
      <c r="AB533" s="4" t="str">
        <f t="shared" si="20"/>
        <v>UNLV</v>
      </c>
      <c r="AC533" s="3">
        <v>21.0</v>
      </c>
      <c r="AD533" s="3"/>
      <c r="AE533" s="3">
        <f t="shared" si="13"/>
        <v>17</v>
      </c>
      <c r="AF533" s="3"/>
      <c r="AG533" s="3">
        <f t="shared" si="133"/>
        <v>1</v>
      </c>
      <c r="AH533" s="3"/>
      <c r="AI533" s="7"/>
      <c r="AJ533" s="4" t="s">
        <v>90</v>
      </c>
      <c r="AK533" s="7"/>
      <c r="AL533" s="7"/>
      <c r="AM533" s="7"/>
      <c r="AN533" s="7"/>
      <c r="AO533" s="7"/>
      <c r="AP533" s="7"/>
      <c r="AQ533" s="7"/>
      <c r="AR533" s="7"/>
      <c r="AS533" s="7"/>
      <c r="AT533" s="7"/>
      <c r="AU533" s="7"/>
      <c r="AV533" s="7"/>
      <c r="AW533" s="7"/>
      <c r="AX533" s="7"/>
    </row>
    <row r="534" ht="12.75" hidden="1" customHeight="1">
      <c r="A534" s="3">
        <v>5.0</v>
      </c>
      <c r="B534" s="3" t="s">
        <v>148</v>
      </c>
      <c r="C534" s="3" t="s">
        <v>136</v>
      </c>
      <c r="D534" s="4">
        <f>IFERROR(VLOOKUP(B534,Week4,2,FALSE),0)</f>
        <v>33.2</v>
      </c>
      <c r="E534" s="4">
        <f>IF(ISBLANK(B534),,IFERROR(VLOOKUP(B534,CurrentRank!$B$2:$C$132,2,FALSE),0))</f>
        <v>32.94</v>
      </c>
      <c r="F534" s="4">
        <f>IFERROR(VLOOKUP(B534,Week4,3,FALSE),130)</f>
        <v>50</v>
      </c>
      <c r="G534" s="4">
        <f>IF(ISBLANK(B534),,IFERROR(VLOOKUP(B534,CurrentRank!$B$2:$D$132,3,FALSE),130))</f>
        <v>87</v>
      </c>
      <c r="H534" s="4">
        <f>IFERROR(VLOOKUP(C534,Week4,2,FALSE),0)</f>
        <v>34.05</v>
      </c>
      <c r="I534" s="4">
        <f>IF(ISBLANK(B534),,IFERROR(VLOOKUP(C534,CurrentRank!$B$2:$C$132,2,FALSE),0))</f>
        <v>35.33</v>
      </c>
      <c r="J534" s="4">
        <f>IFERROR(VLOOKUP(C534,Week4,3,FALSE),130)</f>
        <v>45</v>
      </c>
      <c r="K534" s="4">
        <f>IF(ISBLANK(C534),,IFERROR(VLOOKUP(C534,CurrentRank!$B$2:$D$132,3,FALSE),130))</f>
        <v>62</v>
      </c>
      <c r="L534" s="19">
        <f t="shared" si="228"/>
        <v>1.00875</v>
      </c>
      <c r="M534" s="19">
        <f t="shared" si="229"/>
        <v>1.02405</v>
      </c>
      <c r="N534" s="24">
        <f t="shared" si="222"/>
        <v>47.5</v>
      </c>
      <c r="O534" s="21">
        <f t="shared" si="4"/>
        <v>-0.929375</v>
      </c>
      <c r="P534" s="21">
        <f t="shared" si="223"/>
        <v>-1.699375</v>
      </c>
      <c r="Q534" s="22">
        <f t="shared" si="6"/>
        <v>0.757853125</v>
      </c>
      <c r="R534" s="25" t="str">
        <f t="shared" si="7"/>
        <v>C</v>
      </c>
      <c r="S534" s="19">
        <f t="shared" si="8"/>
        <v>0.6625</v>
      </c>
      <c r="T534" s="19" t="str">
        <f t="shared" si="9"/>
        <v>D</v>
      </c>
      <c r="U534" s="3" t="s">
        <v>203</v>
      </c>
      <c r="V534" s="4" t="str">
        <f>IF(ISBLANK(C534),,IFERROR(IF(VLOOKUP(B534,Standings!$A:$F, 6, 0)=VLOOKUP(C534,Standings!$A:$F, 6, 0), VLOOKUP(B534,Standings!$A:$F, 6, 0), "Non-con"), "FCS"))</f>
        <v>Non-con</v>
      </c>
      <c r="W534" s="3" t="str">
        <f t="shared" si="10"/>
        <v>East Carolina</v>
      </c>
      <c r="X534" s="3" t="str">
        <f t="shared" si="11"/>
        <v>Georgia State</v>
      </c>
      <c r="Y534" s="30">
        <f>IF(D534=0,,IF(ISBLANK(Q534),,VLOOKUP(X534,Week4,2,FALSE)/(VLOOKUP(X534,Week4,2,FALSE)+VLOOKUP(W534,Week4,2,FALSE))+0.05)*100)</f>
        <v>55.63197026</v>
      </c>
      <c r="Z534" s="3" t="s">
        <v>136</v>
      </c>
      <c r="AA534" s="3">
        <v>49.0</v>
      </c>
      <c r="AB534" s="4" t="str">
        <f t="shared" si="20"/>
        <v>East Carolina</v>
      </c>
      <c r="AC534" s="3">
        <v>29.0</v>
      </c>
      <c r="AD534" s="3"/>
      <c r="AE534" s="3">
        <f t="shared" si="13"/>
        <v>20</v>
      </c>
      <c r="AF534" s="3"/>
      <c r="AG534" s="3">
        <f t="shared" si="133"/>
        <v>1</v>
      </c>
      <c r="AH534" s="3"/>
      <c r="AI534" s="7"/>
      <c r="AJ534" s="4"/>
      <c r="AK534" s="7"/>
      <c r="AL534" s="7"/>
      <c r="AM534" s="7"/>
      <c r="AN534" s="7"/>
      <c r="AO534" s="7"/>
      <c r="AP534" s="7"/>
      <c r="AQ534" s="7"/>
      <c r="AR534" s="7"/>
      <c r="AS534" s="7"/>
      <c r="AT534" s="7"/>
      <c r="AU534" s="7"/>
      <c r="AV534" s="7"/>
      <c r="AW534" s="7"/>
      <c r="AX534" s="7"/>
    </row>
    <row r="535" ht="12.75" hidden="1" customHeight="1">
      <c r="A535" s="3">
        <v>7.0</v>
      </c>
      <c r="B535" s="3" t="s">
        <v>129</v>
      </c>
      <c r="C535" s="3" t="s">
        <v>118</v>
      </c>
      <c r="D535" s="4">
        <f>IFERROR(VLOOKUP(B535,Week6,2,FALSE),0)</f>
        <v>37.45</v>
      </c>
      <c r="E535" s="4">
        <f>IF(ISBLANK(B535),,IFERROR(VLOOKUP(B535,CurrentRank!$B$2:$C$132,2,FALSE),0))</f>
        <v>39.96</v>
      </c>
      <c r="F535" s="4">
        <f>IFERROR(VLOOKUP(B535,Week6,3,FALSE),130)</f>
        <v>43</v>
      </c>
      <c r="G535" s="4">
        <f>IF(ISBLANK(B535),,IFERROR(VLOOKUP(B535,CurrentRank!$B$2:$D$132,3,FALSE),130))</f>
        <v>35</v>
      </c>
      <c r="H535" s="4">
        <f>IFERROR(VLOOKUP(C535,Week6,2,FALSE),0)</f>
        <v>38.38</v>
      </c>
      <c r="I535" s="4">
        <f>IF(ISBLANK(B535),,IFERROR(VLOOKUP(C535,CurrentRank!$B$2:$C$132,2,FALSE),0))</f>
        <v>35.17</v>
      </c>
      <c r="J535" s="4">
        <f>IFERROR(VLOOKUP(C535,Week6,3,FALSE),130)</f>
        <v>39</v>
      </c>
      <c r="K535" s="4">
        <f>IF(ISBLANK(C535),,IFERROR(VLOOKUP(C535,CurrentRank!$B$2:$D$132,3,FALSE),130))</f>
        <v>65</v>
      </c>
      <c r="L535" s="19">
        <f t="shared" si="228"/>
        <v>1.13745</v>
      </c>
      <c r="M535" s="19">
        <f t="shared" si="229"/>
        <v>1.12695</v>
      </c>
      <c r="N535" s="24">
        <f t="shared" si="222"/>
        <v>41</v>
      </c>
      <c r="O535" s="21">
        <f t="shared" si="4"/>
        <v>-1.033725</v>
      </c>
      <c r="P535" s="21">
        <f t="shared" si="223"/>
        <v>1.826275</v>
      </c>
      <c r="Q535" s="22">
        <f t="shared" si="6"/>
        <v>0.789831375</v>
      </c>
      <c r="R535" s="25" t="str">
        <f t="shared" si="7"/>
        <v>C+</v>
      </c>
      <c r="S535" s="19">
        <f t="shared" si="8"/>
        <v>0.735</v>
      </c>
      <c r="T535" s="19" t="str">
        <f t="shared" si="9"/>
        <v>C</v>
      </c>
      <c r="U535" s="3" t="s">
        <v>203</v>
      </c>
      <c r="V535" s="4" t="str">
        <f>IF(ISBLANK(C535),,IFERROR(IF(VLOOKUP(B535,Standings!$A:$F, 6, 0)=VLOOKUP(C535,Standings!$A:$F, 6, 0), VLOOKUP(B535,Standings!$A:$F, 6, 0), "Non-con"), "FCS"))</f>
        <v>SEC</v>
      </c>
      <c r="W535" s="3" t="str">
        <f t="shared" si="10"/>
        <v>Mississippi</v>
      </c>
      <c r="X535" s="3" t="str">
        <f t="shared" si="11"/>
        <v>Arkansas</v>
      </c>
      <c r="Y535" s="30">
        <f>IF(D535=0,,IF(ISBLANK(Q535),,VLOOKUP(X535,Week6,2,FALSE)/(VLOOKUP(X535,Week6,2,FALSE)+VLOOKUP(W535,Week6,2,FALSE))+0.05)*100)</f>
        <v>55.61321377</v>
      </c>
      <c r="Z535" s="3" t="s">
        <v>118</v>
      </c>
      <c r="AA535" s="3">
        <v>33.0</v>
      </c>
      <c r="AB535" s="4" t="str">
        <f t="shared" si="20"/>
        <v>Mississippi</v>
      </c>
      <c r="AC535" s="3">
        <v>21.0</v>
      </c>
      <c r="AD535" s="3"/>
      <c r="AE535" s="3">
        <f t="shared" si="13"/>
        <v>12</v>
      </c>
      <c r="AF535" s="3"/>
      <c r="AG535" s="3">
        <f t="shared" si="133"/>
        <v>1</v>
      </c>
      <c r="AH535" s="3"/>
      <c r="AI535" s="7"/>
      <c r="AJ535" s="4" t="s">
        <v>111</v>
      </c>
      <c r="AM535" s="7"/>
      <c r="AN535" s="7"/>
      <c r="AO535" s="7"/>
      <c r="AP535" s="7"/>
      <c r="AQ535" s="7"/>
      <c r="AR535" s="7"/>
      <c r="AS535" s="7"/>
      <c r="AT535" s="7"/>
      <c r="AU535" s="7"/>
      <c r="AV535" s="7"/>
      <c r="AW535" s="7"/>
      <c r="AX535" s="7"/>
    </row>
    <row r="536" ht="12.75" customHeight="1">
      <c r="A536" s="3">
        <v>13.0</v>
      </c>
      <c r="B536" s="3" t="s">
        <v>185</v>
      </c>
      <c r="C536" s="3" t="s">
        <v>156</v>
      </c>
      <c r="D536" s="4">
        <f>IFERROR(VLOOKUP(B536,Week12,2,FALSE),0)</f>
        <v>31.14</v>
      </c>
      <c r="E536" s="4">
        <f>IF(ISBLANK(B536),,IFERROR(VLOOKUP(B536,CurrentRank!$B$2:$C$132,2,FALSE),0))</f>
        <v>33.22</v>
      </c>
      <c r="F536" s="4">
        <f>IFERROR(VLOOKUP(B536,Week12,3,FALSE),130)</f>
        <v>94</v>
      </c>
      <c r="G536" s="4">
        <f>IF(ISBLANK(B536),,IFERROR(VLOOKUP(B536,CurrentRank!$B$2:$D$132,3,FALSE),130))</f>
        <v>84</v>
      </c>
      <c r="H536" s="4">
        <f>IFERROR(VLOOKUP(C536,Week12,2,FALSE),0)</f>
        <v>32.52</v>
      </c>
      <c r="I536" s="4">
        <f>IF(ISBLANK(B536),,IFERROR(VLOOKUP(C536,CurrentRank!$B$2:$C$132,2,FALSE),0))</f>
        <v>32.81</v>
      </c>
      <c r="J536" s="4">
        <f>IFERROR(VLOOKUP(C536,Week12,3,FALSE),130)</f>
        <v>79</v>
      </c>
      <c r="K536" s="4">
        <f>IF(ISBLANK(C536),,IFERROR(VLOOKUP(C536,CurrentRank!$B$2:$D$132,3,FALSE),130))</f>
        <v>88</v>
      </c>
      <c r="L536" s="19">
        <f t="shared" si="228"/>
        <v>0.9549</v>
      </c>
      <c r="M536" s="19">
        <f t="shared" si="229"/>
        <v>0.99045</v>
      </c>
      <c r="N536" s="24">
        <f t="shared" si="222"/>
        <v>86.5</v>
      </c>
      <c r="O536" s="21">
        <f t="shared" si="4"/>
        <v>-1.16745</v>
      </c>
      <c r="P536" s="21">
        <f t="shared" si="223"/>
        <v>-0.27245</v>
      </c>
      <c r="Q536" s="22">
        <f t="shared" si="6"/>
        <v>0.56166275</v>
      </c>
      <c r="R536" s="25" t="str">
        <f t="shared" si="7"/>
        <v>F</v>
      </c>
      <c r="S536" s="19">
        <f t="shared" si="8"/>
        <v>0.4975</v>
      </c>
      <c r="T536" s="19" t="str">
        <f t="shared" si="9"/>
        <v>F</v>
      </c>
      <c r="U536" s="3" t="s">
        <v>203</v>
      </c>
      <c r="V536" s="4" t="str">
        <f>IF(ISBLANK(C536),,IFERROR(IF(VLOOKUP(B536,Standings!$A:$F, 6, 0)=VLOOKUP(C536,Standings!$A:$F, 6, 0), VLOOKUP(B536,Standings!$A:$F, 6, 0), "Non-con"), "FCS"))</f>
        <v>MWC</v>
      </c>
      <c r="W536" s="3" t="str">
        <f t="shared" si="10"/>
        <v>New Mexico</v>
      </c>
      <c r="X536" s="3" t="str">
        <f t="shared" si="11"/>
        <v>Utah State</v>
      </c>
      <c r="Y536" s="30">
        <f>IF(D536=0,,IF(ISBLANK(Q536),,VLOOKUP(X536,Week12,2,FALSE)/(VLOOKUP(X536,Week12,2,FALSE)+VLOOKUP(W536,Week12,2,FALSE))+0.05)*100)</f>
        <v>56.08388313</v>
      </c>
      <c r="Z536" s="3" t="s">
        <v>185</v>
      </c>
      <c r="AA536" s="3">
        <v>41.0</v>
      </c>
      <c r="AB536" s="4" t="str">
        <f t="shared" si="20"/>
        <v>Utah State</v>
      </c>
      <c r="AC536" s="3">
        <v>27.0</v>
      </c>
      <c r="AD536" s="3"/>
      <c r="AE536" s="3">
        <f t="shared" si="13"/>
        <v>14</v>
      </c>
      <c r="AF536" s="3"/>
      <c r="AG536" s="3">
        <f t="shared" si="133"/>
        <v>0</v>
      </c>
      <c r="AH536" s="3"/>
      <c r="AI536" s="7"/>
      <c r="AJ536" s="4"/>
      <c r="AK536" s="7"/>
      <c r="AL536" s="7"/>
      <c r="AM536" s="7"/>
      <c r="AN536" s="7"/>
      <c r="AO536" s="7"/>
      <c r="AP536" s="7"/>
      <c r="AQ536" s="7"/>
      <c r="AR536" s="7"/>
      <c r="AS536" s="7"/>
      <c r="AT536" s="7"/>
      <c r="AU536" s="7"/>
      <c r="AV536" s="7"/>
      <c r="AW536" s="7"/>
      <c r="AX536" s="7"/>
    </row>
    <row r="537" ht="12.75" customHeight="1">
      <c r="A537" s="3">
        <v>10.0</v>
      </c>
      <c r="B537" s="3" t="s">
        <v>162</v>
      </c>
      <c r="C537" s="3" t="s">
        <v>143</v>
      </c>
      <c r="D537" s="4">
        <f>IFERROR(VLOOKUP(B537,Week9,2,FALSE),0)</f>
        <v>30.61</v>
      </c>
      <c r="E537" s="4">
        <f>IF(ISBLANK(B537),,IFERROR(VLOOKUP(B537,CurrentRank!$B$2:$C$132,2,FALSE),0))</f>
        <v>51.75</v>
      </c>
      <c r="F537" s="4">
        <f>IFERROR(VLOOKUP(B537,Week9,3,FALSE),130)</f>
        <v>83</v>
      </c>
      <c r="G537" s="4">
        <f>IF(ISBLANK(B537),,IFERROR(VLOOKUP(B537,CurrentRank!$B$2:$D$132,3,FALSE),130))</f>
        <v>24</v>
      </c>
      <c r="H537" s="4">
        <f>IFERROR(VLOOKUP(C537,Week9,2,FALSE),0)</f>
        <v>30.61</v>
      </c>
      <c r="I537" s="4">
        <f>IF(ISBLANK(B537),,IFERROR(VLOOKUP(C537,CurrentRank!$B$2:$C$132,2,FALSE),0))</f>
        <v>30.67</v>
      </c>
      <c r="J537" s="4">
        <f>IFERROR(VLOOKUP(C537,Week9,3,FALSE),130)</f>
        <v>83</v>
      </c>
      <c r="K537" s="4">
        <f>IF(ISBLANK(C537),,IFERROR(VLOOKUP(C537,CurrentRank!$B$2:$D$132,3,FALSE),130))</f>
        <v>108</v>
      </c>
      <c r="L537" s="19">
        <f t="shared" si="228"/>
        <v>0.9183</v>
      </c>
      <c r="M537" s="19">
        <f t="shared" si="229"/>
        <v>1.2363</v>
      </c>
      <c r="N537" s="24">
        <f t="shared" si="222"/>
        <v>83</v>
      </c>
      <c r="O537" s="21">
        <f t="shared" si="4"/>
        <v>-0.45915</v>
      </c>
      <c r="P537" s="21">
        <f t="shared" si="223"/>
        <v>10.08085</v>
      </c>
      <c r="Q537" s="22">
        <f t="shared" si="6"/>
        <v>0.58270425</v>
      </c>
      <c r="R537" s="25" t="str">
        <f t="shared" si="7"/>
        <v>F</v>
      </c>
      <c r="S537" s="19">
        <f t="shared" si="8"/>
        <v>0.49</v>
      </c>
      <c r="T537" s="19" t="str">
        <f t="shared" si="9"/>
        <v>F</v>
      </c>
      <c r="U537" s="3" t="s">
        <v>203</v>
      </c>
      <c r="V537" s="4" t="str">
        <f>IF(ISBLANK(C537),,IFERROR(IF(VLOOKUP(B537,Standings!$A:$F, 6, 0)=VLOOKUP(C537,Standings!$A:$F, 6, 0), VLOOKUP(B537,Standings!$A:$F, 6, 0), "Non-con"), "FCS"))</f>
        <v>MAC</v>
      </c>
      <c r="W537" s="3" t="str">
        <f t="shared" si="10"/>
        <v>Buffalo</v>
      </c>
      <c r="X537" s="3" t="str">
        <f t="shared" si="11"/>
        <v>Northern Illinois</v>
      </c>
      <c r="Y537" s="30">
        <f>IF(D537=0,,IF(ISBLANK(Q537),,VLOOKUP(X537,Week9,2,FALSE)/(VLOOKUP(X537,Week9,2,FALSE)+VLOOKUP(W537,Week9,2,FALSE))+0.05)*100)</f>
        <v>55</v>
      </c>
      <c r="Z537" s="3" t="s">
        <v>162</v>
      </c>
      <c r="AA537" s="3">
        <v>49.0</v>
      </c>
      <c r="AB537" s="4" t="str">
        <f t="shared" si="20"/>
        <v>Northern Illinois</v>
      </c>
      <c r="AC537" s="3">
        <v>30.0</v>
      </c>
      <c r="AD537" s="3"/>
      <c r="AE537" s="3">
        <f t="shared" si="13"/>
        <v>19</v>
      </c>
      <c r="AF537" s="3"/>
      <c r="AG537" s="3">
        <f t="shared" si="133"/>
        <v>0</v>
      </c>
      <c r="AH537" s="3"/>
      <c r="AI537" s="7"/>
      <c r="AJ537" s="4"/>
      <c r="AK537" s="7"/>
      <c r="AL537" s="7"/>
      <c r="AM537" s="7"/>
      <c r="AN537" s="7"/>
      <c r="AO537" s="7"/>
      <c r="AP537" s="7"/>
      <c r="AQ537" s="7"/>
      <c r="AR537" s="7"/>
      <c r="AS537" s="7"/>
      <c r="AT537" s="7"/>
      <c r="AU537" s="7"/>
      <c r="AV537" s="7"/>
      <c r="AW537" s="7"/>
      <c r="AX537" s="7"/>
    </row>
    <row r="538" ht="12.75" hidden="1" customHeight="1">
      <c r="A538" s="3">
        <v>15.0</v>
      </c>
      <c r="B538" s="3" t="s">
        <v>164</v>
      </c>
      <c r="C538" s="3" t="s">
        <v>182</v>
      </c>
      <c r="D538" s="4">
        <f>IFERROR(VLOOKUP(B538,Week14,2,FALSE),0)</f>
        <v>38.5</v>
      </c>
      <c r="E538" s="4">
        <f>IF(ISBLANK(B538),,IFERROR(VLOOKUP(B538,CurrentRank!$B$2:$C$132,2,FALSE),0))</f>
        <v>37.5</v>
      </c>
      <c r="F538" s="4">
        <f>IFERROR(VLOOKUP(B538,Week14,3,FALSE),130)</f>
        <v>42</v>
      </c>
      <c r="G538" s="4">
        <f>IF(ISBLANK(B538),,IFERROR(VLOOKUP(B538,CurrentRank!$B$2:$D$132,3,FALSE),130))</f>
        <v>41</v>
      </c>
      <c r="H538" s="4">
        <f>IFERROR(VLOOKUP(C538,Week14,2,FALSE),0)</f>
        <v>39.36</v>
      </c>
      <c r="I538" s="4">
        <f>IF(ISBLANK(B538),,IFERROR(VLOOKUP(C538,CurrentRank!$B$2:$C$132,2,FALSE),0))</f>
        <v>51.02</v>
      </c>
      <c r="J538" s="4">
        <f>IFERROR(VLOOKUP(C538,Week14,3,FALSE),130)</f>
        <v>39</v>
      </c>
      <c r="K538" s="4">
        <f>IF(ISBLANK(C538),,IFERROR(VLOOKUP(C538,CurrentRank!$B$2:$D$132,3,FALSE),130))</f>
        <v>25</v>
      </c>
      <c r="L538" s="19">
        <f t="shared" si="228"/>
        <v>0</v>
      </c>
      <c r="M538" s="19">
        <f t="shared" si="229"/>
        <v>0</v>
      </c>
      <c r="N538" s="24">
        <f t="shared" si="222"/>
        <v>40.5</v>
      </c>
      <c r="O538" s="21">
        <f t="shared" si="4"/>
        <v>-0.43</v>
      </c>
      <c r="P538" s="21">
        <f t="shared" si="223"/>
        <v>-6.76</v>
      </c>
      <c r="Q538" s="22">
        <f t="shared" si="6"/>
        <v>0.79535</v>
      </c>
      <c r="R538" s="25" t="str">
        <f t="shared" si="7"/>
        <v>B-</v>
      </c>
      <c r="S538" s="19">
        <f t="shared" si="8"/>
        <v>0.7475</v>
      </c>
      <c r="T538" s="19" t="str">
        <f t="shared" si="9"/>
        <v>C</v>
      </c>
      <c r="U538" s="3" t="s">
        <v>223</v>
      </c>
      <c r="V538" s="4" t="str">
        <f>IF(ISBLANK(C538),,IFERROR(IF(VLOOKUP(B538,Standings!$A:$F, 6, 0)=VLOOKUP(C538,Standings!$A:$F, 6, 0), VLOOKUP(B538,Standings!$A:$F, 6, 0), "Non-con"), "FCS"))</f>
        <v>MWC</v>
      </c>
      <c r="W538" s="3" t="str">
        <f t="shared" si="10"/>
        <v>Nevada</v>
      </c>
      <c r="X538" s="3" t="str">
        <f t="shared" si="11"/>
        <v>San Jose State</v>
      </c>
      <c r="Y538" s="30">
        <f>IF(D538=0,,IF(ISBLANK(Q538),,VLOOKUP(X538,Week14,2,FALSE)/(VLOOKUP(X538,Week14,2,FALSE)+VLOOKUP(W538,Week14,2,FALSE))+0.05)*100)</f>
        <v>55.55227331</v>
      </c>
      <c r="Z538" s="3" t="s">
        <v>182</v>
      </c>
      <c r="AA538" s="3">
        <v>30.0</v>
      </c>
      <c r="AB538" s="4" t="str">
        <f t="shared" si="20"/>
        <v>Nevada</v>
      </c>
      <c r="AC538" s="3">
        <v>20.0</v>
      </c>
      <c r="AD538" s="3"/>
      <c r="AE538" s="3">
        <f t="shared" si="13"/>
        <v>10</v>
      </c>
      <c r="AF538" s="3"/>
      <c r="AG538" s="3">
        <f t="shared" si="133"/>
        <v>1</v>
      </c>
      <c r="AH538" s="3"/>
      <c r="AI538" s="7"/>
      <c r="AJ538" s="4"/>
      <c r="AK538" s="7"/>
      <c r="AL538" s="7"/>
      <c r="AM538" s="7"/>
      <c r="AN538" s="7"/>
      <c r="AO538" s="7"/>
      <c r="AP538" s="7"/>
      <c r="AQ538" s="7"/>
      <c r="AR538" s="7"/>
      <c r="AS538" s="7"/>
      <c r="AT538" s="7"/>
      <c r="AU538" s="7"/>
      <c r="AV538" s="7"/>
      <c r="AW538" s="7"/>
      <c r="AX538" s="7"/>
    </row>
    <row r="539" ht="12.75" hidden="1" customHeight="1">
      <c r="A539" s="3">
        <v>14.0</v>
      </c>
      <c r="B539" s="3" t="s">
        <v>101</v>
      </c>
      <c r="C539" s="3" t="s">
        <v>112</v>
      </c>
      <c r="D539" s="4">
        <f>IFERROR(VLOOKUP(B539,Week13,2,FALSE),0)</f>
        <v>38.45</v>
      </c>
      <c r="E539" s="4">
        <f>IF(ISBLANK(B539),,IFERROR(VLOOKUP(B539,CurrentRank!$B$2:$C$132,2,FALSE),0))</f>
        <v>36.62</v>
      </c>
      <c r="F539" s="4">
        <f>IFERROR(VLOOKUP(B539,Week13,3,FALSE),130)</f>
        <v>42</v>
      </c>
      <c r="G539" s="4">
        <f>IF(ISBLANK(B539),,IFERROR(VLOOKUP(B539,CurrentRank!$B$2:$D$132,3,FALSE),130))</f>
        <v>50</v>
      </c>
      <c r="H539" s="4">
        <f>IFERROR(VLOOKUP(C539,Week13,2,FALSE),0)</f>
        <v>39.29</v>
      </c>
      <c r="I539" s="4">
        <f>IF(ISBLANK(B539),,IFERROR(VLOOKUP(C539,CurrentRank!$B$2:$C$132,2,FALSE),0))</f>
        <v>36.98</v>
      </c>
      <c r="J539" s="4">
        <f>IFERROR(VLOOKUP(C539,Week13,3,FALSE),130)</f>
        <v>39</v>
      </c>
      <c r="K539" s="4">
        <f>IF(ISBLANK(C539),,IFERROR(VLOOKUP(C539,CurrentRank!$B$2:$D$132,3,FALSE),130))</f>
        <v>46</v>
      </c>
      <c r="L539" s="19">
        <f t="shared" si="228"/>
        <v>1.1661</v>
      </c>
      <c r="M539" s="19">
        <f t="shared" si="229"/>
        <v>1.104</v>
      </c>
      <c r="N539" s="24">
        <f t="shared" si="222"/>
        <v>40.5</v>
      </c>
      <c r="O539" s="21">
        <f t="shared" si="4"/>
        <v>-1.00305</v>
      </c>
      <c r="P539" s="21">
        <f t="shared" si="223"/>
        <v>-0.76305</v>
      </c>
      <c r="Q539" s="22">
        <f t="shared" si="6"/>
        <v>0.79248475</v>
      </c>
      <c r="R539" s="25" t="str">
        <f t="shared" si="7"/>
        <v>C+</v>
      </c>
      <c r="S539" s="19">
        <f t="shared" si="8"/>
        <v>0.7425</v>
      </c>
      <c r="T539" s="19" t="str">
        <f t="shared" si="9"/>
        <v>C</v>
      </c>
      <c r="U539" s="3" t="s">
        <v>203</v>
      </c>
      <c r="V539" s="4" t="str">
        <f>IF(ISBLANK(C539),,IFERROR(IF(VLOOKUP(B539,Standings!$A:$F, 6, 0)=VLOOKUP(C539,Standings!$A:$F, 6, 0), VLOOKUP(B539,Standings!$A:$F, 6, 0), "Non-con"), "FCS"))</f>
        <v>ACC</v>
      </c>
      <c r="W539" s="3" t="str">
        <f t="shared" si="10"/>
        <v>Boston College</v>
      </c>
      <c r="X539" s="3" t="str">
        <f t="shared" si="11"/>
        <v>Virginia</v>
      </c>
      <c r="Y539" s="30">
        <f>IF(D539=0,,IF(ISBLANK(Q539),,VLOOKUP(X539,Week13,2,FALSE)/(VLOOKUP(X539,Week13,2,FALSE)+VLOOKUP(W539,Week13,2,FALSE))+0.05)*100)</f>
        <v>55.54026241</v>
      </c>
      <c r="Z539" s="3" t="s">
        <v>112</v>
      </c>
      <c r="AA539" s="3">
        <v>43.0</v>
      </c>
      <c r="AB539" s="4" t="str">
        <f t="shared" si="20"/>
        <v>Boston College</v>
      </c>
      <c r="AC539" s="3">
        <v>32.0</v>
      </c>
      <c r="AD539" s="3"/>
      <c r="AE539" s="3">
        <f t="shared" si="13"/>
        <v>11</v>
      </c>
      <c r="AF539" s="3"/>
      <c r="AG539" s="3">
        <f t="shared" si="133"/>
        <v>1</v>
      </c>
      <c r="AH539" s="3"/>
      <c r="AI539" s="7"/>
      <c r="AJ539" s="4" t="s">
        <v>131</v>
      </c>
      <c r="AK539" s="7"/>
      <c r="AL539" s="7"/>
      <c r="AM539" s="7"/>
      <c r="AN539" s="7"/>
      <c r="AO539" s="7"/>
      <c r="AP539" s="7"/>
      <c r="AQ539" s="7"/>
      <c r="AR539" s="7"/>
      <c r="AS539" s="7"/>
      <c r="AT539" s="7"/>
      <c r="AU539" s="7"/>
      <c r="AV539" s="7"/>
      <c r="AW539" s="7"/>
      <c r="AX539" s="7"/>
    </row>
    <row r="540" ht="12.75" customHeight="1">
      <c r="A540" s="3">
        <v>8.0</v>
      </c>
      <c r="B540" s="3" t="s">
        <v>200</v>
      </c>
      <c r="C540" s="3" t="s">
        <v>172</v>
      </c>
      <c r="D540" s="4">
        <f>IFERROR(VLOOKUP(B540,Week7,2,FALSE),0)</f>
        <v>28.94</v>
      </c>
      <c r="E540" s="4">
        <f>IF(ISBLANK(B540),,IFERROR(VLOOKUP(B540,CurrentRank!$B$2:$C$132,2,FALSE),0))</f>
        <v>32.76</v>
      </c>
      <c r="F540" s="4">
        <f>IFERROR(VLOOKUP(B540,Week7,3,FALSE),130)</f>
        <v>121</v>
      </c>
      <c r="G540" s="4">
        <f>IF(ISBLANK(B540),,IFERROR(VLOOKUP(B540,CurrentRank!$B$2:$D$132,3,FALSE),130))</f>
        <v>89</v>
      </c>
      <c r="H540" s="4">
        <f>IFERROR(VLOOKUP(C540,Week7,2,FALSE),0)</f>
        <v>30.76</v>
      </c>
      <c r="I540" s="4">
        <f>IF(ISBLANK(B540),,IFERROR(VLOOKUP(C540,CurrentRank!$B$2:$C$132,2,FALSE),0))</f>
        <v>33.49</v>
      </c>
      <c r="J540" s="4">
        <f>IFERROR(VLOOKUP(C540,Week7,3,FALSE),130)</f>
        <v>72</v>
      </c>
      <c r="K540" s="4">
        <f>IF(ISBLANK(C540),,IFERROR(VLOOKUP(C540,CurrentRank!$B$2:$D$132,3,FALSE),130))</f>
        <v>79</v>
      </c>
      <c r="L540" s="19">
        <f t="shared" si="228"/>
        <v>0.8955</v>
      </c>
      <c r="M540" s="19">
        <f t="shared" si="229"/>
        <v>0.99375</v>
      </c>
      <c r="N540" s="24">
        <f t="shared" si="222"/>
        <v>96.5</v>
      </c>
      <c r="O540" s="21">
        <f t="shared" si="4"/>
        <v>-1.35775</v>
      </c>
      <c r="P540" s="21">
        <f t="shared" si="223"/>
        <v>-0.81275</v>
      </c>
      <c r="Q540" s="22">
        <f t="shared" si="6"/>
        <v>0.51071125</v>
      </c>
      <c r="R540" s="25" t="str">
        <f t="shared" si="7"/>
        <v>F</v>
      </c>
      <c r="S540" s="19">
        <f t="shared" si="8"/>
        <v>0.4875</v>
      </c>
      <c r="T540" s="19" t="str">
        <f t="shared" si="9"/>
        <v>F</v>
      </c>
      <c r="U540" s="3" t="s">
        <v>203</v>
      </c>
      <c r="V540" s="4" t="str">
        <f>IF(ISBLANK(C540),,IFERROR(IF(VLOOKUP(B540,Standings!$A:$F, 6, 0)=VLOOKUP(C540,Standings!$A:$F, 6, 0), VLOOKUP(B540,Standings!$A:$F, 6, 0), "Non-con"), "FCS"))</f>
        <v>CUSA</v>
      </c>
      <c r="W540" s="3" t="str">
        <f t="shared" si="10"/>
        <v>Middle Tennessee</v>
      </c>
      <c r="X540" s="3" t="str">
        <f t="shared" si="11"/>
        <v>Rice</v>
      </c>
      <c r="Y540" s="30">
        <f>IF(D540=0,,IF(ISBLANK(Q540),,VLOOKUP(X540,Week7,2,FALSE)/(VLOOKUP(X540,Week7,2,FALSE)+VLOOKUP(W540,Week7,2,FALSE))+0.05)*100)</f>
        <v>56.52428811</v>
      </c>
      <c r="Z540" s="3" t="s">
        <v>200</v>
      </c>
      <c r="AA540" s="3">
        <v>40.0</v>
      </c>
      <c r="AB540" s="4" t="str">
        <f t="shared" si="20"/>
        <v>Rice</v>
      </c>
      <c r="AC540" s="3">
        <v>34.0</v>
      </c>
      <c r="AD540" s="3"/>
      <c r="AE540" s="3">
        <f t="shared" si="13"/>
        <v>6</v>
      </c>
      <c r="AF540" s="3"/>
      <c r="AG540" s="3">
        <f t="shared" si="133"/>
        <v>0</v>
      </c>
      <c r="AH540" s="3"/>
      <c r="AI540" s="7"/>
      <c r="AJ540" s="4"/>
      <c r="AK540" s="7"/>
      <c r="AL540" s="7"/>
      <c r="AM540" s="7"/>
      <c r="AN540" s="7"/>
      <c r="AO540" s="7"/>
      <c r="AP540" s="7"/>
      <c r="AQ540" s="7"/>
      <c r="AR540" s="7"/>
      <c r="AS540" s="7"/>
      <c r="AT540" s="7"/>
      <c r="AU540" s="7"/>
      <c r="AV540" s="7"/>
      <c r="AW540" s="7"/>
      <c r="AX540" s="7"/>
    </row>
    <row r="541" ht="12.75" customHeight="1">
      <c r="A541" s="3">
        <v>4.0</v>
      </c>
      <c r="B541" s="3" t="s">
        <v>108</v>
      </c>
      <c r="C541" s="3" t="s">
        <v>128</v>
      </c>
      <c r="D541" s="4">
        <f>IFERROR(VLOOKUP(B541,Week3,2,FALSE),0)</f>
        <v>34.53</v>
      </c>
      <c r="E541" s="4">
        <f>IF(ISBLANK(B541),,IFERROR(VLOOKUP(B541,CurrentRank!$B$2:$C$132,2,FALSE),0))</f>
        <v>30.15</v>
      </c>
      <c r="F541" s="4">
        <f>IFERROR(VLOOKUP(B541,Week3,3,FALSE),130)</f>
        <v>44</v>
      </c>
      <c r="G541" s="4">
        <f>IF(ISBLANK(B541),,IFERROR(VLOOKUP(B541,CurrentRank!$B$2:$D$132,3,FALSE),130))</f>
        <v>109</v>
      </c>
      <c r="H541" s="4">
        <f>IFERROR(VLOOKUP(C541,Week3,2,FALSE),0)</f>
        <v>24.46</v>
      </c>
      <c r="I541" s="4">
        <f>IF(ISBLANK(B541),,IFERROR(VLOOKUP(C541,CurrentRank!$B$2:$C$132,2,FALSE),0))</f>
        <v>26.74</v>
      </c>
      <c r="J541" s="4">
        <f>IFERROR(VLOOKUP(C541,Week3,3,FALSE),130)</f>
        <v>128</v>
      </c>
      <c r="K541" s="4">
        <f>IF(ISBLANK(C541),,IFERROR(VLOOKUP(C541,CurrentRank!$B$2:$D$132,3,FALSE),130))</f>
        <v>123</v>
      </c>
      <c r="L541" s="19">
        <f t="shared" si="228"/>
        <v>0.88485</v>
      </c>
      <c r="M541" s="19">
        <f t="shared" si="229"/>
        <v>0.85335</v>
      </c>
      <c r="N541" s="24">
        <f t="shared" si="222"/>
        <v>86</v>
      </c>
      <c r="O541" s="21">
        <f t="shared" si="4"/>
        <v>4.592575</v>
      </c>
      <c r="P541" s="21">
        <f t="shared" si="223"/>
        <v>1.262575</v>
      </c>
      <c r="Q541" s="22">
        <f t="shared" si="6"/>
        <v>0.547037125</v>
      </c>
      <c r="R541" s="25" t="str">
        <f t="shared" si="7"/>
        <v>F</v>
      </c>
      <c r="S541" s="19">
        <f t="shared" si="8"/>
        <v>0.485</v>
      </c>
      <c r="T541" s="19" t="str">
        <f t="shared" si="9"/>
        <v>F</v>
      </c>
      <c r="U541" s="3" t="s">
        <v>203</v>
      </c>
      <c r="V541" s="4" t="str">
        <f>IF(ISBLANK(C541),,IFERROR(IF(VLOOKUP(B541,Standings!$A:$F, 6, 0)=VLOOKUP(C541,Standings!$A:$F, 6, 0), VLOOKUP(B541,Standings!$A:$F, 6, 0), "Non-con"), "FCS"))</f>
        <v>ACC</v>
      </c>
      <c r="W541" s="3" t="str">
        <f t="shared" si="10"/>
        <v>Syracuse</v>
      </c>
      <c r="X541" s="3" t="str">
        <f t="shared" si="11"/>
        <v>Georgia Tech</v>
      </c>
      <c r="Y541" s="30">
        <f>IF(D541=0,,IF(ISBLANK(Q541),,VLOOKUP(X541,Week3,2,FALSE)/(VLOOKUP(X541,Week3,2,FALSE)+VLOOKUP(W541,Week3,2,FALSE))+0.05)*100)</f>
        <v>63.53534497</v>
      </c>
      <c r="Z541" s="3" t="s">
        <v>128</v>
      </c>
      <c r="AA541" s="3">
        <v>37.0</v>
      </c>
      <c r="AB541" s="4" t="str">
        <f t="shared" si="20"/>
        <v>Georgia Tech</v>
      </c>
      <c r="AC541" s="3">
        <v>20.0</v>
      </c>
      <c r="AD541" s="3"/>
      <c r="AE541" s="3">
        <f t="shared" si="13"/>
        <v>17</v>
      </c>
      <c r="AF541" s="3"/>
      <c r="AG541" s="3">
        <f t="shared" si="133"/>
        <v>0</v>
      </c>
      <c r="AH541" s="3"/>
      <c r="AI541" s="7"/>
      <c r="AJ541" s="4" t="s">
        <v>152</v>
      </c>
      <c r="AK541" s="7"/>
      <c r="AL541" s="7"/>
      <c r="AM541" s="7"/>
      <c r="AN541" s="7"/>
      <c r="AO541" s="7"/>
      <c r="AP541" s="7"/>
      <c r="AQ541" s="7"/>
      <c r="AR541" s="7"/>
      <c r="AS541" s="7"/>
      <c r="AT541" s="7"/>
      <c r="AU541" s="7"/>
      <c r="AV541" s="7"/>
      <c r="AW541" s="7"/>
      <c r="AX541" s="7"/>
    </row>
    <row r="542" ht="12.75" hidden="1" customHeight="1">
      <c r="A542" s="3">
        <v>12.0</v>
      </c>
      <c r="B542" s="3" t="s">
        <v>156</v>
      </c>
      <c r="C542" s="3" t="s">
        <v>175</v>
      </c>
      <c r="D542" s="4">
        <f>IFERROR(VLOOKUP(B542,CurrentRank!$B$2:$C$132,2,FALSE),0)</f>
        <v>32.81</v>
      </c>
      <c r="E542" s="4">
        <f>IF(ISBLANK(B542),,IFERROR(VLOOKUP(B542,CurrentRank!$B$2:$C$132,2,FALSE),0))</f>
        <v>32.81</v>
      </c>
      <c r="F542" s="4">
        <f>IFERROR(VLOOKUP(B542,CurrentRank!$B$2:$D$132,3,FALSE),130)</f>
        <v>88</v>
      </c>
      <c r="G542" s="4">
        <f>IF(ISBLANK(B542),,IFERROR(VLOOKUP(B542,CurrentRank!$B$2:$D$132,3,FALSE),130))</f>
        <v>88</v>
      </c>
      <c r="H542" s="4">
        <f>IFERROR(VLOOKUP(C542,CurrentRank!$B$2:$C$132,2,FALSE),0)</f>
        <v>31.85</v>
      </c>
      <c r="I542" s="4">
        <f>IF(ISBLANK(B542),,IFERROR(VLOOKUP(C542,CurrentRank!$B$2:$C$132,2,FALSE),0))</f>
        <v>31.85</v>
      </c>
      <c r="J542" s="4">
        <f>IFERROR(VLOOKUP(C542,Week11,3,FALSE),130)</f>
        <v>78</v>
      </c>
      <c r="K542" s="4">
        <f>IFERROR(VLOOKUP(C542,CurrentRank!$B$2:$D$132,3,FALSE),130)</f>
        <v>95</v>
      </c>
      <c r="L542" s="19">
        <f t="shared" ref="L542:M542" si="230">IF(ISBLANK(C542),,(D542+H542)*0.015)</f>
        <v>0.9699</v>
      </c>
      <c r="M542" s="19">
        <f t="shared" si="230"/>
        <v>0.9699</v>
      </c>
      <c r="N542" s="24">
        <f>F542+K542</f>
        <v>183</v>
      </c>
      <c r="O542" s="21">
        <f t="shared" si="4"/>
        <v>-0.00495</v>
      </c>
      <c r="P542" s="24">
        <f>(D542-(H542+L542))/2</f>
        <v>-0.00495</v>
      </c>
      <c r="Q542" s="22">
        <f t="shared" si="6"/>
        <v>0.08497525</v>
      </c>
      <c r="R542" s="25" t="str">
        <f t="shared" si="7"/>
        <v>F</v>
      </c>
      <c r="S542" s="19" t="str">
        <f t="shared" si="8"/>
        <v/>
      </c>
      <c r="T542" s="19" t="str">
        <f t="shared" si="9"/>
        <v/>
      </c>
      <c r="U542" s="3" t="s">
        <v>203</v>
      </c>
      <c r="V542" s="4" t="str">
        <f>IFERROR(IF(VLOOKUP(B542,Standings!$A:$F, 6, 0)=VLOOKUP(C542,Standings!$A:$F, 6, 0), VLOOKUP(B542,Standings!$A:$F, 6, 0), "Non-con"), "FCS")</f>
        <v>MWC</v>
      </c>
      <c r="W542" s="3" t="str">
        <f t="shared" si="10"/>
        <v>Utah State</v>
      </c>
      <c r="X542" s="3" t="str">
        <f t="shared" si="11"/>
        <v>Wyoming</v>
      </c>
      <c r="Y542" s="30">
        <f>IF(D542=0,,IF(ISBLANK(Q542),,VLOOKUP(X542,Week11,2,FALSE)/(VLOOKUP(X542,Week11,2,FALSE)+VLOOKUP(W542,Week11,2,FALSE))+0.05)*100)</f>
        <v>55.46686055</v>
      </c>
      <c r="Z542" s="3"/>
      <c r="AA542" s="3"/>
      <c r="AB542" s="4" t="str">
        <f t="shared" si="20"/>
        <v/>
      </c>
      <c r="AC542" s="3"/>
      <c r="AD542" s="3"/>
      <c r="AE542" s="3" t="str">
        <f t="shared" si="13"/>
        <v/>
      </c>
      <c r="AF542" s="3" t="s">
        <v>226</v>
      </c>
      <c r="AG542" s="3" t="str">
        <f t="shared" si="133"/>
        <v/>
      </c>
      <c r="AH542" s="3"/>
      <c r="AI542" s="7"/>
      <c r="AJ542" s="4"/>
      <c r="AK542" s="7"/>
      <c r="AL542" s="7"/>
      <c r="AM542" s="7"/>
      <c r="AN542" s="7"/>
      <c r="AO542" s="7"/>
      <c r="AP542" s="7"/>
      <c r="AQ542" s="7"/>
      <c r="AR542" s="7"/>
      <c r="AS542" s="7"/>
      <c r="AT542" s="7"/>
      <c r="AU542" s="7"/>
      <c r="AV542" s="7"/>
      <c r="AW542" s="7"/>
      <c r="AX542" s="7"/>
    </row>
    <row r="543" ht="12.75" hidden="1" customHeight="1">
      <c r="A543" s="3">
        <v>14.0</v>
      </c>
      <c r="B543" s="3" t="s">
        <v>177</v>
      </c>
      <c r="C543" s="3" t="s">
        <v>184</v>
      </c>
      <c r="D543" s="4">
        <f>IFERROR(VLOOKUP(B543,Week13,2,FALSE),0)</f>
        <v>30.66</v>
      </c>
      <c r="E543" s="4">
        <f>IF(ISBLANK(B543),,IFERROR(VLOOKUP(B543,CurrentRank!$B$2:$C$132,2,FALSE),0))</f>
        <v>29.15</v>
      </c>
      <c r="F543" s="4">
        <f>IFERROR(VLOOKUP(B543,Week13,3,FALSE),130)</f>
        <v>101</v>
      </c>
      <c r="G543" s="4">
        <f>IF(ISBLANK(B543),,IFERROR(VLOOKUP(B543,CurrentRank!$B$2:$D$132,3,FALSE),130))</f>
        <v>117</v>
      </c>
      <c r="H543" s="4">
        <f>IFERROR(VLOOKUP(C543,Week13,2,FALSE),0)</f>
        <v>31.22</v>
      </c>
      <c r="I543" s="4">
        <f>IF(ISBLANK(B543),,IFERROR(VLOOKUP(C543,CurrentRank!$B$2:$C$132,2,FALSE),0))</f>
        <v>28.91</v>
      </c>
      <c r="J543" s="4">
        <f>IFERROR(VLOOKUP(C543,Week13,3,FALSE),130)</f>
        <v>93</v>
      </c>
      <c r="K543" s="4">
        <f>IF(ISBLANK(C543),,IFERROR(VLOOKUP(C543,CurrentRank!$B$2:$D$132,3,FALSE),130))</f>
        <v>118</v>
      </c>
      <c r="L543" s="19">
        <f t="shared" ref="L543:L552" si="231">IF(U543= "Yes", 0, IF(ISBLANK(C543),,(D543+H543)*0.015))</f>
        <v>0.9282</v>
      </c>
      <c r="M543" s="19">
        <f t="shared" ref="M543:M552" si="232">IF(U543= "Yes", 0, IF(ISBLANK(D543),,(E543+I543)*0.015))</f>
        <v>0.8709</v>
      </c>
      <c r="N543" s="24">
        <f t="shared" ref="N543:N557" si="233">IF(ISBLANK(C543),,(F543+J543)/2)</f>
        <v>97</v>
      </c>
      <c r="O543" s="21">
        <f t="shared" si="4"/>
        <v>-0.7441</v>
      </c>
      <c r="P543" s="21">
        <f t="shared" ref="P543:P557" si="234">IF(ISBLANK(C543),,(E543-(I543+L543))/2)</f>
        <v>-0.3441</v>
      </c>
      <c r="Q543" s="22">
        <f t="shared" si="6"/>
        <v>0.5112795</v>
      </c>
      <c r="R543" s="25" t="str">
        <f t="shared" si="7"/>
        <v>F</v>
      </c>
      <c r="S543" s="19">
        <f t="shared" si="8"/>
        <v>0.375</v>
      </c>
      <c r="T543" s="19" t="str">
        <f t="shared" si="9"/>
        <v>F</v>
      </c>
      <c r="U543" s="3" t="s">
        <v>203</v>
      </c>
      <c r="V543" s="4" t="str">
        <f>IF(ISBLANK(C543),,IFERROR(IF(VLOOKUP(B543,Standings!$A:$F, 6, 0)=VLOOKUP(C543,Standings!$A:$F, 6, 0), VLOOKUP(B543,Standings!$A:$F, 6, 0), "Non-con"), "FCS"))</f>
        <v>MAC</v>
      </c>
      <c r="W543" s="3" t="str">
        <f t="shared" si="10"/>
        <v>Bowling Green</v>
      </c>
      <c r="X543" s="3" t="str">
        <f t="shared" si="11"/>
        <v>Akron</v>
      </c>
      <c r="Y543" s="30">
        <f>IF(D543=0,,IF(ISBLANK(Q543),,VLOOKUP(X543,Week13,2,FALSE)/(VLOOKUP(X543,Week13,2,FALSE)+VLOOKUP(W543,Week13,2,FALSE))+0.05)*100)</f>
        <v>55.45248869</v>
      </c>
      <c r="Z543" s="3" t="s">
        <v>184</v>
      </c>
      <c r="AA543" s="3">
        <v>31.0</v>
      </c>
      <c r="AB543" s="4" t="str">
        <f t="shared" si="20"/>
        <v>Bowling Green</v>
      </c>
      <c r="AC543" s="3">
        <v>3.0</v>
      </c>
      <c r="AD543" s="3"/>
      <c r="AE543" s="3">
        <f t="shared" si="13"/>
        <v>28</v>
      </c>
      <c r="AF543" s="3"/>
      <c r="AG543" s="3">
        <f t="shared" si="133"/>
        <v>1</v>
      </c>
      <c r="AH543" s="3"/>
      <c r="AI543" s="7"/>
      <c r="AJ543" s="4"/>
      <c r="AK543" s="7"/>
      <c r="AL543" s="7"/>
      <c r="AM543" s="7"/>
      <c r="AN543" s="7"/>
      <c r="AO543" s="7"/>
      <c r="AP543" s="7"/>
      <c r="AQ543" s="7"/>
      <c r="AR543" s="7"/>
      <c r="AS543" s="7"/>
      <c r="AT543" s="7"/>
      <c r="AU543" s="7"/>
      <c r="AV543" s="7"/>
      <c r="AW543" s="7"/>
      <c r="AX543" s="7"/>
    </row>
    <row r="544" ht="12.75" hidden="1" customHeight="1">
      <c r="A544" s="3">
        <v>9.0</v>
      </c>
      <c r="B544" s="3" t="s">
        <v>119</v>
      </c>
      <c r="C544" s="3" t="s">
        <v>110</v>
      </c>
      <c r="D544" s="4">
        <f>IFERROR(VLOOKUP(B544,Week8,2,FALSE),0)</f>
        <v>30.52</v>
      </c>
      <c r="E544" s="4">
        <f>IF(ISBLANK(B544),,IFERROR(VLOOKUP(B544,CurrentRank!$B$2:$C$132,2,FALSE),0))</f>
        <v>31.96</v>
      </c>
      <c r="F544" s="4">
        <f>IFERROR(VLOOKUP(B544,Week8,3,FALSE),130)</f>
        <v>105</v>
      </c>
      <c r="G544" s="4">
        <f>IF(ISBLANK(B544),,IFERROR(VLOOKUP(B544,CurrentRank!$B$2:$D$132,3,FALSE),130))</f>
        <v>94</v>
      </c>
      <c r="H544" s="4">
        <f>IFERROR(VLOOKUP(C544,Week8,2,FALSE),0)</f>
        <v>31.06</v>
      </c>
      <c r="I544" s="4">
        <f>IF(ISBLANK(B544),,IFERROR(VLOOKUP(C544,CurrentRank!$B$2:$C$132,2,FALSE),0))</f>
        <v>20.47</v>
      </c>
      <c r="J544" s="4">
        <f>IFERROR(VLOOKUP(C544,Week8,3,FALSE),130)</f>
        <v>70</v>
      </c>
      <c r="K544" s="4">
        <f>IF(ISBLANK(C544),,IFERROR(VLOOKUP(C544,CurrentRank!$B$2:$D$132,3,FALSE),130))</f>
        <v>128</v>
      </c>
      <c r="L544" s="19">
        <f t="shared" si="231"/>
        <v>0.9237</v>
      </c>
      <c r="M544" s="19">
        <f t="shared" si="232"/>
        <v>0.78645</v>
      </c>
      <c r="N544" s="24">
        <f t="shared" si="233"/>
        <v>87.5</v>
      </c>
      <c r="O544" s="21">
        <f t="shared" si="4"/>
        <v>-0.73185</v>
      </c>
      <c r="P544" s="21">
        <f t="shared" si="234"/>
        <v>5.28315</v>
      </c>
      <c r="Q544" s="22">
        <f t="shared" si="6"/>
        <v>0.55884075</v>
      </c>
      <c r="R544" s="25" t="str">
        <f t="shared" si="7"/>
        <v>F</v>
      </c>
      <c r="S544" s="19">
        <f t="shared" si="8"/>
        <v>0.5475</v>
      </c>
      <c r="T544" s="19" t="str">
        <f t="shared" si="9"/>
        <v>F</v>
      </c>
      <c r="U544" s="3" t="s">
        <v>203</v>
      </c>
      <c r="V544" s="4" t="str">
        <f>IF(ISBLANK(C544),,IFERROR(IF(VLOOKUP(B544,Standings!$A:$F, 6, 0)=VLOOKUP(C544,Standings!$A:$F, 6, 0), VLOOKUP(B544,Standings!$A:$F, 6, 0), "Non-con"), "FCS"))</f>
        <v>CUSA</v>
      </c>
      <c r="W544" s="3" t="str">
        <f t="shared" si="10"/>
        <v>UAB</v>
      </c>
      <c r="X544" s="3" t="str">
        <f t="shared" si="11"/>
        <v>Louisiana Tech</v>
      </c>
      <c r="Y544" s="30">
        <f>IF(D544=0,,IF(ISBLANK(Q544),,VLOOKUP(X544,Week8,2,FALSE)/(VLOOKUP(X544,Week8,2,FALSE)+VLOOKUP(W544,Week8,2,FALSE))+0.05)*100)</f>
        <v>55.43845404</v>
      </c>
      <c r="Z544" s="3" t="s">
        <v>110</v>
      </c>
      <c r="AA544" s="3">
        <v>37.0</v>
      </c>
      <c r="AB544" s="4" t="str">
        <f t="shared" si="20"/>
        <v>UAB</v>
      </c>
      <c r="AC544" s="3">
        <v>34.0</v>
      </c>
      <c r="AD544" s="3"/>
      <c r="AE544" s="3">
        <f t="shared" si="13"/>
        <v>3</v>
      </c>
      <c r="AF544" s="3"/>
      <c r="AG544" s="3">
        <f t="shared" si="133"/>
        <v>1</v>
      </c>
      <c r="AH544" s="3"/>
      <c r="AI544" s="7"/>
      <c r="AJ544" s="4"/>
      <c r="AK544" s="7"/>
      <c r="AL544" s="7"/>
      <c r="AM544" s="7"/>
      <c r="AN544" s="7"/>
      <c r="AO544" s="7"/>
      <c r="AP544" s="7"/>
      <c r="AQ544" s="7"/>
      <c r="AR544" s="7"/>
      <c r="AS544" s="7"/>
      <c r="AT544" s="7"/>
      <c r="AU544" s="7"/>
      <c r="AV544" s="7"/>
      <c r="AW544" s="7"/>
      <c r="AX544" s="7"/>
    </row>
    <row r="545" ht="12.75" hidden="1" customHeight="1">
      <c r="A545" s="3">
        <v>11.0</v>
      </c>
      <c r="B545" s="3" t="s">
        <v>133</v>
      </c>
      <c r="C545" s="3" t="s">
        <v>176</v>
      </c>
      <c r="D545" s="4">
        <f>IFERROR(VLOOKUP(B545,Week10,2,FALSE),0)</f>
        <v>36.23</v>
      </c>
      <c r="E545" s="4">
        <f>IF(ISBLANK(B545),,IFERROR(VLOOKUP(B545,CurrentRank!$B$2:$C$132,2,FALSE),0))</f>
        <v>34.63</v>
      </c>
      <c r="F545" s="4">
        <f>IFERROR(VLOOKUP(B545,Week10,3,FALSE),130)</f>
        <v>61</v>
      </c>
      <c r="G545" s="4">
        <f>IF(ISBLANK(B545),,IFERROR(VLOOKUP(B545,CurrentRank!$B$2:$D$132,3,FALSE),130))</f>
        <v>69</v>
      </c>
      <c r="H545" s="4">
        <f>IFERROR(VLOOKUP(C545,Week10,2,FALSE),0)</f>
        <v>36.85</v>
      </c>
      <c r="I545" s="4">
        <f>IF(ISBLANK(B545),,IFERROR(VLOOKUP(C545,CurrentRank!$B$2:$C$132,2,FALSE),0))</f>
        <v>38.02</v>
      </c>
      <c r="J545" s="4">
        <f>IFERROR(VLOOKUP(C545,Week10,3,FALSE),130)</f>
        <v>57</v>
      </c>
      <c r="K545" s="4">
        <f>IF(ISBLANK(C545),,IFERROR(VLOOKUP(C545,CurrentRank!$B$2:$D$132,3,FALSE),130))</f>
        <v>38</v>
      </c>
      <c r="L545" s="19">
        <f t="shared" si="231"/>
        <v>1.0962</v>
      </c>
      <c r="M545" s="19">
        <f t="shared" si="232"/>
        <v>1.08975</v>
      </c>
      <c r="N545" s="24">
        <f t="shared" si="233"/>
        <v>59</v>
      </c>
      <c r="O545" s="21">
        <f t="shared" si="4"/>
        <v>-0.8581</v>
      </c>
      <c r="P545" s="21">
        <f t="shared" si="234"/>
        <v>-2.2431</v>
      </c>
      <c r="Q545" s="22">
        <f t="shared" si="6"/>
        <v>0.7007095</v>
      </c>
      <c r="R545" s="25" t="str">
        <f t="shared" si="7"/>
        <v>C-</v>
      </c>
      <c r="S545" s="19">
        <f t="shared" si="8"/>
        <v>0.55</v>
      </c>
      <c r="T545" s="19" t="str">
        <f t="shared" si="9"/>
        <v>F</v>
      </c>
      <c r="U545" s="3" t="s">
        <v>203</v>
      </c>
      <c r="V545" s="4" t="str">
        <f>IF(ISBLANK(C545),,IFERROR(IF(VLOOKUP(B545,Standings!$A:$F, 6, 0)=VLOOKUP(C545,Standings!$A:$F, 6, 0), VLOOKUP(B545,Standings!$A:$F, 6, 0), "Non-con"), "FCS"))</f>
        <v>MWC</v>
      </c>
      <c r="W545" s="3" t="str">
        <f t="shared" si="10"/>
        <v>Colorado State</v>
      </c>
      <c r="X545" s="3" t="str">
        <f t="shared" si="11"/>
        <v>Boise State</v>
      </c>
      <c r="Y545" s="30">
        <f>IF(D545=0,,IF(ISBLANK(Q545),,VLOOKUP(X545,Week10,2,FALSE)/(VLOOKUP(X545,Week10,2,FALSE)+VLOOKUP(W545,Week10,2,FALSE))+0.05)*100)</f>
        <v>55.42419267</v>
      </c>
      <c r="Z545" s="3" t="s">
        <v>176</v>
      </c>
      <c r="AA545" s="3">
        <v>52.0</v>
      </c>
      <c r="AB545" s="4" t="str">
        <f t="shared" si="20"/>
        <v>Colorado State</v>
      </c>
      <c r="AC545" s="3">
        <v>21.0</v>
      </c>
      <c r="AD545" s="3"/>
      <c r="AE545" s="3">
        <f t="shared" si="13"/>
        <v>31</v>
      </c>
      <c r="AF545" s="3"/>
      <c r="AG545" s="3">
        <f t="shared" si="133"/>
        <v>1</v>
      </c>
      <c r="AH545" s="3"/>
      <c r="AI545" s="7"/>
      <c r="AJ545" s="4"/>
      <c r="AK545" s="7"/>
      <c r="AL545" s="7"/>
      <c r="AM545" s="7"/>
      <c r="AN545" s="7"/>
      <c r="AO545" s="7"/>
      <c r="AP545" s="7"/>
      <c r="AQ545" s="7"/>
      <c r="AR545" s="7"/>
      <c r="AS545" s="7"/>
      <c r="AT545" s="7"/>
      <c r="AU545" s="7"/>
      <c r="AV545" s="7"/>
      <c r="AW545" s="7"/>
      <c r="AX545" s="7"/>
    </row>
    <row r="546" ht="12.75" hidden="1" customHeight="1">
      <c r="A546" s="3">
        <v>13.0</v>
      </c>
      <c r="B546" s="3" t="s">
        <v>114</v>
      </c>
      <c r="C546" s="3" t="s">
        <v>105</v>
      </c>
      <c r="D546" s="4">
        <f>IFERROR(VLOOKUP(B546,Week12,2,FALSE),0)</f>
        <v>30.56</v>
      </c>
      <c r="E546" s="4">
        <f>IF(ISBLANK(B546),,IFERROR(VLOOKUP(B546,CurrentRank!$B$2:$C$132,2,FALSE),0))</f>
        <v>29.9</v>
      </c>
      <c r="F546" s="4">
        <f>IFERROR(VLOOKUP(B546,Week12,3,FALSE),130)</f>
        <v>103</v>
      </c>
      <c r="G546" s="4">
        <f>IF(ISBLANK(B546),,IFERROR(VLOOKUP(B546,CurrentRank!$B$2:$D$132,3,FALSE),130))</f>
        <v>110</v>
      </c>
      <c r="H546" s="4">
        <f>IFERROR(VLOOKUP(C546,Week12,2,FALSE),0)</f>
        <v>31.06</v>
      </c>
      <c r="I546" s="4">
        <f>IF(ISBLANK(B546),,IFERROR(VLOOKUP(C546,CurrentRank!$B$2:$C$132,2,FALSE),0))</f>
        <v>32.43</v>
      </c>
      <c r="J546" s="4">
        <f>IFERROR(VLOOKUP(C546,Week12,3,FALSE),130)</f>
        <v>95</v>
      </c>
      <c r="K546" s="4">
        <f>IF(ISBLANK(C546),,IFERROR(VLOOKUP(C546,CurrentRank!$B$2:$D$132,3,FALSE),130))</f>
        <v>90</v>
      </c>
      <c r="L546" s="19">
        <f t="shared" si="231"/>
        <v>0.9243</v>
      </c>
      <c r="M546" s="19">
        <f t="shared" si="232"/>
        <v>0.93495</v>
      </c>
      <c r="N546" s="24">
        <f t="shared" si="233"/>
        <v>99</v>
      </c>
      <c r="O546" s="21">
        <f t="shared" si="4"/>
        <v>-0.71215</v>
      </c>
      <c r="P546" s="21">
        <f t="shared" si="234"/>
        <v>-1.72715</v>
      </c>
      <c r="Q546" s="22">
        <f t="shared" si="6"/>
        <v>0.50143925</v>
      </c>
      <c r="R546" s="25" t="str">
        <f t="shared" si="7"/>
        <v>F</v>
      </c>
      <c r="S546" s="19">
        <f t="shared" si="8"/>
        <v>0.345</v>
      </c>
      <c r="T546" s="19" t="str">
        <f t="shared" si="9"/>
        <v>F</v>
      </c>
      <c r="U546" s="3" t="s">
        <v>203</v>
      </c>
      <c r="V546" s="4" t="str">
        <f>IF(ISBLANK(C546),,IFERROR(IF(VLOOKUP(B546,Standings!$A:$F, 6, 0)=VLOOKUP(C546,Standings!$A:$F, 6, 0), VLOOKUP(B546,Standings!$A:$F, 6, 0), "Non-con"), "FCS"))</f>
        <v>CUSA</v>
      </c>
      <c r="W546" s="3" t="str">
        <f t="shared" si="10"/>
        <v>North Texas</v>
      </c>
      <c r="X546" s="3" t="str">
        <f t="shared" si="11"/>
        <v>Texas-San Antonio</v>
      </c>
      <c r="Y546" s="30">
        <f>IF(D546=0,,IF(ISBLANK(Q546),,VLOOKUP(X546,Week12,2,FALSE)/(VLOOKUP(X546,Week12,2,FALSE)+VLOOKUP(W546,Week12,2,FALSE))+0.05)*100)</f>
        <v>55.40571243</v>
      </c>
      <c r="Z546" s="3" t="s">
        <v>105</v>
      </c>
      <c r="AA546" s="3">
        <v>49.0</v>
      </c>
      <c r="AB546" s="4" t="str">
        <f t="shared" si="20"/>
        <v>North Texas</v>
      </c>
      <c r="AC546" s="3">
        <v>17.0</v>
      </c>
      <c r="AD546" s="3"/>
      <c r="AE546" s="3">
        <f t="shared" si="13"/>
        <v>32</v>
      </c>
      <c r="AF546" s="3"/>
      <c r="AG546" s="3">
        <f t="shared" si="133"/>
        <v>1</v>
      </c>
      <c r="AH546" s="3"/>
      <c r="AI546" s="7"/>
      <c r="AJ546" s="4"/>
      <c r="AK546" s="7"/>
      <c r="AL546" s="7"/>
      <c r="AM546" s="7"/>
      <c r="AN546" s="7"/>
      <c r="AO546" s="7"/>
      <c r="AP546" s="7"/>
      <c r="AQ546" s="7"/>
      <c r="AR546" s="7"/>
      <c r="AS546" s="7"/>
      <c r="AT546" s="7"/>
      <c r="AU546" s="7"/>
      <c r="AV546" s="7"/>
      <c r="AW546" s="7"/>
      <c r="AX546" s="7"/>
    </row>
    <row r="547" ht="12.75" hidden="1" customHeight="1">
      <c r="A547" s="3">
        <v>11.0</v>
      </c>
      <c r="B547" s="3" t="s">
        <v>179</v>
      </c>
      <c r="C547" s="3" t="s">
        <v>162</v>
      </c>
      <c r="D547" s="4">
        <f>IFERROR(VLOOKUP(B547,Week10,2,FALSE),0)</f>
        <v>38.92</v>
      </c>
      <c r="E547" s="4">
        <f>IF(ISBLANK(B547),,IFERROR(VLOOKUP(B547,CurrentRank!$B$2:$C$132,2,FALSE),0))</f>
        <v>37.85</v>
      </c>
      <c r="F547" s="4">
        <f>IFERROR(VLOOKUP(B547,Week10,3,FALSE),130)</f>
        <v>44</v>
      </c>
      <c r="G547" s="4">
        <f>IF(ISBLANK(B547),,IFERROR(VLOOKUP(B547,CurrentRank!$B$2:$D$132,3,FALSE),130))</f>
        <v>39</v>
      </c>
      <c r="H547" s="4">
        <f>IFERROR(VLOOKUP(C547,Week10,2,FALSE),0)</f>
        <v>39.53</v>
      </c>
      <c r="I547" s="4">
        <f>IF(ISBLANK(B547),,IFERROR(VLOOKUP(C547,CurrentRank!$B$2:$C$132,2,FALSE),0))</f>
        <v>51.75</v>
      </c>
      <c r="J547" s="4">
        <f>IFERROR(VLOOKUP(C547,Week10,3,FALSE),130)</f>
        <v>39</v>
      </c>
      <c r="K547" s="4">
        <f>IF(ISBLANK(C547),,IFERROR(VLOOKUP(C547,CurrentRank!$B$2:$D$132,3,FALSE),130))</f>
        <v>24</v>
      </c>
      <c r="L547" s="19">
        <f t="shared" si="231"/>
        <v>1.17675</v>
      </c>
      <c r="M547" s="19">
        <f t="shared" si="232"/>
        <v>1.344</v>
      </c>
      <c r="N547" s="24">
        <f t="shared" si="233"/>
        <v>41.5</v>
      </c>
      <c r="O547" s="21">
        <f t="shared" si="4"/>
        <v>-0.893375</v>
      </c>
      <c r="P547" s="21">
        <f t="shared" si="234"/>
        <v>-7.538375</v>
      </c>
      <c r="Q547" s="22">
        <f t="shared" si="6"/>
        <v>0.788033125</v>
      </c>
      <c r="R547" s="25" t="str">
        <f t="shared" si="7"/>
        <v>C+</v>
      </c>
      <c r="S547" s="19">
        <f t="shared" si="8"/>
        <v>0.6325</v>
      </c>
      <c r="T547" s="19" t="str">
        <f t="shared" si="9"/>
        <v>D</v>
      </c>
      <c r="U547" s="3" t="s">
        <v>203</v>
      </c>
      <c r="V547" s="4" t="str">
        <f>IF(ISBLANK(C547),,IFERROR(IF(VLOOKUP(B547,Standings!$A:$F, 6, 0)=VLOOKUP(C547,Standings!$A:$F, 6, 0), VLOOKUP(B547,Standings!$A:$F, 6, 0), "Non-con"), "FCS"))</f>
        <v>MAC</v>
      </c>
      <c r="W547" s="3" t="str">
        <f t="shared" si="10"/>
        <v>Miami (OH)</v>
      </c>
      <c r="X547" s="3" t="str">
        <f t="shared" si="11"/>
        <v>Buffalo</v>
      </c>
      <c r="Y547" s="30">
        <f>IF(D547=0,,IF(ISBLANK(Q547),,VLOOKUP(X547,Week10,2,FALSE)/(VLOOKUP(X547,Week10,2,FALSE)+VLOOKUP(W547,Week10,2,FALSE))+0.05)*100)</f>
        <v>55.38878266</v>
      </c>
      <c r="Z547" s="3" t="s">
        <v>162</v>
      </c>
      <c r="AA547" s="3">
        <v>42.0</v>
      </c>
      <c r="AB547" s="4" t="str">
        <f t="shared" si="20"/>
        <v>Miami (OH)</v>
      </c>
      <c r="AC547" s="3">
        <v>10.0</v>
      </c>
      <c r="AD547" s="3"/>
      <c r="AE547" s="3">
        <f t="shared" si="13"/>
        <v>32</v>
      </c>
      <c r="AF547" s="3"/>
      <c r="AG547" s="3">
        <f t="shared" si="133"/>
        <v>1</v>
      </c>
      <c r="AH547" s="3"/>
      <c r="AI547" s="7"/>
      <c r="AJ547" s="4"/>
      <c r="AK547" s="7"/>
      <c r="AL547" s="7"/>
      <c r="AM547" s="7"/>
      <c r="AN547" s="7"/>
      <c r="AO547" s="7"/>
      <c r="AP547" s="7"/>
      <c r="AQ547" s="7"/>
      <c r="AR547" s="7"/>
      <c r="AS547" s="7"/>
      <c r="AT547" s="7"/>
      <c r="AU547" s="7"/>
      <c r="AV547" s="7"/>
      <c r="AW547" s="7"/>
      <c r="AX547" s="7"/>
    </row>
    <row r="548" ht="12.75" customHeight="1">
      <c r="A548" s="3">
        <v>6.0</v>
      </c>
      <c r="B548" s="3" t="s">
        <v>81</v>
      </c>
      <c r="C548" s="3" t="s">
        <v>99</v>
      </c>
      <c r="D548" s="4">
        <f>IFERROR(VLOOKUP(B548,Week5,2,FALSE),0)</f>
        <v>35.03</v>
      </c>
      <c r="E548" s="4">
        <f>IF(ISBLANK(B548),,IFERROR(VLOOKUP(B548,CurrentRank!$B$2:$C$132,2,FALSE),0))</f>
        <v>33.91</v>
      </c>
      <c r="F548" s="4">
        <f>IFERROR(VLOOKUP(B548,Week5,3,FALSE),130)</f>
        <v>47</v>
      </c>
      <c r="G548" s="4">
        <f>IF(ISBLANK(B548),,IFERROR(VLOOKUP(B548,CurrentRank!$B$2:$D$132,3,FALSE),130))</f>
        <v>75</v>
      </c>
      <c r="H548" s="4">
        <f>IFERROR(VLOOKUP(C548,Week5,2,FALSE),0)</f>
        <v>28.77</v>
      </c>
      <c r="I548" s="4">
        <f>IF(ISBLANK(B548),,IFERROR(VLOOKUP(C548,CurrentRank!$B$2:$C$132,2,FALSE),0))</f>
        <v>36.94</v>
      </c>
      <c r="J548" s="4">
        <f>IFERROR(VLOOKUP(C548,Week5,3,FALSE),130)</f>
        <v>116</v>
      </c>
      <c r="K548" s="4">
        <f>IF(ISBLANK(C548),,IFERROR(VLOOKUP(C548,CurrentRank!$B$2:$D$132,3,FALSE),130))</f>
        <v>47</v>
      </c>
      <c r="L548" s="19">
        <f t="shared" si="231"/>
        <v>0.957</v>
      </c>
      <c r="M548" s="19">
        <f t="shared" si="232"/>
        <v>1.06275</v>
      </c>
      <c r="N548" s="24">
        <f t="shared" si="233"/>
        <v>81.5</v>
      </c>
      <c r="O548" s="21">
        <f t="shared" si="4"/>
        <v>2.6515</v>
      </c>
      <c r="P548" s="21">
        <f t="shared" si="234"/>
        <v>-1.9935</v>
      </c>
      <c r="Q548" s="22">
        <f t="shared" si="6"/>
        <v>0.5792425</v>
      </c>
      <c r="R548" s="25" t="str">
        <f t="shared" si="7"/>
        <v>F</v>
      </c>
      <c r="S548" s="19">
        <f t="shared" si="8"/>
        <v>0.4825</v>
      </c>
      <c r="T548" s="19" t="str">
        <f t="shared" si="9"/>
        <v>F</v>
      </c>
      <c r="U548" s="3" t="s">
        <v>203</v>
      </c>
      <c r="V548" s="4" t="str">
        <f>IF(ISBLANK(C548),,IFERROR(IF(VLOOKUP(B548,Standings!$A:$F, 6, 0)=VLOOKUP(C548,Standings!$A:$F, 6, 0), VLOOKUP(B548,Standings!$A:$F, 6, 0), "Non-con"), "FCS"))</f>
        <v>SEC</v>
      </c>
      <c r="W548" s="3" t="str">
        <f t="shared" si="10"/>
        <v>Kentucky</v>
      </c>
      <c r="X548" s="3" t="str">
        <f t="shared" si="11"/>
        <v>Mississippi State</v>
      </c>
      <c r="Y548" s="30">
        <f>IF(D548=0,,IF(ISBLANK(Q548),,VLOOKUP(X548,Week5,2,FALSE)/(VLOOKUP(X548,Week5,2,FALSE)+VLOOKUP(W548,Week5,2,FALSE))+0.05)*100)</f>
        <v>59.90595611</v>
      </c>
      <c r="Z548" s="3" t="s">
        <v>99</v>
      </c>
      <c r="AA548" s="3">
        <v>24.0</v>
      </c>
      <c r="AB548" s="4" t="str">
        <f t="shared" si="20"/>
        <v>Mississippi State</v>
      </c>
      <c r="AC548" s="3">
        <v>2.0</v>
      </c>
      <c r="AD548" s="3"/>
      <c r="AE548" s="3">
        <f t="shared" si="13"/>
        <v>22</v>
      </c>
      <c r="AF548" s="3"/>
      <c r="AG548" s="3">
        <f t="shared" si="133"/>
        <v>0</v>
      </c>
      <c r="AH548" s="3"/>
      <c r="AI548" s="7"/>
      <c r="AJ548" s="4"/>
      <c r="AK548" s="7"/>
      <c r="AL548" s="7"/>
      <c r="AM548" s="7"/>
      <c r="AN548" s="7"/>
      <c r="AO548" s="7"/>
      <c r="AP548" s="7"/>
      <c r="AQ548" s="7"/>
      <c r="AR548" s="7"/>
      <c r="AS548" s="7"/>
      <c r="AT548" s="7"/>
      <c r="AU548" s="7"/>
      <c r="AV548" s="7"/>
      <c r="AW548" s="7"/>
      <c r="AX548" s="7"/>
    </row>
    <row r="549" ht="12.75" customHeight="1">
      <c r="A549" s="3">
        <v>9.0</v>
      </c>
      <c r="B549" s="3" t="s">
        <v>178</v>
      </c>
      <c r="C549" s="3" t="s">
        <v>103</v>
      </c>
      <c r="D549" s="4">
        <f>IFERROR(VLOOKUP(B549,Week8,2,FALSE),0)</f>
        <v>34.36</v>
      </c>
      <c r="E549" s="4">
        <f>IF(ISBLANK(B549),,IFERROR(VLOOKUP(B549,CurrentRank!$B$2:$C$132,2,FALSE),0))</f>
        <v>30.84</v>
      </c>
      <c r="F549" s="4">
        <f>IFERROR(VLOOKUP(B549,Week8,3,FALSE),130)</f>
        <v>64</v>
      </c>
      <c r="G549" s="4">
        <f>IF(ISBLANK(B549),,IFERROR(VLOOKUP(B549,CurrentRank!$B$2:$D$132,3,FALSE),130))</f>
        <v>104</v>
      </c>
      <c r="H549" s="4">
        <f>IFERROR(VLOOKUP(C549,Week8,2,FALSE),0)</f>
        <v>30.96</v>
      </c>
      <c r="I549" s="4">
        <f>IF(ISBLANK(B549),,IFERROR(VLOOKUP(C549,CurrentRank!$B$2:$C$132,2,FALSE),0))</f>
        <v>34.42</v>
      </c>
      <c r="J549" s="4">
        <f>IFERROR(VLOOKUP(C549,Week8,3,FALSE),130)</f>
        <v>73</v>
      </c>
      <c r="K549" s="4">
        <f>IF(ISBLANK(C549),,IFERROR(VLOOKUP(C549,CurrentRank!$B$2:$D$132,3,FALSE),130))</f>
        <v>70</v>
      </c>
      <c r="L549" s="19">
        <f t="shared" si="231"/>
        <v>0.9798</v>
      </c>
      <c r="M549" s="19">
        <f t="shared" si="232"/>
        <v>0.9789</v>
      </c>
      <c r="N549" s="24">
        <f t="shared" si="233"/>
        <v>68.5</v>
      </c>
      <c r="O549" s="21">
        <f t="shared" si="4"/>
        <v>1.2101</v>
      </c>
      <c r="P549" s="21">
        <f t="shared" si="234"/>
        <v>-2.2799</v>
      </c>
      <c r="Q549" s="22">
        <f t="shared" si="6"/>
        <v>0.6514495</v>
      </c>
      <c r="R549" s="25" t="str">
        <f t="shared" si="7"/>
        <v>D</v>
      </c>
      <c r="S549" s="19">
        <f t="shared" si="8"/>
        <v>0.4825</v>
      </c>
      <c r="T549" s="19" t="str">
        <f t="shared" si="9"/>
        <v>F</v>
      </c>
      <c r="U549" s="3" t="s">
        <v>203</v>
      </c>
      <c r="V549" s="4" t="str">
        <f>IF(ISBLANK(C549),,IFERROR(IF(VLOOKUP(B549,Standings!$A:$F, 6, 0)=VLOOKUP(C549,Standings!$A:$F, 6, 0), VLOOKUP(B549,Standings!$A:$F, 6, 0), "Non-con"), "FCS"))</f>
        <v>AAC</v>
      </c>
      <c r="W549" s="3" t="str">
        <f t="shared" si="10"/>
        <v>Tulane</v>
      </c>
      <c r="X549" s="3" t="str">
        <f t="shared" si="11"/>
        <v>Temple</v>
      </c>
      <c r="Y549" s="30">
        <f>IF(D549=0,,IF(ISBLANK(Q549),,VLOOKUP(X549,Week8,2,FALSE)/(VLOOKUP(X549,Week8,2,FALSE)+VLOOKUP(W549,Week8,2,FALSE))+0.05)*100)</f>
        <v>57.60257195</v>
      </c>
      <c r="Z549" s="3" t="s">
        <v>103</v>
      </c>
      <c r="AA549" s="3">
        <v>38.0</v>
      </c>
      <c r="AB549" s="4" t="str">
        <f t="shared" si="20"/>
        <v>Temple</v>
      </c>
      <c r="AC549" s="3">
        <v>3.0</v>
      </c>
      <c r="AD549" s="3"/>
      <c r="AE549" s="3">
        <f t="shared" si="13"/>
        <v>35</v>
      </c>
      <c r="AF549" s="3"/>
      <c r="AG549" s="3">
        <f t="shared" si="133"/>
        <v>0</v>
      </c>
      <c r="AH549" s="3"/>
      <c r="AI549" s="7"/>
      <c r="AJ549" s="4"/>
      <c r="AK549" s="7"/>
      <c r="AL549" s="7"/>
      <c r="AM549" s="7"/>
      <c r="AN549" s="7"/>
      <c r="AO549" s="7"/>
      <c r="AP549" s="7"/>
      <c r="AQ549" s="7"/>
      <c r="AR549" s="7"/>
      <c r="AS549" s="7"/>
      <c r="AT549" s="7"/>
      <c r="AU549" s="7"/>
      <c r="AV549" s="7"/>
      <c r="AW549" s="7"/>
      <c r="AX549" s="7"/>
    </row>
    <row r="550" ht="12.75" customHeight="1">
      <c r="A550" s="3">
        <v>12.0</v>
      </c>
      <c r="B550" s="3" t="s">
        <v>137</v>
      </c>
      <c r="C550" s="3" t="s">
        <v>153</v>
      </c>
      <c r="D550" s="4">
        <f>IFERROR(VLOOKUP(B550,Week11,2,FALSE),0)</f>
        <v>28.99</v>
      </c>
      <c r="E550" s="4">
        <f>IF(ISBLANK(B550),,IFERROR(VLOOKUP(B550,CurrentRank!$B$2:$C$132,2,FALSE),0))</f>
        <v>31.52</v>
      </c>
      <c r="F550" s="4">
        <f>IFERROR(VLOOKUP(B550,Week11,3,FALSE),130)</f>
        <v>115</v>
      </c>
      <c r="G550" s="4">
        <f>IF(ISBLANK(B550),,IFERROR(VLOOKUP(B550,CurrentRank!$B$2:$D$132,3,FALSE),130))</f>
        <v>98</v>
      </c>
      <c r="H550" s="4">
        <f>IFERROR(VLOOKUP(C550,Week11,2,FALSE),0)</f>
        <v>36.51</v>
      </c>
      <c r="I550" s="4">
        <f>IF(ISBLANK(B550),,IFERROR(VLOOKUP(C550,CurrentRank!$B$2:$C$132,2,FALSE),0))</f>
        <v>35.51</v>
      </c>
      <c r="J550" s="4">
        <f>IFERROR(VLOOKUP(C550,Week11,3,FALSE),130)</f>
        <v>57</v>
      </c>
      <c r="K550" s="4">
        <f>IF(ISBLANK(C550),,IFERROR(VLOOKUP(C550,CurrentRank!$B$2:$D$132,3,FALSE),130))</f>
        <v>58</v>
      </c>
      <c r="L550" s="19">
        <f t="shared" si="231"/>
        <v>0.9825</v>
      </c>
      <c r="M550" s="19">
        <f t="shared" si="232"/>
        <v>1.00545</v>
      </c>
      <c r="N550" s="24">
        <f t="shared" si="233"/>
        <v>86</v>
      </c>
      <c r="O550" s="21">
        <f t="shared" si="4"/>
        <v>-4.25125</v>
      </c>
      <c r="P550" s="21">
        <f t="shared" si="234"/>
        <v>-2.48625</v>
      </c>
      <c r="Q550" s="22">
        <f t="shared" si="6"/>
        <v>0.54874375</v>
      </c>
      <c r="R550" s="25" t="str">
        <f t="shared" si="7"/>
        <v>F</v>
      </c>
      <c r="S550" s="19">
        <f t="shared" si="8"/>
        <v>0.48</v>
      </c>
      <c r="T550" s="19" t="str">
        <f t="shared" si="9"/>
        <v>F</v>
      </c>
      <c r="U550" s="3" t="s">
        <v>203</v>
      </c>
      <c r="V550" s="4" t="str">
        <f>IF(ISBLANK(C550),,IFERROR(IF(VLOOKUP(B550,Standings!$A:$F, 6, 0)=VLOOKUP(C550,Standings!$A:$F, 6, 0), VLOOKUP(B550,Standings!$A:$F, 6, 0), "Non-con"), "FCS"))</f>
        <v>B1G</v>
      </c>
      <c r="W550" s="3" t="str">
        <f t="shared" si="10"/>
        <v>Illinois</v>
      </c>
      <c r="X550" s="3" t="str">
        <f t="shared" si="11"/>
        <v>Nebraska</v>
      </c>
      <c r="Y550" s="30">
        <f>IF(D550=0,,IF(ISBLANK(Q550),,VLOOKUP(X550,Week11,2,FALSE)/(VLOOKUP(X550,Week11,2,FALSE)+VLOOKUP(W550,Week11,2,FALSE))+0.05)*100)</f>
        <v>60.74045802</v>
      </c>
      <c r="Z550" s="3" t="s">
        <v>137</v>
      </c>
      <c r="AA550" s="3">
        <v>41.0</v>
      </c>
      <c r="AB550" s="4" t="str">
        <f t="shared" si="20"/>
        <v>Nebraska</v>
      </c>
      <c r="AC550" s="3">
        <v>23.0</v>
      </c>
      <c r="AD550" s="3"/>
      <c r="AE550" s="3">
        <f t="shared" si="13"/>
        <v>18</v>
      </c>
      <c r="AF550" s="3"/>
      <c r="AG550" s="3">
        <f t="shared" si="133"/>
        <v>0</v>
      </c>
      <c r="AH550" s="3"/>
      <c r="AI550" s="7"/>
      <c r="AJ550" s="4" t="s">
        <v>101</v>
      </c>
      <c r="AK550" s="7"/>
      <c r="AL550" s="7"/>
      <c r="AM550" s="7"/>
      <c r="AN550" s="7"/>
      <c r="AO550" s="7"/>
      <c r="AP550" s="7"/>
      <c r="AQ550" s="7"/>
      <c r="AR550" s="7"/>
      <c r="AS550" s="7"/>
      <c r="AT550" s="7"/>
      <c r="AU550" s="7"/>
      <c r="AV550" s="7"/>
      <c r="AW550" s="7"/>
      <c r="AX550" s="7"/>
    </row>
    <row r="551" ht="12.75" hidden="1" customHeight="1">
      <c r="A551" s="3">
        <v>17.0</v>
      </c>
      <c r="B551" s="3" t="s">
        <v>79</v>
      </c>
      <c r="C551" s="3" t="s">
        <v>38</v>
      </c>
      <c r="D551" s="4">
        <f>IFERROR(VLOOKUP(B551,Week16,2,FALSE),0)</f>
        <v>83.93</v>
      </c>
      <c r="E551" s="4">
        <f>IF(ISBLANK(B551),,IFERROR(VLOOKUP(B551,CurrentRank!$B$2:$C$132,2,FALSE),0))</f>
        <v>85.31</v>
      </c>
      <c r="F551" s="4">
        <f>IFERROR(VLOOKUP(B551,Week16,3,FALSE),130)</f>
        <v>4</v>
      </c>
      <c r="G551" s="4">
        <f>IF(ISBLANK(B551),,IFERROR(VLOOKUP(B551,CurrentRank!$B$2:$D$132,3,FALSE),130))</f>
        <v>3</v>
      </c>
      <c r="H551" s="4">
        <f>IFERROR(VLOOKUP(C551,Week16,2,FALSE),0)</f>
        <v>67.97</v>
      </c>
      <c r="I551" s="4">
        <f>IF(ISBLANK(B551),,IFERROR(VLOOKUP(C551,CurrentRank!$B$2:$C$132,2,FALSE),0))</f>
        <v>63.1</v>
      </c>
      <c r="J551" s="4">
        <f>IFERROR(VLOOKUP(C551,Week16,3,FALSE),130)</f>
        <v>15</v>
      </c>
      <c r="K551" s="4">
        <f>IF(ISBLANK(C551),,IFERROR(VLOOKUP(C551,CurrentRank!$B$2:$D$132,3,FALSE),130))</f>
        <v>18</v>
      </c>
      <c r="L551" s="19">
        <f t="shared" si="231"/>
        <v>0</v>
      </c>
      <c r="M551" s="19">
        <f t="shared" si="232"/>
        <v>0</v>
      </c>
      <c r="N551" s="24">
        <f t="shared" si="233"/>
        <v>9.5</v>
      </c>
      <c r="O551" s="21">
        <f t="shared" si="4"/>
        <v>7.98</v>
      </c>
      <c r="P551" s="21">
        <f t="shared" si="234"/>
        <v>11.105</v>
      </c>
      <c r="Q551" s="22">
        <f t="shared" si="6"/>
        <v>0.9126</v>
      </c>
      <c r="R551" s="25" t="str">
        <f t="shared" si="7"/>
        <v>A-</v>
      </c>
      <c r="S551" s="19">
        <f t="shared" si="8"/>
        <v>0.8825</v>
      </c>
      <c r="T551" s="19" t="str">
        <f t="shared" si="9"/>
        <v>B+</v>
      </c>
      <c r="U551" s="3" t="s">
        <v>223</v>
      </c>
      <c r="V551" s="4" t="str">
        <f>IF(ISBLANK(C551),,IFERROR(IF(VLOOKUP(B551,Standings!$A:$F, 6, 0)=VLOOKUP(C551,Standings!$A:$F, 6, 0), VLOOKUP(B551,Standings!$A:$F, 6, 0), "Non-con"), "FCS"))</f>
        <v>Non-con</v>
      </c>
      <c r="W551" s="3" t="str">
        <f t="shared" si="10"/>
        <v>North Carolina</v>
      </c>
      <c r="X551" s="3" t="str">
        <f t="shared" si="11"/>
        <v>Texas A&amp;M</v>
      </c>
      <c r="Y551" s="30">
        <f>IF(D551=0,,IF(ISBLANK(Q551),,VLOOKUP(X551,Week16,2,FALSE)/(VLOOKUP(X551,Week16,2,FALSE)+VLOOKUP(W551,Week16,2,FALSE)))*100)</f>
        <v>55.25345622</v>
      </c>
      <c r="Z551" s="3" t="s">
        <v>79</v>
      </c>
      <c r="AA551" s="3">
        <v>41.0</v>
      </c>
      <c r="AB551" s="4" t="str">
        <f t="shared" si="20"/>
        <v>North Carolina</v>
      </c>
      <c r="AC551" s="3">
        <v>27.0</v>
      </c>
      <c r="AD551" s="3"/>
      <c r="AE551" s="3">
        <f t="shared" si="13"/>
        <v>14</v>
      </c>
      <c r="AF551" s="3" t="s">
        <v>224</v>
      </c>
      <c r="AG551" s="3">
        <f t="shared" si="133"/>
        <v>1</v>
      </c>
      <c r="AH551" s="3"/>
      <c r="AI551" s="7"/>
      <c r="AJ551" s="4"/>
      <c r="AK551" s="7"/>
      <c r="AL551" s="7"/>
      <c r="AM551" s="7"/>
      <c r="AN551" s="7"/>
      <c r="AO551" s="7"/>
      <c r="AP551" s="7"/>
      <c r="AQ551" s="7"/>
      <c r="AR551" s="7"/>
      <c r="AS551" s="7"/>
      <c r="AT551" s="7"/>
      <c r="AU551" s="7"/>
      <c r="AV551" s="7"/>
      <c r="AW551" s="7"/>
      <c r="AX551" s="7"/>
    </row>
    <row r="552" ht="12.75" customHeight="1">
      <c r="A552" s="3">
        <v>12.0</v>
      </c>
      <c r="B552" s="3" t="s">
        <v>82</v>
      </c>
      <c r="C552" s="3" t="s">
        <v>89</v>
      </c>
      <c r="D552" s="4">
        <f>IFERROR(VLOOKUP(B552,Week11,2,FALSE),0)</f>
        <v>36.57</v>
      </c>
      <c r="E552" s="4">
        <f>IF(ISBLANK(B552),,IFERROR(VLOOKUP(B552,CurrentRank!$B$2:$C$132,2,FALSE),0))</f>
        <v>36.12</v>
      </c>
      <c r="F552" s="4">
        <f>IFERROR(VLOOKUP(B552,Week11,3,FALSE),130)</f>
        <v>56</v>
      </c>
      <c r="G552" s="4">
        <f>IF(ISBLANK(B552),,IFERROR(VLOOKUP(B552,CurrentRank!$B$2:$D$132,3,FALSE),130))</f>
        <v>54</v>
      </c>
      <c r="H552" s="4">
        <f>IFERROR(VLOOKUP(C552,Week11,2,FALSE),0)</f>
        <v>31.93</v>
      </c>
      <c r="I552" s="4">
        <f>IF(ISBLANK(B552),,IFERROR(VLOOKUP(C552,CurrentRank!$B$2:$C$132,2,FALSE),0))</f>
        <v>35.74</v>
      </c>
      <c r="J552" s="4">
        <f>IFERROR(VLOOKUP(C552,Week11,3,FALSE),130)</f>
        <v>87</v>
      </c>
      <c r="K552" s="4">
        <f>IF(ISBLANK(C552),,IFERROR(VLOOKUP(C552,CurrentRank!$B$2:$D$132,3,FALSE),130))</f>
        <v>56</v>
      </c>
      <c r="L552" s="19">
        <f t="shared" si="231"/>
        <v>1.0275</v>
      </c>
      <c r="M552" s="19">
        <f t="shared" si="232"/>
        <v>1.0779</v>
      </c>
      <c r="N552" s="24">
        <f t="shared" si="233"/>
        <v>71.5</v>
      </c>
      <c r="O552" s="21">
        <f t="shared" si="4"/>
        <v>1.80625</v>
      </c>
      <c r="P552" s="21">
        <f t="shared" si="234"/>
        <v>-0.32375</v>
      </c>
      <c r="Q552" s="22">
        <f t="shared" si="6"/>
        <v>0.63346875</v>
      </c>
      <c r="R552" s="25" t="str">
        <f t="shared" si="7"/>
        <v>D</v>
      </c>
      <c r="S552" s="19">
        <f t="shared" si="8"/>
        <v>0.4775</v>
      </c>
      <c r="T552" s="19" t="str">
        <f t="shared" si="9"/>
        <v>F</v>
      </c>
      <c r="U552" s="3" t="s">
        <v>203</v>
      </c>
      <c r="V552" s="4" t="str">
        <f>IF(ISBLANK(C552),,IFERROR(IF(VLOOKUP(B552,Standings!$A:$F, 6, 0)=VLOOKUP(C552,Standings!$A:$F, 6, 0), VLOOKUP(B552,Standings!$A:$F, 6, 0), "Non-con"), "FCS"))</f>
        <v>ACC</v>
      </c>
      <c r="W552" s="3" t="str">
        <f t="shared" si="10"/>
        <v>Pittsburgh</v>
      </c>
      <c r="X552" s="3" t="str">
        <f t="shared" si="11"/>
        <v>Virginia Tech</v>
      </c>
      <c r="Y552" s="30">
        <f>IF(D552=0,,IF(ISBLANK(Q552),,VLOOKUP(X552,Week11,2,FALSE)/(VLOOKUP(X552,Week11,2,FALSE)+VLOOKUP(W552,Week11,2,FALSE))+0.05)*100)</f>
        <v>58.38686131</v>
      </c>
      <c r="Z552" s="3" t="s">
        <v>89</v>
      </c>
      <c r="AA552" s="3">
        <v>47.0</v>
      </c>
      <c r="AB552" s="4" t="str">
        <f t="shared" si="20"/>
        <v>Virginia Tech</v>
      </c>
      <c r="AC552" s="3">
        <v>14.0</v>
      </c>
      <c r="AD552" s="3"/>
      <c r="AE552" s="3">
        <f t="shared" si="13"/>
        <v>33</v>
      </c>
      <c r="AF552" s="3"/>
      <c r="AG552" s="3">
        <f t="shared" si="133"/>
        <v>0</v>
      </c>
      <c r="AH552" s="3"/>
      <c r="AI552" s="7"/>
      <c r="AJ552" s="4"/>
      <c r="AK552" s="7"/>
      <c r="AL552" s="7"/>
      <c r="AM552" s="7"/>
      <c r="AN552" s="7"/>
      <c r="AO552" s="7"/>
      <c r="AP552" s="7"/>
      <c r="AQ552" s="7"/>
      <c r="AR552" s="7"/>
      <c r="AS552" s="7"/>
      <c r="AT552" s="7"/>
      <c r="AU552" s="7"/>
      <c r="AV552" s="7"/>
      <c r="AW552" s="7"/>
      <c r="AX552" s="7"/>
    </row>
    <row r="553" ht="12.75" hidden="1" customHeight="1">
      <c r="A553" s="3">
        <v>11.0</v>
      </c>
      <c r="B553" s="3" t="s">
        <v>171</v>
      </c>
      <c r="C553" s="3" t="s">
        <v>194</v>
      </c>
      <c r="D553" s="4">
        <f>IFERROR(VLOOKUP(B553,CurrentRank!$B$2:$C$132,2,FALSE),0)</f>
        <v>36.35</v>
      </c>
      <c r="E553" s="4">
        <f>IF(ISBLANK(B553),,IFERROR(VLOOKUP(B553,CurrentRank!$B$2:$C$132,2,FALSE),0))</f>
        <v>36.35</v>
      </c>
      <c r="F553" s="4">
        <f>IFERROR(VLOOKUP(B553,Week10,3,FALSE),130)</f>
        <v>91</v>
      </c>
      <c r="G553" s="4">
        <f>IF(ISBLANK(B553),,IFERROR(VLOOKUP(B553,CurrentRank!$B$2:$D$132,3,FALSE),130))</f>
        <v>53</v>
      </c>
      <c r="H553" s="4">
        <f>IFERROR(VLOOKUP(C553,CurrentRank!$B$2:$C$132,2,FALSE),0)</f>
        <v>44.06</v>
      </c>
      <c r="I553" s="4">
        <f>IF(ISBLANK(B553),,IFERROR(VLOOKUP(C553,CurrentRank!$B$2:$C$132,2,FALSE),0))</f>
        <v>44.06</v>
      </c>
      <c r="J553" s="4">
        <f>IFERROR(VLOOKUP(C553,Week10,3,FALSE),130)</f>
        <v>89</v>
      </c>
      <c r="K553" s="4">
        <f>IF(ISBLANK(C553),,IFERROR(VLOOKUP(C553,CurrentRank!$B$2:$D$132,3,FALSE),130))</f>
        <v>26</v>
      </c>
      <c r="L553" s="19">
        <f t="shared" ref="L553:M553" si="235">IF(ISBLANK(C553),,(D553+H553)*0.015)</f>
        <v>1.20615</v>
      </c>
      <c r="M553" s="19">
        <f t="shared" si="235"/>
        <v>1.20615</v>
      </c>
      <c r="N553" s="24">
        <f t="shared" si="233"/>
        <v>90</v>
      </c>
      <c r="O553" s="21">
        <f t="shared" si="4"/>
        <v>-4.458075</v>
      </c>
      <c r="P553" s="21">
        <f t="shared" si="234"/>
        <v>-4.458075</v>
      </c>
      <c r="Q553" s="22">
        <f t="shared" si="6"/>
        <v>0.527709625</v>
      </c>
      <c r="R553" s="25" t="str">
        <f t="shared" si="7"/>
        <v>F</v>
      </c>
      <c r="S553" s="19" t="str">
        <f t="shared" si="8"/>
        <v/>
      </c>
      <c r="T553" s="19" t="str">
        <f t="shared" si="9"/>
        <v/>
      </c>
      <c r="U553" s="3" t="s">
        <v>203</v>
      </c>
      <c r="V553" s="4" t="str">
        <f>IFERROR(IF(VLOOKUP(B553,Standings!$A:$F, 6, 0)=VLOOKUP(C553,Standings!$A:$F, 6, 0), VLOOKUP(B553,Standings!$A:$F, 6, 0), "Non-con"), "FCS")</f>
        <v>PAC12</v>
      </c>
      <c r="W553" s="3" t="str">
        <f t="shared" si="10"/>
        <v>California</v>
      </c>
      <c r="X553" s="3" t="str">
        <f t="shared" si="11"/>
        <v>Arizona State</v>
      </c>
      <c r="Y553" s="30">
        <f>IF(D553=0,,IF(ISBLANK(Q553),,VLOOKUP(X553,Week10,2,FALSE)/(VLOOKUP(X553,Week10,2,FALSE)+VLOOKUP(W553,Week10,2,FALSE))+0.05)*100)</f>
        <v>55.20242915</v>
      </c>
      <c r="Z553" s="3"/>
      <c r="AA553" s="3"/>
      <c r="AB553" s="4" t="str">
        <f t="shared" si="20"/>
        <v/>
      </c>
      <c r="AC553" s="3"/>
      <c r="AD553" s="3"/>
      <c r="AE553" s="3" t="str">
        <f t="shared" si="13"/>
        <v/>
      </c>
      <c r="AF553" s="3" t="s">
        <v>226</v>
      </c>
      <c r="AG553" s="3" t="str">
        <f t="shared" si="133"/>
        <v/>
      </c>
      <c r="AH553" s="3"/>
      <c r="AI553" s="7"/>
      <c r="AJ553" s="4"/>
      <c r="AK553" s="7"/>
      <c r="AL553" s="7"/>
      <c r="AM553" s="7"/>
      <c r="AN553" s="7"/>
      <c r="AO553" s="7"/>
      <c r="AP553" s="7"/>
      <c r="AQ553" s="7"/>
      <c r="AR553" s="7"/>
      <c r="AS553" s="7"/>
      <c r="AT553" s="7"/>
      <c r="AU553" s="7"/>
      <c r="AV553" s="7"/>
      <c r="AW553" s="7"/>
      <c r="AX553" s="7"/>
    </row>
    <row r="554" ht="12.75" hidden="1" customHeight="1">
      <c r="A554" s="3">
        <v>12.0</v>
      </c>
      <c r="B554" s="3" t="s">
        <v>143</v>
      </c>
      <c r="C554" s="3" t="s">
        <v>134</v>
      </c>
      <c r="D554" s="4">
        <f>IFERROR(VLOOKUP(B554,Week11,2,FALSE),0)</f>
        <v>33.32</v>
      </c>
      <c r="E554" s="4">
        <f>IF(ISBLANK(B554),,IFERROR(VLOOKUP(B554,CurrentRank!$B$2:$C$132,2,FALSE),0))</f>
        <v>30.67</v>
      </c>
      <c r="F554" s="4">
        <f>IFERROR(VLOOKUP(B554,Week11,3,FALSE),130)</f>
        <v>77</v>
      </c>
      <c r="G554" s="4">
        <f>IF(ISBLANK(B554),,IFERROR(VLOOKUP(B554,CurrentRank!$B$2:$D$132,3,FALSE),130))</f>
        <v>108</v>
      </c>
      <c r="H554" s="4">
        <f>IFERROR(VLOOKUP(C554,Week11,2,FALSE),0)</f>
        <v>33.56</v>
      </c>
      <c r="I554" s="4">
        <f>IF(ISBLANK(B554),,IFERROR(VLOOKUP(C554,CurrentRank!$B$2:$C$132,2,FALSE),0))</f>
        <v>60.69</v>
      </c>
      <c r="J554" s="4">
        <f>IFERROR(VLOOKUP(C554,Week11,3,FALSE),130)</f>
        <v>74</v>
      </c>
      <c r="K554" s="4">
        <f>IF(ISBLANK(C554),,IFERROR(VLOOKUP(C554,CurrentRank!$B$2:$D$132,3,FALSE),130))</f>
        <v>21</v>
      </c>
      <c r="L554" s="19">
        <f t="shared" ref="L554:L556" si="236">IF(U554= "Yes", 0, IF(ISBLANK(C554),,(D554+H554)*0.015))</f>
        <v>1.0032</v>
      </c>
      <c r="M554" s="19">
        <f t="shared" ref="M554:M556" si="237">IF(U554= "Yes", 0, IF(ISBLANK(D554),,(E554+I554)*0.015))</f>
        <v>1.3704</v>
      </c>
      <c r="N554" s="24">
        <f t="shared" si="233"/>
        <v>75.5</v>
      </c>
      <c r="O554" s="21">
        <f t="shared" si="4"/>
        <v>-0.6216</v>
      </c>
      <c r="P554" s="21">
        <f t="shared" si="234"/>
        <v>-15.5116</v>
      </c>
      <c r="Q554" s="22">
        <f t="shared" si="6"/>
        <v>0.619392</v>
      </c>
      <c r="R554" s="25" t="str">
        <f t="shared" si="7"/>
        <v>D-</v>
      </c>
      <c r="S554" s="19">
        <f t="shared" si="8"/>
        <v>0.5925</v>
      </c>
      <c r="T554" s="19" t="str">
        <f t="shared" si="9"/>
        <v>F</v>
      </c>
      <c r="U554" s="3" t="s">
        <v>203</v>
      </c>
      <c r="V554" s="4" t="str">
        <f>IF(ISBLANK(C554),,IFERROR(IF(VLOOKUP(B554,Standings!$A:$F, 6, 0)=VLOOKUP(C554,Standings!$A:$F, 6, 0), VLOOKUP(B554,Standings!$A:$F, 6, 0), "Non-con"), "FCS"))</f>
        <v>MAC</v>
      </c>
      <c r="W554" s="3" t="str">
        <f t="shared" si="10"/>
        <v>Northern Illinois</v>
      </c>
      <c r="X554" s="3" t="str">
        <f t="shared" si="11"/>
        <v>Ball State</v>
      </c>
      <c r="Y554" s="30">
        <f>IF(D554=0,,IF(ISBLANK(Q554),,VLOOKUP(X554,Week11,2,FALSE)/(VLOOKUP(X554,Week11,2,FALSE)+VLOOKUP(W554,Week11,2,FALSE))+0.05)*100)</f>
        <v>55.17942584</v>
      </c>
      <c r="Z554" s="3" t="s">
        <v>134</v>
      </c>
      <c r="AA554" s="3">
        <v>31.0</v>
      </c>
      <c r="AB554" s="4" t="str">
        <f t="shared" si="20"/>
        <v>Northern Illinois</v>
      </c>
      <c r="AC554" s="3">
        <v>25.0</v>
      </c>
      <c r="AD554" s="3"/>
      <c r="AE554" s="3">
        <f t="shared" si="13"/>
        <v>6</v>
      </c>
      <c r="AF554" s="3"/>
      <c r="AG554" s="3">
        <f t="shared" si="133"/>
        <v>1</v>
      </c>
      <c r="AH554" s="3"/>
      <c r="AI554" s="7"/>
      <c r="AJ554" s="4"/>
      <c r="AM554" s="7"/>
      <c r="AN554" s="7"/>
      <c r="AO554" s="7"/>
      <c r="AP554" s="7"/>
      <c r="AQ554" s="7"/>
      <c r="AR554" s="7"/>
      <c r="AS554" s="7"/>
      <c r="AT554" s="7"/>
      <c r="AU554" s="7"/>
      <c r="AV554" s="7"/>
      <c r="AW554" s="7"/>
      <c r="AX554" s="7"/>
    </row>
    <row r="555" ht="12.75" hidden="1" customHeight="1">
      <c r="A555" s="3">
        <v>9.0</v>
      </c>
      <c r="B555" s="3" t="s">
        <v>53</v>
      </c>
      <c r="C555" s="3" t="s">
        <v>64</v>
      </c>
      <c r="D555" s="4">
        <f>IFERROR(VLOOKUP(B555,Week8,2,FALSE),0)</f>
        <v>37.39</v>
      </c>
      <c r="E555" s="4">
        <f>IF(ISBLANK(B555),,IFERROR(VLOOKUP(B555,CurrentRank!$B$2:$C$132,2,FALSE),0))</f>
        <v>37.27</v>
      </c>
      <c r="F555" s="4">
        <f>IFERROR(VLOOKUP(B555,Week8,3,FALSE),130)</f>
        <v>47</v>
      </c>
      <c r="G555" s="4">
        <f>IF(ISBLANK(B555),,IFERROR(VLOOKUP(B555,CurrentRank!$B$2:$D$132,3,FALSE),130))</f>
        <v>45</v>
      </c>
      <c r="H555" s="4">
        <f>IFERROR(VLOOKUP(C555,Week8,2,FALSE),0)</f>
        <v>37.63</v>
      </c>
      <c r="I555" s="4">
        <f>IF(ISBLANK(B555),,IFERROR(VLOOKUP(C555,CurrentRank!$B$2:$C$132,2,FALSE),0))</f>
        <v>39.11</v>
      </c>
      <c r="J555" s="4">
        <f>IFERROR(VLOOKUP(C555,Week8,3,FALSE),130)</f>
        <v>46</v>
      </c>
      <c r="K555" s="4">
        <f>IF(ISBLANK(C555),,IFERROR(VLOOKUP(C555,CurrentRank!$B$2:$D$132,3,FALSE),130))</f>
        <v>36</v>
      </c>
      <c r="L555" s="19">
        <f t="shared" si="236"/>
        <v>1.1253</v>
      </c>
      <c r="M555" s="19">
        <f t="shared" si="237"/>
        <v>1.1457</v>
      </c>
      <c r="N555" s="24">
        <f t="shared" si="233"/>
        <v>46.5</v>
      </c>
      <c r="O555" s="21">
        <f t="shared" si="4"/>
        <v>-0.68265</v>
      </c>
      <c r="P555" s="21">
        <f t="shared" si="234"/>
        <v>-1.48265</v>
      </c>
      <c r="Q555" s="22">
        <f t="shared" si="6"/>
        <v>0.76408675</v>
      </c>
      <c r="R555" s="25" t="str">
        <f t="shared" si="7"/>
        <v>C</v>
      </c>
      <c r="S555" s="19">
        <f t="shared" si="8"/>
        <v>0.5825</v>
      </c>
      <c r="T555" s="19" t="str">
        <f t="shared" si="9"/>
        <v>F</v>
      </c>
      <c r="U555" s="3" t="s">
        <v>203</v>
      </c>
      <c r="V555" s="4" t="str">
        <f>IF(ISBLANK(C555),,IFERROR(IF(VLOOKUP(B555,Standings!$A:$F, 6, 0)=VLOOKUP(C555,Standings!$A:$F, 6, 0), VLOOKUP(B555,Standings!$A:$F, 6, 0), "Non-con"), "FCS"))</f>
        <v>SEC</v>
      </c>
      <c r="W555" s="3" t="str">
        <f t="shared" si="10"/>
        <v>LSU</v>
      </c>
      <c r="X555" s="3" t="str">
        <f t="shared" si="11"/>
        <v>Auburn</v>
      </c>
      <c r="Y555" s="30">
        <f>IF(D555=0,,IF(ISBLANK(Q555),,VLOOKUP(X555,Week8,2,FALSE)/(VLOOKUP(X555,Week8,2,FALSE)+VLOOKUP(W555,Week8,2,FALSE))+0.05)*100)</f>
        <v>55.15995734</v>
      </c>
      <c r="Z555" s="3" t="s">
        <v>64</v>
      </c>
      <c r="AA555" s="3">
        <v>48.0</v>
      </c>
      <c r="AB555" s="4" t="str">
        <f t="shared" si="20"/>
        <v>LSU</v>
      </c>
      <c r="AC555" s="3">
        <v>11.0</v>
      </c>
      <c r="AD555" s="3"/>
      <c r="AE555" s="3">
        <f t="shared" si="13"/>
        <v>37</v>
      </c>
      <c r="AF555" s="3"/>
      <c r="AG555" s="3">
        <f t="shared" si="133"/>
        <v>1</v>
      </c>
      <c r="AH555" s="3"/>
      <c r="AI555" s="7"/>
      <c r="AJ555" s="4"/>
      <c r="AK555" s="7"/>
      <c r="AL555" s="7"/>
      <c r="AM555" s="7"/>
      <c r="AN555" s="7"/>
      <c r="AO555" s="7"/>
      <c r="AP555" s="7"/>
      <c r="AQ555" s="7"/>
      <c r="AR555" s="7"/>
      <c r="AS555" s="7"/>
      <c r="AT555" s="7"/>
      <c r="AU555" s="7"/>
      <c r="AV555" s="7"/>
      <c r="AW555" s="7"/>
      <c r="AX555" s="7"/>
    </row>
    <row r="556" ht="12.75" hidden="1" customHeight="1">
      <c r="A556" s="3">
        <v>11.0</v>
      </c>
      <c r="B556" s="3" t="s">
        <v>126</v>
      </c>
      <c r="C556" s="3" t="s">
        <v>151</v>
      </c>
      <c r="D556" s="4">
        <f>IFERROR(VLOOKUP(B556,Week10,2,FALSE),0)</f>
        <v>39.38</v>
      </c>
      <c r="E556" s="4">
        <f>IF(ISBLANK(B556),,IFERROR(VLOOKUP(B556,CurrentRank!$B$2:$C$132,2,FALSE),0))</f>
        <v>36.79</v>
      </c>
      <c r="F556" s="4">
        <f>IFERROR(VLOOKUP(B556,Week10,3,FALSE),130)</f>
        <v>40</v>
      </c>
      <c r="G556" s="4">
        <f>IF(ISBLANK(B556),,IFERROR(VLOOKUP(B556,CurrentRank!$B$2:$D$132,3,FALSE),130))</f>
        <v>49</v>
      </c>
      <c r="H556" s="4">
        <f>IFERROR(VLOOKUP(C556,Week10,2,FALSE),0)</f>
        <v>39.59</v>
      </c>
      <c r="I556" s="4">
        <f>IF(ISBLANK(B556),,IFERROR(VLOOKUP(C556,CurrentRank!$B$2:$C$132,2,FALSE),0))</f>
        <v>34.83</v>
      </c>
      <c r="J556" s="4">
        <f>IFERROR(VLOOKUP(C556,Week10,3,FALSE),130)</f>
        <v>38</v>
      </c>
      <c r="K556" s="4">
        <f>IF(ISBLANK(C556),,IFERROR(VLOOKUP(C556,CurrentRank!$B$2:$D$132,3,FALSE),130))</f>
        <v>67</v>
      </c>
      <c r="L556" s="19">
        <f t="shared" si="236"/>
        <v>1.18455</v>
      </c>
      <c r="M556" s="19">
        <f t="shared" si="237"/>
        <v>1.0743</v>
      </c>
      <c r="N556" s="24">
        <f t="shared" si="233"/>
        <v>39</v>
      </c>
      <c r="O556" s="21">
        <f t="shared" si="4"/>
        <v>-0.697275</v>
      </c>
      <c r="P556" s="21">
        <f t="shared" si="234"/>
        <v>0.387725</v>
      </c>
      <c r="Q556" s="22">
        <f t="shared" si="6"/>
        <v>0.801513625</v>
      </c>
      <c r="R556" s="25" t="str">
        <f t="shared" si="7"/>
        <v>B-</v>
      </c>
      <c r="S556" s="19">
        <f t="shared" si="8"/>
        <v>0.79</v>
      </c>
      <c r="T556" s="19" t="str">
        <f t="shared" si="9"/>
        <v>C+</v>
      </c>
      <c r="U556" s="3" t="s">
        <v>203</v>
      </c>
      <c r="V556" s="4" t="str">
        <f>IF(ISBLANK(C556),,IFERROR(IF(VLOOKUP(B556,Standings!$A:$F, 6, 0)=VLOOKUP(C556,Standings!$A:$F, 6, 0), VLOOKUP(B556,Standings!$A:$F, 6, 0), "Non-con"), "FCS"))</f>
        <v>MAC</v>
      </c>
      <c r="W556" s="3" t="str">
        <f t="shared" si="10"/>
        <v>Toledo</v>
      </c>
      <c r="X556" s="3" t="str">
        <f t="shared" si="11"/>
        <v>Western Michigan</v>
      </c>
      <c r="Y556" s="30">
        <f>IF(D556=0,,IF(ISBLANK(Q556),,VLOOKUP(X556,Week10,2,FALSE)/(VLOOKUP(X556,Week10,2,FALSE)+VLOOKUP(W556,Week10,2,FALSE))+0.05)*100)</f>
        <v>55.13296188</v>
      </c>
      <c r="Z556" s="3" t="s">
        <v>151</v>
      </c>
      <c r="AA556" s="3">
        <v>41.0</v>
      </c>
      <c r="AB556" s="4" t="str">
        <f t="shared" si="20"/>
        <v>Toledo</v>
      </c>
      <c r="AC556" s="3">
        <v>38.0</v>
      </c>
      <c r="AD556" s="3"/>
      <c r="AE556" s="3">
        <f t="shared" si="13"/>
        <v>3</v>
      </c>
      <c r="AF556" s="3"/>
      <c r="AG556" s="3">
        <f t="shared" si="133"/>
        <v>1</v>
      </c>
      <c r="AH556" s="3"/>
      <c r="AI556" s="7"/>
      <c r="AJ556" s="4" t="s">
        <v>139</v>
      </c>
      <c r="AK556" s="7"/>
      <c r="AL556" s="7"/>
      <c r="AM556" s="7"/>
      <c r="AN556" s="7"/>
      <c r="AO556" s="7"/>
      <c r="AP556" s="7"/>
      <c r="AQ556" s="7"/>
      <c r="AR556" s="7"/>
      <c r="AS556" s="7"/>
      <c r="AT556" s="7"/>
      <c r="AU556" s="7"/>
      <c r="AV556" s="7"/>
      <c r="AW556" s="7"/>
      <c r="AX556" s="7"/>
    </row>
    <row r="557" ht="12.75" hidden="1" customHeight="1">
      <c r="A557" s="3">
        <v>13.0</v>
      </c>
      <c r="B557" s="3" t="s">
        <v>133</v>
      </c>
      <c r="C557" s="3" t="s">
        <v>107</v>
      </c>
      <c r="D557" s="4">
        <f>IFERROR(VLOOKUP(B557,Week12,2,FALSE),0)</f>
        <v>34.99</v>
      </c>
      <c r="E557" s="4">
        <f>IF(ISBLANK(B557),,IFERROR(VLOOKUP(B557,CurrentRank!$B$2:$C$132,2,FALSE),0))</f>
        <v>34.63</v>
      </c>
      <c r="F557" s="4">
        <f>IFERROR(VLOOKUP(B557,Week12,3,FALSE),130)</f>
        <v>64</v>
      </c>
      <c r="G557" s="4">
        <f>IF(ISBLANK(B557),,IFERROR(VLOOKUP(B557,CurrentRank!$B$2:$D$132,3,FALSE),130))</f>
        <v>69</v>
      </c>
      <c r="H557" s="4">
        <f>IFERROR(VLOOKUP(C557,Week12,2,FALSE),0)</f>
        <v>35.14</v>
      </c>
      <c r="I557" s="4">
        <f>IF(ISBLANK(B557),,IFERROR(VLOOKUP(C557,CurrentRank!$B$2:$C$132,2,FALSE),0))</f>
        <v>35.54</v>
      </c>
      <c r="J557" s="4">
        <f>IFERROR(VLOOKUP(C557,Week12,3,FALSE),130)</f>
        <v>62</v>
      </c>
      <c r="K557" s="4">
        <f>IF(ISBLANK(C557),,IFERROR(VLOOKUP(C557,CurrentRank!$B$2:$D$132,3,FALSE),130))</f>
        <v>57</v>
      </c>
      <c r="L557" s="19">
        <f t="shared" ref="L557:M557" si="238">IF(ISBLANK(C557),,(D557+H557)*0.015)</f>
        <v>1.05195</v>
      </c>
      <c r="M557" s="19">
        <f t="shared" si="238"/>
        <v>1.05255</v>
      </c>
      <c r="N557" s="24">
        <f t="shared" si="233"/>
        <v>63</v>
      </c>
      <c r="O557" s="24">
        <f t="shared" si="4"/>
        <v>-0.600975</v>
      </c>
      <c r="P557" s="24">
        <f t="shared" si="234"/>
        <v>-0.980975</v>
      </c>
      <c r="Q557" s="22">
        <f t="shared" si="6"/>
        <v>0.681995125</v>
      </c>
      <c r="R557" s="25" t="str">
        <f t="shared" si="7"/>
        <v>D+</v>
      </c>
      <c r="S557" s="19" t="str">
        <f t="shared" si="8"/>
        <v/>
      </c>
      <c r="T557" s="19" t="str">
        <f t="shared" si="9"/>
        <v/>
      </c>
      <c r="U557" s="3" t="s">
        <v>203</v>
      </c>
      <c r="V557" s="4" t="str">
        <f>IF(ISBLANK(C557),,IFERROR(IF(VLOOKUP(B557,Standings!$A:$F, 6, 0)=VLOOKUP(C557,Standings!$A:$F, 6, 0), VLOOKUP(B557,Standings!$A:$F, 6, 0), "Non-con"), "FCS"))</f>
        <v>MWC</v>
      </c>
      <c r="W557" s="3" t="str">
        <f t="shared" si="10"/>
        <v>Colorado State</v>
      </c>
      <c r="X557" s="3" t="str">
        <f t="shared" si="11"/>
        <v>Air Force</v>
      </c>
      <c r="Y557" s="30">
        <f>IF(D557=0,,IF(ISBLANK(Q557),,VLOOKUP(X557,Week12,2,FALSE)/(VLOOKUP(X557,Week12,2,FALSE)+VLOOKUP(W557,Week12,2,FALSE))+0.05)*100)</f>
        <v>55.10694425</v>
      </c>
      <c r="Z557" s="3"/>
      <c r="AA557" s="3"/>
      <c r="AB557" s="4" t="str">
        <f t="shared" si="20"/>
        <v/>
      </c>
      <c r="AC557" s="3"/>
      <c r="AD557" s="3"/>
      <c r="AE557" s="3" t="str">
        <f t="shared" si="13"/>
        <v/>
      </c>
      <c r="AF557" s="3" t="s">
        <v>226</v>
      </c>
      <c r="AG557" s="3" t="str">
        <f t="shared" si="133"/>
        <v/>
      </c>
      <c r="AH557" s="3"/>
      <c r="AI557" s="7"/>
      <c r="AJ557" s="4"/>
      <c r="AK557" s="7"/>
      <c r="AL557" s="7"/>
      <c r="AM557" s="7"/>
      <c r="AN557" s="7"/>
      <c r="AO557" s="7"/>
      <c r="AP557" s="7"/>
      <c r="AQ557" s="7"/>
      <c r="AR557" s="7"/>
      <c r="AS557" s="7"/>
      <c r="AT557" s="7"/>
      <c r="AU557" s="7"/>
      <c r="AV557" s="7"/>
      <c r="AW557" s="7"/>
      <c r="AX557" s="7"/>
    </row>
    <row r="558" ht="12.75" hidden="1" customHeight="1">
      <c r="A558" s="3">
        <v>12.0</v>
      </c>
      <c r="B558" s="3" t="s">
        <v>142</v>
      </c>
      <c r="C558" s="3" t="s">
        <v>179</v>
      </c>
      <c r="D558" s="4">
        <f>IFERROR(VLOOKUP(B558,CurrentRank!$B$2:$C$132,2,FALSE),0)</f>
        <v>35.28</v>
      </c>
      <c r="E558" s="4">
        <f>IF(ISBLANK(B558),,IFERROR(VLOOKUP(B558,CurrentRank!$B$2:$C$132,2,FALSE),0))</f>
        <v>35.28</v>
      </c>
      <c r="F558" s="4">
        <f>IFERROR(VLOOKUP(B558,CurrentRank!$B$2:$D$132,3,FALSE),130)</f>
        <v>63</v>
      </c>
      <c r="G558" s="4">
        <f>IF(ISBLANK(B558),,IFERROR(VLOOKUP(B558,CurrentRank!$B$2:$D$132,3,FALSE),130))</f>
        <v>63</v>
      </c>
      <c r="H558" s="4">
        <f>IFERROR(VLOOKUP(C558,CurrentRank!$B$2:$C$132,2,FALSE),0)</f>
        <v>37.85</v>
      </c>
      <c r="I558" s="4">
        <f>IF(ISBLANK(B558),,IFERROR(VLOOKUP(C558,CurrentRank!$B$2:$C$132,2,FALSE),0))</f>
        <v>37.85</v>
      </c>
      <c r="J558" s="4">
        <f>IFERROR(VLOOKUP(C558,Week11,3,FALSE),130)</f>
        <v>63</v>
      </c>
      <c r="K558" s="4">
        <f>IFERROR(VLOOKUP(C558,CurrentRank!$B$2:$D$132,3,FALSE),130)</f>
        <v>39</v>
      </c>
      <c r="L558" s="19">
        <f t="shared" ref="L558:M558" si="239">IF(ISBLANK(C558),,(D558+H558)*0.015)</f>
        <v>1.09695</v>
      </c>
      <c r="M558" s="19">
        <f t="shared" si="239"/>
        <v>1.09695</v>
      </c>
      <c r="N558" s="24">
        <f>F558+K558</f>
        <v>102</v>
      </c>
      <c r="O558" s="21">
        <f t="shared" si="4"/>
        <v>-1.833475</v>
      </c>
      <c r="P558" s="24">
        <f>(D558-(H558+L558))/2</f>
        <v>-1.833475</v>
      </c>
      <c r="Q558" s="22">
        <f t="shared" si="6"/>
        <v>0.480832625</v>
      </c>
      <c r="R558" s="25" t="str">
        <f t="shared" si="7"/>
        <v>F</v>
      </c>
      <c r="S558" s="19" t="str">
        <f t="shared" si="8"/>
        <v/>
      </c>
      <c r="T558" s="19" t="str">
        <f t="shared" si="9"/>
        <v/>
      </c>
      <c r="U558" s="3" t="s">
        <v>203</v>
      </c>
      <c r="V558" s="4" t="str">
        <f>IFERROR(IF(VLOOKUP(B558,Standings!$A:$F, 6, 0)=VLOOKUP(C558,Standings!$A:$F, 6, 0), VLOOKUP(B558,Standings!$A:$F, 6, 0), "Non-con"), "FCS")</f>
        <v>MAC</v>
      </c>
      <c r="W558" s="3" t="str">
        <f t="shared" si="10"/>
        <v>Ohio</v>
      </c>
      <c r="X558" s="3" t="str">
        <f t="shared" si="11"/>
        <v>Miami (OH)</v>
      </c>
      <c r="Y558" s="30">
        <f>IF(D558=0,,IF(ISBLANK(Q558),,VLOOKUP(X558,Week11,2,FALSE)/(VLOOKUP(X558,Week11,2,FALSE)+VLOOKUP(W558,Week11,2,FALSE))+0.05)*100)</f>
        <v>55.09242144</v>
      </c>
      <c r="Z558" s="3"/>
      <c r="AA558" s="3"/>
      <c r="AB558" s="4" t="str">
        <f t="shared" si="20"/>
        <v/>
      </c>
      <c r="AC558" s="3"/>
      <c r="AD558" s="3"/>
      <c r="AE558" s="3" t="str">
        <f t="shared" si="13"/>
        <v/>
      </c>
      <c r="AF558" s="3" t="s">
        <v>226</v>
      </c>
      <c r="AG558" s="3" t="str">
        <f t="shared" si="133"/>
        <v/>
      </c>
      <c r="AH558" s="3"/>
      <c r="AI558" s="7"/>
      <c r="AJ558" s="4"/>
      <c r="AK558" s="7"/>
      <c r="AL558" s="7"/>
      <c r="AM558" s="7"/>
      <c r="AN558" s="7"/>
      <c r="AO558" s="7"/>
      <c r="AP558" s="7"/>
      <c r="AQ558" s="7"/>
      <c r="AR558" s="7"/>
      <c r="AS558" s="7"/>
      <c r="AT558" s="7"/>
      <c r="AU558" s="7"/>
      <c r="AV558" s="7"/>
      <c r="AW558" s="7"/>
      <c r="AX558" s="7"/>
    </row>
    <row r="559" ht="12.75" hidden="1" customHeight="1">
      <c r="A559" s="3">
        <v>15.0</v>
      </c>
      <c r="B559" s="3" t="s">
        <v>187</v>
      </c>
      <c r="C559" s="3" t="s">
        <v>147</v>
      </c>
      <c r="D559" s="4">
        <f>IFERROR(VLOOKUP(B559,Week14,2,FALSE),0)</f>
        <v>29.5</v>
      </c>
      <c r="E559" s="4">
        <f>IF(ISBLANK(B559),,IFERROR(VLOOKUP(B559,CurrentRank!$B$2:$C$132,2,FALSE),0))</f>
        <v>28.66</v>
      </c>
      <c r="F559" s="4">
        <f>IFERROR(VLOOKUP(B559,Week14,3,FALSE),130)</f>
        <v>120</v>
      </c>
      <c r="G559" s="4">
        <f>IF(ISBLANK(B559),,IFERROR(VLOOKUP(B559,CurrentRank!$B$2:$D$132,3,FALSE),130))</f>
        <v>120</v>
      </c>
      <c r="H559" s="4">
        <f>IFERROR(VLOOKUP(C559,Week14,2,FALSE),0)</f>
        <v>29.58</v>
      </c>
      <c r="I559" s="4">
        <f>IF(ISBLANK(B559),,IFERROR(VLOOKUP(C559,CurrentRank!$B$2:$C$132,2,FALSE),0))</f>
        <v>32.08</v>
      </c>
      <c r="J559" s="4">
        <f>IFERROR(VLOOKUP(C559,Week14,3,FALSE),130)</f>
        <v>119</v>
      </c>
      <c r="K559" s="4">
        <f>IF(ISBLANK(C559),,IFERROR(VLOOKUP(C559,CurrentRank!$B$2:$D$132,3,FALSE),130))</f>
        <v>93</v>
      </c>
      <c r="L559" s="19">
        <f t="shared" ref="L559:L567" si="240">IF(U559= "Yes", 0, IF(ISBLANK(C559),,(D559+H559)*0.015))</f>
        <v>0.8862</v>
      </c>
      <c r="M559" s="19">
        <f t="shared" ref="M559:M567" si="241">IF(U559= "Yes", 0, IF(ISBLANK(D559),,(E559+I559)*0.015))</f>
        <v>0.9111</v>
      </c>
      <c r="N559" s="24">
        <f t="shared" ref="N559:N618" si="242">IF(ISBLANK(C559),,(F559+J559)/2)</f>
        <v>119.5</v>
      </c>
      <c r="O559" s="21">
        <f t="shared" si="4"/>
        <v>-0.4831</v>
      </c>
      <c r="P559" s="21">
        <f t="shared" ref="P559:P567" si="243">IF(ISBLANK(C559),,(E559-(I559+L559))/2)</f>
        <v>-2.1531</v>
      </c>
      <c r="Q559" s="22">
        <f t="shared" si="6"/>
        <v>0.4000845</v>
      </c>
      <c r="R559" s="25" t="str">
        <f t="shared" si="7"/>
        <v>F</v>
      </c>
      <c r="S559" s="19">
        <f t="shared" si="8"/>
        <v>0.2975</v>
      </c>
      <c r="T559" s="19" t="str">
        <f t="shared" si="9"/>
        <v>F</v>
      </c>
      <c r="U559" s="3" t="s">
        <v>203</v>
      </c>
      <c r="V559" s="4" t="str">
        <f>IF(ISBLANK(C559),,IFERROR(IF(VLOOKUP(B559,Standings!$A:$F, 6, 0)=VLOOKUP(C559,Standings!$A:$F, 6, 0), VLOOKUP(B559,Standings!$A:$F, 6, 0), "Non-con"), "FCS"))</f>
        <v>ACC</v>
      </c>
      <c r="W559" s="3" t="str">
        <f t="shared" si="10"/>
        <v>Duke</v>
      </c>
      <c r="X559" s="3" t="str">
        <f t="shared" si="11"/>
        <v>Florida State</v>
      </c>
      <c r="Y559" s="30">
        <f>IF(D559=0,,IF(ISBLANK(Q559),,VLOOKUP(X559,Week14,2,FALSE)/(VLOOKUP(X559,Week14,2,FALSE)+VLOOKUP(W559,Week14,2,FALSE))+0.05)*100)</f>
        <v>55.06770481</v>
      </c>
      <c r="Z559" s="3" t="s">
        <v>147</v>
      </c>
      <c r="AA559" s="3">
        <v>56.0</v>
      </c>
      <c r="AB559" s="4" t="str">
        <f t="shared" si="20"/>
        <v>Duke</v>
      </c>
      <c r="AC559" s="3">
        <v>35.0</v>
      </c>
      <c r="AD559" s="3"/>
      <c r="AE559" s="3">
        <f t="shared" si="13"/>
        <v>21</v>
      </c>
      <c r="AF559" s="3"/>
      <c r="AG559" s="3">
        <f t="shared" si="133"/>
        <v>1</v>
      </c>
      <c r="AH559" s="3"/>
      <c r="AI559" s="7"/>
      <c r="AJ559" s="4"/>
      <c r="AM559" s="7"/>
      <c r="AN559" s="7"/>
      <c r="AO559" s="7"/>
      <c r="AP559" s="7"/>
      <c r="AQ559" s="7"/>
      <c r="AR559" s="7"/>
      <c r="AS559" s="7"/>
      <c r="AT559" s="7"/>
      <c r="AU559" s="7"/>
      <c r="AV559" s="7"/>
      <c r="AW559" s="7"/>
      <c r="AX559" s="7"/>
    </row>
    <row r="560" ht="12.75" hidden="1" customHeight="1">
      <c r="A560" s="3">
        <v>7.0</v>
      </c>
      <c r="B560" s="3" t="s">
        <v>33</v>
      </c>
      <c r="C560" s="3" t="s">
        <v>23</v>
      </c>
      <c r="D560" s="4">
        <f>IFERROR(VLOOKUP(B560,Week6,2,FALSE),0)</f>
        <v>92.11</v>
      </c>
      <c r="E560" s="4">
        <f>IF(ISBLANK(B560),,IFERROR(VLOOKUP(B560,CurrentRank!$B$2:$C$132,2,FALSE),0))</f>
        <v>79.21</v>
      </c>
      <c r="F560" s="4">
        <f>IFERROR(VLOOKUP(B560,Week6,3,FALSE),130)</f>
        <v>3</v>
      </c>
      <c r="G560" s="4">
        <f>IF(ISBLANK(B560),,IFERROR(VLOOKUP(B560,CurrentRank!$B$2:$D$132,3,FALSE),130))</f>
        <v>6</v>
      </c>
      <c r="H560" s="4">
        <f>IFERROR(VLOOKUP(C560,Week6,2,FALSE),0)</f>
        <v>92.3</v>
      </c>
      <c r="I560" s="4">
        <f>IF(ISBLANK(B560),,IFERROR(VLOOKUP(C560,CurrentRank!$B$2:$C$132,2,FALSE),0))</f>
        <v>96.59</v>
      </c>
      <c r="J560" s="4">
        <f>IFERROR(VLOOKUP(C560,Week6,3,FALSE),130)</f>
        <v>2</v>
      </c>
      <c r="K560" s="4">
        <f>IF(ISBLANK(C560),,IFERROR(VLOOKUP(C560,CurrentRank!$B$2:$D$132,3,FALSE),130))</f>
        <v>1</v>
      </c>
      <c r="L560" s="19">
        <f t="shared" si="240"/>
        <v>2.76615</v>
      </c>
      <c r="M560" s="19">
        <f t="shared" si="241"/>
        <v>2.637</v>
      </c>
      <c r="N560" s="24">
        <f t="shared" si="242"/>
        <v>2.5</v>
      </c>
      <c r="O560" s="21">
        <f t="shared" si="4"/>
        <v>-1.478075</v>
      </c>
      <c r="P560" s="21">
        <f t="shared" si="243"/>
        <v>-10.073075</v>
      </c>
      <c r="Q560" s="22">
        <f t="shared" si="6"/>
        <v>0.980109625</v>
      </c>
      <c r="R560" s="25" t="str">
        <f t="shared" si="7"/>
        <v>A+</v>
      </c>
      <c r="S560" s="19">
        <f t="shared" si="8"/>
        <v>0.9025</v>
      </c>
      <c r="T560" s="19" t="str">
        <f t="shared" si="9"/>
        <v>A-</v>
      </c>
      <c r="U560" s="3" t="s">
        <v>203</v>
      </c>
      <c r="V560" s="4" t="str">
        <f>IF(ISBLANK(C560),,IFERROR(IF(VLOOKUP(B560,Standings!$A:$F, 6, 0)=VLOOKUP(C560,Standings!$A:$F, 6, 0), VLOOKUP(B560,Standings!$A:$F, 6, 0), "Non-con"), "FCS"))</f>
        <v>SEC</v>
      </c>
      <c r="W560" s="3" t="str">
        <f t="shared" si="10"/>
        <v>Georgia</v>
      </c>
      <c r="X560" s="3" t="str">
        <f t="shared" si="11"/>
        <v>Alabama</v>
      </c>
      <c r="Y560" s="30">
        <f>IF(D560=0,,IF(ISBLANK(Q560),,VLOOKUP(X560,Week6,2,FALSE)/(VLOOKUP(X560,Week6,2,FALSE)+VLOOKUP(W560,Week6,2,FALSE))+0.05)*100)</f>
        <v>55.05151564</v>
      </c>
      <c r="Z560" s="3" t="s">
        <v>23</v>
      </c>
      <c r="AA560" s="3">
        <v>41.0</v>
      </c>
      <c r="AB560" s="4" t="str">
        <f t="shared" si="20"/>
        <v>Georgia</v>
      </c>
      <c r="AC560" s="3">
        <v>24.0</v>
      </c>
      <c r="AD560" s="3"/>
      <c r="AE560" s="3">
        <f t="shared" si="13"/>
        <v>17</v>
      </c>
      <c r="AF560" s="3"/>
      <c r="AG560" s="3">
        <f t="shared" si="133"/>
        <v>1</v>
      </c>
      <c r="AH560" s="3"/>
      <c r="AI560" s="7"/>
      <c r="AJ560" s="4"/>
      <c r="AK560" s="7"/>
      <c r="AL560" s="7"/>
      <c r="AM560" s="7"/>
      <c r="AN560" s="7"/>
      <c r="AO560" s="7"/>
      <c r="AP560" s="7"/>
      <c r="AQ560" s="7"/>
      <c r="AR560" s="7"/>
      <c r="AS560" s="7"/>
      <c r="AT560" s="7"/>
      <c r="AU560" s="7"/>
      <c r="AV560" s="7"/>
      <c r="AW560" s="7"/>
      <c r="AX560" s="7"/>
    </row>
    <row r="561" ht="12.75" customHeight="1">
      <c r="A561" s="3">
        <v>6.0</v>
      </c>
      <c r="B561" s="3" t="s">
        <v>94</v>
      </c>
      <c r="C561" s="3" t="s">
        <v>108</v>
      </c>
      <c r="D561" s="4">
        <f>IFERROR(VLOOKUP(B561,Week5,2,FALSE),0)</f>
        <v>33.34</v>
      </c>
      <c r="E561" s="4">
        <f>IF(ISBLANK(B561),,IFERROR(VLOOKUP(B561,CurrentRank!$B$2:$C$132,2,FALSE),0))</f>
        <v>36.87</v>
      </c>
      <c r="F561" s="4">
        <f>IFERROR(VLOOKUP(B561,Week5,3,FALSE),130)</f>
        <v>55</v>
      </c>
      <c r="G561" s="4">
        <f>IF(ISBLANK(B561),,IFERROR(VLOOKUP(B561,CurrentRank!$B$2:$D$132,3,FALSE),130))</f>
        <v>48</v>
      </c>
      <c r="H561" s="4">
        <f>IFERROR(VLOOKUP(C561,Week5,2,FALSE),0)</f>
        <v>27.04</v>
      </c>
      <c r="I561" s="4">
        <f>IF(ISBLANK(B561),,IFERROR(VLOOKUP(C561,CurrentRank!$B$2:$C$132,2,FALSE),0))</f>
        <v>30.15</v>
      </c>
      <c r="J561" s="4">
        <f>IFERROR(VLOOKUP(C561,Week5,3,FALSE),130)</f>
        <v>120</v>
      </c>
      <c r="K561" s="4">
        <f>IF(ISBLANK(C561),,IFERROR(VLOOKUP(C561,CurrentRank!$B$2:$D$132,3,FALSE),130))</f>
        <v>109</v>
      </c>
      <c r="L561" s="19">
        <f t="shared" si="240"/>
        <v>0.9057</v>
      </c>
      <c r="M561" s="19">
        <f t="shared" si="241"/>
        <v>1.0053</v>
      </c>
      <c r="N561" s="24">
        <f t="shared" si="242"/>
        <v>87.5</v>
      </c>
      <c r="O561" s="21">
        <f t="shared" si="4"/>
        <v>2.69715</v>
      </c>
      <c r="P561" s="21">
        <f t="shared" si="243"/>
        <v>2.90715</v>
      </c>
      <c r="Q561" s="22">
        <f t="shared" si="6"/>
        <v>0.54901425</v>
      </c>
      <c r="R561" s="25" t="str">
        <f t="shared" si="7"/>
        <v>F</v>
      </c>
      <c r="S561" s="19">
        <f t="shared" si="8"/>
        <v>0.4675</v>
      </c>
      <c r="T561" s="19" t="str">
        <f t="shared" si="9"/>
        <v>F</v>
      </c>
      <c r="U561" s="3" t="s">
        <v>203</v>
      </c>
      <c r="V561" s="4" t="str">
        <f>IF(ISBLANK(C561),,IFERROR(IF(VLOOKUP(B561,Standings!$A:$F, 6, 0)=VLOOKUP(C561,Standings!$A:$F, 6, 0), VLOOKUP(B561,Standings!$A:$F, 6, 0), "Non-con"), "FCS"))</f>
        <v>ACC</v>
      </c>
      <c r="W561" s="3" t="str">
        <f t="shared" si="10"/>
        <v>Georgia Tech</v>
      </c>
      <c r="X561" s="3" t="str">
        <f t="shared" si="11"/>
        <v>Louisville</v>
      </c>
      <c r="Y561" s="30">
        <f>IF(D561=0,,IF(ISBLANK(Q561),,VLOOKUP(X561,Week5,2,FALSE)/(VLOOKUP(X561,Week5,2,FALSE)+VLOOKUP(W561,Week5,2,FALSE))+0.05)*100)</f>
        <v>60.21695926</v>
      </c>
      <c r="Z561" s="3" t="s">
        <v>108</v>
      </c>
      <c r="AA561" s="3">
        <v>46.0</v>
      </c>
      <c r="AB561" s="4" t="str">
        <f t="shared" si="20"/>
        <v>Louisville</v>
      </c>
      <c r="AC561" s="3">
        <v>27.0</v>
      </c>
      <c r="AD561" s="3"/>
      <c r="AE561" s="3">
        <f t="shared" si="13"/>
        <v>19</v>
      </c>
      <c r="AF561" s="3"/>
      <c r="AG561" s="3">
        <f t="shared" si="133"/>
        <v>0</v>
      </c>
      <c r="AH561" s="3"/>
      <c r="AI561" s="7"/>
      <c r="AJ561" s="4" t="s">
        <v>125</v>
      </c>
      <c r="AK561" s="7"/>
      <c r="AL561" s="7"/>
      <c r="AM561" s="7"/>
      <c r="AN561" s="7"/>
      <c r="AO561" s="7"/>
      <c r="AP561" s="7"/>
      <c r="AQ561" s="7"/>
      <c r="AR561" s="7"/>
      <c r="AS561" s="7"/>
      <c r="AT561" s="7"/>
      <c r="AU561" s="7"/>
      <c r="AV561" s="7"/>
      <c r="AW561" s="7"/>
      <c r="AX561" s="7"/>
    </row>
    <row r="562" ht="12.75" customHeight="1">
      <c r="A562" s="3">
        <v>8.0</v>
      </c>
      <c r="B562" s="3" t="s">
        <v>252</v>
      </c>
      <c r="C562" s="3" t="s">
        <v>141</v>
      </c>
      <c r="D562" s="4">
        <f>IFERROR(VLOOKUP(B562,Week7,2,FALSE),0)</f>
        <v>0</v>
      </c>
      <c r="E562" s="4">
        <f>IF(ISBLANK(B562),,IFERROR(VLOOKUP(B562,CurrentRank!$B$2:$C$132,2,FALSE),0))</f>
        <v>0</v>
      </c>
      <c r="F562" s="4">
        <f>IFERROR(VLOOKUP(B562,Week7,3,FALSE),130)</f>
        <v>130</v>
      </c>
      <c r="G562" s="4">
        <f>IF(ISBLANK(B562),,IFERROR(VLOOKUP(B562,CurrentRank!$B$2:$D$132,3,FALSE),130))</f>
        <v>130</v>
      </c>
      <c r="H562" s="4">
        <f>IFERROR(VLOOKUP(C562,Week7,2,FALSE),0)</f>
        <v>31.19</v>
      </c>
      <c r="I562" s="4">
        <f>IF(ISBLANK(B562),,IFERROR(VLOOKUP(C562,CurrentRank!$B$2:$C$132,2,FALSE),0))</f>
        <v>30.89</v>
      </c>
      <c r="J562" s="4">
        <f>IFERROR(VLOOKUP(C562,Week7,3,FALSE),130)</f>
        <v>70</v>
      </c>
      <c r="K562" s="4">
        <f>IF(ISBLANK(C562),,IFERROR(VLOOKUP(C562,CurrentRank!$B$2:$D$132,3,FALSE),130))</f>
        <v>103</v>
      </c>
      <c r="L562" s="19">
        <f t="shared" si="240"/>
        <v>0.46785</v>
      </c>
      <c r="M562" s="19">
        <f t="shared" si="241"/>
        <v>0.46335</v>
      </c>
      <c r="N562" s="24">
        <f t="shared" si="242"/>
        <v>100</v>
      </c>
      <c r="O562" s="21">
        <f t="shared" si="4"/>
        <v>-15.828925</v>
      </c>
      <c r="P562" s="21">
        <f t="shared" si="243"/>
        <v>-15.678925</v>
      </c>
      <c r="Q562" s="22">
        <f t="shared" si="6"/>
        <v>0.420855375</v>
      </c>
      <c r="R562" s="25" t="str">
        <f t="shared" si="7"/>
        <v>F</v>
      </c>
      <c r="S562" s="19">
        <f t="shared" si="8"/>
        <v>0.455</v>
      </c>
      <c r="T562" s="19" t="str">
        <f t="shared" si="9"/>
        <v>F</v>
      </c>
      <c r="U562" s="3" t="s">
        <v>203</v>
      </c>
      <c r="V562" s="4" t="str">
        <f>IF(ISBLANK(C562),,IFERROR(IF(VLOOKUP(B562,Standings!$A:$F, 6, 0)=VLOOKUP(C562,Standings!$A:$F, 6, 0), VLOOKUP(B562,Standings!$A:$F, 6, 0), "Non-con"), "FCS"))</f>
        <v>FCS</v>
      </c>
      <c r="W562" s="3" t="str">
        <f t="shared" si="10"/>
        <v>Jacksonville State</v>
      </c>
      <c r="X562" s="3" t="str">
        <f t="shared" si="11"/>
        <v>Florida International</v>
      </c>
      <c r="Y562" s="30" t="str">
        <f>IF(D562=0,,IF(ISBLANK(Q562),,VLOOKUP(X562,Week7,2,FALSE)/(VLOOKUP(X562,Week7,2,FALSE)+VLOOKUP(W562,Week7,2,FALSE))+0.05)*100)</f>
        <v/>
      </c>
      <c r="Z562" s="3" t="s">
        <v>252</v>
      </c>
      <c r="AA562" s="3">
        <v>19.0</v>
      </c>
      <c r="AB562" s="4" t="str">
        <f t="shared" si="20"/>
        <v>Florida International</v>
      </c>
      <c r="AC562" s="3">
        <v>10.0</v>
      </c>
      <c r="AD562" s="3"/>
      <c r="AE562" s="3">
        <f t="shared" si="13"/>
        <v>9</v>
      </c>
      <c r="AF562" s="3"/>
      <c r="AG562" s="3">
        <f t="shared" si="133"/>
        <v>0</v>
      </c>
      <c r="AH562" s="3"/>
      <c r="AI562" s="7"/>
      <c r="AJ562" s="4" t="s">
        <v>148</v>
      </c>
      <c r="AK562" s="7"/>
      <c r="AL562" s="7"/>
      <c r="AM562" s="7"/>
      <c r="AN562" s="7"/>
      <c r="AO562" s="7"/>
      <c r="AP562" s="7"/>
      <c r="AQ562" s="7"/>
      <c r="AR562" s="7"/>
      <c r="AS562" s="7"/>
      <c r="AT562" s="7"/>
      <c r="AU562" s="7"/>
      <c r="AV562" s="7"/>
      <c r="AW562" s="7"/>
      <c r="AX562" s="7"/>
    </row>
    <row r="563" ht="12.75" hidden="1" customHeight="1">
      <c r="A563" s="3">
        <v>2.0</v>
      </c>
      <c r="B563" s="3" t="s">
        <v>193</v>
      </c>
      <c r="C563" s="3" t="s">
        <v>94</v>
      </c>
      <c r="D563" s="4">
        <f>IFERROR(VLOOKUP(B563,Week1,2,FALSE),0)</f>
        <v>6.67</v>
      </c>
      <c r="E563" s="4">
        <f>IF(ISBLANK(B563),,IFERROR(VLOOKUP(B563,CurrentRank!$B$2:$C$132,2,FALSE),0))</f>
        <v>29.31</v>
      </c>
      <c r="F563" s="4">
        <f>IFERROR(VLOOKUP(B563,Week1,3,FALSE),130)</f>
        <v>35</v>
      </c>
      <c r="G563" s="4">
        <f>IF(ISBLANK(B563),,IFERROR(VLOOKUP(B563,CurrentRank!$B$2:$D$132,3,FALSE),130))</f>
        <v>115</v>
      </c>
      <c r="H563" s="4">
        <f>IFERROR(VLOOKUP(C563,Week1,2,FALSE),0)</f>
        <v>6.67</v>
      </c>
      <c r="I563" s="4">
        <f>IF(ISBLANK(B563),,IFERROR(VLOOKUP(C563,CurrentRank!$B$2:$C$132,2,FALSE),0))</f>
        <v>36.87</v>
      </c>
      <c r="J563" s="4">
        <f>IFERROR(VLOOKUP(C563,Week1,3,FALSE),130)</f>
        <v>35</v>
      </c>
      <c r="K563" s="4">
        <f>IF(ISBLANK(C563),,IFERROR(VLOOKUP(C563,CurrentRank!$B$2:$D$132,3,FALSE),130))</f>
        <v>48</v>
      </c>
      <c r="L563" s="19">
        <f t="shared" si="240"/>
        <v>0.2001</v>
      </c>
      <c r="M563" s="19">
        <f t="shared" si="241"/>
        <v>0.9927</v>
      </c>
      <c r="N563" s="24">
        <f t="shared" si="242"/>
        <v>35</v>
      </c>
      <c r="O563" s="21">
        <f t="shared" si="4"/>
        <v>-0.10005</v>
      </c>
      <c r="P563" s="21">
        <f t="shared" si="243"/>
        <v>-3.88005</v>
      </c>
      <c r="Q563" s="22">
        <f t="shared" si="6"/>
        <v>0.82449975</v>
      </c>
      <c r="R563" s="25" t="str">
        <f t="shared" si="7"/>
        <v>B-</v>
      </c>
      <c r="S563" s="19">
        <f t="shared" si="8"/>
        <v>0.755</v>
      </c>
      <c r="T563" s="19" t="str">
        <f t="shared" si="9"/>
        <v>C</v>
      </c>
      <c r="U563" s="3" t="s">
        <v>203</v>
      </c>
      <c r="V563" s="4" t="str">
        <f>IF(ISBLANK(C563),,IFERROR(IF(VLOOKUP(B563,Standings!$A:$F, 6, 0)=VLOOKUP(C563,Standings!$A:$F, 6, 0), VLOOKUP(B563,Standings!$A:$F, 6, 0), "Non-con"), "FCS"))</f>
        <v>Non-con</v>
      </c>
      <c r="W563" s="3" t="str">
        <f t="shared" si="10"/>
        <v>Western Kentucky</v>
      </c>
      <c r="X563" s="3" t="str">
        <f t="shared" si="11"/>
        <v>Louisville</v>
      </c>
      <c r="Y563" s="30">
        <f>IF(D563=0,,IF(ISBLANK(Q563),,VLOOKUP(X563,Week1,2,FALSE)/(VLOOKUP(X563,Week1,2,FALSE)+VLOOKUP(W563,Week1,2,FALSE))+0.05)*100)</f>
        <v>55</v>
      </c>
      <c r="Z563" s="3" t="s">
        <v>94</v>
      </c>
      <c r="AA563" s="3">
        <v>35.0</v>
      </c>
      <c r="AB563" s="4" t="str">
        <f t="shared" si="20"/>
        <v>Western Kentucky</v>
      </c>
      <c r="AC563" s="3">
        <v>21.0</v>
      </c>
      <c r="AD563" s="3"/>
      <c r="AE563" s="3">
        <f t="shared" si="13"/>
        <v>14</v>
      </c>
      <c r="AF563" s="3"/>
      <c r="AG563" s="3">
        <f t="shared" si="133"/>
        <v>1</v>
      </c>
      <c r="AH563" s="3"/>
      <c r="AI563" s="7"/>
      <c r="AJ563" s="4"/>
      <c r="AK563" s="7"/>
      <c r="AL563" s="7"/>
      <c r="AM563" s="7"/>
      <c r="AN563" s="7"/>
      <c r="AO563" s="7"/>
      <c r="AP563" s="7"/>
      <c r="AQ563" s="7"/>
      <c r="AR563" s="7"/>
      <c r="AS563" s="7"/>
      <c r="AT563" s="7"/>
      <c r="AU563" s="7"/>
      <c r="AV563" s="7"/>
      <c r="AW563" s="7"/>
      <c r="AX563" s="7"/>
    </row>
    <row r="564" ht="12.75" customHeight="1">
      <c r="A564" s="3">
        <v>13.0</v>
      </c>
      <c r="B564" s="3" t="s">
        <v>57</v>
      </c>
      <c r="C564" s="3" t="s">
        <v>87</v>
      </c>
      <c r="D564" s="4">
        <f>IFERROR(VLOOKUP(B564,Week12,2,FALSE),0)</f>
        <v>28.24</v>
      </c>
      <c r="E564" s="4">
        <f>IF(ISBLANK(B564),,IFERROR(VLOOKUP(B564,CurrentRank!$B$2:$C$132,2,FALSE),0))</f>
        <v>40.05</v>
      </c>
      <c r="F564" s="4">
        <f>IFERROR(VLOOKUP(B564,Week12,3,FALSE),130)</f>
        <v>116</v>
      </c>
      <c r="G564" s="4">
        <f>IF(ISBLANK(B564),,IFERROR(VLOOKUP(B564,CurrentRank!$B$2:$D$132,3,FALSE),130))</f>
        <v>34</v>
      </c>
      <c r="H564" s="4">
        <f>IFERROR(VLOOKUP(C564,Week12,2,FALSE),0)</f>
        <v>32.08</v>
      </c>
      <c r="I564" s="4">
        <f>IF(ISBLANK(B564),,IFERROR(VLOOKUP(C564,CurrentRank!$B$2:$C$132,2,FALSE),0))</f>
        <v>31.54</v>
      </c>
      <c r="J564" s="4">
        <f>IFERROR(VLOOKUP(C564,Week12,3,FALSE),130)</f>
        <v>82</v>
      </c>
      <c r="K564" s="4">
        <f>IF(ISBLANK(C564),,IFERROR(VLOOKUP(C564,CurrentRank!$B$2:$D$132,3,FALSE),130))</f>
        <v>97</v>
      </c>
      <c r="L564" s="19">
        <f t="shared" si="240"/>
        <v>0.9048</v>
      </c>
      <c r="M564" s="19">
        <f t="shared" si="241"/>
        <v>1.07385</v>
      </c>
      <c r="N564" s="24">
        <f t="shared" si="242"/>
        <v>99</v>
      </c>
      <c r="O564" s="21">
        <f t="shared" si="4"/>
        <v>-2.3724</v>
      </c>
      <c r="P564" s="21">
        <f t="shared" si="243"/>
        <v>3.8026</v>
      </c>
      <c r="Q564" s="22">
        <f t="shared" si="6"/>
        <v>0.493138</v>
      </c>
      <c r="R564" s="25" t="str">
        <f t="shared" si="7"/>
        <v>F</v>
      </c>
      <c r="S564" s="19">
        <f t="shared" si="8"/>
        <v>0.455</v>
      </c>
      <c r="T564" s="19" t="str">
        <f t="shared" si="9"/>
        <v>F</v>
      </c>
      <c r="U564" s="3" t="s">
        <v>203</v>
      </c>
      <c r="V564" s="4" t="str">
        <f>IF(ISBLANK(C564),,IFERROR(IF(VLOOKUP(B564,Standings!$A:$F, 6, 0)=VLOOKUP(C564,Standings!$A:$F, 6, 0), VLOOKUP(B564,Standings!$A:$F, 6, 0), "Non-con"), "FCS"))</f>
        <v>B1G</v>
      </c>
      <c r="W564" s="3" t="str">
        <f t="shared" si="10"/>
        <v>Penn State</v>
      </c>
      <c r="X564" s="3" t="str">
        <f t="shared" si="11"/>
        <v>Michigan</v>
      </c>
      <c r="Y564" s="30">
        <f>IF(D564=0,,IF(ISBLANK(Q564),,VLOOKUP(X564,Week12,2,FALSE)/(VLOOKUP(X564,Week12,2,FALSE)+VLOOKUP(W564,Week12,2,FALSE))+0.05)*100)</f>
        <v>58.18302387</v>
      </c>
      <c r="Z564" s="3" t="s">
        <v>57</v>
      </c>
      <c r="AA564" s="3">
        <v>27.0</v>
      </c>
      <c r="AB564" s="4" t="str">
        <f t="shared" si="20"/>
        <v>Michigan</v>
      </c>
      <c r="AC564" s="3">
        <v>17.0</v>
      </c>
      <c r="AD564" s="3"/>
      <c r="AE564" s="3">
        <f t="shared" si="13"/>
        <v>10</v>
      </c>
      <c r="AF564" s="3"/>
      <c r="AG564" s="3">
        <f t="shared" si="133"/>
        <v>0</v>
      </c>
      <c r="AH564" s="3"/>
      <c r="AI564" s="7"/>
      <c r="AJ564" s="4"/>
      <c r="AK564" s="7"/>
      <c r="AL564" s="7"/>
      <c r="AM564" s="7"/>
      <c r="AN564" s="7"/>
      <c r="AO564" s="7"/>
      <c r="AP564" s="7"/>
      <c r="AQ564" s="7"/>
      <c r="AR564" s="7"/>
      <c r="AS564" s="7"/>
      <c r="AT564" s="7"/>
      <c r="AU564" s="7"/>
      <c r="AV564" s="7"/>
      <c r="AW564" s="7"/>
      <c r="AX564" s="7"/>
    </row>
    <row r="565" ht="12.75" hidden="1" customHeight="1">
      <c r="A565" s="3">
        <v>2.0</v>
      </c>
      <c r="B565" s="3" t="s">
        <v>140</v>
      </c>
      <c r="C565" s="3" t="s">
        <v>98</v>
      </c>
      <c r="D565" s="4">
        <f>IFERROR(VLOOKUP(B565,Week1,2,FALSE),0)</f>
        <v>6.67</v>
      </c>
      <c r="E565" s="4">
        <f>IF(ISBLANK(B565),,IFERROR(VLOOKUP(B565,CurrentRank!$B$2:$C$132,2,FALSE),0))</f>
        <v>22.5</v>
      </c>
      <c r="F565" s="4">
        <f>IFERROR(VLOOKUP(B565,Week1,3,FALSE),130)</f>
        <v>35</v>
      </c>
      <c r="G565" s="4">
        <f>IF(ISBLANK(B565),,IFERROR(VLOOKUP(B565,CurrentRank!$B$2:$D$132,3,FALSE),130))</f>
        <v>126</v>
      </c>
      <c r="H565" s="4">
        <f>IFERROR(VLOOKUP(C565,Week1,2,FALSE),0)</f>
        <v>6.67</v>
      </c>
      <c r="I565" s="4">
        <f>IF(ISBLANK(B565),,IFERROR(VLOOKUP(C565,CurrentRank!$B$2:$C$132,2,FALSE),0))</f>
        <v>37.44</v>
      </c>
      <c r="J565" s="4">
        <f>IFERROR(VLOOKUP(C565,Week1,3,FALSE),130)</f>
        <v>35</v>
      </c>
      <c r="K565" s="4">
        <f>IF(ISBLANK(C565),,IFERROR(VLOOKUP(C565,CurrentRank!$B$2:$D$132,3,FALSE),130))</f>
        <v>42</v>
      </c>
      <c r="L565" s="19">
        <f t="shared" si="240"/>
        <v>0.2001</v>
      </c>
      <c r="M565" s="19">
        <f t="shared" si="241"/>
        <v>0.8991</v>
      </c>
      <c r="N565" s="24">
        <f t="shared" si="242"/>
        <v>35</v>
      </c>
      <c r="O565" s="21">
        <f t="shared" si="4"/>
        <v>-0.10005</v>
      </c>
      <c r="P565" s="21">
        <f t="shared" si="243"/>
        <v>-7.57005</v>
      </c>
      <c r="Q565" s="22">
        <f t="shared" si="6"/>
        <v>0.82449975</v>
      </c>
      <c r="R565" s="25" t="str">
        <f t="shared" si="7"/>
        <v>B-</v>
      </c>
      <c r="S565" s="19">
        <f t="shared" si="8"/>
        <v>0.75</v>
      </c>
      <c r="T565" s="19" t="str">
        <f t="shared" si="9"/>
        <v>C</v>
      </c>
      <c r="U565" s="3" t="s">
        <v>203</v>
      </c>
      <c r="V565" s="4" t="str">
        <f>IF(ISBLANK(C565),,IFERROR(IF(VLOOKUP(B565,Standings!$A:$F, 6, 0)=VLOOKUP(C565,Standings!$A:$F, 6, 0), VLOOKUP(B565,Standings!$A:$F, 6, 0), "Non-con"), "FCS"))</f>
        <v>Non-con</v>
      </c>
      <c r="W565" s="3" t="str">
        <f t="shared" si="10"/>
        <v>Charlotte</v>
      </c>
      <c r="X565" s="3" t="str">
        <f t="shared" si="11"/>
        <v>Appalachian State</v>
      </c>
      <c r="Y565" s="30">
        <f>IF(D565=0,,IF(ISBLANK(Q565),,VLOOKUP(X565,Week1,2,FALSE)/(VLOOKUP(X565,Week1,2,FALSE)+VLOOKUP(W565,Week1,2,FALSE))+0.05)*100)</f>
        <v>55</v>
      </c>
      <c r="Z565" s="3" t="s">
        <v>98</v>
      </c>
      <c r="AA565" s="3">
        <v>35.0</v>
      </c>
      <c r="AB565" s="4" t="str">
        <f t="shared" si="20"/>
        <v>Charlotte</v>
      </c>
      <c r="AC565" s="3">
        <v>20.0</v>
      </c>
      <c r="AD565" s="3"/>
      <c r="AE565" s="3">
        <f t="shared" si="13"/>
        <v>15</v>
      </c>
      <c r="AF565" s="3"/>
      <c r="AG565" s="3">
        <f t="shared" si="133"/>
        <v>1</v>
      </c>
      <c r="AH565" s="3"/>
      <c r="AI565" s="7"/>
      <c r="AJ565" s="4"/>
      <c r="AK565" s="7"/>
      <c r="AL565" s="7"/>
      <c r="AM565" s="7"/>
      <c r="AN565" s="7"/>
      <c r="AO565" s="7"/>
      <c r="AP565" s="7"/>
      <c r="AQ565" s="7"/>
      <c r="AR565" s="7"/>
      <c r="AS565" s="7"/>
      <c r="AT565" s="7"/>
      <c r="AU565" s="7"/>
      <c r="AV565" s="7"/>
      <c r="AW565" s="7"/>
      <c r="AX565" s="7"/>
    </row>
    <row r="566" ht="12.75" hidden="1" customHeight="1">
      <c r="A566" s="3">
        <v>8.0</v>
      </c>
      <c r="B566" s="3" t="s">
        <v>175</v>
      </c>
      <c r="C566" s="3" t="s">
        <v>164</v>
      </c>
      <c r="D566" s="4">
        <f>IFERROR(VLOOKUP(B566,Week7,2,FALSE),0)</f>
        <v>30.76</v>
      </c>
      <c r="E566" s="4">
        <f>IF(ISBLANK(B566),,IFERROR(VLOOKUP(B566,CurrentRank!$B$2:$C$132,2,FALSE),0))</f>
        <v>31.85</v>
      </c>
      <c r="F566" s="4">
        <f>IFERROR(VLOOKUP(B566,Week7,3,FALSE),130)</f>
        <v>72</v>
      </c>
      <c r="G566" s="4">
        <f>IF(ISBLANK(B566),,IFERROR(VLOOKUP(B566,CurrentRank!$B$2:$D$132,3,FALSE),130))</f>
        <v>95</v>
      </c>
      <c r="H566" s="4">
        <f>IFERROR(VLOOKUP(C566,Week7,2,FALSE),0)</f>
        <v>30.76</v>
      </c>
      <c r="I566" s="4">
        <f>IF(ISBLANK(B566),,IFERROR(VLOOKUP(C566,CurrentRank!$B$2:$C$132,2,FALSE),0))</f>
        <v>37.5</v>
      </c>
      <c r="J566" s="4">
        <f>IFERROR(VLOOKUP(C566,Week7,3,FALSE),130)</f>
        <v>72</v>
      </c>
      <c r="K566" s="4">
        <f>IF(ISBLANK(C566),,IFERROR(VLOOKUP(C566,CurrentRank!$B$2:$D$132,3,FALSE),130))</f>
        <v>41</v>
      </c>
      <c r="L566" s="19">
        <f t="shared" si="240"/>
        <v>0.9228</v>
      </c>
      <c r="M566" s="19">
        <f t="shared" si="241"/>
        <v>1.04025</v>
      </c>
      <c r="N566" s="24">
        <f t="shared" si="242"/>
        <v>72</v>
      </c>
      <c r="O566" s="21">
        <f t="shared" si="4"/>
        <v>-0.4614</v>
      </c>
      <c r="P566" s="21">
        <f t="shared" si="243"/>
        <v>-3.2864</v>
      </c>
      <c r="Q566" s="22">
        <f t="shared" si="6"/>
        <v>0.637693</v>
      </c>
      <c r="R566" s="25" t="str">
        <f t="shared" si="7"/>
        <v>D</v>
      </c>
      <c r="S566" s="19">
        <f t="shared" si="8"/>
        <v>0.625</v>
      </c>
      <c r="T566" s="19" t="str">
        <f t="shared" si="9"/>
        <v>D</v>
      </c>
      <c r="U566" s="3" t="s">
        <v>203</v>
      </c>
      <c r="V566" s="4" t="str">
        <f>IF(ISBLANK(C566),,IFERROR(IF(VLOOKUP(B566,Standings!$A:$F, 6, 0)=VLOOKUP(C566,Standings!$A:$F, 6, 0), VLOOKUP(B566,Standings!$A:$F, 6, 0), "Non-con"), "FCS"))</f>
        <v>MWC</v>
      </c>
      <c r="W566" s="3" t="str">
        <f t="shared" si="10"/>
        <v>Wyoming</v>
      </c>
      <c r="X566" s="3" t="str">
        <f t="shared" si="11"/>
        <v>Nevada</v>
      </c>
      <c r="Y566" s="30">
        <f>IF(D566=0,,IF(ISBLANK(Q566),,VLOOKUP(X566,Week7,2,FALSE)/(VLOOKUP(X566,Week7,2,FALSE)+VLOOKUP(W566,Week7,2,FALSE))+0.05)*100)</f>
        <v>55</v>
      </c>
      <c r="Z566" s="3" t="s">
        <v>164</v>
      </c>
      <c r="AA566" s="3">
        <v>37.0</v>
      </c>
      <c r="AB566" s="4" t="str">
        <f t="shared" si="20"/>
        <v>Wyoming</v>
      </c>
      <c r="AC566" s="3">
        <v>34.0</v>
      </c>
      <c r="AD566" s="3"/>
      <c r="AE566" s="3">
        <f t="shared" si="13"/>
        <v>3</v>
      </c>
      <c r="AF566" s="3"/>
      <c r="AG566" s="3">
        <f t="shared" si="133"/>
        <v>1</v>
      </c>
      <c r="AH566" s="3"/>
      <c r="AI566" s="7"/>
      <c r="AJ566" s="4"/>
      <c r="AK566" s="7"/>
      <c r="AL566" s="7"/>
      <c r="AM566" s="7"/>
      <c r="AN566" s="7"/>
      <c r="AO566" s="7"/>
      <c r="AP566" s="7"/>
      <c r="AQ566" s="7"/>
      <c r="AR566" s="7"/>
      <c r="AS566" s="7"/>
      <c r="AT566" s="7"/>
      <c r="AU566" s="7"/>
      <c r="AV566" s="7"/>
      <c r="AW566" s="7"/>
      <c r="AX566" s="7"/>
    </row>
    <row r="567" ht="12.75" hidden="1" customHeight="1">
      <c r="A567" s="3">
        <v>8.0</v>
      </c>
      <c r="B567" s="3" t="s">
        <v>97</v>
      </c>
      <c r="C567" s="3" t="s">
        <v>152</v>
      </c>
      <c r="D567" s="4">
        <f>IFERROR(VLOOKUP(B567,Week7,2,FALSE),0)</f>
        <v>30.76</v>
      </c>
      <c r="E567" s="4">
        <f>IF(ISBLANK(B567),,IFERROR(VLOOKUP(B567,CurrentRank!$B$2:$C$132,2,FALSE),0))</f>
        <v>71.81</v>
      </c>
      <c r="F567" s="4">
        <f>IFERROR(VLOOKUP(B567,Week7,3,FALSE),130)</f>
        <v>72</v>
      </c>
      <c r="G567" s="4">
        <f>IF(ISBLANK(B567),,IFERROR(VLOOKUP(B567,CurrentRank!$B$2:$D$132,3,FALSE),130))</f>
        <v>12</v>
      </c>
      <c r="H567" s="4">
        <f>IFERROR(VLOOKUP(C567,Week7,2,FALSE),0)</f>
        <v>30.76</v>
      </c>
      <c r="I567" s="4">
        <f>IF(ISBLANK(B567),,IFERROR(VLOOKUP(C567,CurrentRank!$B$2:$C$132,2,FALSE),0))</f>
        <v>32.23</v>
      </c>
      <c r="J567" s="4">
        <f>IFERROR(VLOOKUP(C567,Week7,3,FALSE),130)</f>
        <v>72</v>
      </c>
      <c r="K567" s="4">
        <f>IF(ISBLANK(C567),,IFERROR(VLOOKUP(C567,CurrentRank!$B$2:$D$132,3,FALSE),130))</f>
        <v>92</v>
      </c>
      <c r="L567" s="19">
        <f t="shared" si="240"/>
        <v>0.9228</v>
      </c>
      <c r="M567" s="19">
        <f t="shared" si="241"/>
        <v>1.5606</v>
      </c>
      <c r="N567" s="24">
        <f t="shared" si="242"/>
        <v>72</v>
      </c>
      <c r="O567" s="21">
        <f t="shared" si="4"/>
        <v>-0.4614</v>
      </c>
      <c r="P567" s="21">
        <f t="shared" si="243"/>
        <v>19.3286</v>
      </c>
      <c r="Q567" s="22">
        <f t="shared" si="6"/>
        <v>0.637693</v>
      </c>
      <c r="R567" s="25" t="str">
        <f t="shared" si="7"/>
        <v>D</v>
      </c>
      <c r="S567" s="19">
        <f t="shared" si="8"/>
        <v>0.62</v>
      </c>
      <c r="T567" s="19" t="str">
        <f t="shared" si="9"/>
        <v>D-</v>
      </c>
      <c r="U567" s="3" t="s">
        <v>203</v>
      </c>
      <c r="V567" s="4" t="str">
        <f>IF(ISBLANK(C567),,IFERROR(IF(VLOOKUP(B567,Standings!$A:$F, 6, 0)=VLOOKUP(C567,Standings!$A:$F, 6, 0), VLOOKUP(B567,Standings!$A:$F, 6, 0), "Non-con"), "FCS"))</f>
        <v>B1G</v>
      </c>
      <c r="W567" s="3" t="str">
        <f t="shared" si="10"/>
        <v>Iowa</v>
      </c>
      <c r="X567" s="3" t="str">
        <f t="shared" si="11"/>
        <v>Purdue</v>
      </c>
      <c r="Y567" s="30">
        <f>IF(D567=0,,IF(ISBLANK(Q567),,VLOOKUP(X567,Week7,2,FALSE)/(VLOOKUP(X567,Week7,2,FALSE)+VLOOKUP(W567,Week7,2,FALSE))+0.05)*100)</f>
        <v>55</v>
      </c>
      <c r="Z567" s="3" t="s">
        <v>152</v>
      </c>
      <c r="AA567" s="3">
        <v>24.0</v>
      </c>
      <c r="AB567" s="4" t="str">
        <f t="shared" si="20"/>
        <v>Iowa</v>
      </c>
      <c r="AC567" s="3">
        <v>20.0</v>
      </c>
      <c r="AD567" s="3"/>
      <c r="AE567" s="3">
        <f t="shared" si="13"/>
        <v>4</v>
      </c>
      <c r="AF567" s="3"/>
      <c r="AG567" s="3">
        <f t="shared" si="133"/>
        <v>1</v>
      </c>
      <c r="AH567" s="3"/>
      <c r="AI567" s="7"/>
      <c r="AJ567" s="4" t="s">
        <v>179</v>
      </c>
      <c r="AK567" s="7"/>
      <c r="AL567" s="7"/>
      <c r="AM567" s="7"/>
      <c r="AN567" s="7"/>
      <c r="AO567" s="7"/>
      <c r="AP567" s="7"/>
      <c r="AQ567" s="7"/>
      <c r="AR567" s="7"/>
      <c r="AS567" s="7"/>
      <c r="AT567" s="7"/>
      <c r="AU567" s="7"/>
      <c r="AV567" s="7"/>
      <c r="AW567" s="7"/>
      <c r="AX567" s="7"/>
    </row>
    <row r="568" ht="12.75" hidden="1" customHeight="1">
      <c r="A568" s="3">
        <v>10.0</v>
      </c>
      <c r="B568" s="3" t="s">
        <v>138</v>
      </c>
      <c r="C568" s="3" t="s">
        <v>171</v>
      </c>
      <c r="D568" s="4">
        <f>IFERROR(VLOOKUP(B568,CurrentRank!$B$2:$C$132,2,FALSE),0)</f>
        <v>40.47</v>
      </c>
      <c r="E568" s="4">
        <f>IF(ISBLANK(B568),,IFERROR(VLOOKUP(B568,CurrentRank!$B$2:$C$132,2,FALSE),0))</f>
        <v>40.47</v>
      </c>
      <c r="F568" s="4">
        <f>IFERROR(VLOOKUP(B568,Week9,3,FALSE),130)</f>
        <v>83</v>
      </c>
      <c r="G568" s="4">
        <f>IF(ISBLANK(B568),,IFERROR(VLOOKUP(B568,CurrentRank!$B$2:$D$132,3,FALSE),130))</f>
        <v>33</v>
      </c>
      <c r="H568" s="4">
        <f>IFERROR(VLOOKUP(C568,CurrentRank!$B$2:$C$132,2,FALSE),0)</f>
        <v>36.35</v>
      </c>
      <c r="I568" s="4">
        <f>IF(ISBLANK(B568),,IFERROR(VLOOKUP(C568,CurrentRank!$B$2:$C$132,2,FALSE),0))</f>
        <v>36.35</v>
      </c>
      <c r="J568" s="4">
        <f>IFERROR(VLOOKUP(C568,Week9,3,FALSE),130)</f>
        <v>83</v>
      </c>
      <c r="K568" s="4">
        <f>IF(ISBLANK(C568),,IFERROR(VLOOKUP(C568,CurrentRank!$B$2:$D$132,3,FALSE),130))</f>
        <v>53</v>
      </c>
      <c r="L568" s="19">
        <f t="shared" ref="L568:M568" si="244">IF(ISBLANK(C568),,(D568+H568)*0.015)</f>
        <v>1.1523</v>
      </c>
      <c r="M568" s="19">
        <f t="shared" si="244"/>
        <v>1.1523</v>
      </c>
      <c r="N568" s="24">
        <f t="shared" si="242"/>
        <v>83</v>
      </c>
      <c r="O568" s="21">
        <f t="shared" si="4"/>
        <v>1.48385</v>
      </c>
      <c r="P568" s="24">
        <f t="shared" ref="P568:P569" si="246">(D568-(H568+L568))/2</f>
        <v>1.48385</v>
      </c>
      <c r="Q568" s="22">
        <f t="shared" si="6"/>
        <v>0.57758075</v>
      </c>
      <c r="R568" s="25" t="str">
        <f t="shared" si="7"/>
        <v>F</v>
      </c>
      <c r="S568" s="19" t="str">
        <f t="shared" si="8"/>
        <v/>
      </c>
      <c r="T568" s="19" t="str">
        <f t="shared" si="9"/>
        <v/>
      </c>
      <c r="U568" s="3" t="s">
        <v>203</v>
      </c>
      <c r="V568" s="4" t="str">
        <f>IFERROR(IF(VLOOKUP(B568,Standings!$A:$F, 6, 0)=VLOOKUP(C568,Standings!$A:$F, 6, 0), VLOOKUP(B568,Standings!$A:$F, 6, 0), "Non-con"), "FCS")</f>
        <v>PAC12</v>
      </c>
      <c r="W568" s="3" t="str">
        <f t="shared" si="10"/>
        <v>California</v>
      </c>
      <c r="X568" s="3" t="str">
        <f t="shared" si="11"/>
        <v>Washington</v>
      </c>
      <c r="Y568" s="30">
        <f>IF(D568=0,,IF(ISBLANK(Q568),,VLOOKUP(X568,Week9,2,FALSE)/(VLOOKUP(X568,Week9,2,FALSE)+VLOOKUP(W568,Week9,2,FALSE))+0.05)*100)</f>
        <v>55</v>
      </c>
      <c r="Z568" s="3"/>
      <c r="AA568" s="3"/>
      <c r="AB568" s="4" t="str">
        <f t="shared" si="20"/>
        <v/>
      </c>
      <c r="AC568" s="3"/>
      <c r="AD568" s="3"/>
      <c r="AE568" s="3" t="str">
        <f t="shared" si="13"/>
        <v/>
      </c>
      <c r="AF568" s="3" t="s">
        <v>226</v>
      </c>
      <c r="AG568" s="3" t="str">
        <f t="shared" si="133"/>
        <v/>
      </c>
      <c r="AH568" s="3"/>
      <c r="AI568" s="7"/>
      <c r="AJ568" s="4"/>
      <c r="AK568" s="7"/>
      <c r="AL568" s="7"/>
      <c r="AM568" s="7"/>
      <c r="AN568" s="7"/>
      <c r="AO568" s="7"/>
      <c r="AP568" s="7"/>
      <c r="AQ568" s="7"/>
      <c r="AR568" s="7"/>
      <c r="AS568" s="7"/>
      <c r="AT568" s="7"/>
      <c r="AU568" s="7"/>
      <c r="AV568" s="7"/>
      <c r="AW568" s="7"/>
      <c r="AX568" s="7"/>
    </row>
    <row r="569" ht="12.75" hidden="1" customHeight="1">
      <c r="A569" s="3">
        <v>10.0</v>
      </c>
      <c r="B569" s="3" t="s">
        <v>168</v>
      </c>
      <c r="C569" s="3" t="s">
        <v>96</v>
      </c>
      <c r="D569" s="4">
        <f>IFERROR(VLOOKUP(B569,CurrentRank!$B$2:$C$132,2,FALSE),0)</f>
        <v>27.16</v>
      </c>
      <c r="E569" s="4">
        <f>IF(ISBLANK(B569),,IFERROR(VLOOKUP(B569,CurrentRank!$B$2:$C$132,2,FALSE),0))</f>
        <v>27.16</v>
      </c>
      <c r="F569" s="4">
        <f>IFERROR(VLOOKUP(B569,Week9,3,FALSE),130)</f>
        <v>83</v>
      </c>
      <c r="G569" s="4">
        <f>IF(ISBLANK(B569),,IFERROR(VLOOKUP(B569,CurrentRank!$B$2:$D$132,3,FALSE),130))</f>
        <v>122</v>
      </c>
      <c r="H569" s="4">
        <f>IFERROR(VLOOKUP(C569,CurrentRank!$B$2:$C$132,2,FALSE),0)</f>
        <v>43.66</v>
      </c>
      <c r="I569" s="4">
        <f>IF(ISBLANK(B569),,IFERROR(VLOOKUP(C569,CurrentRank!$B$2:$C$132,2,FALSE),0))</f>
        <v>43.66</v>
      </c>
      <c r="J569" s="4">
        <f>IFERROR(VLOOKUP(C569,Week9,3,FALSE),130)</f>
        <v>83</v>
      </c>
      <c r="K569" s="4">
        <f>IF(ISBLANK(C569),,IFERROR(VLOOKUP(C569,CurrentRank!$B$2:$D$132,3,FALSE),130))</f>
        <v>27</v>
      </c>
      <c r="L569" s="19">
        <f t="shared" ref="L569:M569" si="245">IF(ISBLANK(C569),,(D569+H569)*0.015)</f>
        <v>1.0623</v>
      </c>
      <c r="M569" s="19">
        <f t="shared" si="245"/>
        <v>1.0623</v>
      </c>
      <c r="N569" s="24">
        <f t="shared" si="242"/>
        <v>83</v>
      </c>
      <c r="O569" s="21">
        <f t="shared" si="4"/>
        <v>-8.78115</v>
      </c>
      <c r="P569" s="24">
        <f t="shared" si="246"/>
        <v>-8.78115</v>
      </c>
      <c r="Q569" s="22">
        <f t="shared" si="6"/>
        <v>0.54109425</v>
      </c>
      <c r="R569" s="25" t="str">
        <f t="shared" si="7"/>
        <v>F</v>
      </c>
      <c r="S569" s="19" t="str">
        <f t="shared" si="8"/>
        <v/>
      </c>
      <c r="T569" s="19" t="str">
        <f t="shared" si="9"/>
        <v/>
      </c>
      <c r="U569" s="3" t="s">
        <v>203</v>
      </c>
      <c r="V569" s="4" t="str">
        <f>IFERROR(IF(VLOOKUP(B569,Standings!$A:$F, 6, 0)=VLOOKUP(C569,Standings!$A:$F, 6, 0), VLOOKUP(B569,Standings!$A:$F, 6, 0), "Non-con"), "FCS")</f>
        <v>PAC12</v>
      </c>
      <c r="W569" s="3" t="str">
        <f t="shared" si="10"/>
        <v>Arizona</v>
      </c>
      <c r="X569" s="3" t="str">
        <f t="shared" si="11"/>
        <v>Utah</v>
      </c>
      <c r="Y569" s="30">
        <f>IF(D569=0,,IF(ISBLANK(Q569),,VLOOKUP(X569,Week9,2,FALSE)/(VLOOKUP(X569,Week9,2,FALSE)+VLOOKUP(W569,Week9,2,FALSE))+0.05)*100)</f>
        <v>55</v>
      </c>
      <c r="Z569" s="3"/>
      <c r="AA569" s="3"/>
      <c r="AB569" s="4" t="str">
        <f t="shared" si="20"/>
        <v/>
      </c>
      <c r="AC569" s="3"/>
      <c r="AD569" s="3"/>
      <c r="AE569" s="3" t="str">
        <f t="shared" si="13"/>
        <v/>
      </c>
      <c r="AF569" s="3" t="s">
        <v>226</v>
      </c>
      <c r="AG569" s="3" t="str">
        <f t="shared" si="133"/>
        <v/>
      </c>
      <c r="AH569" s="3"/>
      <c r="AI569" s="7"/>
      <c r="AJ569" s="4" t="s">
        <v>108</v>
      </c>
      <c r="AK569" s="3" t="s">
        <v>277</v>
      </c>
      <c r="AL569" s="44" t="s">
        <v>278</v>
      </c>
      <c r="AM569" s="7"/>
      <c r="AN569" s="7"/>
      <c r="AO569" s="7"/>
      <c r="AP569" s="7"/>
      <c r="AQ569" s="7"/>
      <c r="AR569" s="7"/>
      <c r="AS569" s="7"/>
      <c r="AT569" s="7"/>
      <c r="AU569" s="7"/>
      <c r="AV569" s="7"/>
      <c r="AW569" s="7"/>
      <c r="AX569" s="7"/>
    </row>
    <row r="570" ht="12.75" customHeight="1">
      <c r="A570" s="3">
        <v>13.0</v>
      </c>
      <c r="B570" s="3" t="s">
        <v>102</v>
      </c>
      <c r="C570" s="3" t="s">
        <v>115</v>
      </c>
      <c r="D570" s="4">
        <f>IFERROR(VLOOKUP(B570,Week12,2,FALSE),0)</f>
        <v>30.02</v>
      </c>
      <c r="E570" s="4">
        <f>IF(ISBLANK(B570),,IFERROR(VLOOKUP(B570,CurrentRank!$B$2:$C$132,2,FALSE),0))</f>
        <v>31.07</v>
      </c>
      <c r="F570" s="4">
        <f>IFERROR(VLOOKUP(B570,Week12,3,FALSE),130)</f>
        <v>107</v>
      </c>
      <c r="G570" s="4">
        <f>IF(ISBLANK(B570),,IFERROR(VLOOKUP(B570,CurrentRank!$B$2:$D$132,3,FALSE),130))</f>
        <v>102</v>
      </c>
      <c r="H570" s="4">
        <f>IFERROR(VLOOKUP(C570,Week12,2,FALSE),0)</f>
        <v>30.65</v>
      </c>
      <c r="I570" s="4">
        <f>IF(ISBLANK(B570),,IFERROR(VLOOKUP(C570,CurrentRank!$B$2:$C$132,2,FALSE),0))</f>
        <v>32.29</v>
      </c>
      <c r="J570" s="4">
        <f>IFERROR(VLOOKUP(C570,Week12,3,FALSE),130)</f>
        <v>99</v>
      </c>
      <c r="K570" s="4">
        <f>IF(ISBLANK(C570),,IFERROR(VLOOKUP(C570,CurrentRank!$B$2:$D$132,3,FALSE),130))</f>
        <v>91</v>
      </c>
      <c r="L570" s="19">
        <f t="shared" ref="L570:L582" si="247">IF(U570= "Yes", 0, IF(ISBLANK(C570),,(D570+H570)*0.015))</f>
        <v>0.91005</v>
      </c>
      <c r="M570" s="19">
        <f t="shared" ref="M570:M582" si="248">IF(U570= "Yes", 0, IF(ISBLANK(D570),,(E570+I570)*0.015))</f>
        <v>0.9504</v>
      </c>
      <c r="N570" s="24">
        <f t="shared" si="242"/>
        <v>103</v>
      </c>
      <c r="O570" s="21">
        <f t="shared" si="4"/>
        <v>-0.770025</v>
      </c>
      <c r="P570" s="21">
        <f t="shared" ref="P570:P610" si="249">IF(ISBLANK(C570),,(E570-(I570+L570))/2)</f>
        <v>-1.065025</v>
      </c>
      <c r="Q570" s="22">
        <f t="shared" si="6"/>
        <v>0.481149875</v>
      </c>
      <c r="R570" s="25" t="str">
        <f t="shared" si="7"/>
        <v>F</v>
      </c>
      <c r="S570" s="19">
        <f t="shared" si="8"/>
        <v>0.45</v>
      </c>
      <c r="T570" s="19" t="str">
        <f t="shared" si="9"/>
        <v>F</v>
      </c>
      <c r="U570" s="3" t="s">
        <v>203</v>
      </c>
      <c r="V570" s="4" t="str">
        <f>IF(ISBLANK(C570),,IFERROR(IF(VLOOKUP(B570,Standings!$A:$F, 6, 0)=VLOOKUP(C570,Standings!$A:$F, 6, 0), VLOOKUP(B570,Standings!$A:$F, 6, 0), "Non-con"), "FCS"))</f>
        <v>SUN</v>
      </c>
      <c r="W570" s="3" t="str">
        <f t="shared" si="10"/>
        <v>South Alabama</v>
      </c>
      <c r="X570" s="3" t="str">
        <f t="shared" si="11"/>
        <v>Arkansas State</v>
      </c>
      <c r="Y570" s="30">
        <f>IF(D570=0,,IF(ISBLANK(Q570),,VLOOKUP(X570,Week12,2,FALSE)/(VLOOKUP(X570,Week12,2,FALSE)+VLOOKUP(W570,Week12,2,FALSE))+0.05)*100)</f>
        <v>55.51920224</v>
      </c>
      <c r="Z570" s="3" t="s">
        <v>102</v>
      </c>
      <c r="AA570" s="3">
        <v>38.0</v>
      </c>
      <c r="AB570" s="4" t="str">
        <f t="shared" si="20"/>
        <v>Arkansas State</v>
      </c>
      <c r="AC570" s="3">
        <v>31.0</v>
      </c>
      <c r="AD570" s="3"/>
      <c r="AE570" s="3">
        <f t="shared" si="13"/>
        <v>7</v>
      </c>
      <c r="AF570" s="3"/>
      <c r="AG570" s="3">
        <f t="shared" si="133"/>
        <v>0</v>
      </c>
      <c r="AH570" s="3"/>
      <c r="AI570" s="7"/>
      <c r="AJ570" s="4"/>
      <c r="AK570" s="7"/>
      <c r="AL570" s="7"/>
      <c r="AM570" s="7"/>
      <c r="AN570" s="7"/>
      <c r="AO570" s="7"/>
      <c r="AP570" s="7"/>
      <c r="AQ570" s="7"/>
      <c r="AR570" s="7"/>
      <c r="AS570" s="7"/>
      <c r="AT570" s="7"/>
      <c r="AU570" s="7"/>
      <c r="AV570" s="7"/>
      <c r="AW570" s="7"/>
      <c r="AX570" s="7"/>
    </row>
    <row r="571" ht="12.75" hidden="1" customHeight="1">
      <c r="A571" s="3">
        <v>10.0</v>
      </c>
      <c r="B571" s="3" t="s">
        <v>142</v>
      </c>
      <c r="C571" s="3" t="s">
        <v>157</v>
      </c>
      <c r="D571" s="4">
        <f>IFERROR(VLOOKUP(B571,Week9,2,FALSE),0)</f>
        <v>30.61</v>
      </c>
      <c r="E571" s="4">
        <f>IF(ISBLANK(B571),,IFERROR(VLOOKUP(B571,CurrentRank!$B$2:$C$132,2,FALSE),0))</f>
        <v>35.28</v>
      </c>
      <c r="F571" s="4">
        <f>IFERROR(VLOOKUP(B571,Week9,3,FALSE),130)</f>
        <v>83</v>
      </c>
      <c r="G571" s="4">
        <f>IF(ISBLANK(B571),,IFERROR(VLOOKUP(B571,CurrentRank!$B$2:$D$132,3,FALSE),130))</f>
        <v>63</v>
      </c>
      <c r="H571" s="4">
        <f>IFERROR(VLOOKUP(C571,Week9,2,FALSE),0)</f>
        <v>30.61</v>
      </c>
      <c r="I571" s="4">
        <f>IF(ISBLANK(B571),,IFERROR(VLOOKUP(C571,CurrentRank!$B$2:$C$132,2,FALSE),0))</f>
        <v>33.69</v>
      </c>
      <c r="J571" s="4">
        <f>IFERROR(VLOOKUP(C571,Week9,3,FALSE),130)</f>
        <v>83</v>
      </c>
      <c r="K571" s="4">
        <f>IF(ISBLANK(C571),,IFERROR(VLOOKUP(C571,CurrentRank!$B$2:$D$132,3,FALSE),130))</f>
        <v>77</v>
      </c>
      <c r="L571" s="19">
        <f t="shared" si="247"/>
        <v>0.9183</v>
      </c>
      <c r="M571" s="19">
        <f t="shared" si="248"/>
        <v>1.03455</v>
      </c>
      <c r="N571" s="24">
        <f t="shared" si="242"/>
        <v>83</v>
      </c>
      <c r="O571" s="21">
        <f t="shared" si="4"/>
        <v>-0.45915</v>
      </c>
      <c r="P571" s="21">
        <f t="shared" si="249"/>
        <v>0.33585</v>
      </c>
      <c r="Q571" s="22">
        <f t="shared" si="6"/>
        <v>0.58270425</v>
      </c>
      <c r="R571" s="25" t="str">
        <f t="shared" si="7"/>
        <v>F</v>
      </c>
      <c r="S571" s="19">
        <f t="shared" si="8"/>
        <v>0.57</v>
      </c>
      <c r="T571" s="19" t="str">
        <f t="shared" si="9"/>
        <v>F</v>
      </c>
      <c r="U571" s="3" t="s">
        <v>203</v>
      </c>
      <c r="V571" s="4" t="str">
        <f>IF(ISBLANK(C571),,IFERROR(IF(VLOOKUP(B571,Standings!$A:$F, 6, 0)=VLOOKUP(C571,Standings!$A:$F, 6, 0), VLOOKUP(B571,Standings!$A:$F, 6, 0), "Non-con"), "FCS"))</f>
        <v>MAC</v>
      </c>
      <c r="W571" s="3" t="str">
        <f t="shared" si="10"/>
        <v>Ohio</v>
      </c>
      <c r="X571" s="3" t="str">
        <f t="shared" si="11"/>
        <v>Central Michigan</v>
      </c>
      <c r="Y571" s="30">
        <f>IF(D571=0,,IF(ISBLANK(Q571),,VLOOKUP(X571,Week9,2,FALSE)/(VLOOKUP(X571,Week9,2,FALSE)+VLOOKUP(W571,Week9,2,FALSE))+0.05)*100)</f>
        <v>55</v>
      </c>
      <c r="Z571" s="3" t="s">
        <v>157</v>
      </c>
      <c r="AA571" s="3">
        <v>30.0</v>
      </c>
      <c r="AB571" s="4" t="str">
        <f t="shared" si="20"/>
        <v>Ohio</v>
      </c>
      <c r="AC571" s="3">
        <v>27.0</v>
      </c>
      <c r="AD571" s="3"/>
      <c r="AE571" s="3">
        <f t="shared" si="13"/>
        <v>3</v>
      </c>
      <c r="AF571" s="3"/>
      <c r="AG571" s="3">
        <f t="shared" si="133"/>
        <v>1</v>
      </c>
      <c r="AH571" s="3"/>
      <c r="AI571" s="7"/>
      <c r="AJ571" s="4" t="s">
        <v>91</v>
      </c>
      <c r="AK571" s="7"/>
      <c r="AL571" s="7"/>
      <c r="AM571" s="7"/>
      <c r="AN571" s="7"/>
      <c r="AO571" s="7"/>
      <c r="AP571" s="7"/>
      <c r="AQ571" s="7"/>
      <c r="AR571" s="7"/>
      <c r="AS571" s="7"/>
      <c r="AT571" s="7"/>
      <c r="AU571" s="7"/>
      <c r="AV571" s="7"/>
      <c r="AW571" s="7"/>
      <c r="AX571" s="7"/>
    </row>
    <row r="572" ht="12.75" customHeight="1">
      <c r="A572" s="3">
        <v>12.0</v>
      </c>
      <c r="B572" s="3" t="s">
        <v>136</v>
      </c>
      <c r="C572" s="3" t="s">
        <v>102</v>
      </c>
      <c r="D572" s="4">
        <f>IFERROR(VLOOKUP(B572,Week11,2,FALSE),0)</f>
        <v>31.86</v>
      </c>
      <c r="E572" s="4">
        <f>IF(ISBLANK(B572),,IFERROR(VLOOKUP(B572,CurrentRank!$B$2:$C$132,2,FALSE),0))</f>
        <v>35.33</v>
      </c>
      <c r="F572" s="4">
        <f>IFERROR(VLOOKUP(B572,Week11,3,FALSE),130)</f>
        <v>90</v>
      </c>
      <c r="G572" s="4">
        <f>IF(ISBLANK(B572),,IFERROR(VLOOKUP(B572,CurrentRank!$B$2:$D$132,3,FALSE),130))</f>
        <v>62</v>
      </c>
      <c r="H572" s="4">
        <f>IFERROR(VLOOKUP(C572,Week11,2,FALSE),0)</f>
        <v>31</v>
      </c>
      <c r="I572" s="4">
        <f>IF(ISBLANK(B572),,IFERROR(VLOOKUP(C572,CurrentRank!$B$2:$C$132,2,FALSE),0))</f>
        <v>31.07</v>
      </c>
      <c r="J572" s="4">
        <f>IFERROR(VLOOKUP(C572,Week11,3,FALSE),130)</f>
        <v>96</v>
      </c>
      <c r="K572" s="4">
        <f>IF(ISBLANK(C572),,IFERROR(VLOOKUP(C572,CurrentRank!$B$2:$D$132,3,FALSE),130))</f>
        <v>102</v>
      </c>
      <c r="L572" s="19">
        <f t="shared" si="247"/>
        <v>0.9429</v>
      </c>
      <c r="M572" s="19">
        <f t="shared" si="248"/>
        <v>0.996</v>
      </c>
      <c r="N572" s="24">
        <f t="shared" si="242"/>
        <v>93</v>
      </c>
      <c r="O572" s="21">
        <f t="shared" si="4"/>
        <v>-0.04145</v>
      </c>
      <c r="P572" s="21">
        <f t="shared" si="249"/>
        <v>1.65855</v>
      </c>
      <c r="Q572" s="22">
        <f t="shared" si="6"/>
        <v>0.53479275</v>
      </c>
      <c r="R572" s="25" t="str">
        <f t="shared" si="7"/>
        <v>F</v>
      </c>
      <c r="S572" s="19">
        <f t="shared" si="8"/>
        <v>0.45</v>
      </c>
      <c r="T572" s="19" t="str">
        <f t="shared" si="9"/>
        <v>F</v>
      </c>
      <c r="U572" s="3" t="s">
        <v>203</v>
      </c>
      <c r="V572" s="4" t="str">
        <f>IF(ISBLANK(C572),,IFERROR(IF(VLOOKUP(B572,Standings!$A:$F, 6, 0)=VLOOKUP(C572,Standings!$A:$F, 6, 0), VLOOKUP(B572,Standings!$A:$F, 6, 0), "Non-con"), "FCS"))</f>
        <v>SUN</v>
      </c>
      <c r="W572" s="3" t="str">
        <f t="shared" si="10"/>
        <v>Georgia State</v>
      </c>
      <c r="X572" s="3" t="str">
        <f t="shared" si="11"/>
        <v>South Alabama</v>
      </c>
      <c r="Y572" s="30">
        <f>IF(D572=0,,IF(ISBLANK(Q572),,VLOOKUP(X572,Week11,2,FALSE)/(VLOOKUP(X572,Week11,2,FALSE)+VLOOKUP(W572,Week11,2,FALSE))+0.05)*100)</f>
        <v>54.31594018</v>
      </c>
      <c r="Z572" s="3" t="s">
        <v>136</v>
      </c>
      <c r="AA572" s="3">
        <v>31.0</v>
      </c>
      <c r="AB572" s="4" t="str">
        <f t="shared" si="20"/>
        <v>South Alabama</v>
      </c>
      <c r="AC572" s="3">
        <v>14.0</v>
      </c>
      <c r="AD572" s="3"/>
      <c r="AE572" s="3">
        <f t="shared" si="13"/>
        <v>17</v>
      </c>
      <c r="AF572" s="3"/>
      <c r="AG572" s="3">
        <f t="shared" si="133"/>
        <v>0</v>
      </c>
      <c r="AH572" s="3"/>
      <c r="AI572" s="7"/>
      <c r="AJ572" s="4"/>
      <c r="AK572" s="7"/>
      <c r="AL572" s="7"/>
      <c r="AM572" s="7"/>
      <c r="AN572" s="7"/>
      <c r="AO572" s="7"/>
      <c r="AP572" s="7"/>
      <c r="AQ572" s="7"/>
      <c r="AR572" s="7"/>
      <c r="AS572" s="7"/>
      <c r="AT572" s="7"/>
      <c r="AU572" s="7"/>
      <c r="AV572" s="7"/>
      <c r="AW572" s="7"/>
      <c r="AX572" s="7"/>
    </row>
    <row r="573" ht="12.75" hidden="1" customHeight="1">
      <c r="A573" s="3">
        <v>10.0</v>
      </c>
      <c r="B573" s="3" t="s">
        <v>169</v>
      </c>
      <c r="C573" s="3" t="s">
        <v>191</v>
      </c>
      <c r="D573" s="4">
        <f>IFERROR(VLOOKUP(B573,Week9,2,FALSE),0)</f>
        <v>30.61</v>
      </c>
      <c r="E573" s="4">
        <f>IF(ISBLANK(B573),,IFERROR(VLOOKUP(B573,CurrentRank!$B$2:$C$132,2,FALSE),0))</f>
        <v>34.3</v>
      </c>
      <c r="F573" s="4">
        <f>IFERROR(VLOOKUP(B573,Week9,3,FALSE),130)</f>
        <v>83</v>
      </c>
      <c r="G573" s="4">
        <f>IF(ISBLANK(B573),,IFERROR(VLOOKUP(B573,CurrentRank!$B$2:$D$132,3,FALSE),130))</f>
        <v>71</v>
      </c>
      <c r="H573" s="4">
        <f>IFERROR(VLOOKUP(C573,Week9,2,FALSE),0)</f>
        <v>30.61</v>
      </c>
      <c r="I573" s="4">
        <f>IF(ISBLANK(B573),,IFERROR(VLOOKUP(C573,CurrentRank!$B$2:$C$132,2,FALSE),0))</f>
        <v>34.71</v>
      </c>
      <c r="J573" s="4">
        <f>IFERROR(VLOOKUP(C573,Week9,3,FALSE),130)</f>
        <v>83</v>
      </c>
      <c r="K573" s="4">
        <f>IF(ISBLANK(C573),,IFERROR(VLOOKUP(C573,CurrentRank!$B$2:$D$132,3,FALSE),130))</f>
        <v>68</v>
      </c>
      <c r="L573" s="19">
        <f t="shared" si="247"/>
        <v>0.9183</v>
      </c>
      <c r="M573" s="19">
        <f t="shared" si="248"/>
        <v>1.03515</v>
      </c>
      <c r="N573" s="24">
        <f t="shared" si="242"/>
        <v>83</v>
      </c>
      <c r="O573" s="21">
        <f t="shared" si="4"/>
        <v>-0.45915</v>
      </c>
      <c r="P573" s="21">
        <f t="shared" si="249"/>
        <v>-0.66415</v>
      </c>
      <c r="Q573" s="22">
        <f t="shared" si="6"/>
        <v>0.58270425</v>
      </c>
      <c r="R573" s="25" t="str">
        <f t="shared" si="7"/>
        <v>F</v>
      </c>
      <c r="S573" s="19">
        <f t="shared" si="8"/>
        <v>0.565</v>
      </c>
      <c r="T573" s="19" t="str">
        <f t="shared" si="9"/>
        <v>F</v>
      </c>
      <c r="U573" s="3" t="s">
        <v>203</v>
      </c>
      <c r="V573" s="4" t="str">
        <f>IF(ISBLANK(C573),,IFERROR(IF(VLOOKUP(B573,Standings!$A:$F, 6, 0)=VLOOKUP(C573,Standings!$A:$F, 6, 0), VLOOKUP(B573,Standings!$A:$F, 6, 0), "Non-con"), "FCS"))</f>
        <v>MAC</v>
      </c>
      <c r="W573" s="3" t="str">
        <f t="shared" si="10"/>
        <v>Eastern Michigan</v>
      </c>
      <c r="X573" s="3" t="str">
        <f t="shared" si="11"/>
        <v>Kent State</v>
      </c>
      <c r="Y573" s="30">
        <f>IF(D573=0,,IF(ISBLANK(Q573),,VLOOKUP(X573,Week9,2,FALSE)/(VLOOKUP(X573,Week9,2,FALSE)+VLOOKUP(W573,Week9,2,FALSE))+0.05)*100)</f>
        <v>55</v>
      </c>
      <c r="Z573" s="3" t="s">
        <v>191</v>
      </c>
      <c r="AA573" s="3">
        <v>27.0</v>
      </c>
      <c r="AB573" s="4" t="str">
        <f t="shared" si="20"/>
        <v>Eastern Michigan</v>
      </c>
      <c r="AC573" s="3">
        <v>23.0</v>
      </c>
      <c r="AD573" s="3"/>
      <c r="AE573" s="3">
        <f t="shared" si="13"/>
        <v>4</v>
      </c>
      <c r="AF573" s="3"/>
      <c r="AG573" s="3">
        <f t="shared" si="133"/>
        <v>1</v>
      </c>
      <c r="AH573" s="3"/>
      <c r="AI573" s="7"/>
      <c r="AJ573" s="4"/>
      <c r="AK573" s="7"/>
      <c r="AL573" s="7"/>
      <c r="AM573" s="7"/>
      <c r="AN573" s="7"/>
      <c r="AO573" s="7"/>
      <c r="AP573" s="7"/>
      <c r="AQ573" s="7"/>
      <c r="AR573" s="7"/>
      <c r="AS573" s="7"/>
      <c r="AT573" s="7"/>
      <c r="AU573" s="7"/>
      <c r="AV573" s="7"/>
      <c r="AW573" s="7"/>
      <c r="AX573" s="7"/>
    </row>
    <row r="574" ht="12.75" hidden="1" customHeight="1">
      <c r="A574" s="3">
        <v>10.0</v>
      </c>
      <c r="B574" s="3" t="s">
        <v>125</v>
      </c>
      <c r="C574" s="3" t="s">
        <v>180</v>
      </c>
      <c r="D574" s="4">
        <f>IFERROR(VLOOKUP(B574,Week9,2,FALSE),0)</f>
        <v>30.61</v>
      </c>
      <c r="E574" s="4">
        <f>IF(ISBLANK(B574),,IFERROR(VLOOKUP(B574,CurrentRank!$B$2:$C$132,2,FALSE),0))</f>
        <v>41.14</v>
      </c>
      <c r="F574" s="4">
        <f>IFERROR(VLOOKUP(B574,Week9,3,FALSE),130)</f>
        <v>83</v>
      </c>
      <c r="G574" s="4">
        <f>IF(ISBLANK(B574),,IFERROR(VLOOKUP(B574,CurrentRank!$B$2:$D$132,3,FALSE),130))</f>
        <v>31</v>
      </c>
      <c r="H574" s="4">
        <f>IFERROR(VLOOKUP(C574,Week9,2,FALSE),0)</f>
        <v>30.61</v>
      </c>
      <c r="I574" s="4">
        <f>IF(ISBLANK(B574),,IFERROR(VLOOKUP(C574,CurrentRank!$B$2:$C$132,2,FALSE),0))</f>
        <v>35.77</v>
      </c>
      <c r="J574" s="4">
        <f>IFERROR(VLOOKUP(C574,Week9,3,FALSE),130)</f>
        <v>83</v>
      </c>
      <c r="K574" s="4">
        <f>IF(ISBLANK(C574),,IFERROR(VLOOKUP(C574,CurrentRank!$B$2:$D$132,3,FALSE),130))</f>
        <v>55</v>
      </c>
      <c r="L574" s="19">
        <f t="shared" si="247"/>
        <v>0.9183</v>
      </c>
      <c r="M574" s="19">
        <f t="shared" si="248"/>
        <v>1.15365</v>
      </c>
      <c r="N574" s="24">
        <f t="shared" si="242"/>
        <v>83</v>
      </c>
      <c r="O574" s="21">
        <f t="shared" si="4"/>
        <v>-0.45915</v>
      </c>
      <c r="P574" s="21">
        <f t="shared" si="249"/>
        <v>2.22585</v>
      </c>
      <c r="Q574" s="22">
        <f t="shared" si="6"/>
        <v>0.58270425</v>
      </c>
      <c r="R574" s="25" t="str">
        <f t="shared" si="7"/>
        <v>F</v>
      </c>
      <c r="S574" s="19">
        <f t="shared" si="8"/>
        <v>0.555</v>
      </c>
      <c r="T574" s="19" t="str">
        <f t="shared" si="9"/>
        <v>F</v>
      </c>
      <c r="U574" s="3" t="s">
        <v>203</v>
      </c>
      <c r="V574" s="4" t="str">
        <f>IF(ISBLANK(C574),,IFERROR(IF(VLOOKUP(B574,Standings!$A:$F, 6, 0)=VLOOKUP(C574,Standings!$A:$F, 6, 0), VLOOKUP(B574,Standings!$A:$F, 6, 0), "Non-con"), "FCS"))</f>
        <v>PAC12</v>
      </c>
      <c r="W574" s="3" t="str">
        <f t="shared" si="10"/>
        <v>UCLA</v>
      </c>
      <c r="X574" s="3" t="str">
        <f t="shared" si="11"/>
        <v>Colorado</v>
      </c>
      <c r="Y574" s="30">
        <f>IF(D574=0,,IF(ISBLANK(Q574),,VLOOKUP(X574,Week9,2,FALSE)/(VLOOKUP(X574,Week9,2,FALSE)+VLOOKUP(W574,Week9,2,FALSE))+0.05)*100)</f>
        <v>55</v>
      </c>
      <c r="Z574" s="3" t="s">
        <v>180</v>
      </c>
      <c r="AA574" s="3">
        <v>48.0</v>
      </c>
      <c r="AB574" s="4" t="str">
        <f t="shared" si="20"/>
        <v>UCLA</v>
      </c>
      <c r="AC574" s="3">
        <v>42.0</v>
      </c>
      <c r="AD574" s="3"/>
      <c r="AE574" s="3">
        <f t="shared" si="13"/>
        <v>6</v>
      </c>
      <c r="AF574" s="3"/>
      <c r="AG574" s="3">
        <f t="shared" si="133"/>
        <v>1</v>
      </c>
      <c r="AH574" s="3"/>
      <c r="AI574" s="7"/>
      <c r="AJ574" s="3" t="s">
        <v>279</v>
      </c>
      <c r="AK574" s="7"/>
      <c r="AL574" s="7"/>
      <c r="AM574" s="7"/>
      <c r="AN574" s="7"/>
      <c r="AO574" s="7"/>
      <c r="AP574" s="7"/>
      <c r="AQ574" s="7"/>
      <c r="AR574" s="7"/>
      <c r="AS574" s="7"/>
      <c r="AT574" s="7"/>
      <c r="AU574" s="7"/>
      <c r="AV574" s="7"/>
      <c r="AW574" s="7"/>
      <c r="AX574" s="7"/>
    </row>
    <row r="575" ht="12.75" hidden="1" customHeight="1">
      <c r="A575" s="3">
        <v>10.0</v>
      </c>
      <c r="B575" s="3" t="s">
        <v>134</v>
      </c>
      <c r="C575" s="3" t="s">
        <v>179</v>
      </c>
      <c r="D575" s="4">
        <f>IFERROR(VLOOKUP(B575,Week9,2,FALSE),0)</f>
        <v>30.61</v>
      </c>
      <c r="E575" s="4">
        <f>IF(ISBLANK(B575),,IFERROR(VLOOKUP(B575,CurrentRank!$B$2:$C$132,2,FALSE),0))</f>
        <v>60.69</v>
      </c>
      <c r="F575" s="4">
        <f>IFERROR(VLOOKUP(B575,Week9,3,FALSE),130)</f>
        <v>83</v>
      </c>
      <c r="G575" s="4">
        <f>IF(ISBLANK(B575),,IFERROR(VLOOKUP(B575,CurrentRank!$B$2:$D$132,3,FALSE),130))</f>
        <v>21</v>
      </c>
      <c r="H575" s="4">
        <f>IFERROR(VLOOKUP(C575,Week9,2,FALSE),0)</f>
        <v>30.61</v>
      </c>
      <c r="I575" s="4">
        <f>IF(ISBLANK(B575),,IFERROR(VLOOKUP(C575,CurrentRank!$B$2:$C$132,2,FALSE),0))</f>
        <v>37.85</v>
      </c>
      <c r="J575" s="4">
        <f>IFERROR(VLOOKUP(C575,Week9,3,FALSE),130)</f>
        <v>83</v>
      </c>
      <c r="K575" s="4">
        <f>IF(ISBLANK(C575),,IFERROR(VLOOKUP(C575,CurrentRank!$B$2:$D$132,3,FALSE),130))</f>
        <v>39</v>
      </c>
      <c r="L575" s="19">
        <f t="shared" si="247"/>
        <v>0.9183</v>
      </c>
      <c r="M575" s="19">
        <f t="shared" si="248"/>
        <v>1.4781</v>
      </c>
      <c r="N575" s="24">
        <f t="shared" si="242"/>
        <v>83</v>
      </c>
      <c r="O575" s="21">
        <f t="shared" si="4"/>
        <v>-0.45915</v>
      </c>
      <c r="P575" s="21">
        <f t="shared" si="249"/>
        <v>10.96085</v>
      </c>
      <c r="Q575" s="22">
        <f t="shared" si="6"/>
        <v>0.58270425</v>
      </c>
      <c r="R575" s="25" t="str">
        <f t="shared" si="7"/>
        <v>F</v>
      </c>
      <c r="S575" s="19">
        <f t="shared" si="8"/>
        <v>0.55</v>
      </c>
      <c r="T575" s="19" t="str">
        <f t="shared" si="9"/>
        <v>F</v>
      </c>
      <c r="U575" s="3" t="s">
        <v>203</v>
      </c>
      <c r="V575" s="4" t="str">
        <f>IF(ISBLANK(C575),,IFERROR(IF(VLOOKUP(B575,Standings!$A:$F, 6, 0)=VLOOKUP(C575,Standings!$A:$F, 6, 0), VLOOKUP(B575,Standings!$A:$F, 6, 0), "Non-con"), "FCS"))</f>
        <v>MAC</v>
      </c>
      <c r="W575" s="3" t="str">
        <f t="shared" si="10"/>
        <v>Ball State</v>
      </c>
      <c r="X575" s="3" t="str">
        <f t="shared" si="11"/>
        <v>Miami (OH)</v>
      </c>
      <c r="Y575" s="30">
        <f>IF(D575=0,,IF(ISBLANK(Q575),,VLOOKUP(X575,Week9,2,FALSE)/(VLOOKUP(X575,Week9,2,FALSE)+VLOOKUP(W575,Week9,2,FALSE))+0.05)*100)</f>
        <v>55</v>
      </c>
      <c r="Z575" s="3" t="s">
        <v>179</v>
      </c>
      <c r="AA575" s="3">
        <v>38.0</v>
      </c>
      <c r="AB575" s="4" t="str">
        <f t="shared" si="20"/>
        <v>Ball State</v>
      </c>
      <c r="AC575" s="3">
        <v>31.0</v>
      </c>
      <c r="AD575" s="3"/>
      <c r="AE575" s="3">
        <f t="shared" si="13"/>
        <v>7</v>
      </c>
      <c r="AF575" s="3"/>
      <c r="AG575" s="3">
        <f t="shared" si="133"/>
        <v>1</v>
      </c>
      <c r="AH575" s="3"/>
      <c r="AI575" s="7"/>
      <c r="AJ575" s="4" t="s">
        <v>132</v>
      </c>
      <c r="AK575" s="7"/>
      <c r="AL575" s="7"/>
      <c r="AM575" s="7"/>
      <c r="AN575" s="7"/>
      <c r="AO575" s="7"/>
      <c r="AP575" s="7"/>
      <c r="AQ575" s="7"/>
      <c r="AR575" s="7"/>
      <c r="AS575" s="7"/>
      <c r="AT575" s="7"/>
      <c r="AU575" s="7"/>
      <c r="AV575" s="7"/>
      <c r="AW575" s="7"/>
      <c r="AX575" s="7"/>
    </row>
    <row r="576" ht="12.75" customHeight="1">
      <c r="A576" s="3">
        <v>12.0</v>
      </c>
      <c r="B576" s="3" t="s">
        <v>200</v>
      </c>
      <c r="C576" s="3" t="s">
        <v>111</v>
      </c>
      <c r="D576" s="4">
        <f>IFERROR(VLOOKUP(B576,Week11,2,FALSE),0)</f>
        <v>29.27</v>
      </c>
      <c r="E576" s="4">
        <f>IF(ISBLANK(B576),,IFERROR(VLOOKUP(B576,CurrentRank!$B$2:$C$132,2,FALSE),0))</f>
        <v>32.76</v>
      </c>
      <c r="F576" s="4">
        <f>IFERROR(VLOOKUP(B576,Week11,3,FALSE),130)</f>
        <v>113</v>
      </c>
      <c r="G576" s="4">
        <f>IF(ISBLANK(B576),,IFERROR(VLOOKUP(B576,CurrentRank!$B$2:$D$132,3,FALSE),130))</f>
        <v>89</v>
      </c>
      <c r="H576" s="4">
        <f>IFERROR(VLOOKUP(C576,Week11,2,FALSE),0)</f>
        <v>30.55</v>
      </c>
      <c r="I576" s="4">
        <f>IF(ISBLANK(B576),,IFERROR(VLOOKUP(C576,CurrentRank!$B$2:$C$132,2,FALSE),0))</f>
        <v>29.75</v>
      </c>
      <c r="J576" s="4">
        <f>IFERROR(VLOOKUP(C576,Week11,3,FALSE),130)</f>
        <v>102</v>
      </c>
      <c r="K576" s="4">
        <f>IF(ISBLANK(C576),,IFERROR(VLOOKUP(C576,CurrentRank!$B$2:$D$132,3,FALSE),130))</f>
        <v>112</v>
      </c>
      <c r="L576" s="19">
        <f t="shared" si="247"/>
        <v>0.8973</v>
      </c>
      <c r="M576" s="19">
        <f t="shared" si="248"/>
        <v>0.93765</v>
      </c>
      <c r="N576" s="24">
        <f t="shared" si="242"/>
        <v>107.5</v>
      </c>
      <c r="O576" s="21">
        <f t="shared" si="4"/>
        <v>-1.08865</v>
      </c>
      <c r="P576" s="21">
        <f t="shared" si="249"/>
        <v>1.05635</v>
      </c>
      <c r="Q576" s="22">
        <f t="shared" si="6"/>
        <v>0.45705675</v>
      </c>
      <c r="R576" s="25" t="str">
        <f t="shared" si="7"/>
        <v>F</v>
      </c>
      <c r="S576" s="19">
        <f t="shared" si="8"/>
        <v>0.4475</v>
      </c>
      <c r="T576" s="19" t="str">
        <f t="shared" si="9"/>
        <v>F</v>
      </c>
      <c r="U576" s="3" t="s">
        <v>203</v>
      </c>
      <c r="V576" s="4" t="str">
        <f>IF(ISBLANK(C576),,IFERROR(IF(VLOOKUP(B576,Standings!$A:$F, 6, 0)=VLOOKUP(C576,Standings!$A:$F, 6, 0), VLOOKUP(B576,Standings!$A:$F, 6, 0), "Non-con"), "FCS"))</f>
        <v>Non-con</v>
      </c>
      <c r="W576" s="3" t="str">
        <f t="shared" si="10"/>
        <v>Middle Tennessee</v>
      </c>
      <c r="X576" s="3" t="str">
        <f t="shared" si="11"/>
        <v>Troy</v>
      </c>
      <c r="Y576" s="30">
        <f>IF(D576=0,,IF(ISBLANK(Q576),,VLOOKUP(X576,Week11,2,FALSE)/(VLOOKUP(X576,Week11,2,FALSE)+VLOOKUP(W576,Week11,2,FALSE))+0.05)*100)</f>
        <v>56.0698763</v>
      </c>
      <c r="Z576" s="3" t="s">
        <v>200</v>
      </c>
      <c r="AA576" s="3">
        <v>20.0</v>
      </c>
      <c r="AB576" s="4" t="str">
        <f t="shared" si="20"/>
        <v>Troy</v>
      </c>
      <c r="AC576" s="3">
        <v>17.0</v>
      </c>
      <c r="AD576" s="3"/>
      <c r="AE576" s="3">
        <f t="shared" si="13"/>
        <v>3</v>
      </c>
      <c r="AF576" s="3"/>
      <c r="AG576" s="3">
        <f t="shared" si="133"/>
        <v>0</v>
      </c>
      <c r="AH576" s="3"/>
      <c r="AI576" s="7"/>
      <c r="AJ576" s="4"/>
      <c r="AK576" s="7"/>
      <c r="AL576" s="7"/>
      <c r="AM576" s="7"/>
      <c r="AN576" s="7"/>
      <c r="AO576" s="7"/>
      <c r="AP576" s="7"/>
      <c r="AQ576" s="7"/>
      <c r="AR576" s="7"/>
      <c r="AS576" s="7"/>
      <c r="AT576" s="7"/>
      <c r="AU576" s="7"/>
      <c r="AV576" s="7"/>
      <c r="AW576" s="7"/>
      <c r="AX576" s="7"/>
    </row>
    <row r="577" ht="12.75" hidden="1" customHeight="1">
      <c r="A577" s="3">
        <v>8.0</v>
      </c>
      <c r="B577" s="3" t="s">
        <v>167</v>
      </c>
      <c r="C577" s="3" t="s">
        <v>173</v>
      </c>
      <c r="D577" s="4">
        <f>IFERROR(VLOOKUP(B577,Week7,2,FALSE),0)</f>
        <v>30.76</v>
      </c>
      <c r="E577" s="4">
        <f>IF(ISBLANK(B577),,IFERROR(VLOOKUP(B577,CurrentRank!$B$2:$C$132,2,FALSE),0))</f>
        <v>29.87</v>
      </c>
      <c r="F577" s="4">
        <f>IFERROR(VLOOKUP(B577,Week7,3,FALSE),130)</f>
        <v>72</v>
      </c>
      <c r="G577" s="4">
        <f>IF(ISBLANK(B577),,IFERROR(VLOOKUP(B577,CurrentRank!$B$2:$D$132,3,FALSE),130))</f>
        <v>111</v>
      </c>
      <c r="H577" s="4">
        <f>IFERROR(VLOOKUP(C577,Week7,2,FALSE),0)</f>
        <v>30.76</v>
      </c>
      <c r="I577" s="4">
        <f>IF(ISBLANK(B577),,IFERROR(VLOOKUP(C577,CurrentRank!$B$2:$C$132,2,FALSE),0))</f>
        <v>34.13</v>
      </c>
      <c r="J577" s="4">
        <f>IFERROR(VLOOKUP(C577,Week7,3,FALSE),130)</f>
        <v>72</v>
      </c>
      <c r="K577" s="4">
        <f>IF(ISBLANK(C577),,IFERROR(VLOOKUP(C577,CurrentRank!$B$2:$D$132,3,FALSE),130))</f>
        <v>73</v>
      </c>
      <c r="L577" s="19">
        <f t="shared" si="247"/>
        <v>0.9228</v>
      </c>
      <c r="M577" s="19">
        <f t="shared" si="248"/>
        <v>0.96</v>
      </c>
      <c r="N577" s="24">
        <f t="shared" si="242"/>
        <v>72</v>
      </c>
      <c r="O577" s="21">
        <f t="shared" si="4"/>
        <v>-0.4614</v>
      </c>
      <c r="P577" s="21">
        <f t="shared" si="249"/>
        <v>-2.5914</v>
      </c>
      <c r="Q577" s="22">
        <f t="shared" si="6"/>
        <v>0.637693</v>
      </c>
      <c r="R577" s="25" t="str">
        <f t="shared" si="7"/>
        <v>D</v>
      </c>
      <c r="S577" s="19">
        <f t="shared" si="8"/>
        <v>0.5</v>
      </c>
      <c r="T577" s="19" t="str">
        <f t="shared" si="9"/>
        <v>F</v>
      </c>
      <c r="U577" s="3" t="s">
        <v>203</v>
      </c>
      <c r="V577" s="4" t="str">
        <f>IF(ISBLANK(C577),,IFERROR(IF(VLOOKUP(B577,Standings!$A:$F, 6, 0)=VLOOKUP(C577,Standings!$A:$F, 6, 0), VLOOKUP(B577,Standings!$A:$F, 6, 0), "Non-con"), "FCS"))</f>
        <v>MWC</v>
      </c>
      <c r="W577" s="3" t="str">
        <f t="shared" si="10"/>
        <v>UNLV</v>
      </c>
      <c r="X577" s="3" t="str">
        <f t="shared" si="11"/>
        <v>San Diego State</v>
      </c>
      <c r="Y577" s="30">
        <f>IF(D577=0,,IF(ISBLANK(Q577),,VLOOKUP(X577,Week7,2,FALSE)/(VLOOKUP(X577,Week7,2,FALSE)+VLOOKUP(W577,Week7,2,FALSE))+0.05)*100)</f>
        <v>55</v>
      </c>
      <c r="Z577" s="3" t="s">
        <v>173</v>
      </c>
      <c r="AA577" s="3">
        <v>34.0</v>
      </c>
      <c r="AB577" s="4" t="str">
        <f t="shared" si="20"/>
        <v>UNLV</v>
      </c>
      <c r="AC577" s="3">
        <v>6.0</v>
      </c>
      <c r="AD577" s="3"/>
      <c r="AE577" s="3">
        <f t="shared" si="13"/>
        <v>28</v>
      </c>
      <c r="AF577" s="3"/>
      <c r="AG577" s="3">
        <f t="shared" si="133"/>
        <v>1</v>
      </c>
      <c r="AH577" s="3"/>
      <c r="AI577" s="7"/>
      <c r="AJ577" s="4"/>
      <c r="AK577" s="7"/>
      <c r="AL577" s="7"/>
      <c r="AM577" s="7"/>
      <c r="AN577" s="7"/>
      <c r="AO577" s="7"/>
      <c r="AP577" s="7"/>
      <c r="AQ577" s="7"/>
      <c r="AR577" s="7"/>
      <c r="AS577" s="7"/>
      <c r="AT577" s="7"/>
      <c r="AU577" s="7"/>
      <c r="AV577" s="7"/>
      <c r="AW577" s="7"/>
      <c r="AX577" s="7"/>
    </row>
    <row r="578" ht="12.75" hidden="1" customHeight="1">
      <c r="A578" s="3">
        <v>8.0</v>
      </c>
      <c r="B578" s="3" t="s">
        <v>156</v>
      </c>
      <c r="C578" s="3" t="s">
        <v>176</v>
      </c>
      <c r="D578" s="4">
        <f>IFERROR(VLOOKUP(B578,Week7,2,FALSE),0)</f>
        <v>30.76</v>
      </c>
      <c r="E578" s="4">
        <f>IF(ISBLANK(B578),,IFERROR(VLOOKUP(B578,CurrentRank!$B$2:$C$132,2,FALSE),0))</f>
        <v>32.81</v>
      </c>
      <c r="F578" s="4">
        <f>IFERROR(VLOOKUP(B578,Week7,3,FALSE),130)</f>
        <v>72</v>
      </c>
      <c r="G578" s="4">
        <f>IF(ISBLANK(B578),,IFERROR(VLOOKUP(B578,CurrentRank!$B$2:$D$132,3,FALSE),130))</f>
        <v>88</v>
      </c>
      <c r="H578" s="4">
        <f>IFERROR(VLOOKUP(C578,Week7,2,FALSE),0)</f>
        <v>30.76</v>
      </c>
      <c r="I578" s="4">
        <f>IF(ISBLANK(B578),,IFERROR(VLOOKUP(C578,CurrentRank!$B$2:$C$132,2,FALSE),0))</f>
        <v>38.02</v>
      </c>
      <c r="J578" s="4">
        <f>IFERROR(VLOOKUP(C578,Week7,3,FALSE),130)</f>
        <v>72</v>
      </c>
      <c r="K578" s="4">
        <f>IF(ISBLANK(C578),,IFERROR(VLOOKUP(C578,CurrentRank!$B$2:$D$132,3,FALSE),130))</f>
        <v>38</v>
      </c>
      <c r="L578" s="19">
        <f t="shared" si="247"/>
        <v>0.9228</v>
      </c>
      <c r="M578" s="19">
        <f t="shared" si="248"/>
        <v>1.06245</v>
      </c>
      <c r="N578" s="24">
        <f t="shared" si="242"/>
        <v>72</v>
      </c>
      <c r="O578" s="21">
        <f t="shared" si="4"/>
        <v>-0.4614</v>
      </c>
      <c r="P578" s="21">
        <f t="shared" si="249"/>
        <v>-3.0664</v>
      </c>
      <c r="Q578" s="22">
        <f t="shared" si="6"/>
        <v>0.637693</v>
      </c>
      <c r="R578" s="25" t="str">
        <f t="shared" si="7"/>
        <v>D</v>
      </c>
      <c r="S578" s="19">
        <f t="shared" si="8"/>
        <v>0.495</v>
      </c>
      <c r="T578" s="19" t="str">
        <f t="shared" si="9"/>
        <v>F</v>
      </c>
      <c r="U578" s="3" t="s">
        <v>203</v>
      </c>
      <c r="V578" s="4" t="str">
        <f>IF(ISBLANK(C578),,IFERROR(IF(VLOOKUP(B578,Standings!$A:$F, 6, 0)=VLOOKUP(C578,Standings!$A:$F, 6, 0), VLOOKUP(B578,Standings!$A:$F, 6, 0), "Non-con"), "FCS"))</f>
        <v>MWC</v>
      </c>
      <c r="W578" s="3" t="str">
        <f t="shared" si="10"/>
        <v>Utah State</v>
      </c>
      <c r="X578" s="3" t="str">
        <f t="shared" si="11"/>
        <v>Boise State</v>
      </c>
      <c r="Y578" s="30">
        <f>IF(D578=0,,IF(ISBLANK(Q578),,VLOOKUP(X578,Week7,2,FALSE)/(VLOOKUP(X578,Week7,2,FALSE)+VLOOKUP(W578,Week7,2,FALSE))+0.05)*100)</f>
        <v>55</v>
      </c>
      <c r="Z578" s="3" t="s">
        <v>176</v>
      </c>
      <c r="AA578" s="3">
        <v>42.0</v>
      </c>
      <c r="AB578" s="4" t="str">
        <f t="shared" si="20"/>
        <v>Utah State</v>
      </c>
      <c r="AC578" s="3">
        <v>13.0</v>
      </c>
      <c r="AD578" s="3"/>
      <c r="AE578" s="3">
        <f t="shared" si="13"/>
        <v>29</v>
      </c>
      <c r="AF578" s="3"/>
      <c r="AG578" s="3">
        <f t="shared" si="133"/>
        <v>1</v>
      </c>
      <c r="AH578" s="3"/>
      <c r="AI578" s="7"/>
      <c r="AJ578" s="4"/>
      <c r="AK578" s="7"/>
      <c r="AL578" s="7"/>
      <c r="AM578" s="7"/>
      <c r="AN578" s="7"/>
      <c r="AO578" s="7"/>
      <c r="AP578" s="7"/>
      <c r="AQ578" s="7"/>
      <c r="AR578" s="7"/>
      <c r="AS578" s="7"/>
      <c r="AT578" s="7"/>
      <c r="AU578" s="7"/>
      <c r="AV578" s="7"/>
      <c r="AW578" s="7"/>
      <c r="AX578" s="7"/>
    </row>
    <row r="579" ht="12.75" customHeight="1">
      <c r="A579" s="3">
        <v>11.0</v>
      </c>
      <c r="B579" s="3" t="s">
        <v>57</v>
      </c>
      <c r="C579" s="3" t="s">
        <v>153</v>
      </c>
      <c r="D579" s="4">
        <f>IFERROR(VLOOKUP(B579,Week10,2,FALSE),0)</f>
        <v>30.28</v>
      </c>
      <c r="E579" s="4">
        <f>IF(ISBLANK(B579),,IFERROR(VLOOKUP(B579,CurrentRank!$B$2:$C$132,2,FALSE),0))</f>
        <v>40.05</v>
      </c>
      <c r="F579" s="4">
        <f>IFERROR(VLOOKUP(B579,Week10,3,FALSE),130)</f>
        <v>101</v>
      </c>
      <c r="G579" s="4">
        <f>IF(ISBLANK(B579),,IFERROR(VLOOKUP(B579,CurrentRank!$B$2:$D$132,3,FALSE),130))</f>
        <v>34</v>
      </c>
      <c r="H579" s="4">
        <f>IFERROR(VLOOKUP(C579,Week10,2,FALSE),0)</f>
        <v>29.17</v>
      </c>
      <c r="I579" s="4">
        <f>IF(ISBLANK(B579),,IFERROR(VLOOKUP(C579,CurrentRank!$B$2:$C$132,2,FALSE),0))</f>
        <v>35.51</v>
      </c>
      <c r="J579" s="4">
        <f>IFERROR(VLOOKUP(C579,Week10,3,FALSE),130)</f>
        <v>111</v>
      </c>
      <c r="K579" s="4">
        <f>IF(ISBLANK(C579),,IFERROR(VLOOKUP(C579,CurrentRank!$B$2:$D$132,3,FALSE),130))</f>
        <v>58</v>
      </c>
      <c r="L579" s="19">
        <f t="shared" si="247"/>
        <v>0.89175</v>
      </c>
      <c r="M579" s="19">
        <f t="shared" si="248"/>
        <v>1.1334</v>
      </c>
      <c r="N579" s="24">
        <f t="shared" si="242"/>
        <v>106</v>
      </c>
      <c r="O579" s="21">
        <f t="shared" si="4"/>
        <v>0.109125</v>
      </c>
      <c r="P579" s="21">
        <f t="shared" si="249"/>
        <v>1.824125</v>
      </c>
      <c r="Q579" s="22">
        <f t="shared" si="6"/>
        <v>0.469454375</v>
      </c>
      <c r="R579" s="25" t="str">
        <f t="shared" si="7"/>
        <v>F</v>
      </c>
      <c r="S579" s="19">
        <f t="shared" si="8"/>
        <v>0.435</v>
      </c>
      <c r="T579" s="19" t="str">
        <f t="shared" si="9"/>
        <v>F</v>
      </c>
      <c r="U579" s="3" t="s">
        <v>203</v>
      </c>
      <c r="V579" s="4" t="str">
        <f>IF(ISBLANK(C579),,IFERROR(IF(VLOOKUP(B579,Standings!$A:$F, 6, 0)=VLOOKUP(C579,Standings!$A:$F, 6, 0), VLOOKUP(B579,Standings!$A:$F, 6, 0), "Non-con"), "FCS"))</f>
        <v>B1G</v>
      </c>
      <c r="W579" s="3" t="str">
        <f t="shared" si="10"/>
        <v>Nebraska</v>
      </c>
      <c r="X579" s="3" t="str">
        <f t="shared" si="11"/>
        <v>Penn State</v>
      </c>
      <c r="Y579" s="30">
        <f>IF(D579=0,,IF(ISBLANK(Q579),,VLOOKUP(X579,Week10,2,FALSE)/(VLOOKUP(X579,Week10,2,FALSE)+VLOOKUP(W579,Week10,2,FALSE))+0.05)*100)</f>
        <v>55.93355761</v>
      </c>
      <c r="Z579" s="3" t="s">
        <v>153</v>
      </c>
      <c r="AA579" s="3">
        <v>30.0</v>
      </c>
      <c r="AB579" s="4" t="str">
        <f t="shared" si="20"/>
        <v>Penn State</v>
      </c>
      <c r="AC579" s="3">
        <v>23.0</v>
      </c>
      <c r="AD579" s="3"/>
      <c r="AE579" s="3">
        <f t="shared" si="13"/>
        <v>7</v>
      </c>
      <c r="AF579" s="3"/>
      <c r="AG579" s="3">
        <f t="shared" si="133"/>
        <v>0</v>
      </c>
      <c r="AH579" s="3"/>
      <c r="AI579" s="7"/>
      <c r="AJ579" s="4"/>
      <c r="AK579" s="7"/>
      <c r="AL579" s="7"/>
      <c r="AM579" s="7"/>
      <c r="AN579" s="7"/>
      <c r="AO579" s="7"/>
      <c r="AP579" s="7"/>
      <c r="AQ579" s="7"/>
      <c r="AR579" s="7"/>
      <c r="AS579" s="7"/>
      <c r="AT579" s="7"/>
      <c r="AU579" s="7"/>
      <c r="AV579" s="7"/>
      <c r="AW579" s="7"/>
      <c r="AX579" s="7"/>
    </row>
    <row r="580" ht="12.75" hidden="1" customHeight="1">
      <c r="A580" s="3">
        <v>8.0</v>
      </c>
      <c r="B580" s="3" t="s">
        <v>150</v>
      </c>
      <c r="C580" s="3" t="s">
        <v>189</v>
      </c>
      <c r="D580" s="4">
        <f>IFERROR(VLOOKUP(B580,Week7,2,FALSE),0)</f>
        <v>30.76</v>
      </c>
      <c r="E580" s="4">
        <f>IF(ISBLANK(B580),,IFERROR(VLOOKUP(B580,CurrentRank!$B$2:$C$132,2,FALSE),0))</f>
        <v>33.72</v>
      </c>
      <c r="F580" s="4">
        <f>IFERROR(VLOOKUP(B580,Week7,3,FALSE),130)</f>
        <v>72</v>
      </c>
      <c r="G580" s="4">
        <f>IF(ISBLANK(B580),,IFERROR(VLOOKUP(B580,CurrentRank!$B$2:$D$132,3,FALSE),130))</f>
        <v>76</v>
      </c>
      <c r="H580" s="4">
        <f>IFERROR(VLOOKUP(C580,Week7,2,FALSE),0)</f>
        <v>30.76</v>
      </c>
      <c r="I580" s="4">
        <f>IF(ISBLANK(B580),,IFERROR(VLOOKUP(C580,CurrentRank!$B$2:$C$132,2,FALSE),0))</f>
        <v>72.23</v>
      </c>
      <c r="J580" s="4">
        <f>IFERROR(VLOOKUP(C580,Week7,3,FALSE),130)</f>
        <v>72</v>
      </c>
      <c r="K580" s="4">
        <f>IF(ISBLANK(C580),,IFERROR(VLOOKUP(C580,CurrentRank!$B$2:$D$132,3,FALSE),130))</f>
        <v>11</v>
      </c>
      <c r="L580" s="19">
        <f t="shared" si="247"/>
        <v>0.9228</v>
      </c>
      <c r="M580" s="19">
        <f t="shared" si="248"/>
        <v>1.58925</v>
      </c>
      <c r="N580" s="24">
        <f t="shared" si="242"/>
        <v>72</v>
      </c>
      <c r="O580" s="21">
        <f t="shared" si="4"/>
        <v>-0.4614</v>
      </c>
      <c r="P580" s="21">
        <f t="shared" si="249"/>
        <v>-19.7164</v>
      </c>
      <c r="Q580" s="22">
        <f t="shared" si="6"/>
        <v>0.637693</v>
      </c>
      <c r="R580" s="25" t="str">
        <f t="shared" si="7"/>
        <v>D</v>
      </c>
      <c r="S580" s="19">
        <f t="shared" si="8"/>
        <v>0.44</v>
      </c>
      <c r="T580" s="19" t="str">
        <f t="shared" si="9"/>
        <v>F</v>
      </c>
      <c r="U580" s="3" t="s">
        <v>203</v>
      </c>
      <c r="V580" s="4" t="str">
        <f>IF(ISBLANK(C580),,IFERROR(IF(VLOOKUP(B580,Standings!$A:$F, 6, 0)=VLOOKUP(C580,Standings!$A:$F, 6, 0), VLOOKUP(B580,Standings!$A:$F, 6, 0), "Non-con"), "FCS"))</f>
        <v>B1G</v>
      </c>
      <c r="W580" s="3" t="str">
        <f t="shared" si="10"/>
        <v>Maryland</v>
      </c>
      <c r="X580" s="3" t="str">
        <f t="shared" si="11"/>
        <v>Northwestern</v>
      </c>
      <c r="Y580" s="30">
        <f>IF(D580=0,,IF(ISBLANK(Q580),,VLOOKUP(X580,Week7,2,FALSE)/(VLOOKUP(X580,Week7,2,FALSE)+VLOOKUP(W580,Week7,2,FALSE))+0.05)*100)</f>
        <v>55</v>
      </c>
      <c r="Z580" s="3" t="s">
        <v>189</v>
      </c>
      <c r="AA580" s="3">
        <v>43.0</v>
      </c>
      <c r="AB580" s="4" t="str">
        <f t="shared" si="20"/>
        <v>Maryland</v>
      </c>
      <c r="AC580" s="3">
        <v>3.0</v>
      </c>
      <c r="AD580" s="3"/>
      <c r="AE580" s="3">
        <f t="shared" si="13"/>
        <v>40</v>
      </c>
      <c r="AF580" s="3"/>
      <c r="AG580" s="3">
        <f t="shared" si="133"/>
        <v>1</v>
      </c>
      <c r="AH580" s="3"/>
      <c r="AI580" s="7"/>
      <c r="AJ580" s="4"/>
      <c r="AK580" s="7"/>
      <c r="AL580" s="7"/>
      <c r="AM580" s="7"/>
      <c r="AN580" s="7"/>
      <c r="AO580" s="7"/>
      <c r="AP580" s="7"/>
      <c r="AQ580" s="7"/>
      <c r="AR580" s="7"/>
      <c r="AS580" s="7"/>
      <c r="AT580" s="7"/>
      <c r="AU580" s="7"/>
      <c r="AV580" s="7"/>
      <c r="AW580" s="7"/>
      <c r="AX580" s="7"/>
    </row>
    <row r="581" ht="12.75" hidden="1" customHeight="1">
      <c r="A581" s="3">
        <v>10.0</v>
      </c>
      <c r="B581" s="3" t="s">
        <v>177</v>
      </c>
      <c r="C581" s="3" t="s">
        <v>126</v>
      </c>
      <c r="D581" s="4">
        <f>IFERROR(VLOOKUP(B581,Week9,2,FALSE),0)</f>
        <v>30.61</v>
      </c>
      <c r="E581" s="4">
        <f>IF(ISBLANK(B581),,IFERROR(VLOOKUP(B581,CurrentRank!$B$2:$C$132,2,FALSE),0))</f>
        <v>29.15</v>
      </c>
      <c r="F581" s="4">
        <f>IFERROR(VLOOKUP(B581,Week9,3,FALSE),130)</f>
        <v>83</v>
      </c>
      <c r="G581" s="4">
        <f>IF(ISBLANK(B581),,IFERROR(VLOOKUP(B581,CurrentRank!$B$2:$D$132,3,FALSE),130))</f>
        <v>117</v>
      </c>
      <c r="H581" s="4">
        <f>IFERROR(VLOOKUP(C581,Week9,2,FALSE),0)</f>
        <v>30.61</v>
      </c>
      <c r="I581" s="4">
        <f>IF(ISBLANK(B581),,IFERROR(VLOOKUP(C581,CurrentRank!$B$2:$C$132,2,FALSE),0))</f>
        <v>36.79</v>
      </c>
      <c r="J581" s="4">
        <f>IFERROR(VLOOKUP(C581,Week9,3,FALSE),130)</f>
        <v>83</v>
      </c>
      <c r="K581" s="4">
        <f>IF(ISBLANK(C581),,IFERROR(VLOOKUP(C581,CurrentRank!$B$2:$D$132,3,FALSE),130))</f>
        <v>49</v>
      </c>
      <c r="L581" s="19">
        <f t="shared" si="247"/>
        <v>0.9183</v>
      </c>
      <c r="M581" s="19">
        <f t="shared" si="248"/>
        <v>0.9891</v>
      </c>
      <c r="N581" s="24">
        <f t="shared" si="242"/>
        <v>83</v>
      </c>
      <c r="O581" s="21">
        <f t="shared" si="4"/>
        <v>-0.45915</v>
      </c>
      <c r="P581" s="21">
        <f t="shared" si="249"/>
        <v>-4.27915</v>
      </c>
      <c r="Q581" s="22">
        <f t="shared" si="6"/>
        <v>0.58270425</v>
      </c>
      <c r="R581" s="25" t="str">
        <f t="shared" si="7"/>
        <v>F</v>
      </c>
      <c r="S581" s="19">
        <f t="shared" si="8"/>
        <v>0.41</v>
      </c>
      <c r="T581" s="19" t="str">
        <f t="shared" si="9"/>
        <v>F</v>
      </c>
      <c r="U581" s="3" t="s">
        <v>203</v>
      </c>
      <c r="V581" s="4" t="str">
        <f>IF(ISBLANK(C581),,IFERROR(IF(VLOOKUP(B581,Standings!$A:$F, 6, 0)=VLOOKUP(C581,Standings!$A:$F, 6, 0), VLOOKUP(B581,Standings!$A:$F, 6, 0), "Non-con"), "FCS"))</f>
        <v>MAC</v>
      </c>
      <c r="W581" s="3" t="str">
        <f t="shared" si="10"/>
        <v>Bowling Green</v>
      </c>
      <c r="X581" s="3" t="str">
        <f t="shared" si="11"/>
        <v>Toledo</v>
      </c>
      <c r="Y581" s="30">
        <f>IF(D581=0,,IF(ISBLANK(Q581),,VLOOKUP(X581,Week9,2,FALSE)/(VLOOKUP(X581,Week9,2,FALSE)+VLOOKUP(W581,Week9,2,FALSE))+0.05)*100)</f>
        <v>55</v>
      </c>
      <c r="Z581" s="3" t="s">
        <v>126</v>
      </c>
      <c r="AA581" s="3">
        <v>38.0</v>
      </c>
      <c r="AB581" s="4" t="str">
        <f t="shared" si="20"/>
        <v>Bowling Green</v>
      </c>
      <c r="AC581" s="3">
        <v>3.0</v>
      </c>
      <c r="AD581" s="3"/>
      <c r="AE581" s="3">
        <f t="shared" si="13"/>
        <v>35</v>
      </c>
      <c r="AF581" s="3"/>
      <c r="AG581" s="3">
        <f t="shared" si="133"/>
        <v>1</v>
      </c>
      <c r="AH581" s="3"/>
      <c r="AI581" s="7"/>
      <c r="AJ581" s="4"/>
      <c r="AK581" s="7"/>
      <c r="AL581" s="7"/>
      <c r="AM581" s="7"/>
      <c r="AN581" s="7"/>
      <c r="AO581" s="7"/>
      <c r="AP581" s="7"/>
      <c r="AQ581" s="7"/>
      <c r="AR581" s="7"/>
      <c r="AS581" s="7"/>
      <c r="AT581" s="7"/>
      <c r="AU581" s="7"/>
      <c r="AV581" s="7"/>
      <c r="AW581" s="7"/>
      <c r="AX581" s="7"/>
    </row>
    <row r="582" ht="12.75" customHeight="1">
      <c r="A582" s="3">
        <v>7.0</v>
      </c>
      <c r="B582" s="3" t="s">
        <v>114</v>
      </c>
      <c r="C582" s="3" t="s">
        <v>200</v>
      </c>
      <c r="D582" s="4">
        <f>IFERROR(VLOOKUP(B582,Week6,2,FALSE),0)</f>
        <v>23.33</v>
      </c>
      <c r="E582" s="4">
        <f>IF(ISBLANK(B582),,IFERROR(VLOOKUP(B582,CurrentRank!$B$2:$C$132,2,FALSE),0))</f>
        <v>29.9</v>
      </c>
      <c r="F582" s="4">
        <f>IFERROR(VLOOKUP(B582,Week6,3,FALSE),130)</f>
        <v>127</v>
      </c>
      <c r="G582" s="4">
        <f>IF(ISBLANK(B582),,IFERROR(VLOOKUP(B582,CurrentRank!$B$2:$D$132,3,FALSE),130))</f>
        <v>110</v>
      </c>
      <c r="H582" s="4">
        <f>IFERROR(VLOOKUP(C582,Week6,2,FALSE),0)</f>
        <v>30.66</v>
      </c>
      <c r="I582" s="4">
        <f>IF(ISBLANK(B582),,IFERROR(VLOOKUP(C582,CurrentRank!$B$2:$C$132,2,FALSE),0))</f>
        <v>32.76</v>
      </c>
      <c r="J582" s="4">
        <f>IFERROR(VLOOKUP(C582,Week6,3,FALSE),130)</f>
        <v>68</v>
      </c>
      <c r="K582" s="4">
        <f>IF(ISBLANK(C582),,IFERROR(VLOOKUP(C582,CurrentRank!$B$2:$D$132,3,FALSE),130))</f>
        <v>89</v>
      </c>
      <c r="L582" s="19">
        <f t="shared" si="247"/>
        <v>0.80985</v>
      </c>
      <c r="M582" s="19">
        <f t="shared" si="248"/>
        <v>0.9399</v>
      </c>
      <c r="N582" s="24">
        <f t="shared" si="242"/>
        <v>97.5</v>
      </c>
      <c r="O582" s="21">
        <f t="shared" si="4"/>
        <v>-4.069925</v>
      </c>
      <c r="P582" s="21">
        <f t="shared" si="249"/>
        <v>-1.834925</v>
      </c>
      <c r="Q582" s="22">
        <f t="shared" si="6"/>
        <v>0.492150375</v>
      </c>
      <c r="R582" s="25" t="str">
        <f t="shared" si="7"/>
        <v>F</v>
      </c>
      <c r="S582" s="19">
        <f t="shared" si="8"/>
        <v>0.4275</v>
      </c>
      <c r="T582" s="19" t="str">
        <f t="shared" si="9"/>
        <v>F</v>
      </c>
      <c r="U582" s="3" t="s">
        <v>203</v>
      </c>
      <c r="V582" s="4" t="str">
        <f>IF(ISBLANK(C582),,IFERROR(IF(VLOOKUP(B582,Standings!$A:$F, 6, 0)=VLOOKUP(C582,Standings!$A:$F, 6, 0), VLOOKUP(B582,Standings!$A:$F, 6, 0), "Non-con"), "FCS"))</f>
        <v>CUSA</v>
      </c>
      <c r="W582" s="3" t="str">
        <f t="shared" si="10"/>
        <v>North Texas</v>
      </c>
      <c r="X582" s="3" t="str">
        <f t="shared" si="11"/>
        <v>Middle Tennessee</v>
      </c>
      <c r="Y582" s="30">
        <f>IF(D582=0,,IF(ISBLANK(Q582),,VLOOKUP(X582,Week6,2,FALSE)/(VLOOKUP(X582,Week6,2,FALSE)+VLOOKUP(W582,Week6,2,FALSE))+0.05)*100)</f>
        <v>61.78829413</v>
      </c>
      <c r="Z582" s="3" t="s">
        <v>114</v>
      </c>
      <c r="AA582" s="3">
        <v>52.0</v>
      </c>
      <c r="AB582" s="4" t="str">
        <f t="shared" si="20"/>
        <v>Middle Tennessee</v>
      </c>
      <c r="AC582" s="3">
        <v>35.0</v>
      </c>
      <c r="AD582" s="3"/>
      <c r="AE582" s="3">
        <f t="shared" si="13"/>
        <v>17</v>
      </c>
      <c r="AF582" s="3"/>
      <c r="AG582" s="3">
        <f t="shared" si="133"/>
        <v>0</v>
      </c>
      <c r="AH582" s="3"/>
      <c r="AI582" s="7"/>
      <c r="AJ582" s="4"/>
      <c r="AK582" s="7"/>
      <c r="AL582" s="7"/>
      <c r="AM582" s="7"/>
      <c r="AN582" s="7"/>
      <c r="AO582" s="7"/>
      <c r="AP582" s="7"/>
      <c r="AQ582" s="7"/>
      <c r="AR582" s="7"/>
      <c r="AS582" s="7"/>
      <c r="AT582" s="7"/>
      <c r="AU582" s="7"/>
      <c r="AV582" s="7"/>
      <c r="AW582" s="7"/>
      <c r="AX582" s="7"/>
    </row>
    <row r="583" ht="12.75" hidden="1" customHeight="1">
      <c r="A583" s="3">
        <v>11.0</v>
      </c>
      <c r="B583" s="3" t="s">
        <v>107</v>
      </c>
      <c r="C583" s="3" t="s">
        <v>175</v>
      </c>
      <c r="D583" s="4">
        <f>IFERROR(VLOOKUP(B583,CurrentRank!$B$2:$C$132,2,FALSE),0)</f>
        <v>35.54</v>
      </c>
      <c r="E583" s="4">
        <f>IF(ISBLANK(B583),,IFERROR(VLOOKUP(B583,CurrentRank!$B$2:$C$132,2,FALSE),0))</f>
        <v>35.54</v>
      </c>
      <c r="F583" s="4">
        <f>IFERROR(VLOOKUP(B583,Week10,3,FALSE),130)</f>
        <v>72</v>
      </c>
      <c r="G583" s="4">
        <f>IF(ISBLANK(B583),,IFERROR(VLOOKUP(B583,CurrentRank!$B$2:$D$132,3,FALSE),130))</f>
        <v>57</v>
      </c>
      <c r="H583" s="4">
        <f>IFERROR(VLOOKUP(C583,CurrentRank!$B$2:$C$132,2,FALSE),0)</f>
        <v>31.85</v>
      </c>
      <c r="I583" s="4">
        <f>IF(ISBLANK(B583),,IFERROR(VLOOKUP(C583,CurrentRank!$B$2:$C$132,2,FALSE),0))</f>
        <v>31.85</v>
      </c>
      <c r="J583" s="4">
        <f>IFERROR(VLOOKUP(C583,Week10,3,FALSE),130)</f>
        <v>71</v>
      </c>
      <c r="K583" s="4">
        <f>IF(ISBLANK(C583),,IFERROR(VLOOKUP(C583,CurrentRank!$B$2:$D$132,3,FALSE),130))</f>
        <v>95</v>
      </c>
      <c r="L583" s="19">
        <f t="shared" ref="L583:M583" si="250">IF(ISBLANK(C583),,(D583+H583)*0.015)</f>
        <v>1.01085</v>
      </c>
      <c r="M583" s="19">
        <f t="shared" si="250"/>
        <v>1.01085</v>
      </c>
      <c r="N583" s="24">
        <f t="shared" si="242"/>
        <v>71.5</v>
      </c>
      <c r="O583" s="21">
        <f t="shared" si="4"/>
        <v>1.339575</v>
      </c>
      <c r="P583" s="21">
        <f t="shared" si="249"/>
        <v>1.339575</v>
      </c>
      <c r="Q583" s="22">
        <f t="shared" si="6"/>
        <v>0.635802125</v>
      </c>
      <c r="R583" s="25" t="str">
        <f t="shared" si="7"/>
        <v>D</v>
      </c>
      <c r="S583" s="19" t="str">
        <f t="shared" si="8"/>
        <v/>
      </c>
      <c r="T583" s="19" t="str">
        <f t="shared" si="9"/>
        <v/>
      </c>
      <c r="U583" s="3" t="s">
        <v>203</v>
      </c>
      <c r="V583" s="4" t="str">
        <f>IFERROR(IF(VLOOKUP(B583,Standings!$A:$F, 6, 0)=VLOOKUP(C583,Standings!$A:$F, 6, 0), VLOOKUP(B583,Standings!$A:$F, 6, 0), "Non-con"), "FCS")</f>
        <v>MWC</v>
      </c>
      <c r="W583" s="3" t="str">
        <f t="shared" si="10"/>
        <v>Wyoming</v>
      </c>
      <c r="X583" s="3" t="str">
        <f t="shared" si="11"/>
        <v>Air Force</v>
      </c>
      <c r="Y583" s="30">
        <f>IF(D583=0,,IF(ISBLANK(Q583),,VLOOKUP(X583,Week10,2,FALSE)/(VLOOKUP(X583,Week10,2,FALSE)+VLOOKUP(W583,Week10,2,FALSE))+0.05)*100)</f>
        <v>54.98518519</v>
      </c>
      <c r="Z583" s="3"/>
      <c r="AA583" s="3"/>
      <c r="AB583" s="4" t="str">
        <f t="shared" si="20"/>
        <v/>
      </c>
      <c r="AC583" s="3"/>
      <c r="AD583" s="3"/>
      <c r="AE583" s="3" t="str">
        <f t="shared" si="13"/>
        <v/>
      </c>
      <c r="AF583" s="3" t="s">
        <v>226</v>
      </c>
      <c r="AG583" s="3" t="str">
        <f t="shared" si="133"/>
        <v/>
      </c>
      <c r="AH583" s="3"/>
      <c r="AI583" s="7"/>
      <c r="AJ583" s="4"/>
      <c r="AK583" s="7"/>
      <c r="AL583" s="7"/>
      <c r="AM583" s="7"/>
      <c r="AN583" s="7"/>
      <c r="AO583" s="7"/>
      <c r="AP583" s="7"/>
      <c r="AQ583" s="7"/>
      <c r="AR583" s="7"/>
      <c r="AS583" s="7"/>
      <c r="AT583" s="7"/>
      <c r="AU583" s="7"/>
      <c r="AV583" s="7"/>
      <c r="AW583" s="7"/>
      <c r="AX583" s="7"/>
    </row>
    <row r="584" ht="12.75" customHeight="1">
      <c r="A584" s="3">
        <v>9.0</v>
      </c>
      <c r="B584" s="3" t="s">
        <v>133</v>
      </c>
      <c r="C584" s="3" t="s">
        <v>144</v>
      </c>
      <c r="D584" s="4">
        <f>IFERROR(VLOOKUP(B584,Week8,2,FALSE),0)</f>
        <v>30.76</v>
      </c>
      <c r="E584" s="4">
        <f>IF(ISBLANK(B584),,IFERROR(VLOOKUP(B584,CurrentRank!$B$2:$C$132,2,FALSE),0))</f>
        <v>34.63</v>
      </c>
      <c r="F584" s="4">
        <f>IFERROR(VLOOKUP(B584,Week8,3,FALSE),130)</f>
        <v>76</v>
      </c>
      <c r="G584" s="4">
        <f>IF(ISBLANK(B584),,IFERROR(VLOOKUP(B584,CurrentRank!$B$2:$D$132,3,FALSE),130))</f>
        <v>69</v>
      </c>
      <c r="H584" s="4">
        <f>IFERROR(VLOOKUP(C584,Week8,2,FALSE),0)</f>
        <v>29.35</v>
      </c>
      <c r="I584" s="4">
        <f>IF(ISBLANK(B584),,IFERROR(VLOOKUP(C584,CurrentRank!$B$2:$C$132,2,FALSE),0))</f>
        <v>35.51</v>
      </c>
      <c r="J584" s="4">
        <f>IFERROR(VLOOKUP(C584,Week8,3,FALSE),130)</f>
        <v>111</v>
      </c>
      <c r="K584" s="4">
        <f>IF(ISBLANK(C584),,IFERROR(VLOOKUP(C584,CurrentRank!$B$2:$D$132,3,FALSE),130))</f>
        <v>58</v>
      </c>
      <c r="L584" s="19">
        <f t="shared" ref="L584:L595" si="251">IF(U584= "Yes", 0, IF(ISBLANK(C584),,(D584+H584)*0.015))</f>
        <v>0.90165</v>
      </c>
      <c r="M584" s="19">
        <f t="shared" ref="M584:M595" si="252">IF(U584= "Yes", 0, IF(ISBLANK(D584),,(E584+I584)*0.015))</f>
        <v>1.0521</v>
      </c>
      <c r="N584" s="24">
        <f t="shared" si="242"/>
        <v>93.5</v>
      </c>
      <c r="O584" s="21">
        <f t="shared" si="4"/>
        <v>0.254175</v>
      </c>
      <c r="P584" s="21">
        <f t="shared" si="249"/>
        <v>-0.890825</v>
      </c>
      <c r="Q584" s="22">
        <f t="shared" si="6"/>
        <v>0.531229125</v>
      </c>
      <c r="R584" s="25" t="str">
        <f t="shared" si="7"/>
        <v>F</v>
      </c>
      <c r="S584" s="19">
        <f t="shared" si="8"/>
        <v>0.4275</v>
      </c>
      <c r="T584" s="19" t="str">
        <f t="shared" si="9"/>
        <v>F</v>
      </c>
      <c r="U584" s="3" t="s">
        <v>203</v>
      </c>
      <c r="V584" s="4" t="str">
        <f>IF(ISBLANK(C584),,IFERROR(IF(VLOOKUP(B584,Standings!$A:$F, 6, 0)=VLOOKUP(C584,Standings!$A:$F, 6, 0), VLOOKUP(B584,Standings!$A:$F, 6, 0), "Non-con"), "FCS"))</f>
        <v>MWC</v>
      </c>
      <c r="W584" s="3" t="str">
        <f t="shared" si="10"/>
        <v>Fresno State</v>
      </c>
      <c r="X584" s="3" t="str">
        <f t="shared" si="11"/>
        <v>Colorado State</v>
      </c>
      <c r="Y584" s="30">
        <f>IF(D584=0,,IF(ISBLANK(Q584),,VLOOKUP(X584,Week8,2,FALSE)/(VLOOKUP(X584,Week8,2,FALSE)+VLOOKUP(W584,Week8,2,FALSE))+0.05)*100)</f>
        <v>56.17284978</v>
      </c>
      <c r="Z584" s="3" t="s">
        <v>144</v>
      </c>
      <c r="AA584" s="3">
        <v>38.0</v>
      </c>
      <c r="AB584" s="4" t="str">
        <f t="shared" si="20"/>
        <v>Colorado State</v>
      </c>
      <c r="AC584" s="3">
        <v>17.0</v>
      </c>
      <c r="AD584" s="3"/>
      <c r="AE584" s="3">
        <f t="shared" si="13"/>
        <v>21</v>
      </c>
      <c r="AF584" s="3"/>
      <c r="AG584" s="3">
        <f t="shared" si="133"/>
        <v>0</v>
      </c>
      <c r="AH584" s="3"/>
      <c r="AI584" s="7"/>
      <c r="AJ584" s="4"/>
      <c r="AK584" s="7"/>
      <c r="AL584" s="7"/>
      <c r="AM584" s="7"/>
      <c r="AN584" s="7"/>
      <c r="AO584" s="7"/>
      <c r="AP584" s="7"/>
      <c r="AQ584" s="7"/>
      <c r="AR584" s="7"/>
      <c r="AS584" s="7"/>
      <c r="AT584" s="7"/>
      <c r="AU584" s="7"/>
      <c r="AV584" s="7"/>
      <c r="AW584" s="7"/>
      <c r="AX584" s="7"/>
    </row>
    <row r="585" ht="12.75" hidden="1" customHeight="1">
      <c r="A585" s="3">
        <v>15.0</v>
      </c>
      <c r="B585" s="3" t="s">
        <v>157</v>
      </c>
      <c r="C585" s="3" t="s">
        <v>126</v>
      </c>
      <c r="D585" s="4">
        <f>IFERROR(VLOOKUP(B585,Week14,2,FALSE),0)</f>
        <v>35.39</v>
      </c>
      <c r="E585" s="4">
        <f>IF(ISBLANK(B585),,IFERROR(VLOOKUP(B585,CurrentRank!$B$2:$C$132,2,FALSE),0))</f>
        <v>33.69</v>
      </c>
      <c r="F585" s="4">
        <f>IFERROR(VLOOKUP(B585,Week14,3,FALSE),130)</f>
        <v>63</v>
      </c>
      <c r="G585" s="4">
        <f>IF(ISBLANK(B585),,IFERROR(VLOOKUP(B585,CurrentRank!$B$2:$D$132,3,FALSE),130))</f>
        <v>77</v>
      </c>
      <c r="H585" s="4">
        <f>IFERROR(VLOOKUP(C585,Week14,2,FALSE),0)</f>
        <v>35.3</v>
      </c>
      <c r="I585" s="4">
        <f>IF(ISBLANK(B585),,IFERROR(VLOOKUP(C585,CurrentRank!$B$2:$C$132,2,FALSE),0))</f>
        <v>36.79</v>
      </c>
      <c r="J585" s="4">
        <f>IFERROR(VLOOKUP(C585,Week14,3,FALSE),130)</f>
        <v>65</v>
      </c>
      <c r="K585" s="4">
        <f>IF(ISBLANK(C585),,IFERROR(VLOOKUP(C585,CurrentRank!$B$2:$D$132,3,FALSE),130))</f>
        <v>49</v>
      </c>
      <c r="L585" s="19">
        <f t="shared" si="251"/>
        <v>1.06035</v>
      </c>
      <c r="M585" s="19">
        <f t="shared" si="252"/>
        <v>1.0572</v>
      </c>
      <c r="N585" s="24">
        <f t="shared" si="242"/>
        <v>64</v>
      </c>
      <c r="O585" s="21">
        <f t="shared" si="4"/>
        <v>-0.485175</v>
      </c>
      <c r="P585" s="21">
        <f t="shared" si="249"/>
        <v>-2.080175</v>
      </c>
      <c r="Q585" s="22">
        <f t="shared" si="6"/>
        <v>0.677574125</v>
      </c>
      <c r="R585" s="25" t="str">
        <f t="shared" si="7"/>
        <v>D+</v>
      </c>
      <c r="S585" s="19">
        <f t="shared" si="8"/>
        <v>0.675</v>
      </c>
      <c r="T585" s="19" t="str">
        <f t="shared" si="9"/>
        <v>D+</v>
      </c>
      <c r="U585" s="3" t="s">
        <v>203</v>
      </c>
      <c r="V585" s="4" t="str">
        <f>IF(ISBLANK(C585),,IFERROR(IF(VLOOKUP(B585,Standings!$A:$F, 6, 0)=VLOOKUP(C585,Standings!$A:$F, 6, 0), VLOOKUP(B585,Standings!$A:$F, 6, 0), "Non-con"), "FCS"))</f>
        <v>MAC</v>
      </c>
      <c r="W585" s="3" t="str">
        <f t="shared" si="10"/>
        <v>Central Michigan</v>
      </c>
      <c r="X585" s="3" t="str">
        <f t="shared" si="11"/>
        <v>Toledo</v>
      </c>
      <c r="Y585" s="30">
        <f>IF(D585=0,,IF(ISBLANK(Q585),,VLOOKUP(X585,Week14,2,FALSE)/(VLOOKUP(X585,Week14,2,FALSE)+VLOOKUP(W585,Week14,2,FALSE))+0.05)*100)</f>
        <v>54.93634177</v>
      </c>
      <c r="Z585" s="3" t="s">
        <v>126</v>
      </c>
      <c r="AA585" s="3">
        <v>24.0</v>
      </c>
      <c r="AB585" s="4" t="str">
        <f t="shared" si="20"/>
        <v>Central Michigan</v>
      </c>
      <c r="AC585" s="3">
        <v>23.0</v>
      </c>
      <c r="AD585" s="3"/>
      <c r="AE585" s="3">
        <f t="shared" si="13"/>
        <v>1</v>
      </c>
      <c r="AF585" s="3"/>
      <c r="AG585" s="3">
        <f t="shared" si="133"/>
        <v>1</v>
      </c>
      <c r="AH585" s="3"/>
      <c r="AI585" s="7"/>
      <c r="AJ585" s="4"/>
      <c r="AK585" s="7"/>
      <c r="AL585" s="7"/>
      <c r="AM585" s="7"/>
      <c r="AN585" s="7"/>
      <c r="AO585" s="7"/>
      <c r="AP585" s="7"/>
      <c r="AQ585" s="7"/>
      <c r="AR585" s="7"/>
      <c r="AS585" s="7"/>
      <c r="AT585" s="7"/>
      <c r="AU585" s="7"/>
      <c r="AV585" s="7"/>
      <c r="AW585" s="7"/>
      <c r="AX585" s="7"/>
    </row>
    <row r="586" ht="12.75" hidden="1" customHeight="1">
      <c r="A586" s="3">
        <v>11.0</v>
      </c>
      <c r="B586" s="3" t="s">
        <v>169</v>
      </c>
      <c r="C586" s="3" t="s">
        <v>134</v>
      </c>
      <c r="D586" s="4">
        <f>IFERROR(VLOOKUP(B586,Week10,2,FALSE),0)</f>
        <v>30.07</v>
      </c>
      <c r="E586" s="4">
        <f>IF(ISBLANK(B586),,IFERROR(VLOOKUP(B586,CurrentRank!$B$2:$C$132,2,FALSE),0))</f>
        <v>34.3</v>
      </c>
      <c r="F586" s="4">
        <f>IFERROR(VLOOKUP(B586,Week10,3,FALSE),130)</f>
        <v>103</v>
      </c>
      <c r="G586" s="4">
        <f>IF(ISBLANK(B586),,IFERROR(VLOOKUP(B586,CurrentRank!$B$2:$D$132,3,FALSE),130))</f>
        <v>71</v>
      </c>
      <c r="H586" s="4">
        <f>IFERROR(VLOOKUP(C586,Week10,2,FALSE),0)</f>
        <v>29.95</v>
      </c>
      <c r="I586" s="4">
        <f>IF(ISBLANK(B586),,IFERROR(VLOOKUP(C586,CurrentRank!$B$2:$C$132,2,FALSE),0))</f>
        <v>60.69</v>
      </c>
      <c r="J586" s="4">
        <f>IFERROR(VLOOKUP(C586,Week10,3,FALSE),130)</f>
        <v>104</v>
      </c>
      <c r="K586" s="4">
        <f>IF(ISBLANK(C586),,IFERROR(VLOOKUP(C586,CurrentRank!$B$2:$D$132,3,FALSE),130))</f>
        <v>21</v>
      </c>
      <c r="L586" s="19">
        <f t="shared" si="251"/>
        <v>0.9003</v>
      </c>
      <c r="M586" s="19">
        <f t="shared" si="252"/>
        <v>1.42485</v>
      </c>
      <c r="N586" s="24">
        <f t="shared" si="242"/>
        <v>103.5</v>
      </c>
      <c r="O586" s="21">
        <f t="shared" si="4"/>
        <v>-0.39015</v>
      </c>
      <c r="P586" s="21">
        <f t="shared" si="249"/>
        <v>-13.64515</v>
      </c>
      <c r="Q586" s="22">
        <f t="shared" si="6"/>
        <v>0.48054925</v>
      </c>
      <c r="R586" s="25" t="str">
        <f t="shared" si="7"/>
        <v>F</v>
      </c>
      <c r="S586" s="19">
        <f t="shared" si="8"/>
        <v>0.4475</v>
      </c>
      <c r="T586" s="19" t="str">
        <f t="shared" si="9"/>
        <v>F</v>
      </c>
      <c r="U586" s="3" t="s">
        <v>203</v>
      </c>
      <c r="V586" s="4" t="str">
        <f>IF(ISBLANK(C586),,IFERROR(IF(VLOOKUP(B586,Standings!$A:$F, 6, 0)=VLOOKUP(C586,Standings!$A:$F, 6, 0), VLOOKUP(B586,Standings!$A:$F, 6, 0), "Non-con"), "FCS"))</f>
        <v>MAC</v>
      </c>
      <c r="W586" s="3" t="str">
        <f t="shared" si="10"/>
        <v>Eastern Michigan</v>
      </c>
      <c r="X586" s="3" t="str">
        <f t="shared" si="11"/>
        <v>Ball State</v>
      </c>
      <c r="Y586" s="30">
        <f>IF(D586=0,,IF(ISBLANK(Q586),,VLOOKUP(X586,Week10,2,FALSE)/(VLOOKUP(X586,Week10,2,FALSE)+VLOOKUP(W586,Week10,2,FALSE))+0.05)*100)</f>
        <v>54.90003332</v>
      </c>
      <c r="Z586" s="3" t="s">
        <v>134</v>
      </c>
      <c r="AA586" s="3">
        <v>38.0</v>
      </c>
      <c r="AB586" s="4" t="str">
        <f t="shared" si="20"/>
        <v>Eastern Michigan</v>
      </c>
      <c r="AC586" s="3">
        <v>31.0</v>
      </c>
      <c r="AD586" s="3"/>
      <c r="AE586" s="3">
        <f t="shared" si="13"/>
        <v>7</v>
      </c>
      <c r="AF586" s="3"/>
      <c r="AG586" s="3">
        <f t="shared" si="133"/>
        <v>1</v>
      </c>
      <c r="AH586" s="3"/>
      <c r="AI586" s="7"/>
      <c r="AJ586" s="4"/>
      <c r="AK586" s="7"/>
      <c r="AL586" s="7"/>
      <c r="AM586" s="7"/>
      <c r="AN586" s="7"/>
      <c r="AO586" s="7"/>
      <c r="AP586" s="7"/>
      <c r="AQ586" s="7"/>
      <c r="AR586" s="7"/>
      <c r="AS586" s="7"/>
      <c r="AT586" s="7"/>
      <c r="AU586" s="7"/>
      <c r="AV586" s="7"/>
      <c r="AW586" s="7"/>
      <c r="AX586" s="7"/>
    </row>
    <row r="587" ht="12.75" customHeight="1">
      <c r="A587" s="3">
        <v>12.0</v>
      </c>
      <c r="B587" s="3" t="s">
        <v>148</v>
      </c>
      <c r="C587" s="3" t="s">
        <v>178</v>
      </c>
      <c r="D587" s="4">
        <f>IFERROR(VLOOKUP(B587,Week11,2,FALSE),0)</f>
        <v>30.26</v>
      </c>
      <c r="E587" s="4">
        <f>IF(ISBLANK(B587),,IFERROR(VLOOKUP(B587,CurrentRank!$B$2:$C$132,2,FALSE),0))</f>
        <v>32.94</v>
      </c>
      <c r="F587" s="4">
        <f>IFERROR(VLOOKUP(B587,Week11,3,FALSE),130)</f>
        <v>104</v>
      </c>
      <c r="G587" s="4">
        <f>IF(ISBLANK(B587),,IFERROR(VLOOKUP(B587,CurrentRank!$B$2:$D$132,3,FALSE),130))</f>
        <v>87</v>
      </c>
      <c r="H587" s="4">
        <f>IFERROR(VLOOKUP(C587,Week11,2,FALSE),0)</f>
        <v>32.31</v>
      </c>
      <c r="I587" s="4">
        <f>IF(ISBLANK(B587),,IFERROR(VLOOKUP(C587,CurrentRank!$B$2:$C$132,2,FALSE),0))</f>
        <v>30.84</v>
      </c>
      <c r="J587" s="4">
        <f>IFERROR(VLOOKUP(C587,Week11,3,FALSE),130)</f>
        <v>84</v>
      </c>
      <c r="K587" s="4">
        <f>IF(ISBLANK(C587),,IFERROR(VLOOKUP(C587,CurrentRank!$B$2:$D$132,3,FALSE),130))</f>
        <v>104</v>
      </c>
      <c r="L587" s="19">
        <f t="shared" si="251"/>
        <v>0.93855</v>
      </c>
      <c r="M587" s="19">
        <f t="shared" si="252"/>
        <v>0.9567</v>
      </c>
      <c r="N587" s="24">
        <f t="shared" si="242"/>
        <v>94</v>
      </c>
      <c r="O587" s="21">
        <f t="shared" si="4"/>
        <v>-1.494275</v>
      </c>
      <c r="P587" s="21">
        <f t="shared" si="249"/>
        <v>0.580725</v>
      </c>
      <c r="Q587" s="22">
        <f t="shared" si="6"/>
        <v>0.522528625</v>
      </c>
      <c r="R587" s="25" t="str">
        <f t="shared" si="7"/>
        <v>F</v>
      </c>
      <c r="S587" s="19">
        <f t="shared" si="8"/>
        <v>0.405</v>
      </c>
      <c r="T587" s="19" t="str">
        <f t="shared" si="9"/>
        <v>F</v>
      </c>
      <c r="U587" s="3" t="s">
        <v>203</v>
      </c>
      <c r="V587" s="4" t="str">
        <f>IF(ISBLANK(C587),,IFERROR(IF(VLOOKUP(B587,Standings!$A:$F, 6, 0)=VLOOKUP(C587,Standings!$A:$F, 6, 0), VLOOKUP(B587,Standings!$A:$F, 6, 0), "Non-con"), "FCS"))</f>
        <v>AAC</v>
      </c>
      <c r="W587" s="3" t="str">
        <f t="shared" si="10"/>
        <v>East Carolina</v>
      </c>
      <c r="X587" s="3" t="str">
        <f t="shared" si="11"/>
        <v>Temple</v>
      </c>
      <c r="Y587" s="30">
        <f>IF(D587=0,,IF(ISBLANK(Q587),,VLOOKUP(X587,Week11,2,FALSE)/(VLOOKUP(X587,Week11,2,FALSE)+VLOOKUP(W587,Week11,2,FALSE))+0.05)*100)</f>
        <v>56.63816525</v>
      </c>
      <c r="Z587" s="3" t="s">
        <v>148</v>
      </c>
      <c r="AA587" s="3">
        <v>28.0</v>
      </c>
      <c r="AB587" s="4" t="str">
        <f t="shared" si="20"/>
        <v>Temple</v>
      </c>
      <c r="AC587" s="3">
        <v>3.0</v>
      </c>
      <c r="AD587" s="3"/>
      <c r="AE587" s="3">
        <f t="shared" si="13"/>
        <v>25</v>
      </c>
      <c r="AF587" s="3"/>
      <c r="AG587" s="3">
        <f t="shared" si="133"/>
        <v>0</v>
      </c>
      <c r="AH587" s="3"/>
      <c r="AI587" s="7"/>
      <c r="AJ587" s="4"/>
      <c r="AK587" s="7"/>
      <c r="AL587" s="7"/>
      <c r="AM587" s="7"/>
      <c r="AN587" s="7"/>
      <c r="AO587" s="7"/>
      <c r="AP587" s="7"/>
      <c r="AQ587" s="7"/>
      <c r="AR587" s="7"/>
      <c r="AS587" s="7"/>
      <c r="AT587" s="7"/>
      <c r="AU587" s="7"/>
      <c r="AV587" s="7"/>
      <c r="AW587" s="7"/>
      <c r="AX587" s="7"/>
    </row>
    <row r="588" ht="12.75" hidden="1" customHeight="1">
      <c r="A588" s="3">
        <v>7.0</v>
      </c>
      <c r="B588" s="3" t="s">
        <v>136</v>
      </c>
      <c r="C588" s="3" t="s">
        <v>115</v>
      </c>
      <c r="D588" s="4">
        <f>IFERROR(VLOOKUP(B588,Week6,2,FALSE),0)</f>
        <v>37.96</v>
      </c>
      <c r="E588" s="4">
        <f>IF(ISBLANK(B588),,IFERROR(VLOOKUP(B588,CurrentRank!$B$2:$C$132,2,FALSE),0))</f>
        <v>35.33</v>
      </c>
      <c r="F588" s="4">
        <f>IFERROR(VLOOKUP(B588,Week6,3,FALSE),130)</f>
        <v>40</v>
      </c>
      <c r="G588" s="4">
        <f>IF(ISBLANK(B588),,IFERROR(VLOOKUP(B588,CurrentRank!$B$2:$D$132,3,FALSE),130))</f>
        <v>62</v>
      </c>
      <c r="H588" s="4">
        <f>IFERROR(VLOOKUP(C588,Week6,2,FALSE),0)</f>
        <v>37.67</v>
      </c>
      <c r="I588" s="4">
        <f>IF(ISBLANK(B588),,IFERROR(VLOOKUP(C588,CurrentRank!$B$2:$C$132,2,FALSE),0))</f>
        <v>32.29</v>
      </c>
      <c r="J588" s="4">
        <f>IFERROR(VLOOKUP(C588,Week6,3,FALSE),130)</f>
        <v>41</v>
      </c>
      <c r="K588" s="4">
        <f>IF(ISBLANK(C588),,IFERROR(VLOOKUP(C588,CurrentRank!$B$2:$D$132,3,FALSE),130))</f>
        <v>91</v>
      </c>
      <c r="L588" s="19">
        <f t="shared" si="251"/>
        <v>1.13445</v>
      </c>
      <c r="M588" s="19">
        <f t="shared" si="252"/>
        <v>1.0143</v>
      </c>
      <c r="N588" s="24">
        <f t="shared" si="242"/>
        <v>40.5</v>
      </c>
      <c r="O588" s="21">
        <f t="shared" si="4"/>
        <v>-0.422225</v>
      </c>
      <c r="P588" s="21">
        <f t="shared" si="249"/>
        <v>0.952775</v>
      </c>
      <c r="Q588" s="22">
        <f t="shared" si="6"/>
        <v>0.795388875</v>
      </c>
      <c r="R588" s="25" t="str">
        <f t="shared" si="7"/>
        <v>B-</v>
      </c>
      <c r="S588" s="19">
        <f t="shared" si="8"/>
        <v>0.7625</v>
      </c>
      <c r="T588" s="19" t="str">
        <f t="shared" si="9"/>
        <v>C</v>
      </c>
      <c r="U588" s="3" t="s">
        <v>203</v>
      </c>
      <c r="V588" s="4" t="str">
        <f>IF(ISBLANK(C588),,IFERROR(IF(VLOOKUP(B588,Standings!$A:$F, 6, 0)=VLOOKUP(C588,Standings!$A:$F, 6, 0), VLOOKUP(B588,Standings!$A:$F, 6, 0), "Non-con"), "FCS"))</f>
        <v>SUN</v>
      </c>
      <c r="W588" s="3" t="str">
        <f t="shared" si="10"/>
        <v>Georgia State</v>
      </c>
      <c r="X588" s="3" t="str">
        <f t="shared" si="11"/>
        <v>Arkansas State</v>
      </c>
      <c r="Y588" s="30">
        <f>IF(D588=0,,IF(ISBLANK(Q588),,VLOOKUP(X588,Week6,2,FALSE)/(VLOOKUP(X588,Week6,2,FALSE)+VLOOKUP(W588,Week6,2,FALSE))+0.05)*100)</f>
        <v>54.80827714</v>
      </c>
      <c r="Z588" s="3" t="s">
        <v>115</v>
      </c>
      <c r="AA588" s="3">
        <v>59.0</v>
      </c>
      <c r="AB588" s="4" t="str">
        <f t="shared" si="20"/>
        <v>Georgia State</v>
      </c>
      <c r="AC588" s="3">
        <v>52.0</v>
      </c>
      <c r="AD588" s="3"/>
      <c r="AE588" s="3">
        <f t="shared" si="13"/>
        <v>7</v>
      </c>
      <c r="AF588" s="3"/>
      <c r="AG588" s="3">
        <f t="shared" si="133"/>
        <v>1</v>
      </c>
      <c r="AH588" s="3"/>
      <c r="AI588" s="7"/>
      <c r="AJ588" s="4"/>
      <c r="AK588" s="7"/>
      <c r="AL588" s="7"/>
      <c r="AM588" s="7"/>
      <c r="AN588" s="7"/>
      <c r="AO588" s="7"/>
      <c r="AP588" s="7"/>
      <c r="AQ588" s="7"/>
      <c r="AR588" s="7"/>
      <c r="AS588" s="7"/>
      <c r="AT588" s="7"/>
      <c r="AU588" s="7"/>
      <c r="AV588" s="7"/>
      <c r="AW588" s="7"/>
      <c r="AX588" s="7"/>
    </row>
    <row r="589" ht="12.75" hidden="1" customHeight="1">
      <c r="A589" s="3">
        <v>10.0</v>
      </c>
      <c r="B589" s="3" t="s">
        <v>185</v>
      </c>
      <c r="C589" s="3" t="s">
        <v>186</v>
      </c>
      <c r="D589" s="4">
        <f>IFERROR(VLOOKUP(B589,Week9,2,FALSE),0)</f>
        <v>33.85</v>
      </c>
      <c r="E589" s="4">
        <f>IF(ISBLANK(B589),,IFERROR(VLOOKUP(B589,CurrentRank!$B$2:$C$132,2,FALSE),0))</f>
        <v>33.22</v>
      </c>
      <c r="F589" s="4">
        <f>IFERROR(VLOOKUP(B589,Week9,3,FALSE),130)</f>
        <v>60</v>
      </c>
      <c r="G589" s="4">
        <f>IF(ISBLANK(B589),,IFERROR(VLOOKUP(B589,CurrentRank!$B$2:$D$132,3,FALSE),130))</f>
        <v>84</v>
      </c>
      <c r="H589" s="4">
        <f>IFERROR(VLOOKUP(C589,Week9,2,FALSE),0)</f>
        <v>33.58</v>
      </c>
      <c r="I589" s="4">
        <f>IF(ISBLANK(B589),,IFERROR(VLOOKUP(C589,CurrentRank!$B$2:$C$132,2,FALSE),0))</f>
        <v>33.49</v>
      </c>
      <c r="J589" s="4">
        <f>IFERROR(VLOOKUP(C589,Week9,3,FALSE),130)</f>
        <v>64</v>
      </c>
      <c r="K589" s="4">
        <f>IF(ISBLANK(C589),,IFERROR(VLOOKUP(C589,CurrentRank!$B$2:$D$132,3,FALSE),130))</f>
        <v>79</v>
      </c>
      <c r="L589" s="19">
        <f t="shared" si="251"/>
        <v>1.01145</v>
      </c>
      <c r="M589" s="19">
        <f t="shared" si="252"/>
        <v>1.00065</v>
      </c>
      <c r="N589" s="24">
        <f t="shared" si="242"/>
        <v>62</v>
      </c>
      <c r="O589" s="21">
        <f t="shared" si="4"/>
        <v>-0.370725</v>
      </c>
      <c r="P589" s="21">
        <f t="shared" si="249"/>
        <v>-0.640725</v>
      </c>
      <c r="Q589" s="22">
        <f t="shared" si="6"/>
        <v>0.688146375</v>
      </c>
      <c r="R589" s="25" t="str">
        <f t="shared" si="7"/>
        <v>D+</v>
      </c>
      <c r="S589" s="19">
        <f t="shared" si="8"/>
        <v>0.66</v>
      </c>
      <c r="T589" s="19" t="str">
        <f t="shared" si="9"/>
        <v>D</v>
      </c>
      <c r="U589" s="3" t="s">
        <v>203</v>
      </c>
      <c r="V589" s="4" t="str">
        <f>IF(ISBLANK(C589),,IFERROR(IF(VLOOKUP(B589,Standings!$A:$F, 6, 0)=VLOOKUP(C589,Standings!$A:$F, 6, 0), VLOOKUP(B589,Standings!$A:$F, 6, 0), "Non-con"), "FCS"))</f>
        <v>MWC</v>
      </c>
      <c r="W589" s="3" t="str">
        <f t="shared" si="10"/>
        <v>New Mexico</v>
      </c>
      <c r="X589" s="3" t="str">
        <f t="shared" si="11"/>
        <v>Hawaii</v>
      </c>
      <c r="Y589" s="30">
        <f>IF(D589=0,,IF(ISBLANK(Q589),,VLOOKUP(X589,Week9,2,FALSE)/(VLOOKUP(X589,Week9,2,FALSE)+VLOOKUP(W589,Week9,2,FALSE))+0.05)*100)</f>
        <v>54.79979238</v>
      </c>
      <c r="Z589" s="3" t="s">
        <v>186</v>
      </c>
      <c r="AA589" s="3">
        <v>39.0</v>
      </c>
      <c r="AB589" s="4" t="str">
        <f t="shared" si="20"/>
        <v>New Mexico</v>
      </c>
      <c r="AC589" s="3">
        <v>33.0</v>
      </c>
      <c r="AD589" s="3"/>
      <c r="AE589" s="3">
        <f t="shared" si="13"/>
        <v>6</v>
      </c>
      <c r="AF589" s="3"/>
      <c r="AG589" s="3">
        <f t="shared" si="133"/>
        <v>1</v>
      </c>
      <c r="AH589" s="3"/>
      <c r="AI589" s="7"/>
      <c r="AJ589" s="4"/>
      <c r="AK589" s="3" t="s">
        <v>56</v>
      </c>
      <c r="AL589" s="44" t="s">
        <v>280</v>
      </c>
      <c r="AM589" s="7"/>
      <c r="AN589" s="7"/>
      <c r="AO589" s="7"/>
      <c r="AP589" s="7"/>
      <c r="AQ589" s="7"/>
      <c r="AR589" s="7"/>
      <c r="AS589" s="7"/>
      <c r="AT589" s="7"/>
      <c r="AU589" s="7"/>
      <c r="AV589" s="7"/>
      <c r="AW589" s="7"/>
      <c r="AX589" s="7"/>
    </row>
    <row r="590" ht="12.75" hidden="1" customHeight="1">
      <c r="A590" s="3">
        <v>11.0</v>
      </c>
      <c r="B590" s="3" t="s">
        <v>170</v>
      </c>
      <c r="C590" s="3" t="s">
        <v>193</v>
      </c>
      <c r="D590" s="4">
        <f>IFERROR(VLOOKUP(B590,Week10,2,FALSE),0)</f>
        <v>28.39</v>
      </c>
      <c r="E590" s="4">
        <f>IF(ISBLANK(B590),,IFERROR(VLOOKUP(B590,CurrentRank!$B$2:$C$132,2,FALSE),0))</f>
        <v>28.08</v>
      </c>
      <c r="F590" s="4">
        <f>IFERROR(VLOOKUP(B590,Week10,3,FALSE),130)</f>
        <v>115</v>
      </c>
      <c r="G590" s="4">
        <f>IF(ISBLANK(B590),,IFERROR(VLOOKUP(B590,CurrentRank!$B$2:$D$132,3,FALSE),130))</f>
        <v>121</v>
      </c>
      <c r="H590" s="4">
        <f>IFERROR(VLOOKUP(C590,Week10,2,FALSE),0)</f>
        <v>28.14</v>
      </c>
      <c r="I590" s="4">
        <f>IF(ISBLANK(B590),,IFERROR(VLOOKUP(C590,CurrentRank!$B$2:$C$132,2,FALSE),0))</f>
        <v>29.31</v>
      </c>
      <c r="J590" s="4">
        <f>IFERROR(VLOOKUP(C590,Week10,3,FALSE),130)</f>
        <v>116</v>
      </c>
      <c r="K590" s="4">
        <f>IF(ISBLANK(C590),,IFERROR(VLOOKUP(C590,CurrentRank!$B$2:$D$132,3,FALSE),130))</f>
        <v>115</v>
      </c>
      <c r="L590" s="19">
        <f t="shared" si="251"/>
        <v>0.84795</v>
      </c>
      <c r="M590" s="19">
        <f t="shared" si="252"/>
        <v>0.86085</v>
      </c>
      <c r="N590" s="24">
        <f t="shared" si="242"/>
        <v>115.5</v>
      </c>
      <c r="O590" s="21">
        <f t="shared" si="4"/>
        <v>-0.298975</v>
      </c>
      <c r="P590" s="21">
        <f t="shared" si="249"/>
        <v>-1.038975</v>
      </c>
      <c r="Q590" s="22">
        <f t="shared" si="6"/>
        <v>0.421005125</v>
      </c>
      <c r="R590" s="25" t="str">
        <f t="shared" si="7"/>
        <v>F</v>
      </c>
      <c r="S590" s="19">
        <f t="shared" si="8"/>
        <v>0.4075</v>
      </c>
      <c r="T590" s="19" t="str">
        <f t="shared" si="9"/>
        <v>F</v>
      </c>
      <c r="U590" s="3" t="s">
        <v>203</v>
      </c>
      <c r="V590" s="4" t="str">
        <f>IF(ISBLANK(C590),,IFERROR(IF(VLOOKUP(B590,Standings!$A:$F, 6, 0)=VLOOKUP(C590,Standings!$A:$F, 6, 0), VLOOKUP(B590,Standings!$A:$F, 6, 0), "Non-con"), "FCS"))</f>
        <v>CUSA</v>
      </c>
      <c r="W590" s="3" t="str">
        <f t="shared" si="10"/>
        <v>Southern Mississippi</v>
      </c>
      <c r="X590" s="3" t="str">
        <f t="shared" si="11"/>
        <v>Western Kentucky</v>
      </c>
      <c r="Y590" s="30">
        <f>IF(D590=0,,IF(ISBLANK(Q590),,VLOOKUP(X590,Week10,2,FALSE)/(VLOOKUP(X590,Week10,2,FALSE)+VLOOKUP(W590,Week10,2,FALSE))+0.05)*100)</f>
        <v>54.77887847</v>
      </c>
      <c r="Z590" s="3" t="s">
        <v>193</v>
      </c>
      <c r="AA590" s="3">
        <v>10.0</v>
      </c>
      <c r="AB590" s="4" t="str">
        <f t="shared" si="20"/>
        <v>Southern Mississippi</v>
      </c>
      <c r="AC590" s="3">
        <v>7.0</v>
      </c>
      <c r="AD590" s="3"/>
      <c r="AE590" s="3">
        <f t="shared" si="13"/>
        <v>3</v>
      </c>
      <c r="AF590" s="3"/>
      <c r="AG590" s="3">
        <f t="shared" si="133"/>
        <v>1</v>
      </c>
      <c r="AH590" s="3"/>
      <c r="AI590" s="7"/>
      <c r="AJ590" s="4"/>
      <c r="AK590" s="7"/>
      <c r="AL590" s="7"/>
      <c r="AM590" s="7"/>
      <c r="AN590" s="7"/>
      <c r="AO590" s="7"/>
      <c r="AP590" s="7"/>
      <c r="AQ590" s="7"/>
      <c r="AR590" s="7"/>
      <c r="AS590" s="7"/>
      <c r="AT590" s="7"/>
      <c r="AU590" s="7"/>
      <c r="AV590" s="7"/>
      <c r="AW590" s="7"/>
      <c r="AX590" s="7"/>
    </row>
    <row r="591" ht="12.75" customHeight="1">
      <c r="A591" s="3">
        <v>5.0</v>
      </c>
      <c r="B591" s="3" t="s">
        <v>193</v>
      </c>
      <c r="C591" s="3" t="s">
        <v>200</v>
      </c>
      <c r="D591" s="4">
        <f>IFERROR(VLOOKUP(B591,Week4,2,FALSE),0)</f>
        <v>27.42</v>
      </c>
      <c r="E591" s="4">
        <f>IF(ISBLANK(B591),,IFERROR(VLOOKUP(B591,CurrentRank!$B$2:$C$132,2,FALSE),0))</f>
        <v>29.31</v>
      </c>
      <c r="F591" s="4">
        <f>IFERROR(VLOOKUP(B591,Week4,3,FALSE),130)</f>
        <v>118</v>
      </c>
      <c r="G591" s="4">
        <f>IF(ISBLANK(B591),,IFERROR(VLOOKUP(B591,CurrentRank!$B$2:$D$132,3,FALSE),130))</f>
        <v>115</v>
      </c>
      <c r="H591" s="4">
        <f>IFERROR(VLOOKUP(C591,Week4,2,FALSE),0)</f>
        <v>28.08</v>
      </c>
      <c r="I591" s="4">
        <f>IF(ISBLANK(B591),,IFERROR(VLOOKUP(C591,CurrentRank!$B$2:$C$132,2,FALSE),0))</f>
        <v>32.76</v>
      </c>
      <c r="J591" s="4">
        <f>IFERROR(VLOOKUP(C591,Week4,3,FALSE),130)</f>
        <v>116</v>
      </c>
      <c r="K591" s="4">
        <f>IF(ISBLANK(C591),,IFERROR(VLOOKUP(C591,CurrentRank!$B$2:$D$132,3,FALSE),130))</f>
        <v>89</v>
      </c>
      <c r="L591" s="19">
        <f t="shared" si="251"/>
        <v>0.8325</v>
      </c>
      <c r="M591" s="19">
        <f t="shared" si="252"/>
        <v>0.93105</v>
      </c>
      <c r="N591" s="24">
        <f t="shared" si="242"/>
        <v>117</v>
      </c>
      <c r="O591" s="21">
        <f t="shared" si="4"/>
        <v>-0.74625</v>
      </c>
      <c r="P591" s="21">
        <f t="shared" si="249"/>
        <v>-2.14125</v>
      </c>
      <c r="Q591" s="22">
        <f t="shared" si="6"/>
        <v>0.41126875</v>
      </c>
      <c r="R591" s="25" t="str">
        <f t="shared" si="7"/>
        <v>F</v>
      </c>
      <c r="S591" s="19">
        <f t="shared" si="8"/>
        <v>0.4</v>
      </c>
      <c r="T591" s="19" t="str">
        <f t="shared" si="9"/>
        <v>F</v>
      </c>
      <c r="U591" s="3" t="s">
        <v>203</v>
      </c>
      <c r="V591" s="4" t="str">
        <f>IF(ISBLANK(C591),,IFERROR(IF(VLOOKUP(B591,Standings!$A:$F, 6, 0)=VLOOKUP(C591,Standings!$A:$F, 6, 0), VLOOKUP(B591,Standings!$A:$F, 6, 0), "Non-con"), "FCS"))</f>
        <v>CUSA</v>
      </c>
      <c r="W591" s="3" t="str">
        <f t="shared" si="10"/>
        <v>Western Kentucky</v>
      </c>
      <c r="X591" s="3" t="str">
        <f t="shared" si="11"/>
        <v>Middle Tennessee</v>
      </c>
      <c r="Y591" s="30">
        <f>IF(D591=0,,IF(ISBLANK(Q591),,VLOOKUP(X591,Week4,2,FALSE)/(VLOOKUP(X591,Week4,2,FALSE)+VLOOKUP(W591,Week4,2,FALSE))+0.05)*100)</f>
        <v>55.59459459</v>
      </c>
      <c r="Z591" s="3" t="s">
        <v>193</v>
      </c>
      <c r="AA591" s="3">
        <v>20.0</v>
      </c>
      <c r="AB591" s="4" t="str">
        <f t="shared" si="20"/>
        <v>Middle Tennessee</v>
      </c>
      <c r="AC591" s="3">
        <v>17.0</v>
      </c>
      <c r="AD591" s="3"/>
      <c r="AE591" s="3">
        <f t="shared" si="13"/>
        <v>3</v>
      </c>
      <c r="AF591" s="3"/>
      <c r="AG591" s="3">
        <f t="shared" si="133"/>
        <v>0</v>
      </c>
      <c r="AH591" s="3"/>
      <c r="AI591" s="7"/>
      <c r="AJ591" s="4"/>
      <c r="AK591" s="7"/>
      <c r="AL591" s="7"/>
      <c r="AM591" s="7"/>
      <c r="AN591" s="7"/>
      <c r="AO591" s="7"/>
      <c r="AP591" s="7"/>
      <c r="AQ591" s="7"/>
      <c r="AR591" s="7"/>
      <c r="AS591" s="7"/>
      <c r="AT591" s="7"/>
      <c r="AU591" s="7"/>
      <c r="AV591" s="7"/>
      <c r="AW591" s="7"/>
      <c r="AX591" s="7"/>
    </row>
    <row r="592" ht="12.75" customHeight="1">
      <c r="A592" s="3">
        <v>11.0</v>
      </c>
      <c r="B592" s="3" t="s">
        <v>171</v>
      </c>
      <c r="C592" s="3" t="s">
        <v>125</v>
      </c>
      <c r="D592" s="4">
        <f>IFERROR(VLOOKUP(B592,Week10,2,FALSE),0)</f>
        <v>30.75</v>
      </c>
      <c r="E592" s="4">
        <f>IF(ISBLANK(B592),,IFERROR(VLOOKUP(B592,CurrentRank!$B$2:$C$132,2,FALSE),0))</f>
        <v>36.35</v>
      </c>
      <c r="F592" s="4">
        <f>IFERROR(VLOOKUP(B592,Week10,3,FALSE),130)</f>
        <v>91</v>
      </c>
      <c r="G592" s="4">
        <f>IF(ISBLANK(B592),,IFERROR(VLOOKUP(B592,CurrentRank!$B$2:$D$132,3,FALSE),130))</f>
        <v>53</v>
      </c>
      <c r="H592" s="4">
        <f>IFERROR(VLOOKUP(C592,Week10,2,FALSE),0)</f>
        <v>29.77</v>
      </c>
      <c r="I592" s="4">
        <f>IF(ISBLANK(B592),,IFERROR(VLOOKUP(C592,CurrentRank!$B$2:$C$132,2,FALSE),0))</f>
        <v>41.14</v>
      </c>
      <c r="J592" s="4">
        <f>IFERROR(VLOOKUP(C592,Week10,3,FALSE),130)</f>
        <v>107</v>
      </c>
      <c r="K592" s="4">
        <f>IF(ISBLANK(C592),,IFERROR(VLOOKUP(C592,CurrentRank!$B$2:$D$132,3,FALSE),130))</f>
        <v>31</v>
      </c>
      <c r="L592" s="19">
        <f t="shared" si="251"/>
        <v>0.9078</v>
      </c>
      <c r="M592" s="19">
        <f t="shared" si="252"/>
        <v>1.16235</v>
      </c>
      <c r="N592" s="24">
        <f t="shared" si="242"/>
        <v>99</v>
      </c>
      <c r="O592" s="21">
        <f t="shared" si="4"/>
        <v>0.0361</v>
      </c>
      <c r="P592" s="21">
        <f t="shared" si="249"/>
        <v>-2.8489</v>
      </c>
      <c r="Q592" s="22">
        <f t="shared" si="6"/>
        <v>0.5048195</v>
      </c>
      <c r="R592" s="25" t="str">
        <f t="shared" si="7"/>
        <v>F</v>
      </c>
      <c r="S592" s="19">
        <f t="shared" si="8"/>
        <v>0.385</v>
      </c>
      <c r="T592" s="19" t="str">
        <f t="shared" si="9"/>
        <v>F</v>
      </c>
      <c r="U592" s="3" t="s">
        <v>203</v>
      </c>
      <c r="V592" s="4" t="str">
        <f>IF(ISBLANK(C592),,IFERROR(IF(VLOOKUP(B592,Standings!$A:$F, 6, 0)=VLOOKUP(C592,Standings!$A:$F, 6, 0), VLOOKUP(B592,Standings!$A:$F, 6, 0), "Non-con"), "FCS"))</f>
        <v>PAC12</v>
      </c>
      <c r="W592" s="3" t="str">
        <f t="shared" si="10"/>
        <v>UCLA</v>
      </c>
      <c r="X592" s="3" t="str">
        <f t="shared" si="11"/>
        <v>California</v>
      </c>
      <c r="Y592" s="30">
        <f>IF(D592=0,,IF(ISBLANK(Q592),,VLOOKUP(X592,Week10,2,FALSE)/(VLOOKUP(X592,Week10,2,FALSE)+VLOOKUP(W592,Week10,2,FALSE))+0.05)*100)</f>
        <v>55.8096497</v>
      </c>
      <c r="Z592" s="3" t="s">
        <v>125</v>
      </c>
      <c r="AA592" s="3">
        <v>34.0</v>
      </c>
      <c r="AB592" s="4" t="str">
        <f t="shared" si="20"/>
        <v>California</v>
      </c>
      <c r="AC592" s="3">
        <v>10.0</v>
      </c>
      <c r="AD592" s="3"/>
      <c r="AE592" s="3">
        <f t="shared" si="13"/>
        <v>24</v>
      </c>
      <c r="AF592" s="3"/>
      <c r="AG592" s="3">
        <f t="shared" si="133"/>
        <v>0</v>
      </c>
      <c r="AH592" s="3"/>
      <c r="AI592" s="7"/>
      <c r="AJ592" s="4"/>
      <c r="AK592" s="7"/>
      <c r="AL592" s="7"/>
      <c r="AM592" s="7"/>
      <c r="AN592" s="7"/>
      <c r="AO592" s="7"/>
      <c r="AP592" s="7"/>
      <c r="AQ592" s="7"/>
      <c r="AR592" s="7"/>
      <c r="AS592" s="7"/>
      <c r="AT592" s="7"/>
      <c r="AU592" s="7"/>
      <c r="AV592" s="7"/>
      <c r="AW592" s="7"/>
      <c r="AX592" s="7"/>
    </row>
    <row r="593" ht="12.75" customHeight="1">
      <c r="A593" s="3">
        <v>5.0</v>
      </c>
      <c r="B593" s="3" t="s">
        <v>129</v>
      </c>
      <c r="C593" s="3" t="s">
        <v>99</v>
      </c>
      <c r="D593" s="4">
        <f>IFERROR(VLOOKUP(B593,Week4,2,FALSE),0)</f>
        <v>25.55</v>
      </c>
      <c r="E593" s="4">
        <f>IF(ISBLANK(B593),,IFERROR(VLOOKUP(B593,CurrentRank!$B$2:$C$132,2,FALSE),0))</f>
        <v>39.96</v>
      </c>
      <c r="F593" s="4">
        <f>IFERROR(VLOOKUP(B593,Week4,3,FALSE),130)</f>
        <v>124</v>
      </c>
      <c r="G593" s="4">
        <f>IF(ISBLANK(B593),,IFERROR(VLOOKUP(B593,CurrentRank!$B$2:$D$132,3,FALSE),130))</f>
        <v>35</v>
      </c>
      <c r="H593" s="4">
        <f>IFERROR(VLOOKUP(C593,Week4,2,FALSE),0)</f>
        <v>25.93</v>
      </c>
      <c r="I593" s="4">
        <f>IF(ISBLANK(B593),,IFERROR(VLOOKUP(C593,CurrentRank!$B$2:$C$132,2,FALSE),0))</f>
        <v>36.94</v>
      </c>
      <c r="J593" s="4">
        <f>IFERROR(VLOOKUP(C593,Week4,3,FALSE),130)</f>
        <v>122</v>
      </c>
      <c r="K593" s="4">
        <f>IF(ISBLANK(C593),,IFERROR(VLOOKUP(C593,CurrentRank!$B$2:$D$132,3,FALSE),130))</f>
        <v>47</v>
      </c>
      <c r="L593" s="19">
        <f t="shared" si="251"/>
        <v>0.7722</v>
      </c>
      <c r="M593" s="19">
        <f t="shared" si="252"/>
        <v>1.1535</v>
      </c>
      <c r="N593" s="24">
        <f t="shared" si="242"/>
        <v>123</v>
      </c>
      <c r="O593" s="21">
        <f t="shared" si="4"/>
        <v>-0.5761</v>
      </c>
      <c r="P593" s="21">
        <f t="shared" si="249"/>
        <v>1.1239</v>
      </c>
      <c r="Q593" s="22">
        <f t="shared" si="6"/>
        <v>0.3821195</v>
      </c>
      <c r="R593" s="25" t="str">
        <f t="shared" si="7"/>
        <v>F</v>
      </c>
      <c r="S593" s="19">
        <f t="shared" si="8"/>
        <v>0.38</v>
      </c>
      <c r="T593" s="19" t="str">
        <f t="shared" si="9"/>
        <v>F</v>
      </c>
      <c r="U593" s="3" t="s">
        <v>203</v>
      </c>
      <c r="V593" s="4" t="str">
        <f>IF(ISBLANK(C593),,IFERROR(IF(VLOOKUP(B593,Standings!$A:$F, 6, 0)=VLOOKUP(C593,Standings!$A:$F, 6, 0), VLOOKUP(B593,Standings!$A:$F, 6, 0), "Non-con"), "FCS"))</f>
        <v>SEC</v>
      </c>
      <c r="W593" s="3" t="str">
        <f t="shared" si="10"/>
        <v>Mississippi</v>
      </c>
      <c r="X593" s="3" t="str">
        <f t="shared" si="11"/>
        <v>Kentucky</v>
      </c>
      <c r="Y593" s="30">
        <f>IF(D593=0,,IF(ISBLANK(Q593),,VLOOKUP(X593,Week4,2,FALSE)/(VLOOKUP(X593,Week4,2,FALSE)+VLOOKUP(W593,Week4,2,FALSE))+0.05)*100)</f>
        <v>55.36907537</v>
      </c>
      <c r="Z593" s="3" t="s">
        <v>129</v>
      </c>
      <c r="AA593" s="3">
        <v>42.0</v>
      </c>
      <c r="AB593" s="4" t="str">
        <f t="shared" si="20"/>
        <v>Kentucky</v>
      </c>
      <c r="AC593" s="3">
        <v>41.0</v>
      </c>
      <c r="AD593" s="3"/>
      <c r="AE593" s="3">
        <f t="shared" si="13"/>
        <v>1</v>
      </c>
      <c r="AF593" s="3"/>
      <c r="AG593" s="3">
        <f t="shared" si="133"/>
        <v>0</v>
      </c>
      <c r="AH593" s="3"/>
      <c r="AI593" s="7"/>
      <c r="AJ593" s="4"/>
      <c r="AK593" s="7"/>
      <c r="AL593" s="7"/>
      <c r="AM593" s="7"/>
      <c r="AN593" s="7"/>
      <c r="AO593" s="7"/>
      <c r="AP593" s="7"/>
      <c r="AQ593" s="7"/>
      <c r="AR593" s="7"/>
      <c r="AS593" s="7"/>
      <c r="AT593" s="7"/>
      <c r="AU593" s="7"/>
      <c r="AV593" s="7"/>
      <c r="AW593" s="7"/>
      <c r="AX593" s="7"/>
    </row>
    <row r="594" ht="12.75" customHeight="1">
      <c r="A594" s="3">
        <v>12.0</v>
      </c>
      <c r="B594" s="3" t="s">
        <v>141</v>
      </c>
      <c r="C594" s="3" t="s">
        <v>193</v>
      </c>
      <c r="D594" s="4">
        <f>IFERROR(VLOOKUP(B594,Week11,2,FALSE),0)</f>
        <v>30.34</v>
      </c>
      <c r="E594" s="4">
        <f>IF(ISBLANK(B594),,IFERROR(VLOOKUP(B594,CurrentRank!$B$2:$C$132,2,FALSE),0))</f>
        <v>30.89</v>
      </c>
      <c r="F594" s="4">
        <f>IFERROR(VLOOKUP(B594,Week11,3,FALSE),130)</f>
        <v>103</v>
      </c>
      <c r="G594" s="4">
        <f>IF(ISBLANK(B594),,IFERROR(VLOOKUP(B594,CurrentRank!$B$2:$D$132,3,FALSE),130))</f>
        <v>103</v>
      </c>
      <c r="H594" s="4">
        <f>IFERROR(VLOOKUP(C594,Week11,2,FALSE),0)</f>
        <v>28.79</v>
      </c>
      <c r="I594" s="4">
        <f>IF(ISBLANK(B594),,IFERROR(VLOOKUP(C594,CurrentRank!$B$2:$C$132,2,FALSE),0))</f>
        <v>29.31</v>
      </c>
      <c r="J594" s="4">
        <f>IFERROR(VLOOKUP(C594,Week11,3,FALSE),130)</f>
        <v>116</v>
      </c>
      <c r="K594" s="4">
        <f>IF(ISBLANK(C594),,IFERROR(VLOOKUP(C594,CurrentRank!$B$2:$D$132,3,FALSE),130))</f>
        <v>115</v>
      </c>
      <c r="L594" s="19">
        <f t="shared" si="251"/>
        <v>0.88695</v>
      </c>
      <c r="M594" s="19">
        <f t="shared" si="252"/>
        <v>0.903</v>
      </c>
      <c r="N594" s="24">
        <f t="shared" si="242"/>
        <v>109.5</v>
      </c>
      <c r="O594" s="21">
        <f t="shared" si="4"/>
        <v>0.331525</v>
      </c>
      <c r="P594" s="21">
        <f t="shared" si="249"/>
        <v>0.346525</v>
      </c>
      <c r="Q594" s="22">
        <f t="shared" si="6"/>
        <v>0.450842375</v>
      </c>
      <c r="R594" s="25" t="str">
        <f t="shared" si="7"/>
        <v>F</v>
      </c>
      <c r="S594" s="19">
        <f t="shared" si="8"/>
        <v>0.3675</v>
      </c>
      <c r="T594" s="19" t="str">
        <f t="shared" si="9"/>
        <v>F</v>
      </c>
      <c r="U594" s="3" t="s">
        <v>203</v>
      </c>
      <c r="V594" s="4" t="str">
        <f>IF(ISBLANK(C594),,IFERROR(IF(VLOOKUP(B594,Standings!$A:$F, 6, 0)=VLOOKUP(C594,Standings!$A:$F, 6, 0), VLOOKUP(B594,Standings!$A:$F, 6, 0), "Non-con"), "FCS"))</f>
        <v>CUSA</v>
      </c>
      <c r="W594" s="3" t="str">
        <f t="shared" si="10"/>
        <v>Western Kentucky</v>
      </c>
      <c r="X594" s="3" t="str">
        <f t="shared" si="11"/>
        <v>Florida International</v>
      </c>
      <c r="Y594" s="30">
        <f>IF(D594=0,,IF(ISBLANK(Q594),,VLOOKUP(X594,Week11,2,FALSE)/(VLOOKUP(X594,Week11,2,FALSE)+VLOOKUP(W594,Week11,2,FALSE))+0.05)*100)</f>
        <v>56.3106714</v>
      </c>
      <c r="Z594" s="3" t="s">
        <v>193</v>
      </c>
      <c r="AA594" s="3">
        <v>38.0</v>
      </c>
      <c r="AB594" s="4" t="str">
        <f t="shared" si="20"/>
        <v>Florida International</v>
      </c>
      <c r="AC594" s="3">
        <v>21.0</v>
      </c>
      <c r="AD594" s="3"/>
      <c r="AE594" s="3">
        <f t="shared" si="13"/>
        <v>17</v>
      </c>
      <c r="AF594" s="3"/>
      <c r="AG594" s="3">
        <f t="shared" si="133"/>
        <v>0</v>
      </c>
      <c r="AH594" s="3"/>
      <c r="AI594" s="7"/>
      <c r="AJ594" s="4"/>
      <c r="AK594" s="7"/>
      <c r="AL594" s="7"/>
      <c r="AM594" s="7"/>
      <c r="AN594" s="7"/>
      <c r="AO594" s="7"/>
      <c r="AP594" s="7"/>
      <c r="AQ594" s="7"/>
      <c r="AR594" s="7"/>
      <c r="AS594" s="7"/>
      <c r="AT594" s="7"/>
      <c r="AU594" s="7"/>
      <c r="AV594" s="7"/>
      <c r="AW594" s="7"/>
      <c r="AX594" s="7"/>
    </row>
    <row r="595" ht="12.75" hidden="1" customHeight="1">
      <c r="A595" s="3">
        <v>17.0</v>
      </c>
      <c r="B595" s="3" t="s">
        <v>28</v>
      </c>
      <c r="C595" s="3" t="s">
        <v>23</v>
      </c>
      <c r="D595" s="4">
        <f>IFERROR(VLOOKUP(B595,Week16,2,FALSE),0)</f>
        <v>80.52</v>
      </c>
      <c r="E595" s="4">
        <f>IF(ISBLANK(B595),,IFERROR(VLOOKUP(B595,CurrentRank!$B$2:$C$132,2,FALSE),0))</f>
        <v>78.79</v>
      </c>
      <c r="F595" s="4">
        <f>IFERROR(VLOOKUP(B595,Week16,3,FALSE),130)</f>
        <v>7</v>
      </c>
      <c r="G595" s="4">
        <f>IF(ISBLANK(B595),,IFERROR(VLOOKUP(B595,CurrentRank!$B$2:$D$132,3,FALSE),130))</f>
        <v>7</v>
      </c>
      <c r="H595" s="4">
        <f>IFERROR(VLOOKUP(C595,Week16,2,FALSE),0)</f>
        <v>96.44</v>
      </c>
      <c r="I595" s="4">
        <f>IF(ISBLANK(B595),,IFERROR(VLOOKUP(C595,CurrentRank!$B$2:$C$132,2,FALSE),0))</f>
        <v>96.59</v>
      </c>
      <c r="J595" s="4">
        <f>IFERROR(VLOOKUP(C595,Week16,3,FALSE),130)</f>
        <v>1</v>
      </c>
      <c r="K595" s="4">
        <f>IF(ISBLANK(C595),,IFERROR(VLOOKUP(C595,CurrentRank!$B$2:$D$132,3,FALSE),130))</f>
        <v>1</v>
      </c>
      <c r="L595" s="19">
        <f t="shared" si="251"/>
        <v>0</v>
      </c>
      <c r="M595" s="19">
        <f t="shared" si="252"/>
        <v>0</v>
      </c>
      <c r="N595" s="24">
        <f t="shared" si="242"/>
        <v>4</v>
      </c>
      <c r="O595" s="21">
        <f t="shared" si="4"/>
        <v>-7.96</v>
      </c>
      <c r="P595" s="21">
        <f t="shared" si="249"/>
        <v>-8.9</v>
      </c>
      <c r="Q595" s="22">
        <f t="shared" si="6"/>
        <v>0.9402</v>
      </c>
      <c r="R595" s="25" t="str">
        <f t="shared" si="7"/>
        <v>A</v>
      </c>
      <c r="S595" s="19">
        <f t="shared" si="8"/>
        <v>0.895</v>
      </c>
      <c r="T595" s="19" t="str">
        <f t="shared" si="9"/>
        <v>A-</v>
      </c>
      <c r="U595" s="3" t="s">
        <v>223</v>
      </c>
      <c r="V595" s="4" t="str">
        <f>IF(ISBLANK(C595),,IFERROR(IF(VLOOKUP(B595,Standings!$A:$F, 6, 0)=VLOOKUP(C595,Standings!$A:$F, 6, 0), VLOOKUP(B595,Standings!$A:$F, 6, 0), "Non-con"), "FCS"))</f>
        <v>Non-con</v>
      </c>
      <c r="W595" s="3" t="str">
        <f t="shared" si="10"/>
        <v>Notre Dame</v>
      </c>
      <c r="X595" s="3" t="str">
        <f t="shared" si="11"/>
        <v>Alabama</v>
      </c>
      <c r="Y595" s="30">
        <f>IF(D595=0,,IF(ISBLANK(Q595),,VLOOKUP(X595,Week16,2,FALSE)/(VLOOKUP(X595,Week16,2,FALSE)+VLOOKUP(W595,Week16,2,FALSE)))*100)</f>
        <v>54.49819168</v>
      </c>
      <c r="Z595" s="3" t="s">
        <v>23</v>
      </c>
      <c r="AA595" s="3">
        <v>31.0</v>
      </c>
      <c r="AB595" s="4" t="str">
        <f t="shared" si="20"/>
        <v>Notre Dame</v>
      </c>
      <c r="AC595" s="3">
        <v>14.0</v>
      </c>
      <c r="AD595" s="3"/>
      <c r="AE595" s="3">
        <f t="shared" si="13"/>
        <v>17</v>
      </c>
      <c r="AF595" s="3" t="s">
        <v>224</v>
      </c>
      <c r="AG595" s="3">
        <f t="shared" si="133"/>
        <v>1</v>
      </c>
      <c r="AH595" s="3"/>
      <c r="AI595" s="7"/>
      <c r="AJ595" s="4"/>
      <c r="AK595" s="7"/>
      <c r="AL595" s="7"/>
      <c r="AM595" s="7"/>
      <c r="AN595" s="7"/>
      <c r="AO595" s="7"/>
      <c r="AP595" s="7"/>
      <c r="AQ595" s="7"/>
      <c r="AR595" s="7"/>
      <c r="AS595" s="7"/>
      <c r="AT595" s="7"/>
      <c r="AU595" s="7"/>
      <c r="AV595" s="7"/>
      <c r="AW595" s="7"/>
      <c r="AX595" s="7"/>
    </row>
    <row r="596" ht="12.75" hidden="1" customHeight="1">
      <c r="A596" s="3">
        <v>11.0</v>
      </c>
      <c r="B596" s="3" t="s">
        <v>114</v>
      </c>
      <c r="C596" s="3" t="s">
        <v>119</v>
      </c>
      <c r="D596" s="4">
        <f>IFERROR(VLOOKUP(B596,CurrentRank!$B$2:$C$132,2,FALSE),0)</f>
        <v>29.9</v>
      </c>
      <c r="E596" s="4">
        <f>IF(ISBLANK(B596),,IFERROR(VLOOKUP(B596,CurrentRank!$B$2:$C$132,2,FALSE),0))</f>
        <v>29.9</v>
      </c>
      <c r="F596" s="4">
        <f>IFERROR(VLOOKUP(B596,Week10,3,FALSE),130)</f>
        <v>117</v>
      </c>
      <c r="G596" s="4">
        <f>IF(ISBLANK(B596),,IFERROR(VLOOKUP(B596,CurrentRank!$B$2:$D$132,3,FALSE),130))</f>
        <v>110</v>
      </c>
      <c r="H596" s="4">
        <f>IFERROR(VLOOKUP(C596,CurrentRank!$B$2:$C$132,2,FALSE),0)</f>
        <v>31.96</v>
      </c>
      <c r="I596" s="4">
        <f>IF(ISBLANK(B596),,IFERROR(VLOOKUP(C596,CurrentRank!$B$2:$C$132,2,FALSE),0))</f>
        <v>31.96</v>
      </c>
      <c r="J596" s="4">
        <f>IFERROR(VLOOKUP(C596,Week10,3,FALSE),130)</f>
        <v>121</v>
      </c>
      <c r="K596" s="4">
        <f>IF(ISBLANK(C596),,IFERROR(VLOOKUP(C596,CurrentRank!$B$2:$D$132,3,FALSE),130))</f>
        <v>94</v>
      </c>
      <c r="L596" s="19">
        <f t="shared" ref="L596:M596" si="253">IF(ISBLANK(C596),,(D596+H596)*0.015)</f>
        <v>0.9279</v>
      </c>
      <c r="M596" s="19">
        <f t="shared" si="253"/>
        <v>0.9279</v>
      </c>
      <c r="N596" s="24">
        <f t="shared" si="242"/>
        <v>119</v>
      </c>
      <c r="O596" s="21">
        <f t="shared" si="4"/>
        <v>-1.49395</v>
      </c>
      <c r="P596" s="21">
        <f t="shared" si="249"/>
        <v>-1.49395</v>
      </c>
      <c r="Q596" s="22">
        <f t="shared" si="6"/>
        <v>0.39753025</v>
      </c>
      <c r="R596" s="25" t="str">
        <f t="shared" si="7"/>
        <v>F</v>
      </c>
      <c r="S596" s="19" t="str">
        <f t="shared" si="8"/>
        <v/>
      </c>
      <c r="T596" s="19" t="str">
        <f t="shared" si="9"/>
        <v/>
      </c>
      <c r="U596" s="3" t="s">
        <v>203</v>
      </c>
      <c r="V596" s="4" t="str">
        <f>IFERROR(IF(VLOOKUP(B596,Standings!$A:$F, 6, 0)=VLOOKUP(C596,Standings!$A:$F, 6, 0), VLOOKUP(B596,Standings!$A:$F, 6, 0), "Non-con"), "FCS")</f>
        <v>CUSA</v>
      </c>
      <c r="W596" s="3" t="str">
        <f t="shared" si="10"/>
        <v>North Texas</v>
      </c>
      <c r="X596" s="3" t="str">
        <f t="shared" si="11"/>
        <v>UAB</v>
      </c>
      <c r="Y596" s="30">
        <f>IF(D596=0,,IF(ISBLANK(Q596),,VLOOKUP(X596,Week10,2,FALSE)/(VLOOKUP(X596,Week10,2,FALSE)+VLOOKUP(W596,Week10,2,FALSE))+0.05)*100)</f>
        <v>54.49604032</v>
      </c>
      <c r="Z596" s="3"/>
      <c r="AA596" s="3"/>
      <c r="AB596" s="4" t="str">
        <f t="shared" si="20"/>
        <v/>
      </c>
      <c r="AC596" s="3"/>
      <c r="AD596" s="3"/>
      <c r="AE596" s="3" t="str">
        <f t="shared" si="13"/>
        <v/>
      </c>
      <c r="AF596" s="3" t="s">
        <v>226</v>
      </c>
      <c r="AG596" s="3" t="str">
        <f t="shared" si="133"/>
        <v/>
      </c>
      <c r="AH596" s="3"/>
      <c r="AI596" s="7"/>
      <c r="AJ596" s="4"/>
      <c r="AK596" s="7"/>
      <c r="AL596" s="7"/>
      <c r="AM596" s="7"/>
      <c r="AN596" s="7"/>
      <c r="AO596" s="7"/>
      <c r="AP596" s="7"/>
      <c r="AQ596" s="7"/>
      <c r="AR596" s="7"/>
      <c r="AS596" s="7"/>
      <c r="AT596" s="7"/>
      <c r="AU596" s="7"/>
      <c r="AV596" s="7"/>
      <c r="AW596" s="7"/>
      <c r="AX596" s="7"/>
    </row>
    <row r="597" ht="12.75" customHeight="1">
      <c r="A597" s="3">
        <v>9.0</v>
      </c>
      <c r="B597" s="3" t="s">
        <v>91</v>
      </c>
      <c r="C597" s="3" t="s">
        <v>150</v>
      </c>
      <c r="D597" s="4">
        <f>IFERROR(VLOOKUP(B597,Week8,2,FALSE),0)</f>
        <v>23.25</v>
      </c>
      <c r="E597" s="4">
        <f>IF(ISBLANK(B597),,IFERROR(VLOOKUP(B597,CurrentRank!$B$2:$C$132,2,FALSE),0))</f>
        <v>35.39</v>
      </c>
      <c r="F597" s="4">
        <f>IFERROR(VLOOKUP(B597,Week8,3,FALSE),130)</f>
        <v>124</v>
      </c>
      <c r="G597" s="4">
        <f>IF(ISBLANK(B597),,IFERROR(VLOOKUP(B597,CurrentRank!$B$2:$D$132,3,FALSE),130))</f>
        <v>60</v>
      </c>
      <c r="H597" s="4">
        <f>IFERROR(VLOOKUP(C597,Week8,2,FALSE),0)</f>
        <v>19.04</v>
      </c>
      <c r="I597" s="4">
        <f>IF(ISBLANK(B597),,IFERROR(VLOOKUP(C597,CurrentRank!$B$2:$C$132,2,FALSE),0))</f>
        <v>33.72</v>
      </c>
      <c r="J597" s="4">
        <f>IFERROR(VLOOKUP(C597,Week8,3,FALSE),130)</f>
        <v>128</v>
      </c>
      <c r="K597" s="4">
        <f>IF(ISBLANK(C597),,IFERROR(VLOOKUP(C597,CurrentRank!$B$2:$D$132,3,FALSE),130))</f>
        <v>76</v>
      </c>
      <c r="L597" s="19">
        <f t="shared" ref="L597:L610" si="254">IF(U597= "Yes", 0, IF(ISBLANK(C597),,(D597+H597)*0.015))</f>
        <v>0.63435</v>
      </c>
      <c r="M597" s="19">
        <f t="shared" ref="M597:M610" si="255">IF(U597= "Yes", 0, IF(ISBLANK(D597),,(E597+I597)*0.015))</f>
        <v>1.03665</v>
      </c>
      <c r="N597" s="24">
        <f t="shared" si="242"/>
        <v>126</v>
      </c>
      <c r="O597" s="21">
        <f t="shared" si="4"/>
        <v>1.787825</v>
      </c>
      <c r="P597" s="21">
        <f t="shared" si="249"/>
        <v>0.517825</v>
      </c>
      <c r="Q597" s="22">
        <f t="shared" si="6"/>
        <v>0.361060875</v>
      </c>
      <c r="R597" s="25" t="str">
        <f t="shared" si="7"/>
        <v>F</v>
      </c>
      <c r="S597" s="19">
        <f t="shared" si="8"/>
        <v>0.365</v>
      </c>
      <c r="T597" s="19" t="str">
        <f t="shared" si="9"/>
        <v>F</v>
      </c>
      <c r="U597" s="3" t="s">
        <v>203</v>
      </c>
      <c r="V597" s="4" t="str">
        <f>IF(ISBLANK(C597),,IFERROR(IF(VLOOKUP(B597,Standings!$A:$F, 6, 0)=VLOOKUP(C597,Standings!$A:$F, 6, 0), VLOOKUP(B597,Standings!$A:$F, 6, 0), "Non-con"), "FCS"))</f>
        <v>B1G</v>
      </c>
      <c r="W597" s="3" t="str">
        <f t="shared" si="10"/>
        <v>Maryland</v>
      </c>
      <c r="X597" s="3" t="str">
        <f t="shared" si="11"/>
        <v>Minnesota</v>
      </c>
      <c r="Y597" s="30">
        <f>IF(D597=0,,IF(ISBLANK(Q597),,VLOOKUP(X597,Week8,2,FALSE)/(VLOOKUP(X597,Week8,2,FALSE)+VLOOKUP(W597,Week8,2,FALSE))+0.05)*100)</f>
        <v>59.97753606</v>
      </c>
      <c r="Z597" s="3" t="s">
        <v>150</v>
      </c>
      <c r="AA597" s="3">
        <v>45.0</v>
      </c>
      <c r="AB597" s="4" t="str">
        <f t="shared" si="20"/>
        <v>Minnesota</v>
      </c>
      <c r="AC597" s="3">
        <v>44.0</v>
      </c>
      <c r="AD597" s="3"/>
      <c r="AE597" s="3">
        <f t="shared" si="13"/>
        <v>1</v>
      </c>
      <c r="AF597" s="3"/>
      <c r="AG597" s="3">
        <f t="shared" si="133"/>
        <v>0</v>
      </c>
      <c r="AH597" s="3"/>
      <c r="AI597" s="7"/>
      <c r="AJ597" s="4" t="s">
        <v>62</v>
      </c>
      <c r="AK597" s="7"/>
      <c r="AL597" s="7"/>
      <c r="AM597" s="7"/>
      <c r="AN597" s="7"/>
      <c r="AO597" s="7"/>
      <c r="AP597" s="7"/>
      <c r="AQ597" s="7"/>
      <c r="AR597" s="7"/>
      <c r="AS597" s="7"/>
      <c r="AT597" s="7"/>
      <c r="AU597" s="7"/>
      <c r="AV597" s="7"/>
      <c r="AW597" s="7"/>
      <c r="AX597" s="7"/>
    </row>
    <row r="598" ht="12.75" hidden="1" customHeight="1">
      <c r="A598" s="3">
        <v>17.0</v>
      </c>
      <c r="B598" s="3" t="s">
        <v>118</v>
      </c>
      <c r="C598" s="3" t="s">
        <v>113</v>
      </c>
      <c r="D598" s="4">
        <f>IFERROR(VLOOKUP(B598,Week16,2,FALSE),0)</f>
        <v>35.16</v>
      </c>
      <c r="E598" s="4">
        <f>IF(ISBLANK(B598),,IFERROR(VLOOKUP(B598,CurrentRank!$B$2:$C$132,2,FALSE),0))</f>
        <v>35.17</v>
      </c>
      <c r="F598" s="4">
        <f>IFERROR(VLOOKUP(B598,Week16,3,FALSE),130)</f>
        <v>68</v>
      </c>
      <c r="G598" s="4">
        <f>IF(ISBLANK(B598),,IFERROR(VLOOKUP(B598,CurrentRank!$B$2:$D$132,3,FALSE),130))</f>
        <v>65</v>
      </c>
      <c r="H598" s="4">
        <f>IFERROR(VLOOKUP(C598,Week16,2,FALSE),0)</f>
        <v>42.06</v>
      </c>
      <c r="I598" s="4">
        <f>IF(ISBLANK(B598),,IFERROR(VLOOKUP(C598,CurrentRank!$B$2:$C$132,2,FALSE),0))</f>
        <v>41.9</v>
      </c>
      <c r="J598" s="4">
        <f>IFERROR(VLOOKUP(C598,Week16,3,FALSE),130)</f>
        <v>31</v>
      </c>
      <c r="K598" s="4">
        <f>IF(ISBLANK(C598),,IFERROR(VLOOKUP(C598,CurrentRank!$B$2:$D$132,3,FALSE),130))</f>
        <v>29</v>
      </c>
      <c r="L598" s="19">
        <f t="shared" si="254"/>
        <v>0</v>
      </c>
      <c r="M598" s="19">
        <f t="shared" si="255"/>
        <v>0</v>
      </c>
      <c r="N598" s="24">
        <f t="shared" si="242"/>
        <v>49.5</v>
      </c>
      <c r="O598" s="21">
        <f t="shared" si="4"/>
        <v>-3.45</v>
      </c>
      <c r="P598" s="21">
        <f t="shared" si="249"/>
        <v>-3.365</v>
      </c>
      <c r="Q598" s="22">
        <f t="shared" si="6"/>
        <v>0.73525</v>
      </c>
      <c r="R598" s="25" t="str">
        <f t="shared" si="7"/>
        <v>C</v>
      </c>
      <c r="S598" s="19" t="str">
        <f t="shared" si="8"/>
        <v/>
      </c>
      <c r="T598" s="19" t="str">
        <f t="shared" si="9"/>
        <v/>
      </c>
      <c r="U598" s="3" t="s">
        <v>223</v>
      </c>
      <c r="V598" s="4" t="str">
        <f>IF(ISBLANK(C598),,IFERROR(IF(VLOOKUP(B598,Standings!$A:$F, 6, 0)=VLOOKUP(C598,Standings!$A:$F, 6, 0), VLOOKUP(B598,Standings!$A:$F, 6, 0), "Non-con"), "FCS"))</f>
        <v>Non-con</v>
      </c>
      <c r="W598" s="3" t="str">
        <f t="shared" si="10"/>
        <v>Arkansas</v>
      </c>
      <c r="X598" s="3" t="str">
        <f t="shared" si="11"/>
        <v>TCU</v>
      </c>
      <c r="Y598" s="30">
        <f>IF(D598=0,,IF(ISBLANK(Q598),,VLOOKUP(X598,Week16,2,FALSE)/(VLOOKUP(X598,Week16,2,FALSE)+VLOOKUP(W598,Week16,2,FALSE)))*100)</f>
        <v>54.46775447</v>
      </c>
      <c r="Z598" s="4"/>
      <c r="AA598" s="3"/>
      <c r="AB598" s="4" t="str">
        <f t="shared" si="20"/>
        <v/>
      </c>
      <c r="AC598" s="3"/>
      <c r="AD598" s="3"/>
      <c r="AE598" s="3" t="str">
        <f t="shared" si="13"/>
        <v/>
      </c>
      <c r="AF598" s="3" t="s">
        <v>226</v>
      </c>
      <c r="AG598" s="3" t="str">
        <f t="shared" si="133"/>
        <v/>
      </c>
      <c r="AH598" s="3"/>
      <c r="AI598" s="7"/>
      <c r="AJ598" s="4"/>
      <c r="AK598" s="7"/>
      <c r="AL598" s="7"/>
      <c r="AM598" s="7"/>
      <c r="AN598" s="7"/>
      <c r="AO598" s="7"/>
      <c r="AP598" s="7"/>
      <c r="AQ598" s="7"/>
      <c r="AR598" s="7"/>
      <c r="AS598" s="7"/>
      <c r="AT598" s="7"/>
      <c r="AU598" s="7"/>
      <c r="AV598" s="7"/>
      <c r="AW598" s="7"/>
      <c r="AX598" s="7"/>
    </row>
    <row r="599" ht="12.75" customHeight="1">
      <c r="A599" s="3">
        <v>10.0</v>
      </c>
      <c r="B599" s="3" t="s">
        <v>151</v>
      </c>
      <c r="C599" s="3" t="s">
        <v>184</v>
      </c>
      <c r="D599" s="4">
        <f>IFERROR(VLOOKUP(B599,Week9,2,FALSE),0)</f>
        <v>30.61</v>
      </c>
      <c r="E599" s="4">
        <f>IF(ISBLANK(B599),,IFERROR(VLOOKUP(B599,CurrentRank!$B$2:$C$132,2,FALSE),0))</f>
        <v>34.83</v>
      </c>
      <c r="F599" s="4">
        <f>IFERROR(VLOOKUP(B599,Week9,3,FALSE),130)</f>
        <v>83</v>
      </c>
      <c r="G599" s="4">
        <f>IF(ISBLANK(B599),,IFERROR(VLOOKUP(B599,CurrentRank!$B$2:$D$132,3,FALSE),130))</f>
        <v>67</v>
      </c>
      <c r="H599" s="4">
        <f>IFERROR(VLOOKUP(C599,Week9,2,FALSE),0)</f>
        <v>30.61</v>
      </c>
      <c r="I599" s="4">
        <f>IF(ISBLANK(B599),,IFERROR(VLOOKUP(C599,CurrentRank!$B$2:$C$132,2,FALSE),0))</f>
        <v>28.91</v>
      </c>
      <c r="J599" s="4">
        <f>IFERROR(VLOOKUP(C599,Week9,3,FALSE),130)</f>
        <v>83</v>
      </c>
      <c r="K599" s="4">
        <f>IF(ISBLANK(C599),,IFERROR(VLOOKUP(C599,CurrentRank!$B$2:$D$132,3,FALSE),130))</f>
        <v>118</v>
      </c>
      <c r="L599" s="19">
        <f t="shared" si="254"/>
        <v>0.9183</v>
      </c>
      <c r="M599" s="19">
        <f t="shared" si="255"/>
        <v>0.9561</v>
      </c>
      <c r="N599" s="24">
        <f t="shared" si="242"/>
        <v>83</v>
      </c>
      <c r="O599" s="21">
        <f t="shared" si="4"/>
        <v>-0.45915</v>
      </c>
      <c r="P599" s="21">
        <f t="shared" si="249"/>
        <v>2.50085</v>
      </c>
      <c r="Q599" s="22">
        <f t="shared" si="6"/>
        <v>0.58270425</v>
      </c>
      <c r="R599" s="25" t="str">
        <f t="shared" si="7"/>
        <v>F</v>
      </c>
      <c r="S599" s="19">
        <f t="shared" si="8"/>
        <v>0.36</v>
      </c>
      <c r="T599" s="19" t="str">
        <f t="shared" si="9"/>
        <v>F</v>
      </c>
      <c r="U599" s="3" t="s">
        <v>203</v>
      </c>
      <c r="V599" s="4" t="str">
        <f>IF(ISBLANK(C599),,IFERROR(IF(VLOOKUP(B599,Standings!$A:$F, 6, 0)=VLOOKUP(C599,Standings!$A:$F, 6, 0), VLOOKUP(B599,Standings!$A:$F, 6, 0), "Non-con"), "FCS"))</f>
        <v>MAC</v>
      </c>
      <c r="W599" s="3" t="str">
        <f t="shared" si="10"/>
        <v>Western Michigan</v>
      </c>
      <c r="X599" s="3" t="str">
        <f t="shared" si="11"/>
        <v>Akron</v>
      </c>
      <c r="Y599" s="30">
        <f>IF(D599=0,,IF(ISBLANK(Q599),,VLOOKUP(X599,Week9,2,FALSE)/(VLOOKUP(X599,Week9,2,FALSE)+VLOOKUP(W599,Week9,2,FALSE))+0.05)*100)</f>
        <v>55</v>
      </c>
      <c r="Z599" s="3" t="s">
        <v>151</v>
      </c>
      <c r="AA599" s="3">
        <v>58.0</v>
      </c>
      <c r="AB599" s="4" t="str">
        <f t="shared" si="20"/>
        <v>Akron</v>
      </c>
      <c r="AC599" s="3">
        <v>13.0</v>
      </c>
      <c r="AD599" s="3"/>
      <c r="AE599" s="3">
        <f t="shared" si="13"/>
        <v>45</v>
      </c>
      <c r="AF599" s="3"/>
      <c r="AG599" s="3">
        <f t="shared" si="133"/>
        <v>0</v>
      </c>
      <c r="AH599" s="3"/>
      <c r="AI599" s="7"/>
      <c r="AJ599" s="4"/>
      <c r="AK599" s="7"/>
      <c r="AL599" s="7"/>
      <c r="AM599" s="7"/>
      <c r="AN599" s="7"/>
      <c r="AO599" s="7"/>
      <c r="AP599" s="7"/>
      <c r="AQ599" s="7"/>
      <c r="AR599" s="7"/>
      <c r="AS599" s="7"/>
      <c r="AT599" s="7"/>
      <c r="AU599" s="7"/>
      <c r="AV599" s="7"/>
      <c r="AW599" s="7"/>
      <c r="AX599" s="7"/>
    </row>
    <row r="600" ht="12.75" customHeight="1">
      <c r="A600" s="3">
        <v>13.0</v>
      </c>
      <c r="B600" s="3" t="s">
        <v>187</v>
      </c>
      <c r="C600" s="3" t="s">
        <v>108</v>
      </c>
      <c r="D600" s="4">
        <f>IFERROR(VLOOKUP(B600,Week12,2,FALSE),0)</f>
        <v>30.9</v>
      </c>
      <c r="E600" s="4">
        <f>IF(ISBLANK(B600),,IFERROR(VLOOKUP(B600,CurrentRank!$B$2:$C$132,2,FALSE),0))</f>
        <v>28.66</v>
      </c>
      <c r="F600" s="4">
        <f>IFERROR(VLOOKUP(B600,Week12,3,FALSE),130)</f>
        <v>97</v>
      </c>
      <c r="G600" s="4">
        <f>IF(ISBLANK(B600),,IFERROR(VLOOKUP(B600,CurrentRank!$B$2:$D$132,3,FALSE),130))</f>
        <v>120</v>
      </c>
      <c r="H600" s="4">
        <f>IFERROR(VLOOKUP(C600,Week12,2,FALSE),0)</f>
        <v>27.47</v>
      </c>
      <c r="I600" s="4">
        <f>IF(ISBLANK(B600),,IFERROR(VLOOKUP(C600,CurrentRank!$B$2:$C$132,2,FALSE),0))</f>
        <v>30.15</v>
      </c>
      <c r="J600" s="4">
        <f>IFERROR(VLOOKUP(C600,Week12,3,FALSE),130)</f>
        <v>120</v>
      </c>
      <c r="K600" s="4">
        <f>IF(ISBLANK(C600),,IFERROR(VLOOKUP(C600,CurrentRank!$B$2:$D$132,3,FALSE),130))</f>
        <v>109</v>
      </c>
      <c r="L600" s="19">
        <f t="shared" si="254"/>
        <v>0.87555</v>
      </c>
      <c r="M600" s="19">
        <f t="shared" si="255"/>
        <v>0.88215</v>
      </c>
      <c r="N600" s="24">
        <f t="shared" si="242"/>
        <v>108.5</v>
      </c>
      <c r="O600" s="21">
        <f t="shared" si="4"/>
        <v>1.277225</v>
      </c>
      <c r="P600" s="21">
        <f t="shared" si="249"/>
        <v>-1.182775</v>
      </c>
      <c r="Q600" s="22">
        <f t="shared" si="6"/>
        <v>0.451113875</v>
      </c>
      <c r="R600" s="25" t="str">
        <f t="shared" si="7"/>
        <v>F</v>
      </c>
      <c r="S600" s="19">
        <f t="shared" si="8"/>
        <v>0.3425</v>
      </c>
      <c r="T600" s="19" t="str">
        <f t="shared" si="9"/>
        <v>F</v>
      </c>
      <c r="U600" s="3" t="s">
        <v>203</v>
      </c>
      <c r="V600" s="4" t="str">
        <f>IF(ISBLANK(C600),,IFERROR(IF(VLOOKUP(B600,Standings!$A:$F, 6, 0)=VLOOKUP(C600,Standings!$A:$F, 6, 0), VLOOKUP(B600,Standings!$A:$F, 6, 0), "Non-con"), "FCS"))</f>
        <v>ACC</v>
      </c>
      <c r="W600" s="3" t="str">
        <f t="shared" si="10"/>
        <v>Georgia Tech</v>
      </c>
      <c r="X600" s="3" t="str">
        <f t="shared" si="11"/>
        <v>Duke</v>
      </c>
      <c r="Y600" s="30">
        <f>IF(D600=0,,IF(ISBLANK(Q600),,VLOOKUP(X600,Week12,2,FALSE)/(VLOOKUP(X600,Week12,2,FALSE)+VLOOKUP(W600,Week12,2,FALSE))+0.05)*100)</f>
        <v>57.93815316</v>
      </c>
      <c r="Z600" s="3" t="s">
        <v>108</v>
      </c>
      <c r="AA600" s="3">
        <v>56.0</v>
      </c>
      <c r="AB600" s="4" t="str">
        <f t="shared" si="20"/>
        <v>Duke</v>
      </c>
      <c r="AC600" s="3">
        <v>33.0</v>
      </c>
      <c r="AD600" s="3"/>
      <c r="AE600" s="3">
        <f t="shared" si="13"/>
        <v>23</v>
      </c>
      <c r="AF600" s="3"/>
      <c r="AG600" s="3">
        <f t="shared" si="133"/>
        <v>0</v>
      </c>
      <c r="AH600" s="3"/>
      <c r="AI600" s="7"/>
      <c r="AJ600" s="4" t="s">
        <v>55</v>
      </c>
      <c r="AK600" s="7"/>
      <c r="AL600" s="7"/>
      <c r="AM600" s="7"/>
      <c r="AN600" s="7"/>
      <c r="AO600" s="7"/>
      <c r="AP600" s="7"/>
      <c r="AQ600" s="7"/>
      <c r="AR600" s="7"/>
      <c r="AS600" s="7"/>
      <c r="AT600" s="7"/>
      <c r="AU600" s="7"/>
      <c r="AV600" s="7"/>
      <c r="AW600" s="7"/>
      <c r="AX600" s="7"/>
    </row>
    <row r="601" ht="12.75" customHeight="1">
      <c r="A601" s="3">
        <v>10.0</v>
      </c>
      <c r="B601" s="3" t="s">
        <v>89</v>
      </c>
      <c r="C601" s="3" t="s">
        <v>147</v>
      </c>
      <c r="D601" s="4">
        <f>IFERROR(VLOOKUP(B601,Week9,2,FALSE),0)</f>
        <v>28.87</v>
      </c>
      <c r="E601" s="4">
        <f>IF(ISBLANK(B601),,IFERROR(VLOOKUP(B601,CurrentRank!$B$2:$C$132,2,FALSE),0))</f>
        <v>35.74</v>
      </c>
      <c r="F601" s="4">
        <f>IFERROR(VLOOKUP(B601,Week9,3,FALSE),130)</f>
        <v>113</v>
      </c>
      <c r="G601" s="4">
        <f>IF(ISBLANK(B601),,IFERROR(VLOOKUP(B601,CurrentRank!$B$2:$D$132,3,FALSE),130))</f>
        <v>56</v>
      </c>
      <c r="H601" s="4">
        <f>IFERROR(VLOOKUP(C601,Week9,2,FALSE),0)</f>
        <v>29.42</v>
      </c>
      <c r="I601" s="4">
        <f>IF(ISBLANK(B601),,IFERROR(VLOOKUP(C601,CurrentRank!$B$2:$C$132,2,FALSE),0))</f>
        <v>32.08</v>
      </c>
      <c r="J601" s="4">
        <f>IFERROR(VLOOKUP(C601,Week9,3,FALSE),130)</f>
        <v>110</v>
      </c>
      <c r="K601" s="4">
        <f>IF(ISBLANK(C601),,IFERROR(VLOOKUP(C601,CurrentRank!$B$2:$D$132,3,FALSE),130))</f>
        <v>93</v>
      </c>
      <c r="L601" s="19">
        <f t="shared" si="254"/>
        <v>0.87435</v>
      </c>
      <c r="M601" s="19">
        <f t="shared" si="255"/>
        <v>1.0173</v>
      </c>
      <c r="N601" s="24">
        <f t="shared" si="242"/>
        <v>111.5</v>
      </c>
      <c r="O601" s="21">
        <f t="shared" si="4"/>
        <v>-0.712175</v>
      </c>
      <c r="P601" s="21">
        <f t="shared" si="249"/>
        <v>1.392825</v>
      </c>
      <c r="Q601" s="22">
        <f t="shared" si="6"/>
        <v>0.438939125</v>
      </c>
      <c r="R601" s="25" t="str">
        <f t="shared" si="7"/>
        <v>F</v>
      </c>
      <c r="S601" s="19">
        <f t="shared" si="8"/>
        <v>0.3225</v>
      </c>
      <c r="T601" s="19" t="str">
        <f t="shared" si="9"/>
        <v>F</v>
      </c>
      <c r="U601" s="3" t="s">
        <v>203</v>
      </c>
      <c r="V601" s="4" t="str">
        <f>IF(ISBLANK(C601),,IFERROR(IF(VLOOKUP(B601,Standings!$A:$F, 6, 0)=VLOOKUP(C601,Standings!$A:$F, 6, 0), VLOOKUP(B601,Standings!$A:$F, 6, 0), "Non-con"), "FCS"))</f>
        <v>ACC</v>
      </c>
      <c r="W601" s="3" t="str">
        <f t="shared" si="10"/>
        <v>Pittsburgh</v>
      </c>
      <c r="X601" s="3" t="str">
        <f t="shared" si="11"/>
        <v>Florida State</v>
      </c>
      <c r="Y601" s="30">
        <f>IF(D601=0,,IF(ISBLANK(Q601),,VLOOKUP(X601,Week9,2,FALSE)/(VLOOKUP(X601,Week9,2,FALSE)+VLOOKUP(W601,Week9,2,FALSE))+0.05)*100)</f>
        <v>55.47177904</v>
      </c>
      <c r="Z601" s="3" t="s">
        <v>89</v>
      </c>
      <c r="AA601" s="3">
        <v>41.0</v>
      </c>
      <c r="AB601" s="4" t="str">
        <f t="shared" si="20"/>
        <v>Florida State</v>
      </c>
      <c r="AC601" s="3">
        <v>17.0</v>
      </c>
      <c r="AD601" s="3"/>
      <c r="AE601" s="3">
        <f t="shared" si="13"/>
        <v>24</v>
      </c>
      <c r="AF601" s="3"/>
      <c r="AG601" s="3">
        <f t="shared" si="133"/>
        <v>0</v>
      </c>
      <c r="AH601" s="3"/>
      <c r="AI601" s="7"/>
      <c r="AJ601" s="4"/>
      <c r="AK601" s="7"/>
      <c r="AL601" s="7"/>
      <c r="AM601" s="7"/>
      <c r="AN601" s="7"/>
      <c r="AO601" s="7"/>
      <c r="AP601" s="7"/>
      <c r="AQ601" s="7"/>
      <c r="AR601" s="7"/>
      <c r="AS601" s="7"/>
      <c r="AT601" s="7"/>
      <c r="AU601" s="7"/>
      <c r="AV601" s="7"/>
      <c r="AW601" s="7"/>
      <c r="AX601" s="7"/>
    </row>
    <row r="602" ht="12.75" hidden="1" customHeight="1">
      <c r="A602" s="3">
        <v>11.0</v>
      </c>
      <c r="B602" s="3" t="s">
        <v>186</v>
      </c>
      <c r="C602" s="3" t="s">
        <v>173</v>
      </c>
      <c r="D602" s="4">
        <f>IFERROR(VLOOKUP(B602,Week10,2,FALSE),0)</f>
        <v>35.41</v>
      </c>
      <c r="E602" s="4">
        <f>IF(ISBLANK(B602),,IFERROR(VLOOKUP(B602,CurrentRank!$B$2:$C$132,2,FALSE),0))</f>
        <v>33.49</v>
      </c>
      <c r="F602" s="4">
        <f>IFERROR(VLOOKUP(B602,Week10,3,FALSE),130)</f>
        <v>65</v>
      </c>
      <c r="G602" s="4">
        <f>IF(ISBLANK(B602),,IFERROR(VLOOKUP(B602,CurrentRank!$B$2:$D$132,3,FALSE),130))</f>
        <v>79</v>
      </c>
      <c r="H602" s="4">
        <f>IFERROR(VLOOKUP(C602,Week10,2,FALSE),0)</f>
        <v>34.44</v>
      </c>
      <c r="I602" s="4">
        <f>IF(ISBLANK(B602),,IFERROR(VLOOKUP(C602,CurrentRank!$B$2:$C$132,2,FALSE),0))</f>
        <v>34.13</v>
      </c>
      <c r="J602" s="4">
        <f>IFERROR(VLOOKUP(C602,Week10,3,FALSE),130)</f>
        <v>67</v>
      </c>
      <c r="K602" s="4">
        <f>IF(ISBLANK(C602),,IFERROR(VLOOKUP(C602,CurrentRank!$B$2:$D$132,3,FALSE),130))</f>
        <v>73</v>
      </c>
      <c r="L602" s="19">
        <f t="shared" si="254"/>
        <v>1.04775</v>
      </c>
      <c r="M602" s="19">
        <f t="shared" si="255"/>
        <v>1.0143</v>
      </c>
      <c r="N602" s="24">
        <f t="shared" si="242"/>
        <v>66</v>
      </c>
      <c r="O602" s="21">
        <f t="shared" si="4"/>
        <v>-0.038875</v>
      </c>
      <c r="P602" s="21">
        <f t="shared" si="249"/>
        <v>-0.843875</v>
      </c>
      <c r="Q602" s="22">
        <f t="shared" si="6"/>
        <v>0.669805625</v>
      </c>
      <c r="R602" s="25" t="str">
        <f t="shared" si="7"/>
        <v>D+</v>
      </c>
      <c r="S602" s="19">
        <f t="shared" si="8"/>
        <v>0.55</v>
      </c>
      <c r="T602" s="19" t="str">
        <f t="shared" si="9"/>
        <v>F</v>
      </c>
      <c r="U602" s="3" t="s">
        <v>203</v>
      </c>
      <c r="V602" s="4" t="str">
        <f>IF(ISBLANK(C602),,IFERROR(IF(VLOOKUP(B602,Standings!$A:$F, 6, 0)=VLOOKUP(C602,Standings!$A:$F, 6, 0), VLOOKUP(B602,Standings!$A:$F, 6, 0), "Non-con"), "FCS"))</f>
        <v>MWC</v>
      </c>
      <c r="W602" s="3" t="str">
        <f t="shared" si="10"/>
        <v>Hawaii</v>
      </c>
      <c r="X602" s="3" t="str">
        <f t="shared" si="11"/>
        <v>San Diego State</v>
      </c>
      <c r="Y602" s="30">
        <f>IF(D602=0,,IF(ISBLANK(Q602),,VLOOKUP(X602,Week10,2,FALSE)/(VLOOKUP(X602,Week10,2,FALSE)+VLOOKUP(W602,Week10,2,FALSE))+0.05)*100)</f>
        <v>54.30565497</v>
      </c>
      <c r="Z602" s="3" t="s">
        <v>173</v>
      </c>
      <c r="AA602" s="3">
        <v>34.0</v>
      </c>
      <c r="AB602" s="4" t="str">
        <f t="shared" si="20"/>
        <v>Hawaii</v>
      </c>
      <c r="AC602" s="3">
        <v>10.0</v>
      </c>
      <c r="AD602" s="3"/>
      <c r="AE602" s="3">
        <f t="shared" si="13"/>
        <v>24</v>
      </c>
      <c r="AF602" s="3"/>
      <c r="AG602" s="3">
        <f t="shared" si="133"/>
        <v>1</v>
      </c>
      <c r="AH602" s="3"/>
      <c r="AI602" s="7"/>
      <c r="AJ602" s="4" t="s">
        <v>28</v>
      </c>
      <c r="AK602" s="7"/>
      <c r="AL602" s="7"/>
      <c r="AM602" s="7"/>
      <c r="AN602" s="7"/>
      <c r="AO602" s="7"/>
      <c r="AP602" s="7"/>
      <c r="AQ602" s="7"/>
      <c r="AR602" s="7"/>
      <c r="AS602" s="7"/>
      <c r="AT602" s="7"/>
      <c r="AU602" s="7"/>
      <c r="AV602" s="7"/>
      <c r="AW602" s="7"/>
      <c r="AX602" s="7"/>
    </row>
    <row r="603" ht="12.75" hidden="1" customHeight="1">
      <c r="A603" s="3">
        <v>13.0</v>
      </c>
      <c r="B603" s="3" t="s">
        <v>131</v>
      </c>
      <c r="C603" s="3" t="s">
        <v>136</v>
      </c>
      <c r="D603" s="4">
        <f>IFERROR(VLOOKUP(B603,Week12,2,FALSE),0)</f>
        <v>33.82</v>
      </c>
      <c r="E603" s="4">
        <f>IF(ISBLANK(B603),,IFERROR(VLOOKUP(B603,CurrentRank!$B$2:$C$132,2,FALSE),0))</f>
        <v>33.34</v>
      </c>
      <c r="F603" s="4">
        <f>IFERROR(VLOOKUP(B603,Week12,3,FALSE),130)</f>
        <v>73</v>
      </c>
      <c r="G603" s="4">
        <f>IF(ISBLANK(B603),,IFERROR(VLOOKUP(B603,CurrentRank!$B$2:$D$132,3,FALSE),130))</f>
        <v>82</v>
      </c>
      <c r="H603" s="4">
        <f>IFERROR(VLOOKUP(C603,Week12,2,FALSE),0)</f>
        <v>32.88</v>
      </c>
      <c r="I603" s="4">
        <f>IF(ISBLANK(B603),,IFERROR(VLOOKUP(C603,CurrentRank!$B$2:$C$132,2,FALSE),0))</f>
        <v>35.33</v>
      </c>
      <c r="J603" s="4">
        <f>IFERROR(VLOOKUP(C603,Week12,3,FALSE),130)</f>
        <v>76</v>
      </c>
      <c r="K603" s="4">
        <f>IF(ISBLANK(C603),,IFERROR(VLOOKUP(C603,CurrentRank!$B$2:$D$132,3,FALSE),130))</f>
        <v>62</v>
      </c>
      <c r="L603" s="19">
        <f t="shared" si="254"/>
        <v>1.0005</v>
      </c>
      <c r="M603" s="19">
        <f t="shared" si="255"/>
        <v>1.03005</v>
      </c>
      <c r="N603" s="24">
        <f t="shared" si="242"/>
        <v>74.5</v>
      </c>
      <c r="O603" s="21">
        <f t="shared" si="4"/>
        <v>-0.03025</v>
      </c>
      <c r="P603" s="21">
        <f t="shared" si="249"/>
        <v>-1.49525</v>
      </c>
      <c r="Q603" s="22">
        <f t="shared" si="6"/>
        <v>0.62734875</v>
      </c>
      <c r="R603" s="25" t="str">
        <f t="shared" si="7"/>
        <v>D</v>
      </c>
      <c r="S603" s="19">
        <f t="shared" si="8"/>
        <v>0.5975</v>
      </c>
      <c r="T603" s="19" t="str">
        <f t="shared" si="9"/>
        <v>D-</v>
      </c>
      <c r="U603" s="3" t="s">
        <v>203</v>
      </c>
      <c r="V603" s="4" t="str">
        <f>IF(ISBLANK(C603),,IFERROR(IF(VLOOKUP(B603,Standings!$A:$F, 6, 0)=VLOOKUP(C603,Standings!$A:$F, 6, 0), VLOOKUP(B603,Standings!$A:$F, 6, 0), "Non-con"), "FCS"))</f>
        <v>SUN</v>
      </c>
      <c r="W603" s="3" t="str">
        <f t="shared" si="10"/>
        <v>Georgia Southern</v>
      </c>
      <c r="X603" s="3" t="str">
        <f t="shared" si="11"/>
        <v>Georgia State</v>
      </c>
      <c r="Y603" s="30">
        <f>IF(D603=0,,IF(ISBLANK(Q603),,VLOOKUP(X603,Week12,2,FALSE)/(VLOOKUP(X603,Week12,2,FALSE)+VLOOKUP(W603,Week12,2,FALSE))+0.05)*100)</f>
        <v>54.29535232</v>
      </c>
      <c r="Z603" s="3" t="s">
        <v>136</v>
      </c>
      <c r="AA603" s="3">
        <v>30.0</v>
      </c>
      <c r="AB603" s="4" t="str">
        <f t="shared" si="20"/>
        <v>Georgia Southern</v>
      </c>
      <c r="AC603" s="3">
        <v>24.0</v>
      </c>
      <c r="AD603" s="3"/>
      <c r="AE603" s="3">
        <f t="shared" si="13"/>
        <v>6</v>
      </c>
      <c r="AF603" s="3"/>
      <c r="AG603" s="3">
        <f t="shared" si="133"/>
        <v>1</v>
      </c>
      <c r="AH603" s="3"/>
      <c r="AI603" s="7"/>
      <c r="AJ603" s="4" t="s">
        <v>185</v>
      </c>
      <c r="AK603" s="7"/>
      <c r="AL603" s="7"/>
      <c r="AM603" s="7"/>
      <c r="AN603" s="7"/>
      <c r="AO603" s="7"/>
      <c r="AP603" s="7"/>
      <c r="AQ603" s="7"/>
      <c r="AR603" s="7"/>
      <c r="AS603" s="7"/>
      <c r="AT603" s="7"/>
      <c r="AU603" s="7"/>
      <c r="AV603" s="7"/>
      <c r="AW603" s="7"/>
      <c r="AX603" s="7"/>
    </row>
    <row r="604" ht="12.75" customHeight="1">
      <c r="A604" s="3">
        <v>14.0</v>
      </c>
      <c r="B604" s="3" t="s">
        <v>111</v>
      </c>
      <c r="C604" s="3" t="s">
        <v>102</v>
      </c>
      <c r="D604" s="4">
        <f>IFERROR(VLOOKUP(B604,Week13,2,FALSE),0)</f>
        <v>26.59</v>
      </c>
      <c r="E604" s="4">
        <f>IF(ISBLANK(B604),,IFERROR(VLOOKUP(B604,CurrentRank!$B$2:$C$132,2,FALSE),0))</f>
        <v>29.75</v>
      </c>
      <c r="F604" s="4">
        <f>IFERROR(VLOOKUP(B604,Week13,3,FALSE),130)</f>
        <v>122</v>
      </c>
      <c r="G604" s="4">
        <f>IF(ISBLANK(B604),,IFERROR(VLOOKUP(B604,CurrentRank!$B$2:$D$132,3,FALSE),130))</f>
        <v>112</v>
      </c>
      <c r="H604" s="4">
        <f>IFERROR(VLOOKUP(C604,Week13,2,FALSE),0)</f>
        <v>31.44</v>
      </c>
      <c r="I604" s="4">
        <f>IF(ISBLANK(B604),,IFERROR(VLOOKUP(C604,CurrentRank!$B$2:$C$132,2,FALSE),0))</f>
        <v>31.07</v>
      </c>
      <c r="J604" s="4">
        <f>IFERROR(VLOOKUP(C604,Week13,3,FALSE),130)</f>
        <v>91</v>
      </c>
      <c r="K604" s="4">
        <f>IF(ISBLANK(C604),,IFERROR(VLOOKUP(C604,CurrentRank!$B$2:$D$132,3,FALSE),130))</f>
        <v>102</v>
      </c>
      <c r="L604" s="19">
        <f t="shared" si="254"/>
        <v>0.87045</v>
      </c>
      <c r="M604" s="19">
        <f t="shared" si="255"/>
        <v>0.9123</v>
      </c>
      <c r="N604" s="24">
        <f t="shared" si="242"/>
        <v>106.5</v>
      </c>
      <c r="O604" s="21">
        <f t="shared" si="4"/>
        <v>-2.860225</v>
      </c>
      <c r="P604" s="21">
        <f t="shared" si="249"/>
        <v>-1.095225</v>
      </c>
      <c r="Q604" s="22">
        <f t="shared" si="6"/>
        <v>0.453198875</v>
      </c>
      <c r="R604" s="25" t="str">
        <f t="shared" si="7"/>
        <v>F</v>
      </c>
      <c r="S604" s="19">
        <f t="shared" si="8"/>
        <v>0.3225</v>
      </c>
      <c r="T604" s="19" t="str">
        <f t="shared" si="9"/>
        <v>F</v>
      </c>
      <c r="U604" s="3" t="s">
        <v>203</v>
      </c>
      <c r="V604" s="4" t="str">
        <f>IF(ISBLANK(C604),,IFERROR(IF(VLOOKUP(B604,Standings!$A:$F, 6, 0)=VLOOKUP(C604,Standings!$A:$F, 6, 0), VLOOKUP(B604,Standings!$A:$F, 6, 0), "Non-con"), "FCS"))</f>
        <v>SUN</v>
      </c>
      <c r="W604" s="3" t="str">
        <f t="shared" si="10"/>
        <v>Troy</v>
      </c>
      <c r="X604" s="3" t="str">
        <f t="shared" si="11"/>
        <v>South Alabama</v>
      </c>
      <c r="Y604" s="30">
        <f>IF(D604=0,,IF(ISBLANK(Q604),,VLOOKUP(X604,Week13,2,FALSE)/(VLOOKUP(X604,Week13,2,FALSE)+VLOOKUP(W604,Week13,2,FALSE))+0.05)*100)</f>
        <v>59.178873</v>
      </c>
      <c r="Z604" s="3" t="s">
        <v>111</v>
      </c>
      <c r="AA604" s="3">
        <v>29.0</v>
      </c>
      <c r="AB604" s="4" t="str">
        <f t="shared" si="20"/>
        <v>South Alabama</v>
      </c>
      <c r="AC604" s="3">
        <v>0.0</v>
      </c>
      <c r="AD604" s="3"/>
      <c r="AE604" s="3">
        <f t="shared" si="13"/>
        <v>29</v>
      </c>
      <c r="AF604" s="3"/>
      <c r="AG604" s="3">
        <f t="shared" si="133"/>
        <v>0</v>
      </c>
      <c r="AH604" s="3"/>
      <c r="AI604" s="7"/>
      <c r="AJ604" s="4" t="s">
        <v>115</v>
      </c>
      <c r="AK604" s="7"/>
      <c r="AL604" s="7"/>
      <c r="AM604" s="7"/>
      <c r="AN604" s="7"/>
      <c r="AO604" s="7"/>
      <c r="AP604" s="7"/>
      <c r="AQ604" s="7"/>
      <c r="AR604" s="7"/>
      <c r="AS604" s="7"/>
      <c r="AT604" s="7"/>
      <c r="AU604" s="7"/>
      <c r="AV604" s="7"/>
      <c r="AW604" s="7"/>
      <c r="AX604" s="7"/>
    </row>
    <row r="605" ht="12.75" hidden="1" customHeight="1">
      <c r="A605" s="3">
        <v>17.0</v>
      </c>
      <c r="B605" s="3" t="s">
        <v>98</v>
      </c>
      <c r="C605" s="3" t="s">
        <v>114</v>
      </c>
      <c r="D605" s="4">
        <f>IFERROR(VLOOKUP(B605,Week16,2,FALSE),0)</f>
        <v>36.99</v>
      </c>
      <c r="E605" s="4">
        <f>IF(ISBLANK(B605),,IFERROR(VLOOKUP(B605,CurrentRank!$B$2:$C$132,2,FALSE),0))</f>
        <v>37.44</v>
      </c>
      <c r="F605" s="4">
        <f>IFERROR(VLOOKUP(B605,Week16,3,FALSE),130)</f>
        <v>48</v>
      </c>
      <c r="G605" s="4">
        <f>IF(ISBLANK(B605),,IFERROR(VLOOKUP(B605,CurrentRank!$B$2:$D$132,3,FALSE),130))</f>
        <v>42</v>
      </c>
      <c r="H605" s="4">
        <f>IFERROR(VLOOKUP(C605,Week16,2,FALSE),0)</f>
        <v>31.23</v>
      </c>
      <c r="I605" s="4">
        <f>IF(ISBLANK(B605),,IFERROR(VLOOKUP(C605,CurrentRank!$B$2:$C$132,2,FALSE),0))</f>
        <v>29.9</v>
      </c>
      <c r="J605" s="4">
        <f>IFERROR(VLOOKUP(C605,Week16,3,FALSE),130)</f>
        <v>102</v>
      </c>
      <c r="K605" s="4">
        <f>IF(ISBLANK(C605),,IFERROR(VLOOKUP(C605,CurrentRank!$B$2:$D$132,3,FALSE),130))</f>
        <v>110</v>
      </c>
      <c r="L605" s="19">
        <f t="shared" si="254"/>
        <v>0</v>
      </c>
      <c r="M605" s="19">
        <f t="shared" si="255"/>
        <v>0</v>
      </c>
      <c r="N605" s="24">
        <f t="shared" si="242"/>
        <v>75</v>
      </c>
      <c r="O605" s="21">
        <f t="shared" si="4"/>
        <v>2.88</v>
      </c>
      <c r="P605" s="21">
        <f t="shared" si="249"/>
        <v>3.77</v>
      </c>
      <c r="Q605" s="22">
        <f t="shared" si="6"/>
        <v>0.6106</v>
      </c>
      <c r="R605" s="25" t="str">
        <f t="shared" si="7"/>
        <v>D-</v>
      </c>
      <c r="S605" s="19">
        <f t="shared" si="8"/>
        <v>0.485</v>
      </c>
      <c r="T605" s="19" t="str">
        <f t="shared" si="9"/>
        <v>F</v>
      </c>
      <c r="U605" s="3" t="s">
        <v>223</v>
      </c>
      <c r="V605" s="4" t="str">
        <f>IF(ISBLANK(C605),,IFERROR(IF(VLOOKUP(B605,Standings!$A:$F, 6, 0)=VLOOKUP(C605,Standings!$A:$F, 6, 0), VLOOKUP(B605,Standings!$A:$F, 6, 0), "Non-con"), "FCS"))</f>
        <v>Non-con</v>
      </c>
      <c r="W605" s="3" t="str">
        <f t="shared" si="10"/>
        <v>North Texas</v>
      </c>
      <c r="X605" s="3" t="str">
        <f t="shared" si="11"/>
        <v>Appalachian State</v>
      </c>
      <c r="Y605" s="30">
        <f>IF(D605=0,,IF(ISBLANK(Q605),,VLOOKUP(X605,Week16,2,FALSE)/(VLOOKUP(X605,Week16,2,FALSE)+VLOOKUP(W605,Week16,2,FALSE)))*100)</f>
        <v>54.22163588</v>
      </c>
      <c r="Z605" s="3" t="s">
        <v>98</v>
      </c>
      <c r="AA605" s="3">
        <v>56.0</v>
      </c>
      <c r="AB605" s="4" t="str">
        <f t="shared" si="20"/>
        <v>North Texas</v>
      </c>
      <c r="AC605" s="3">
        <v>28.0</v>
      </c>
      <c r="AD605" s="3"/>
      <c r="AE605" s="3">
        <f t="shared" si="13"/>
        <v>28</v>
      </c>
      <c r="AF605" s="3" t="s">
        <v>224</v>
      </c>
      <c r="AG605" s="3">
        <f t="shared" si="133"/>
        <v>1</v>
      </c>
      <c r="AH605" s="3"/>
      <c r="AI605" s="7"/>
      <c r="AJ605" s="4"/>
      <c r="AK605" s="7"/>
      <c r="AL605" s="7"/>
      <c r="AM605" s="7"/>
      <c r="AN605" s="7"/>
      <c r="AO605" s="7"/>
      <c r="AP605" s="7"/>
      <c r="AQ605" s="7"/>
      <c r="AR605" s="7"/>
      <c r="AS605" s="7"/>
      <c r="AT605" s="7"/>
      <c r="AU605" s="7"/>
      <c r="AV605" s="7"/>
      <c r="AW605" s="7"/>
      <c r="AX605" s="7"/>
    </row>
    <row r="606" ht="12.75" hidden="1" customHeight="1">
      <c r="A606" s="3">
        <v>17.0</v>
      </c>
      <c r="B606" s="3" t="s">
        <v>193</v>
      </c>
      <c r="C606" s="3" t="s">
        <v>136</v>
      </c>
      <c r="D606" s="4">
        <f>IFERROR(VLOOKUP(B606,Week16,2,FALSE),0)</f>
        <v>30.88</v>
      </c>
      <c r="E606" s="4">
        <f>IF(ISBLANK(B606),,IFERROR(VLOOKUP(B606,CurrentRank!$B$2:$C$132,2,FALSE),0))</f>
        <v>29.31</v>
      </c>
      <c r="F606" s="4">
        <f>IFERROR(VLOOKUP(B606,Week16,3,FALSE),130)</f>
        <v>109</v>
      </c>
      <c r="G606" s="4">
        <f>IF(ISBLANK(B606),,IFERROR(VLOOKUP(B606,CurrentRank!$B$2:$D$132,3,FALSE),130))</f>
        <v>115</v>
      </c>
      <c r="H606" s="4">
        <f>IFERROR(VLOOKUP(C606,Week16,2,FALSE),0)</f>
        <v>34.87</v>
      </c>
      <c r="I606" s="4">
        <f>IF(ISBLANK(B606),,IFERROR(VLOOKUP(C606,CurrentRank!$B$2:$C$132,2,FALSE),0))</f>
        <v>35.33</v>
      </c>
      <c r="J606" s="4">
        <f>IFERROR(VLOOKUP(C606,Week16,3,FALSE),130)</f>
        <v>73</v>
      </c>
      <c r="K606" s="4">
        <f>IF(ISBLANK(C606),,IFERROR(VLOOKUP(C606,CurrentRank!$B$2:$D$132,3,FALSE),130))</f>
        <v>62</v>
      </c>
      <c r="L606" s="19">
        <f t="shared" si="254"/>
        <v>0</v>
      </c>
      <c r="M606" s="19">
        <f t="shared" si="255"/>
        <v>0</v>
      </c>
      <c r="N606" s="24">
        <f t="shared" si="242"/>
        <v>91</v>
      </c>
      <c r="O606" s="21">
        <f t="shared" si="4"/>
        <v>-1.995</v>
      </c>
      <c r="P606" s="21">
        <f t="shared" si="249"/>
        <v>-3.01</v>
      </c>
      <c r="Q606" s="22">
        <f t="shared" si="6"/>
        <v>0.535025</v>
      </c>
      <c r="R606" s="25" t="str">
        <f t="shared" si="7"/>
        <v>F</v>
      </c>
      <c r="S606" s="19">
        <f t="shared" si="8"/>
        <v>0.37</v>
      </c>
      <c r="T606" s="19" t="str">
        <f t="shared" si="9"/>
        <v>F</v>
      </c>
      <c r="U606" s="3" t="s">
        <v>223</v>
      </c>
      <c r="V606" s="4" t="str">
        <f>IF(ISBLANK(C606),,IFERROR(IF(VLOOKUP(B606,Standings!$A:$F, 6, 0)=VLOOKUP(C606,Standings!$A:$F, 6, 0), VLOOKUP(B606,Standings!$A:$F, 6, 0), "Non-con"), "FCS"))</f>
        <v>Non-con</v>
      </c>
      <c r="W606" s="3" t="str">
        <f t="shared" si="10"/>
        <v>Western Kentucky</v>
      </c>
      <c r="X606" s="3" t="str">
        <f t="shared" si="11"/>
        <v>Georgia State</v>
      </c>
      <c r="Y606" s="30">
        <f>IF(D606=0,,IF(ISBLANK(Q606),,VLOOKUP(X606,Week16,2,FALSE)/(VLOOKUP(X606,Week16,2,FALSE)+VLOOKUP(W606,Week16,2,FALSE)))*100)</f>
        <v>53.03422053</v>
      </c>
      <c r="Z606" s="3" t="s">
        <v>136</v>
      </c>
      <c r="AA606" s="3">
        <v>38.0</v>
      </c>
      <c r="AB606" s="4" t="str">
        <f t="shared" si="20"/>
        <v>Western Kentucky</v>
      </c>
      <c r="AC606" s="3">
        <v>3.0</v>
      </c>
      <c r="AD606" s="3"/>
      <c r="AE606" s="3">
        <f t="shared" si="13"/>
        <v>35</v>
      </c>
      <c r="AF606" s="3" t="s">
        <v>224</v>
      </c>
      <c r="AG606" s="3">
        <f t="shared" si="133"/>
        <v>1</v>
      </c>
      <c r="AH606" s="3"/>
      <c r="AI606" s="7"/>
      <c r="AJ606" s="4"/>
      <c r="AK606" s="7"/>
      <c r="AL606" s="7"/>
      <c r="AM606" s="7"/>
      <c r="AN606" s="7"/>
      <c r="AO606" s="7"/>
      <c r="AP606" s="7"/>
      <c r="AQ606" s="7"/>
      <c r="AR606" s="7"/>
      <c r="AS606" s="7"/>
      <c r="AT606" s="7"/>
      <c r="AU606" s="7"/>
      <c r="AV606" s="7"/>
      <c r="AW606" s="7"/>
      <c r="AX606" s="7"/>
    </row>
    <row r="607" ht="12.75" customHeight="1">
      <c r="A607" s="3">
        <v>3.0</v>
      </c>
      <c r="B607" s="3" t="s">
        <v>139</v>
      </c>
      <c r="C607" s="3" t="s">
        <v>122</v>
      </c>
      <c r="D607" s="4">
        <f>IFERROR(VLOOKUP(B607,Week2,2,FALSE),0)</f>
        <v>21.55</v>
      </c>
      <c r="E607" s="4">
        <f>IF(ISBLANK(B607),,IFERROR(VLOOKUP(B607,CurrentRank!$B$2:$C$132,2,FALSE),0))</f>
        <v>28.86</v>
      </c>
      <c r="F607" s="4">
        <f>IFERROR(VLOOKUP(B607,Week2,3,FALSE),130)</f>
        <v>125</v>
      </c>
      <c r="G607" s="4">
        <f>IF(ISBLANK(B607),,IFERROR(VLOOKUP(B607,CurrentRank!$B$2:$D$132,3,FALSE),130))</f>
        <v>119</v>
      </c>
      <c r="H607" s="4">
        <f>IFERROR(VLOOKUP(C607,Week2,2,FALSE),0)</f>
        <v>25.5</v>
      </c>
      <c r="I607" s="4">
        <f>IF(ISBLANK(B607),,IFERROR(VLOOKUP(C607,CurrentRank!$B$2:$C$132,2,FALSE),0))</f>
        <v>25.95</v>
      </c>
      <c r="J607" s="4">
        <f>IFERROR(VLOOKUP(C607,Week2,3,FALSE),130)</f>
        <v>116</v>
      </c>
      <c r="K607" s="4">
        <f>IF(ISBLANK(C607),,IFERROR(VLOOKUP(C607,CurrentRank!$B$2:$D$132,3,FALSE),130))</f>
        <v>124</v>
      </c>
      <c r="L607" s="19">
        <f t="shared" si="254"/>
        <v>0.70575</v>
      </c>
      <c r="M607" s="19">
        <f t="shared" si="255"/>
        <v>0.82215</v>
      </c>
      <c r="N607" s="24">
        <f t="shared" si="242"/>
        <v>120.5</v>
      </c>
      <c r="O607" s="21">
        <f t="shared" si="4"/>
        <v>-2.327875</v>
      </c>
      <c r="P607" s="21">
        <f t="shared" si="249"/>
        <v>1.102125</v>
      </c>
      <c r="Q607" s="22">
        <f t="shared" si="6"/>
        <v>0.385860625</v>
      </c>
      <c r="R607" s="25" t="str">
        <f t="shared" si="7"/>
        <v>F</v>
      </c>
      <c r="S607" s="19">
        <f t="shared" si="8"/>
        <v>0.2925</v>
      </c>
      <c r="T607" s="19" t="str">
        <f t="shared" si="9"/>
        <v>F</v>
      </c>
      <c r="U607" s="3" t="s">
        <v>203</v>
      </c>
      <c r="V607" s="4" t="str">
        <f>IF(ISBLANK(C607),,IFERROR(IF(VLOOKUP(B607,Standings!$A:$F, 6, 0)=VLOOKUP(C607,Standings!$A:$F, 6, 0), VLOOKUP(B607,Standings!$A:$F, 6, 0), "Non-con"), "FCS"))</f>
        <v>SUN</v>
      </c>
      <c r="W607" s="3" t="str">
        <f t="shared" si="10"/>
        <v>Texas State</v>
      </c>
      <c r="X607" s="3" t="str">
        <f t="shared" si="11"/>
        <v>UL-Monroe</v>
      </c>
      <c r="Y607" s="30">
        <f>IF(D607=0,,IF(ISBLANK(Q607),,VLOOKUP(X607,Week2,2,FALSE)/(VLOOKUP(X607,Week2,2,FALSE)+VLOOKUP(W607,Week2,2,FALSE))+0.05)*100)</f>
        <v>59.19766206</v>
      </c>
      <c r="Z607" s="3" t="s">
        <v>139</v>
      </c>
      <c r="AA607" s="3">
        <v>38.0</v>
      </c>
      <c r="AB607" s="4" t="str">
        <f t="shared" si="20"/>
        <v>UL-Monroe</v>
      </c>
      <c r="AC607" s="3">
        <v>17.0</v>
      </c>
      <c r="AD607" s="3"/>
      <c r="AE607" s="3">
        <f t="shared" si="13"/>
        <v>21</v>
      </c>
      <c r="AF607" s="3"/>
      <c r="AG607" s="3">
        <f t="shared" si="133"/>
        <v>0</v>
      </c>
      <c r="AH607" s="3"/>
      <c r="AI607" s="7"/>
      <c r="AJ607" s="4"/>
      <c r="AK607" s="7"/>
      <c r="AL607" s="7"/>
      <c r="AM607" s="7"/>
      <c r="AN607" s="7"/>
      <c r="AO607" s="7"/>
      <c r="AP607" s="7"/>
      <c r="AQ607" s="7"/>
      <c r="AR607" s="7"/>
      <c r="AS607" s="7"/>
      <c r="AT607" s="7"/>
      <c r="AU607" s="7"/>
      <c r="AV607" s="7"/>
      <c r="AW607" s="7"/>
      <c r="AX607" s="7"/>
    </row>
    <row r="608" ht="12.75" hidden="1" customHeight="1">
      <c r="A608" s="3" t="s">
        <v>281</v>
      </c>
      <c r="B608" s="3" t="s">
        <v>26</v>
      </c>
      <c r="C608" s="3" t="s">
        <v>23</v>
      </c>
      <c r="D608" s="4">
        <f>IFERROR(VLOOKUP(B608,Week16,2,FALSE),0)</f>
        <v>89.67</v>
      </c>
      <c r="E608" s="4">
        <f>IF(ISBLANK(B608),,IFERROR(VLOOKUP(B608,CurrentRank!$B$2:$C$132,2,FALSE),0))</f>
        <v>87.05</v>
      </c>
      <c r="F608" s="4">
        <f>IFERROR(VLOOKUP(B608,Week16,3,FALSE),130)</f>
        <v>2</v>
      </c>
      <c r="G608" s="4">
        <f>IF(ISBLANK(B608),,IFERROR(VLOOKUP(B608,CurrentRank!$B$2:$D$132,3,FALSE),130))</f>
        <v>2</v>
      </c>
      <c r="H608" s="4">
        <f>IFERROR(VLOOKUP(C608,Week16,2,FALSE),0)</f>
        <v>96.44</v>
      </c>
      <c r="I608" s="4">
        <f>IF(ISBLANK(B608),,IFERROR(VLOOKUP(C608,CurrentRank!$B$2:$C$132,2,FALSE),0))</f>
        <v>96.59</v>
      </c>
      <c r="J608" s="4">
        <f>IFERROR(VLOOKUP(C608,Week16,3,FALSE),130)</f>
        <v>1</v>
      </c>
      <c r="K608" s="4">
        <f>IF(ISBLANK(C608),,IFERROR(VLOOKUP(C608,CurrentRank!$B$2:$D$132,3,FALSE),130))</f>
        <v>1</v>
      </c>
      <c r="L608" s="19">
        <f t="shared" si="254"/>
        <v>0</v>
      </c>
      <c r="M608" s="19">
        <f t="shared" si="255"/>
        <v>0</v>
      </c>
      <c r="N608" s="24">
        <f t="shared" si="242"/>
        <v>1.5</v>
      </c>
      <c r="O608" s="21">
        <f t="shared" si="4"/>
        <v>-3.385</v>
      </c>
      <c r="P608" s="21">
        <f t="shared" si="249"/>
        <v>-4.77</v>
      </c>
      <c r="Q608" s="22">
        <f t="shared" si="6"/>
        <v>0.975575</v>
      </c>
      <c r="R608" s="25" t="str">
        <f t="shared" si="7"/>
        <v>A+</v>
      </c>
      <c r="S608" s="19">
        <f t="shared" si="8"/>
        <v>0.8525</v>
      </c>
      <c r="T608" s="19" t="str">
        <f t="shared" si="9"/>
        <v>B</v>
      </c>
      <c r="U608" s="3" t="s">
        <v>223</v>
      </c>
      <c r="V608" s="4" t="str">
        <f>IF(ISBLANK(C608),,IFERROR(IF(VLOOKUP(B608,Standings!$A:$F, 6, 0)=VLOOKUP(C608,Standings!$A:$F, 6, 0), VLOOKUP(B608,Standings!$A:$F, 6, 0), "Non-con"), "FCS"))</f>
        <v>Non-con</v>
      </c>
      <c r="W608" s="3" t="str">
        <f t="shared" si="10"/>
        <v>Ohio State</v>
      </c>
      <c r="X608" s="3" t="str">
        <f t="shared" si="11"/>
        <v>Alabama</v>
      </c>
      <c r="Y608" s="30">
        <f>IF(D608=0,,IF(ISBLANK(Q608),,VLOOKUP(X608,Week16,2,FALSE)/(VLOOKUP(X608,Week16,2,FALSE)+VLOOKUP(W608,Week16,2,FALSE)))*100)</f>
        <v>51.81881683</v>
      </c>
      <c r="Z608" s="3" t="s">
        <v>23</v>
      </c>
      <c r="AA608" s="3">
        <v>52.0</v>
      </c>
      <c r="AB608" s="4" t="str">
        <f t="shared" si="20"/>
        <v>Ohio State</v>
      </c>
      <c r="AC608" s="3">
        <v>24.0</v>
      </c>
      <c r="AD608" s="3"/>
      <c r="AE608" s="3">
        <f t="shared" si="13"/>
        <v>28</v>
      </c>
      <c r="AF608" s="3" t="s">
        <v>281</v>
      </c>
      <c r="AG608" s="3">
        <f t="shared" si="133"/>
        <v>1</v>
      </c>
      <c r="AH608" s="3"/>
      <c r="AI608" s="7"/>
      <c r="AJ608" s="4"/>
      <c r="AK608" s="7"/>
      <c r="AL608" s="7"/>
      <c r="AM608" s="7"/>
      <c r="AN608" s="7"/>
      <c r="AO608" s="7"/>
      <c r="AP608" s="7"/>
      <c r="AQ608" s="7"/>
      <c r="AR608" s="7"/>
      <c r="AS608" s="7"/>
      <c r="AT608" s="7"/>
      <c r="AU608" s="7"/>
      <c r="AV608" s="7"/>
      <c r="AW608" s="7"/>
      <c r="AX608" s="7"/>
    </row>
    <row r="609" ht="12.75" hidden="1" customHeight="1">
      <c r="A609" s="3">
        <v>17.0</v>
      </c>
      <c r="B609" s="3" t="s">
        <v>48</v>
      </c>
      <c r="C609" s="3" t="s">
        <v>51</v>
      </c>
      <c r="D609" s="4">
        <f>IFERROR(VLOOKUP(B609,Week16,2,FALSE),0)</f>
        <v>72.89</v>
      </c>
      <c r="E609" s="4">
        <f>IF(ISBLANK(B609),,IFERROR(VLOOKUP(B609,CurrentRank!$B$2:$C$132,2,FALSE),0))</f>
        <v>68.03</v>
      </c>
      <c r="F609" s="4">
        <f>IFERROR(VLOOKUP(B609,Week16,3,FALSE),130)</f>
        <v>11</v>
      </c>
      <c r="G609" s="4">
        <f>IF(ISBLANK(B609),,IFERROR(VLOOKUP(B609,CurrentRank!$B$2:$D$132,3,FALSE),130))</f>
        <v>16</v>
      </c>
      <c r="H609" s="4">
        <f>IFERROR(VLOOKUP(C609,Week16,2,FALSE),0)</f>
        <v>78.39</v>
      </c>
      <c r="I609" s="4">
        <f>IF(ISBLANK(B609),,IFERROR(VLOOKUP(C609,CurrentRank!$B$2:$C$132,2,FALSE),0))</f>
        <v>81.57</v>
      </c>
      <c r="J609" s="4">
        <f>IFERROR(VLOOKUP(C609,Week16,3,FALSE),130)</f>
        <v>9</v>
      </c>
      <c r="K609" s="4">
        <f>IF(ISBLANK(C609),,IFERROR(VLOOKUP(C609,CurrentRank!$B$2:$D$132,3,FALSE),130))</f>
        <v>5</v>
      </c>
      <c r="L609" s="19">
        <f t="shared" si="254"/>
        <v>0</v>
      </c>
      <c r="M609" s="19">
        <f t="shared" si="255"/>
        <v>0</v>
      </c>
      <c r="N609" s="24">
        <f t="shared" si="242"/>
        <v>10</v>
      </c>
      <c r="O609" s="21">
        <f t="shared" si="4"/>
        <v>-2.75</v>
      </c>
      <c r="P609" s="21">
        <f t="shared" si="249"/>
        <v>-6.77</v>
      </c>
      <c r="Q609" s="22">
        <f t="shared" si="6"/>
        <v>0.93625</v>
      </c>
      <c r="R609" s="25" t="str">
        <f t="shared" si="7"/>
        <v>A</v>
      </c>
      <c r="S609" s="19">
        <f t="shared" si="8"/>
        <v>0.775</v>
      </c>
      <c r="T609" s="19" t="str">
        <f t="shared" si="9"/>
        <v>C+</v>
      </c>
      <c r="U609" s="3" t="s">
        <v>223</v>
      </c>
      <c r="V609" s="4" t="str">
        <f>IF(ISBLANK(C609),,IFERROR(IF(VLOOKUP(B609,Standings!$A:$F, 6, 0)=VLOOKUP(C609,Standings!$A:$F, 6, 0), VLOOKUP(B609,Standings!$A:$F, 6, 0), "Non-con"), "FCS"))</f>
        <v>Non-con</v>
      </c>
      <c r="W609" s="3" t="str">
        <f t="shared" si="10"/>
        <v>Florida</v>
      </c>
      <c r="X609" s="3" t="str">
        <f t="shared" si="11"/>
        <v>Oklahoma</v>
      </c>
      <c r="Y609" s="30">
        <f>IF(D609=0,,IF(ISBLANK(Q609),,VLOOKUP(X609,Week16,2,FALSE)/(VLOOKUP(X609,Week16,2,FALSE)+VLOOKUP(W609,Week16,2,FALSE)))*100)</f>
        <v>51.81782126</v>
      </c>
      <c r="Z609" s="3" t="s">
        <v>51</v>
      </c>
      <c r="AA609" s="3">
        <v>55.0</v>
      </c>
      <c r="AB609" s="4" t="str">
        <f t="shared" si="20"/>
        <v>Florida</v>
      </c>
      <c r="AC609" s="3">
        <v>20.0</v>
      </c>
      <c r="AD609" s="3"/>
      <c r="AE609" s="3">
        <f t="shared" si="13"/>
        <v>35</v>
      </c>
      <c r="AF609" s="3" t="s">
        <v>224</v>
      </c>
      <c r="AG609" s="3">
        <f t="shared" si="133"/>
        <v>1</v>
      </c>
      <c r="AH609" s="3"/>
      <c r="AI609" s="7"/>
      <c r="AJ609" s="4"/>
      <c r="AK609" s="7"/>
      <c r="AL609" s="7"/>
      <c r="AM609" s="7"/>
      <c r="AN609" s="7"/>
      <c r="AO609" s="7"/>
      <c r="AP609" s="7"/>
      <c r="AQ609" s="7"/>
      <c r="AR609" s="7"/>
      <c r="AS609" s="7"/>
      <c r="AT609" s="7"/>
      <c r="AU609" s="7"/>
      <c r="AV609" s="7"/>
      <c r="AW609" s="7"/>
      <c r="AX609" s="7"/>
    </row>
    <row r="610" ht="12.75" hidden="1" customHeight="1">
      <c r="A610" s="3">
        <v>17.0</v>
      </c>
      <c r="B610" s="3" t="s">
        <v>93</v>
      </c>
      <c r="C610" s="3" t="s">
        <v>74</v>
      </c>
      <c r="D610" s="4">
        <f>IFERROR(VLOOKUP(B610,Week16,2,FALSE),0)</f>
        <v>38.07</v>
      </c>
      <c r="E610" s="4">
        <f>IF(ISBLANK(B610),,IFERROR(VLOOKUP(B610,CurrentRank!$B$2:$C$132,2,FALSE),0))</f>
        <v>36.48</v>
      </c>
      <c r="F610" s="4">
        <f>IFERROR(VLOOKUP(B610,Week16,3,FALSE),130)</f>
        <v>41</v>
      </c>
      <c r="G610" s="4">
        <f>IF(ISBLANK(B610),,IFERROR(VLOOKUP(B610,CurrentRank!$B$2:$D$132,3,FALSE),130))</f>
        <v>52</v>
      </c>
      <c r="H610" s="4">
        <f>IFERROR(VLOOKUP(C610,Week16,2,FALSE),0)</f>
        <v>40.41</v>
      </c>
      <c r="I610" s="4">
        <f>IF(ISBLANK(B610),,IFERROR(VLOOKUP(C610,CurrentRank!$B$2:$C$132,2,FALSE),0))</f>
        <v>41.11</v>
      </c>
      <c r="J610" s="4">
        <f>IFERROR(VLOOKUP(C610,Week16,3,FALSE),130)</f>
        <v>37</v>
      </c>
      <c r="K610" s="4">
        <f>IF(ISBLANK(C610),,IFERROR(VLOOKUP(C610,CurrentRank!$B$2:$D$132,3,FALSE),130))</f>
        <v>32</v>
      </c>
      <c r="L610" s="19">
        <f t="shared" si="254"/>
        <v>0</v>
      </c>
      <c r="M610" s="19">
        <f t="shared" si="255"/>
        <v>0</v>
      </c>
      <c r="N610" s="24">
        <f t="shared" si="242"/>
        <v>39</v>
      </c>
      <c r="O610" s="21">
        <f t="shared" si="4"/>
        <v>-1.17</v>
      </c>
      <c r="P610" s="21">
        <f t="shared" si="249"/>
        <v>-2.315</v>
      </c>
      <c r="Q610" s="22">
        <f t="shared" si="6"/>
        <v>0.79915</v>
      </c>
      <c r="R610" s="25" t="str">
        <f t="shared" si="7"/>
        <v>B-</v>
      </c>
      <c r="S610" s="19">
        <f t="shared" si="8"/>
        <v>0.735</v>
      </c>
      <c r="T610" s="19" t="str">
        <f t="shared" si="9"/>
        <v>C</v>
      </c>
      <c r="U610" s="3" t="s">
        <v>223</v>
      </c>
      <c r="V610" s="4" t="str">
        <f>IF(ISBLANK(C610),,IFERROR(IF(VLOOKUP(B610,Standings!$A:$F, 6, 0)=VLOOKUP(C610,Standings!$A:$F, 6, 0), VLOOKUP(B610,Standings!$A:$F, 6, 0), "Non-con"), "FCS"))</f>
        <v>Non-con</v>
      </c>
      <c r="W610" s="3" t="str">
        <f t="shared" si="10"/>
        <v>Wake Forest</v>
      </c>
      <c r="X610" s="3" t="str">
        <f t="shared" si="11"/>
        <v>Wisconsin</v>
      </c>
      <c r="Y610" s="30">
        <f>IF(D610=0,,IF(ISBLANK(Q610),,VLOOKUP(X610,Week16,2,FALSE)/(VLOOKUP(X610,Week16,2,FALSE)+VLOOKUP(W610,Week16,2,FALSE)))*100)</f>
        <v>51.49082569</v>
      </c>
      <c r="Z610" s="3" t="s">
        <v>74</v>
      </c>
      <c r="AA610" s="3">
        <v>42.0</v>
      </c>
      <c r="AB610" s="4" t="str">
        <f t="shared" si="20"/>
        <v>Wake Forest</v>
      </c>
      <c r="AC610" s="3">
        <v>28.0</v>
      </c>
      <c r="AD610" s="3"/>
      <c r="AE610" s="3">
        <f t="shared" si="13"/>
        <v>14</v>
      </c>
      <c r="AF610" s="3" t="s">
        <v>224</v>
      </c>
      <c r="AG610" s="3">
        <f t="shared" si="133"/>
        <v>1</v>
      </c>
      <c r="AH610" s="3"/>
      <c r="AI610" s="7"/>
      <c r="AJ610" s="4"/>
      <c r="AK610" s="7"/>
      <c r="AL610" s="7"/>
      <c r="AM610" s="7"/>
      <c r="AN610" s="7"/>
      <c r="AO610" s="7"/>
      <c r="AP610" s="7"/>
      <c r="AQ610" s="7"/>
      <c r="AR610" s="7"/>
      <c r="AS610" s="7"/>
      <c r="AT610" s="7"/>
      <c r="AU610" s="7"/>
      <c r="AV610" s="7"/>
      <c r="AW610" s="7"/>
      <c r="AX610" s="7"/>
    </row>
    <row r="611" ht="12.75" hidden="1" customHeight="1">
      <c r="A611" s="3">
        <v>10.0</v>
      </c>
      <c r="B611" s="3" t="s">
        <v>110</v>
      </c>
      <c r="C611" s="3" t="s">
        <v>114</v>
      </c>
      <c r="D611" s="4">
        <f>IFERROR(VLOOKUP(B611,CurrentRank!$B$2:$C$132,2,FALSE),0)</f>
        <v>20.47</v>
      </c>
      <c r="E611" s="4">
        <f>IF(ISBLANK(B611),,IFERROR(VLOOKUP(B611,CurrentRank!$B$2:$C$132,2,FALSE),0))</f>
        <v>20.47</v>
      </c>
      <c r="F611" s="4">
        <f>IFERROR(VLOOKUP(B611,Week9,3,FALSE),130)</f>
        <v>76</v>
      </c>
      <c r="G611" s="4">
        <f>IF(ISBLANK(B611),,IFERROR(VLOOKUP(B611,CurrentRank!$B$2:$D$132,3,FALSE),130))</f>
        <v>128</v>
      </c>
      <c r="H611" s="4">
        <f>IFERROR(VLOOKUP(C611,CurrentRank!$B$2:$C$132,2,FALSE),0)</f>
        <v>29.9</v>
      </c>
      <c r="I611" s="4">
        <f>IF(ISBLANK(B611),,IFERROR(VLOOKUP(C611,CurrentRank!$B$2:$C$132,2,FALSE),0))</f>
        <v>29.9</v>
      </c>
      <c r="J611" s="4">
        <f>IFERROR(VLOOKUP(C611,Week9,3,FALSE),130)</f>
        <v>116</v>
      </c>
      <c r="K611" s="4">
        <f>IF(ISBLANK(C611),,IFERROR(VLOOKUP(C611,CurrentRank!$B$2:$D$132,3,FALSE),130))</f>
        <v>110</v>
      </c>
      <c r="L611" s="19">
        <f t="shared" ref="L611:M611" si="256">IF(ISBLANK(C611),,(D611+H611)*0.015)</f>
        <v>0.75555</v>
      </c>
      <c r="M611" s="19">
        <f t="shared" si="256"/>
        <v>0.75555</v>
      </c>
      <c r="N611" s="24">
        <f t="shared" si="242"/>
        <v>96</v>
      </c>
      <c r="O611" s="21">
        <f t="shared" si="4"/>
        <v>-5.092775</v>
      </c>
      <c r="P611" s="24">
        <f>(D611-(H611+L611))/2</f>
        <v>-5.092775</v>
      </c>
      <c r="Q611" s="22">
        <f t="shared" si="6"/>
        <v>0.494536125</v>
      </c>
      <c r="R611" s="25" t="str">
        <f t="shared" si="7"/>
        <v>F</v>
      </c>
      <c r="S611" s="19" t="str">
        <f t="shared" si="8"/>
        <v/>
      </c>
      <c r="T611" s="19" t="str">
        <f t="shared" si="9"/>
        <v/>
      </c>
      <c r="U611" s="3" t="s">
        <v>203</v>
      </c>
      <c r="V611" s="4" t="str">
        <f>IFERROR(IF(VLOOKUP(B611,Standings!$A:$F, 6, 0)=VLOOKUP(C611,Standings!$A:$F, 6, 0), VLOOKUP(B611,Standings!$A:$F, 6, 0), "Non-con"), "FCS")</f>
        <v>CUSA</v>
      </c>
      <c r="W611" s="3" t="str">
        <f t="shared" si="10"/>
        <v>Louisiana Tech</v>
      </c>
      <c r="X611" s="3" t="str">
        <f t="shared" si="11"/>
        <v>North Texas</v>
      </c>
      <c r="Y611" s="30">
        <f>IF(D611=0,,IF(ISBLANK(Q611),,VLOOKUP(X611,Week9,2,FALSE)/(VLOOKUP(X611,Week9,2,FALSE)+VLOOKUP(W611,Week9,2,FALSE))+0.05)*100)</f>
        <v>51.28580946</v>
      </c>
      <c r="Z611" s="3"/>
      <c r="AA611" s="3"/>
      <c r="AB611" s="4" t="str">
        <f t="shared" si="20"/>
        <v/>
      </c>
      <c r="AC611" s="3"/>
      <c r="AD611" s="3"/>
      <c r="AE611" s="3" t="str">
        <f t="shared" si="13"/>
        <v/>
      </c>
      <c r="AF611" s="3" t="s">
        <v>228</v>
      </c>
      <c r="AG611" s="3" t="str">
        <f t="shared" si="133"/>
        <v/>
      </c>
      <c r="AH611" s="3"/>
      <c r="AI611" s="7"/>
      <c r="AJ611" s="4"/>
      <c r="AK611" s="7"/>
      <c r="AL611" s="7"/>
      <c r="AM611" s="7"/>
      <c r="AN611" s="3" t="s">
        <v>210</v>
      </c>
      <c r="AO611" s="4">
        <f>COUNTIF(AG609:AG1612, 0)</f>
        <v>2</v>
      </c>
      <c r="AP611" s="7"/>
      <c r="AQ611" s="7"/>
      <c r="AR611" s="7"/>
      <c r="AS611" s="7"/>
      <c r="AT611" s="7"/>
      <c r="AU611" s="7"/>
      <c r="AV611" s="7"/>
      <c r="AW611" s="7"/>
      <c r="AX611" s="7"/>
    </row>
    <row r="612" ht="12.75" customHeight="1">
      <c r="A612" s="3">
        <v>10.0</v>
      </c>
      <c r="B612" s="3" t="s">
        <v>91</v>
      </c>
      <c r="C612" s="3" t="s">
        <v>137</v>
      </c>
      <c r="D612" s="4">
        <f>IFERROR(VLOOKUP(B612,Week9,2,FALSE),0)</f>
        <v>27.53</v>
      </c>
      <c r="E612" s="4">
        <f>IF(ISBLANK(B612),,IFERROR(VLOOKUP(B612,CurrentRank!$B$2:$C$132,2,FALSE),0))</f>
        <v>35.39</v>
      </c>
      <c r="F612" s="4">
        <f>IFERROR(VLOOKUP(B612,Week9,3,FALSE),130)</f>
        <v>117</v>
      </c>
      <c r="G612" s="4">
        <f>IF(ISBLANK(B612),,IFERROR(VLOOKUP(B612,CurrentRank!$B$2:$D$132,3,FALSE),130))</f>
        <v>60</v>
      </c>
      <c r="H612" s="4">
        <f>IFERROR(VLOOKUP(C612,Week9,2,FALSE),0)</f>
        <v>26.75</v>
      </c>
      <c r="I612" s="4">
        <f>IF(ISBLANK(B612),,IFERROR(VLOOKUP(C612,CurrentRank!$B$2:$C$132,2,FALSE),0))</f>
        <v>31.52</v>
      </c>
      <c r="J612" s="4">
        <f>IFERROR(VLOOKUP(C612,Week9,3,FALSE),130)</f>
        <v>122</v>
      </c>
      <c r="K612" s="4">
        <f>IF(ISBLANK(C612),,IFERROR(VLOOKUP(C612,CurrentRank!$B$2:$D$132,3,FALSE),130))</f>
        <v>98</v>
      </c>
      <c r="L612" s="19">
        <f t="shared" ref="L612:L618" si="257">IF(U612= "Yes", 0, IF(ISBLANK(C612),,(D612+H612)*0.015))</f>
        <v>0.8142</v>
      </c>
      <c r="M612" s="19">
        <f t="shared" ref="M612:M618" si="258">IF(U612= "Yes", 0, IF(ISBLANK(D612),,(E612+I612)*0.015))</f>
        <v>1.00365</v>
      </c>
      <c r="N612" s="24">
        <f t="shared" si="242"/>
        <v>119.5</v>
      </c>
      <c r="O612" s="21">
        <f t="shared" si="4"/>
        <v>-0.0171</v>
      </c>
      <c r="P612" s="21">
        <f t="shared" ref="P612:P618" si="259">IF(ISBLANK(C612),,(E612-(I612+L612))/2)</f>
        <v>1.5279</v>
      </c>
      <c r="Q612" s="22">
        <f t="shared" si="6"/>
        <v>0.4024145</v>
      </c>
      <c r="R612" s="25" t="str">
        <f t="shared" si="7"/>
        <v>F</v>
      </c>
      <c r="S612" s="19">
        <f t="shared" si="8"/>
        <v>0.2675</v>
      </c>
      <c r="T612" s="19" t="str">
        <f t="shared" si="9"/>
        <v>F</v>
      </c>
      <c r="U612" s="3" t="s">
        <v>203</v>
      </c>
      <c r="V612" s="4" t="str">
        <f>IF(ISBLANK(C612),,IFERROR(IF(VLOOKUP(B612,Standings!$A:$F, 6, 0)=VLOOKUP(C612,Standings!$A:$F, 6, 0), VLOOKUP(B612,Standings!$A:$F, 6, 0), "Non-con"), "FCS"))</f>
        <v>B1G</v>
      </c>
      <c r="W612" s="3" t="str">
        <f t="shared" si="10"/>
        <v>Minnesota</v>
      </c>
      <c r="X612" s="3" t="str">
        <f t="shared" si="11"/>
        <v>Illinois</v>
      </c>
      <c r="Y612" s="30">
        <f>IF(D612=0,,IF(ISBLANK(Q612),,VLOOKUP(X612,Week9,2,FALSE)/(VLOOKUP(X612,Week9,2,FALSE)+VLOOKUP(W612,Week9,2,FALSE))+0.05)*100)</f>
        <v>54.28150332</v>
      </c>
      <c r="Z612" s="3" t="s">
        <v>91</v>
      </c>
      <c r="AA612" s="3">
        <v>41.0</v>
      </c>
      <c r="AB612" s="4" t="str">
        <f t="shared" si="20"/>
        <v>Illinois</v>
      </c>
      <c r="AC612" s="3">
        <v>14.0</v>
      </c>
      <c r="AD612" s="3"/>
      <c r="AE612" s="3">
        <f t="shared" si="13"/>
        <v>27</v>
      </c>
      <c r="AF612" s="3"/>
      <c r="AG612" s="3">
        <f t="shared" si="133"/>
        <v>0</v>
      </c>
      <c r="AH612" s="3"/>
      <c r="AI612" s="7"/>
      <c r="AJ612" s="4"/>
      <c r="AK612" s="7"/>
      <c r="AL612" s="7"/>
      <c r="AM612" s="7"/>
      <c r="AN612" s="7"/>
      <c r="AO612" s="7"/>
      <c r="AP612" s="7"/>
      <c r="AQ612" s="7"/>
      <c r="AR612" s="7"/>
      <c r="AS612" s="7"/>
      <c r="AT612" s="7"/>
      <c r="AU612" s="7"/>
      <c r="AV612" s="7"/>
      <c r="AW612" s="7"/>
      <c r="AX612" s="7"/>
    </row>
    <row r="613" ht="12.75" hidden="1" customHeight="1">
      <c r="A613" s="3">
        <v>17.0</v>
      </c>
      <c r="B613" s="3" t="s">
        <v>161</v>
      </c>
      <c r="C613" s="3" t="s">
        <v>119</v>
      </c>
      <c r="D613" s="4">
        <f>IFERROR(VLOOKUP(B613,Week16,2,FALSE),0)</f>
        <v>31.09</v>
      </c>
      <c r="E613" s="4">
        <f>IF(ISBLANK(B613),,IFERROR(VLOOKUP(B613,CurrentRank!$B$2:$C$132,2,FALSE),0))</f>
        <v>31.11</v>
      </c>
      <c r="F613" s="4">
        <f>IFERROR(VLOOKUP(B613,Week16,3,FALSE),130)</f>
        <v>104</v>
      </c>
      <c r="G613" s="4">
        <f>IF(ISBLANK(B613),,IFERROR(VLOOKUP(B613,CurrentRank!$B$2:$D$132,3,FALSE),130))</f>
        <v>100</v>
      </c>
      <c r="H613" s="4">
        <f>IFERROR(VLOOKUP(C613,Week16,2,FALSE),0)</f>
        <v>32.43</v>
      </c>
      <c r="I613" s="4">
        <f>IF(ISBLANK(B613),,IFERROR(VLOOKUP(C613,CurrentRank!$B$2:$C$132,2,FALSE),0))</f>
        <v>31.96</v>
      </c>
      <c r="J613" s="4">
        <f>IFERROR(VLOOKUP(C613,Week16,3,FALSE),130)</f>
        <v>92</v>
      </c>
      <c r="K613" s="4">
        <f>IF(ISBLANK(C613),,IFERROR(VLOOKUP(C613,CurrentRank!$B$2:$D$132,3,FALSE),130))</f>
        <v>94</v>
      </c>
      <c r="L613" s="19">
        <f t="shared" si="257"/>
        <v>0</v>
      </c>
      <c r="M613" s="19">
        <f t="shared" si="258"/>
        <v>0</v>
      </c>
      <c r="N613" s="24">
        <f t="shared" si="242"/>
        <v>98</v>
      </c>
      <c r="O613" s="21">
        <f t="shared" si="4"/>
        <v>-0.67</v>
      </c>
      <c r="P613" s="21">
        <f t="shared" si="259"/>
        <v>-0.425</v>
      </c>
      <c r="Q613" s="22">
        <f t="shared" si="6"/>
        <v>0.50665</v>
      </c>
      <c r="R613" s="25" t="str">
        <f t="shared" si="7"/>
        <v>F</v>
      </c>
      <c r="S613" s="19" t="str">
        <f t="shared" si="8"/>
        <v/>
      </c>
      <c r="T613" s="19" t="str">
        <f t="shared" si="9"/>
        <v/>
      </c>
      <c r="U613" s="3" t="s">
        <v>223</v>
      </c>
      <c r="V613" s="4" t="str">
        <f>IF(ISBLANK(C613),,IFERROR(IF(VLOOKUP(B613,Standings!$A:$F, 6, 0)=VLOOKUP(C613,Standings!$A:$F, 6, 0), VLOOKUP(B613,Standings!$A:$F, 6, 0), "Non-con"), "FCS"))</f>
        <v>Non-con</v>
      </c>
      <c r="W613" s="3" t="str">
        <f t="shared" si="10"/>
        <v>South Carolina</v>
      </c>
      <c r="X613" s="3" t="str">
        <f t="shared" si="11"/>
        <v>UAB</v>
      </c>
      <c r="Y613" s="30">
        <f>IF(D613=0,,IF(ISBLANK(Q613),,VLOOKUP(X613,Week16,2,FALSE)/(VLOOKUP(X613,Week16,2,FALSE)+VLOOKUP(W613,Week16,2,FALSE)))*100)</f>
        <v>51.05478589</v>
      </c>
      <c r="Z613" s="4"/>
      <c r="AA613" s="3"/>
      <c r="AB613" s="4" t="str">
        <f t="shared" si="20"/>
        <v/>
      </c>
      <c r="AC613" s="3"/>
      <c r="AD613" s="3"/>
      <c r="AE613" s="3" t="str">
        <f t="shared" si="13"/>
        <v/>
      </c>
      <c r="AF613" s="3" t="s">
        <v>226</v>
      </c>
      <c r="AG613" s="3" t="str">
        <f t="shared" si="133"/>
        <v/>
      </c>
      <c r="AH613" s="3"/>
      <c r="AI613" s="7"/>
      <c r="AJ613" s="3" t="s">
        <v>109</v>
      </c>
      <c r="AK613" s="7"/>
      <c r="AL613" s="7"/>
      <c r="AM613" s="7"/>
      <c r="AN613" s="7"/>
      <c r="AO613" s="7"/>
      <c r="AP613" s="7"/>
      <c r="AQ613" s="7"/>
      <c r="AR613" s="7"/>
      <c r="AS613" s="7"/>
      <c r="AT613" s="7"/>
      <c r="AU613" s="7"/>
      <c r="AV613" s="7"/>
      <c r="AW613" s="7"/>
      <c r="AX613" s="7"/>
    </row>
    <row r="614" ht="12.75" hidden="1" customHeight="1">
      <c r="A614" s="3">
        <v>17.0</v>
      </c>
      <c r="B614" s="3" t="s">
        <v>103</v>
      </c>
      <c r="C614" s="3" t="s">
        <v>164</v>
      </c>
      <c r="D614" s="4">
        <f>IFERROR(VLOOKUP(B614,Week16,2,FALSE),0)</f>
        <v>35.46</v>
      </c>
      <c r="E614" s="4">
        <f>IF(ISBLANK(B614),,IFERROR(VLOOKUP(B614,CurrentRank!$B$2:$C$132,2,FALSE),0))</f>
        <v>34.42</v>
      </c>
      <c r="F614" s="4">
        <f>IFERROR(VLOOKUP(B614,Week16,3,FALSE),130)</f>
        <v>63</v>
      </c>
      <c r="G614" s="4">
        <f>IF(ISBLANK(B614),,IFERROR(VLOOKUP(B614,CurrentRank!$B$2:$D$132,3,FALSE),130))</f>
        <v>70</v>
      </c>
      <c r="H614" s="4">
        <f>IFERROR(VLOOKUP(C614,Week16,2,FALSE),0)</f>
        <v>36.79</v>
      </c>
      <c r="I614" s="4">
        <f>IF(ISBLANK(B614),,IFERROR(VLOOKUP(C614,CurrentRank!$B$2:$C$132,2,FALSE),0))</f>
        <v>37.5</v>
      </c>
      <c r="J614" s="4">
        <f>IFERROR(VLOOKUP(C614,Week16,3,FALSE),130)</f>
        <v>51</v>
      </c>
      <c r="K614" s="4">
        <f>IF(ISBLANK(C614),,IFERROR(VLOOKUP(C614,CurrentRank!$B$2:$D$132,3,FALSE),130))</f>
        <v>41</v>
      </c>
      <c r="L614" s="19">
        <f t="shared" si="257"/>
        <v>0</v>
      </c>
      <c r="M614" s="19">
        <f t="shared" si="258"/>
        <v>0</v>
      </c>
      <c r="N614" s="24">
        <f t="shared" si="242"/>
        <v>57</v>
      </c>
      <c r="O614" s="21">
        <f t="shared" si="4"/>
        <v>-0.665</v>
      </c>
      <c r="P614" s="21">
        <f t="shared" si="259"/>
        <v>-1.54</v>
      </c>
      <c r="Q614" s="22">
        <f t="shared" si="6"/>
        <v>0.711675</v>
      </c>
      <c r="R614" s="25" t="str">
        <f t="shared" si="7"/>
        <v>C-</v>
      </c>
      <c r="S614" s="19">
        <f t="shared" si="8"/>
        <v>0.66</v>
      </c>
      <c r="T614" s="19" t="str">
        <f t="shared" si="9"/>
        <v>D</v>
      </c>
      <c r="U614" s="3" t="s">
        <v>223</v>
      </c>
      <c r="V614" s="4" t="str">
        <f>IF(ISBLANK(C614),,IFERROR(IF(VLOOKUP(B614,Standings!$A:$F, 6, 0)=VLOOKUP(C614,Standings!$A:$F, 6, 0), VLOOKUP(B614,Standings!$A:$F, 6, 0), "Non-con"), "FCS"))</f>
        <v>Non-con</v>
      </c>
      <c r="W614" s="3" t="str">
        <f t="shared" si="10"/>
        <v>Tulane</v>
      </c>
      <c r="X614" s="3" t="str">
        <f t="shared" si="11"/>
        <v>Nevada</v>
      </c>
      <c r="Y614" s="30">
        <f>IF(D614=0,,IF(ISBLANK(Q614),,VLOOKUP(X614,Week16,2,FALSE)/(VLOOKUP(X614,Week16,2,FALSE)+VLOOKUP(W614,Week16,2,FALSE)))*100)</f>
        <v>50.92041522</v>
      </c>
      <c r="Z614" s="3" t="s">
        <v>164</v>
      </c>
      <c r="AA614" s="3">
        <v>38.0</v>
      </c>
      <c r="AB614" s="4" t="str">
        <f t="shared" si="20"/>
        <v>Tulane</v>
      </c>
      <c r="AC614" s="3">
        <v>27.0</v>
      </c>
      <c r="AD614" s="3"/>
      <c r="AE614" s="3">
        <f t="shared" si="13"/>
        <v>11</v>
      </c>
      <c r="AF614" s="3" t="s">
        <v>224</v>
      </c>
      <c r="AG614" s="3">
        <f t="shared" si="133"/>
        <v>1</v>
      </c>
      <c r="AH614" s="3"/>
      <c r="AI614" s="7"/>
      <c r="AJ614" s="4"/>
      <c r="AK614" s="7"/>
      <c r="AL614" s="7"/>
      <c r="AM614" s="7"/>
      <c r="AN614" s="7"/>
      <c r="AO614" s="7"/>
      <c r="AP614" s="7"/>
      <c r="AQ614" s="7"/>
      <c r="AR614" s="7"/>
      <c r="AS614" s="7"/>
      <c r="AT614" s="7"/>
      <c r="AU614" s="7"/>
      <c r="AV614" s="7"/>
      <c r="AW614" s="7"/>
      <c r="AX614" s="7"/>
    </row>
    <row r="615" ht="12.75" hidden="1" customHeight="1">
      <c r="A615" s="3">
        <v>17.0</v>
      </c>
      <c r="B615" s="3" t="s">
        <v>60</v>
      </c>
      <c r="C615" s="3" t="s">
        <v>124</v>
      </c>
      <c r="D615" s="4">
        <f>IFERROR(VLOOKUP(B615,Week16,2,FALSE),0)</f>
        <v>34.98</v>
      </c>
      <c r="E615" s="4">
        <f>IF(ISBLANK(B615),,IFERROR(VLOOKUP(B615,CurrentRank!$B$2:$C$132,2,FALSE),0))</f>
        <v>35.34</v>
      </c>
      <c r="F615" s="4">
        <f>IFERROR(VLOOKUP(B615,Week16,3,FALSE),130)</f>
        <v>71</v>
      </c>
      <c r="G615" s="4">
        <f>IF(ISBLANK(B615),,IFERROR(VLOOKUP(B615,CurrentRank!$B$2:$D$132,3,FALSE),130))</f>
        <v>61</v>
      </c>
      <c r="H615" s="4">
        <f>IFERROR(VLOOKUP(C615,Week16,2,FALSE),0)</f>
        <v>34.03</v>
      </c>
      <c r="I615" s="4">
        <f>IF(ISBLANK(B615),,IFERROR(VLOOKUP(C615,CurrentRank!$B$2:$C$132,2,FALSE),0))</f>
        <v>33.33</v>
      </c>
      <c r="J615" s="4">
        <f>IFERROR(VLOOKUP(C615,Week16,3,FALSE),130)</f>
        <v>82</v>
      </c>
      <c r="K615" s="4">
        <f>IF(ISBLANK(C615),,IFERROR(VLOOKUP(C615,CurrentRank!$B$2:$D$132,3,FALSE),130))</f>
        <v>83</v>
      </c>
      <c r="L615" s="19">
        <f t="shared" si="257"/>
        <v>0</v>
      </c>
      <c r="M615" s="19">
        <f t="shared" si="258"/>
        <v>0</v>
      </c>
      <c r="N615" s="24">
        <f t="shared" si="242"/>
        <v>76.5</v>
      </c>
      <c r="O615" s="21">
        <f t="shared" si="4"/>
        <v>0.475</v>
      </c>
      <c r="P615" s="21">
        <f t="shared" si="259"/>
        <v>1.005</v>
      </c>
      <c r="Q615" s="22">
        <f t="shared" si="6"/>
        <v>0.615125</v>
      </c>
      <c r="R615" s="25" t="str">
        <f t="shared" si="7"/>
        <v>D-</v>
      </c>
      <c r="S615" s="19">
        <f t="shared" si="8"/>
        <v>0.5425</v>
      </c>
      <c r="T615" s="19" t="str">
        <f t="shared" si="9"/>
        <v>F</v>
      </c>
      <c r="U615" s="3" t="s">
        <v>223</v>
      </c>
      <c r="V615" s="4" t="str">
        <f>IF(ISBLANK(C615),,IFERROR(IF(VLOOKUP(B615,Standings!$A:$F, 6, 0)=VLOOKUP(C615,Standings!$A:$F, 6, 0), VLOOKUP(B615,Standings!$A:$F, 6, 0), "Non-con"), "FCS"))</f>
        <v>Non-con</v>
      </c>
      <c r="W615" s="3" t="str">
        <f t="shared" si="10"/>
        <v>Florida Atlantic</v>
      </c>
      <c r="X615" s="3" t="str">
        <f t="shared" si="11"/>
        <v>Memphis</v>
      </c>
      <c r="Y615" s="30">
        <f>IF(D615=0,,IF(ISBLANK(Q615),,VLOOKUP(X615,Week16,2,FALSE)/(VLOOKUP(X615,Week16,2,FALSE)+VLOOKUP(W615,Week16,2,FALSE)))*100)</f>
        <v>50.68830604</v>
      </c>
      <c r="Z615" s="3" t="s">
        <v>60</v>
      </c>
      <c r="AA615" s="3">
        <v>25.0</v>
      </c>
      <c r="AB615" s="4" t="str">
        <f t="shared" si="20"/>
        <v>Florida Atlantic</v>
      </c>
      <c r="AC615" s="3">
        <v>10.0</v>
      </c>
      <c r="AD615" s="3"/>
      <c r="AE615" s="3">
        <f t="shared" si="13"/>
        <v>15</v>
      </c>
      <c r="AF615" s="3" t="s">
        <v>224</v>
      </c>
      <c r="AG615" s="3">
        <f t="shared" si="133"/>
        <v>1</v>
      </c>
      <c r="AH615" s="3"/>
      <c r="AI615" s="7"/>
      <c r="AJ615" s="4"/>
      <c r="AK615" s="7"/>
      <c r="AL615" s="7"/>
      <c r="AM615" s="7"/>
      <c r="AN615" s="7"/>
      <c r="AO615" s="7"/>
      <c r="AP615" s="7"/>
      <c r="AQ615" s="7"/>
      <c r="AR615" s="7"/>
      <c r="AS615" s="7"/>
      <c r="AT615" s="7"/>
      <c r="AU615" s="7"/>
      <c r="AV615" s="7"/>
      <c r="AW615" s="7"/>
      <c r="AX615" s="7"/>
    </row>
    <row r="616" ht="12.75" hidden="1" customHeight="1">
      <c r="A616" s="3">
        <v>17.0</v>
      </c>
      <c r="B616" s="3" t="s">
        <v>117</v>
      </c>
      <c r="C616" s="3" t="s">
        <v>88</v>
      </c>
      <c r="D616" s="4">
        <f>IFERROR(VLOOKUP(B616,Week16,2,FALSE),0)</f>
        <v>37.66</v>
      </c>
      <c r="E616" s="4">
        <f>IF(ISBLANK(B616),,IFERROR(VLOOKUP(B616,CurrentRank!$B$2:$C$132,2,FALSE),0))</f>
        <v>38.08</v>
      </c>
      <c r="F616" s="4">
        <f>IFERROR(VLOOKUP(B616,Week16,3,FALSE),130)</f>
        <v>43</v>
      </c>
      <c r="G616" s="4">
        <f>IF(ISBLANK(B616),,IFERROR(VLOOKUP(B616,CurrentRank!$B$2:$D$132,3,FALSE),130))</f>
        <v>37</v>
      </c>
      <c r="H616" s="4">
        <f>IFERROR(VLOOKUP(C616,Week16,2,FALSE),0)</f>
        <v>36.9</v>
      </c>
      <c r="I616" s="4">
        <f>IF(ISBLANK(B616),,IFERROR(VLOOKUP(C616,CurrentRank!$B$2:$C$132,2,FALSE),0))</f>
        <v>33.11</v>
      </c>
      <c r="J616" s="4">
        <f>IFERROR(VLOOKUP(C616,Week16,3,FALSE),130)</f>
        <v>49</v>
      </c>
      <c r="K616" s="4">
        <f>IF(ISBLANK(C616),,IFERROR(VLOOKUP(C616,CurrentRank!$B$2:$D$132,3,FALSE),130))</f>
        <v>85</v>
      </c>
      <c r="L616" s="19">
        <f t="shared" si="257"/>
        <v>0</v>
      </c>
      <c r="M616" s="19">
        <f t="shared" si="258"/>
        <v>0</v>
      </c>
      <c r="N616" s="24">
        <f t="shared" si="242"/>
        <v>46</v>
      </c>
      <c r="O616" s="21">
        <f t="shared" si="4"/>
        <v>0.38</v>
      </c>
      <c r="P616" s="21">
        <f t="shared" si="259"/>
        <v>2.485</v>
      </c>
      <c r="Q616" s="22">
        <f t="shared" si="6"/>
        <v>0.7681</v>
      </c>
      <c r="R616" s="25" t="str">
        <f t="shared" si="7"/>
        <v>C+</v>
      </c>
      <c r="S616" s="19">
        <f t="shared" si="8"/>
        <v>0.755</v>
      </c>
      <c r="T616" s="19" t="str">
        <f t="shared" si="9"/>
        <v>C</v>
      </c>
      <c r="U616" s="3" t="s">
        <v>223</v>
      </c>
      <c r="V616" s="4" t="str">
        <f>IF(ISBLANK(C616),,IFERROR(IF(VLOOKUP(B616,Standings!$A:$F, 6, 0)=VLOOKUP(C616,Standings!$A:$F, 6, 0), VLOOKUP(B616,Standings!$A:$F, 6, 0), "Non-con"), "FCS"))</f>
        <v>Non-con</v>
      </c>
      <c r="W616" s="3" t="str">
        <f t="shared" si="10"/>
        <v>Army</v>
      </c>
      <c r="X616" s="3" t="str">
        <f t="shared" si="11"/>
        <v>West Virginia</v>
      </c>
      <c r="Y616" s="30">
        <f>IF(D616=0,,IF(ISBLANK(Q616),,VLOOKUP(X616,Week16,2,FALSE)/(VLOOKUP(X616,Week16,2,FALSE)+VLOOKUP(W616,Week16,2,FALSE)))*100)</f>
        <v>50.50965665</v>
      </c>
      <c r="Z616" s="3" t="s">
        <v>117</v>
      </c>
      <c r="AA616" s="3">
        <v>24.0</v>
      </c>
      <c r="AB616" s="4" t="str">
        <f t="shared" si="20"/>
        <v>Army</v>
      </c>
      <c r="AC616" s="3">
        <v>21.0</v>
      </c>
      <c r="AD616" s="3"/>
      <c r="AE616" s="3">
        <f t="shared" si="13"/>
        <v>3</v>
      </c>
      <c r="AF616" s="3" t="s">
        <v>224</v>
      </c>
      <c r="AG616" s="3">
        <f t="shared" si="133"/>
        <v>1</v>
      </c>
      <c r="AH616" s="3"/>
      <c r="AI616" s="7"/>
      <c r="AJ616" s="4"/>
      <c r="AK616" s="7"/>
      <c r="AL616" s="7"/>
      <c r="AM616" s="7"/>
      <c r="AN616" s="7"/>
      <c r="AO616" s="7"/>
      <c r="AP616" s="7"/>
      <c r="AQ616" s="7"/>
      <c r="AR616" s="7"/>
      <c r="AS616" s="7"/>
      <c r="AT616" s="7"/>
      <c r="AU616" s="7"/>
      <c r="AV616" s="7"/>
      <c r="AW616" s="7"/>
      <c r="AX616" s="7"/>
    </row>
    <row r="617" ht="12.75" hidden="1" customHeight="1">
      <c r="A617" s="3">
        <v>17.0</v>
      </c>
      <c r="B617" s="3" t="s">
        <v>95</v>
      </c>
      <c r="C617" s="3" t="s">
        <v>162</v>
      </c>
      <c r="D617" s="4">
        <f>IFERROR(VLOOKUP(B617,Week16,2,FALSE),0)</f>
        <v>35.21</v>
      </c>
      <c r="E617" s="4">
        <f>IF(ISBLANK(B617),,IFERROR(VLOOKUP(B617,CurrentRank!$B$2:$C$132,2,FALSE),0))</f>
        <v>33.45</v>
      </c>
      <c r="F617" s="4">
        <f>IFERROR(VLOOKUP(B617,Week16,3,FALSE),130)</f>
        <v>67</v>
      </c>
      <c r="G617" s="4">
        <f>IF(ISBLANK(B617),,IFERROR(VLOOKUP(B617,CurrentRank!$B$2:$D$132,3,FALSE),130))</f>
        <v>81</v>
      </c>
      <c r="H617" s="4">
        <f>IFERROR(VLOOKUP(C617,Week16,2,FALSE),0)</f>
        <v>35.89</v>
      </c>
      <c r="I617" s="4">
        <f>IF(ISBLANK(B617),,IFERROR(VLOOKUP(C617,CurrentRank!$B$2:$C$132,2,FALSE),0))</f>
        <v>51.75</v>
      </c>
      <c r="J617" s="4">
        <f>IFERROR(VLOOKUP(C617,Week16,3,FALSE),130)</f>
        <v>58</v>
      </c>
      <c r="K617" s="4">
        <f>IF(ISBLANK(C617),,IFERROR(VLOOKUP(C617,CurrentRank!$B$2:$D$132,3,FALSE),130))</f>
        <v>24</v>
      </c>
      <c r="L617" s="19">
        <f t="shared" si="257"/>
        <v>0</v>
      </c>
      <c r="M617" s="19">
        <f t="shared" si="258"/>
        <v>0</v>
      </c>
      <c r="N617" s="24">
        <f t="shared" si="242"/>
        <v>62.5</v>
      </c>
      <c r="O617" s="21">
        <f t="shared" si="4"/>
        <v>-0.34</v>
      </c>
      <c r="P617" s="21">
        <f t="shared" si="259"/>
        <v>-9.15</v>
      </c>
      <c r="Q617" s="22">
        <f t="shared" si="6"/>
        <v>0.6858</v>
      </c>
      <c r="R617" s="25" t="str">
        <f t="shared" si="7"/>
        <v>D+</v>
      </c>
      <c r="S617" s="19">
        <f t="shared" si="8"/>
        <v>0.6525</v>
      </c>
      <c r="T617" s="19" t="str">
        <f t="shared" si="9"/>
        <v>D</v>
      </c>
      <c r="U617" s="3" t="s">
        <v>223</v>
      </c>
      <c r="V617" s="4" t="str">
        <f>IF(ISBLANK(C617),,IFERROR(IF(VLOOKUP(B617,Standings!$A:$F, 6, 0)=VLOOKUP(C617,Standings!$A:$F, 6, 0), VLOOKUP(B617,Standings!$A:$F, 6, 0), "Non-con"), "FCS"))</f>
        <v>Non-con</v>
      </c>
      <c r="W617" s="3" t="str">
        <f t="shared" si="10"/>
        <v>Marshall</v>
      </c>
      <c r="X617" s="3" t="str">
        <f t="shared" si="11"/>
        <v>Buffalo</v>
      </c>
      <c r="Y617" s="30">
        <f>IF(D617=0,,IF(ISBLANK(Q617),,VLOOKUP(X617,Week16,2,FALSE)/(VLOOKUP(X617,Week16,2,FALSE)+VLOOKUP(W617,Week16,2,FALSE)))*100)</f>
        <v>50.47819972</v>
      </c>
      <c r="Z617" s="3" t="s">
        <v>162</v>
      </c>
      <c r="AA617" s="3">
        <v>17.0</v>
      </c>
      <c r="AB617" s="4" t="str">
        <f t="shared" si="20"/>
        <v>Marshall</v>
      </c>
      <c r="AC617" s="3">
        <v>10.0</v>
      </c>
      <c r="AD617" s="3"/>
      <c r="AE617" s="3">
        <f t="shared" si="13"/>
        <v>7</v>
      </c>
      <c r="AF617" s="3" t="s">
        <v>224</v>
      </c>
      <c r="AG617" s="3">
        <f t="shared" si="133"/>
        <v>1</v>
      </c>
      <c r="AH617" s="3"/>
      <c r="AI617" s="7"/>
      <c r="AJ617" s="4" t="s">
        <v>172</v>
      </c>
      <c r="AK617" s="7"/>
      <c r="AL617" s="7"/>
      <c r="AM617" s="7"/>
      <c r="AN617" s="7"/>
      <c r="AO617" s="7"/>
      <c r="AP617" s="7"/>
      <c r="AQ617" s="7"/>
      <c r="AR617" s="7"/>
      <c r="AS617" s="7"/>
      <c r="AT617" s="7"/>
      <c r="AU617" s="7"/>
      <c r="AV617" s="7"/>
      <c r="AW617" s="7"/>
      <c r="AX617" s="7"/>
    </row>
    <row r="618" ht="12.75" hidden="1" customHeight="1">
      <c r="A618" s="3">
        <v>17.0</v>
      </c>
      <c r="B618" s="3" t="s">
        <v>26</v>
      </c>
      <c r="C618" s="3" t="s">
        <v>18</v>
      </c>
      <c r="D618" s="4">
        <f>IFERROR(VLOOKUP(B618,Week16,2,FALSE),0)</f>
        <v>89.67</v>
      </c>
      <c r="E618" s="4">
        <f>IF(ISBLANK(B618),,IFERROR(VLOOKUP(B618,CurrentRank!$B$2:$C$132,2,FALSE),0))</f>
        <v>87.05</v>
      </c>
      <c r="F618" s="4">
        <f>IFERROR(VLOOKUP(B618,Week16,3,FALSE),130)</f>
        <v>2</v>
      </c>
      <c r="G618" s="4">
        <f>IF(ISBLANK(B618),,IFERROR(VLOOKUP(B618,CurrentRank!$B$2:$D$132,3,FALSE),130))</f>
        <v>2</v>
      </c>
      <c r="H618" s="4">
        <f>IFERROR(VLOOKUP(C618,Week16,2,FALSE),0)</f>
        <v>89.42</v>
      </c>
      <c r="I618" s="4">
        <f>IF(ISBLANK(B618),,IFERROR(VLOOKUP(C618,CurrentRank!$B$2:$C$132,2,FALSE),0))</f>
        <v>84.24</v>
      </c>
      <c r="J618" s="4">
        <f>IFERROR(VLOOKUP(C618,Week16,3,FALSE),130)</f>
        <v>3</v>
      </c>
      <c r="K618" s="4">
        <f>IF(ISBLANK(C618),,IFERROR(VLOOKUP(C618,CurrentRank!$B$2:$D$132,3,FALSE),130))</f>
        <v>4</v>
      </c>
      <c r="L618" s="19">
        <f t="shared" si="257"/>
        <v>0</v>
      </c>
      <c r="M618" s="19">
        <f t="shared" si="258"/>
        <v>0</v>
      </c>
      <c r="N618" s="24">
        <f t="shared" si="242"/>
        <v>2.5</v>
      </c>
      <c r="O618" s="21">
        <f t="shared" si="4"/>
        <v>0.125</v>
      </c>
      <c r="P618" s="21">
        <f t="shared" si="259"/>
        <v>1.405</v>
      </c>
      <c r="Q618" s="22">
        <f t="shared" si="6"/>
        <v>0.986875</v>
      </c>
      <c r="R618" s="25" t="str">
        <f t="shared" si="7"/>
        <v>A+</v>
      </c>
      <c r="S618" s="19">
        <f t="shared" si="8"/>
        <v>0.8825</v>
      </c>
      <c r="T618" s="19" t="str">
        <f t="shared" si="9"/>
        <v>B+</v>
      </c>
      <c r="U618" s="3" t="s">
        <v>223</v>
      </c>
      <c r="V618" s="4" t="str">
        <f>IF(ISBLANK(C618),,IFERROR(IF(VLOOKUP(B618,Standings!$A:$F, 6, 0)=VLOOKUP(C618,Standings!$A:$F, 6, 0), VLOOKUP(B618,Standings!$A:$F, 6, 0), "Non-con"), "FCS"))</f>
        <v>Non-con</v>
      </c>
      <c r="W618" s="3" t="str">
        <f t="shared" si="10"/>
        <v>Clemson</v>
      </c>
      <c r="X618" s="3" t="str">
        <f t="shared" si="11"/>
        <v>Ohio State</v>
      </c>
      <c r="Y618" s="30">
        <f>IF(D618=0,,IF(ISBLANK(Q618),,VLOOKUP(X618,Week16,2,FALSE)/(VLOOKUP(X618,Week16,2,FALSE)+VLOOKUP(W618,Week16,2,FALSE)))*100)</f>
        <v>50.06979731</v>
      </c>
      <c r="Z618" s="3" t="s">
        <v>26</v>
      </c>
      <c r="AA618" s="3">
        <v>49.0</v>
      </c>
      <c r="AB618" s="4" t="str">
        <f t="shared" si="20"/>
        <v>Clemson</v>
      </c>
      <c r="AC618" s="3">
        <v>28.0</v>
      </c>
      <c r="AD618" s="3"/>
      <c r="AE618" s="3">
        <f t="shared" si="13"/>
        <v>21</v>
      </c>
      <c r="AF618" s="3" t="s">
        <v>224</v>
      </c>
      <c r="AG618" s="3">
        <f t="shared" si="133"/>
        <v>1</v>
      </c>
      <c r="AH618" s="3"/>
      <c r="AI618" s="7"/>
      <c r="AJ618" s="4"/>
      <c r="AK618" s="7"/>
      <c r="AL618" s="7"/>
      <c r="AM618" s="7"/>
      <c r="AN618" s="7"/>
      <c r="AO618" s="7"/>
      <c r="AP618" s="7"/>
      <c r="AQ618" s="7"/>
      <c r="AR618" s="7"/>
      <c r="AS618" s="7"/>
      <c r="AT618" s="7"/>
      <c r="AU618" s="7"/>
      <c r="AV618" s="7"/>
      <c r="AW618" s="7"/>
      <c r="AX618" s="7"/>
    </row>
    <row r="619" ht="12.75" hidden="1" customHeight="1">
      <c r="A619" s="3">
        <v>12.0</v>
      </c>
      <c r="B619" s="3" t="s">
        <v>158</v>
      </c>
      <c r="C619" s="3" t="s">
        <v>190</v>
      </c>
      <c r="D619" s="4">
        <f>IFERROR(VLOOKUP(B619,CurrentRank!$B$2:$C$132,2,FALSE),0)</f>
        <v>34.21</v>
      </c>
      <c r="E619" s="4">
        <f>IF(ISBLANK(B619),,IFERROR(VLOOKUP(B619,CurrentRank!$B$2:$C$132,2,FALSE),0))</f>
        <v>34.21</v>
      </c>
      <c r="F619" s="4">
        <f>IFERROR(VLOOKUP(B619,CurrentRank!$B$2:$D$132,3,FALSE),130)</f>
        <v>72</v>
      </c>
      <c r="G619" s="4">
        <f>IF(ISBLANK(B619),,IFERROR(VLOOKUP(B619,CurrentRank!$B$2:$D$132,3,FALSE),130))</f>
        <v>72</v>
      </c>
      <c r="H619" s="4">
        <f>IFERROR(VLOOKUP(C619,CurrentRank!$B$2:$C$132,2,FALSE),0)</f>
        <v>42.24</v>
      </c>
      <c r="I619" s="4">
        <f>IF(ISBLANK(B619),,IFERROR(VLOOKUP(C619,CurrentRank!$B$2:$C$132,2,FALSE),0))</f>
        <v>42.24</v>
      </c>
      <c r="J619" s="4">
        <f>IFERROR(VLOOKUP(C619,Week11,3,FALSE),130)</f>
        <v>93</v>
      </c>
      <c r="K619" s="4">
        <f>IFERROR(VLOOKUP(C619,CurrentRank!$B$2:$D$132,3,FALSE),130)</f>
        <v>28</v>
      </c>
      <c r="L619" s="19">
        <f t="shared" ref="L619:M619" si="260">IF(ISBLANK(C619),,(D619+H619)*0.015)</f>
        <v>1.14675</v>
      </c>
      <c r="M619" s="19">
        <f t="shared" si="260"/>
        <v>1.14675</v>
      </c>
      <c r="N619" s="24">
        <f t="shared" ref="N619:N621" si="262">(F619+K619)/2</f>
        <v>50</v>
      </c>
      <c r="O619" s="21">
        <f t="shared" si="4"/>
        <v>-4.588375</v>
      </c>
      <c r="P619" s="24">
        <f>IF(ISBLANK(C619),,(D619-(H619+L619))/2)</f>
        <v>-4.588375</v>
      </c>
      <c r="Q619" s="22">
        <f t="shared" si="6"/>
        <v>0.727058125</v>
      </c>
      <c r="R619" s="25" t="str">
        <f t="shared" si="7"/>
        <v>C</v>
      </c>
      <c r="S619" s="19" t="str">
        <f t="shared" si="8"/>
        <v/>
      </c>
      <c r="T619" s="19" t="str">
        <f t="shared" si="9"/>
        <v/>
      </c>
      <c r="U619" s="3" t="s">
        <v>203</v>
      </c>
      <c r="V619" s="4" t="str">
        <f>IF(ISBLANK(C619),,IFERROR(IF(VLOOKUP(B619,Standings!$A:$F, 6, 0)=VLOOKUP(C619,Standings!$A:$F, 6, 0), VLOOKUP(B619,Standings!$A:$F, 6, 0), "Non-con"), "FCS"))</f>
        <v>PAC12</v>
      </c>
      <c r="W619" s="3" t="str">
        <f t="shared" si="10"/>
        <v>Washington State</v>
      </c>
      <c r="X619" s="3" t="str">
        <f t="shared" si="11"/>
        <v>Stanford</v>
      </c>
      <c r="Y619" s="30">
        <f>IF(D619=0,,IF(ISBLANK(Q619),,VLOOKUP(X619,Week11,2,FALSE)/(VLOOKUP(X619,Week11,2,FALSE)+VLOOKUP(W619,Week11,2,FALSE))+0.05)*100)</f>
        <v>49.40361786</v>
      </c>
      <c r="Z619" s="3"/>
      <c r="AA619" s="3"/>
      <c r="AB619" s="4" t="str">
        <f t="shared" si="20"/>
        <v/>
      </c>
      <c r="AC619" s="3"/>
      <c r="AD619" s="3"/>
      <c r="AE619" s="3" t="str">
        <f t="shared" si="13"/>
        <v/>
      </c>
      <c r="AF619" s="3" t="s">
        <v>226</v>
      </c>
      <c r="AG619" s="3" t="str">
        <f t="shared" si="133"/>
        <v/>
      </c>
      <c r="AH619" s="3"/>
      <c r="AI619" s="7"/>
      <c r="AJ619" s="4"/>
      <c r="AK619" s="7"/>
      <c r="AL619" s="7"/>
      <c r="AM619" s="7"/>
      <c r="AN619" s="7"/>
      <c r="AO619" s="7"/>
      <c r="AP619" s="7"/>
      <c r="AQ619" s="7"/>
      <c r="AR619" s="7"/>
      <c r="AS619" s="7"/>
      <c r="AT619" s="7"/>
      <c r="AU619" s="7"/>
      <c r="AV619" s="7"/>
      <c r="AW619" s="7"/>
      <c r="AX619" s="7"/>
    </row>
    <row r="620" ht="12.75" hidden="1" customHeight="1">
      <c r="A620" s="3">
        <v>12.0</v>
      </c>
      <c r="B620" s="3" t="s">
        <v>122</v>
      </c>
      <c r="C620" s="3" t="s">
        <v>110</v>
      </c>
      <c r="D620" s="4">
        <f>IFERROR(VLOOKUP(B620,CurrentRank!$B$2:$C$132,2,FALSE),0)</f>
        <v>25.95</v>
      </c>
      <c r="E620" s="4">
        <f>IF(ISBLANK(B620),,IFERROR(VLOOKUP(B620,CurrentRank!$B$2:$C$132,2,FALSE),0))</f>
        <v>25.95</v>
      </c>
      <c r="F620" s="4">
        <f>IFERROR(VLOOKUP(B620,CurrentRank!$B$2:$D$132,3,FALSE),130)</f>
        <v>124</v>
      </c>
      <c r="G620" s="4">
        <f>IF(ISBLANK(B620),,IFERROR(VLOOKUP(B620,CurrentRank!$B$2:$D$132,3,FALSE),130))</f>
        <v>124</v>
      </c>
      <c r="H620" s="4">
        <f>IFERROR(VLOOKUP(C620,CurrentRank!$B$2:$C$132,2,FALSE),0)</f>
        <v>20.47</v>
      </c>
      <c r="I620" s="4">
        <f>IF(ISBLANK(B620),,IFERROR(VLOOKUP(C620,CurrentRank!$B$2:$C$132,2,FALSE),0))</f>
        <v>20.47</v>
      </c>
      <c r="J620" s="4">
        <f>IFERROR(VLOOKUP(C620,Week11,3,FALSE),130)</f>
        <v>82</v>
      </c>
      <c r="K620" s="4">
        <f>IFERROR(VLOOKUP(C620,CurrentRank!$B$2:$D$132,3,FALSE),130)</f>
        <v>128</v>
      </c>
      <c r="L620" s="19">
        <f t="shared" ref="L620:M620" si="261">IF(ISBLANK(C620),,(D620+H620)*0.015)</f>
        <v>0.6963</v>
      </c>
      <c r="M620" s="19">
        <f t="shared" si="261"/>
        <v>0.6963</v>
      </c>
      <c r="N620" s="24">
        <f t="shared" si="262"/>
        <v>126</v>
      </c>
      <c r="O620" s="21">
        <f t="shared" si="4"/>
        <v>2.39185</v>
      </c>
      <c r="P620" s="24">
        <f t="shared" ref="P620:P622" si="264">(D620-(H620+L620))/2</f>
        <v>2.39185</v>
      </c>
      <c r="Q620" s="22">
        <f t="shared" si="6"/>
        <v>0.35804075</v>
      </c>
      <c r="R620" s="25" t="str">
        <f t="shared" si="7"/>
        <v>F</v>
      </c>
      <c r="S620" s="19" t="str">
        <f t="shared" si="8"/>
        <v/>
      </c>
      <c r="T620" s="19" t="str">
        <f t="shared" si="9"/>
        <v/>
      </c>
      <c r="U620" s="3" t="s">
        <v>223</v>
      </c>
      <c r="V620" s="4" t="str">
        <f>IFERROR(IF(VLOOKUP(B620,Standings!$A:$F, 6, 0)=VLOOKUP(C620,Standings!$A:$F, 6, 0), VLOOKUP(B620,Standings!$A:$F, 6, 0), "Non-con"), "FCS")</f>
        <v>Non-con</v>
      </c>
      <c r="W620" s="3" t="str">
        <f t="shared" si="10"/>
        <v>Louisiana Tech</v>
      </c>
      <c r="X620" s="3" t="str">
        <f t="shared" si="11"/>
        <v>UL-Monroe</v>
      </c>
      <c r="Y620" s="30">
        <f>IF(D620=0,,IF(ISBLANK(Q620),,VLOOKUP(X620,Week11,2,FALSE)/(VLOOKUP(X620,Week11,2,FALSE)+VLOOKUP(W620,Week11,2,FALSE))+0.05)*100)</f>
        <v>49.01591145</v>
      </c>
      <c r="Z620" s="3"/>
      <c r="AA620" s="3"/>
      <c r="AB620" s="4" t="str">
        <f t="shared" si="20"/>
        <v/>
      </c>
      <c r="AC620" s="3"/>
      <c r="AD620" s="3"/>
      <c r="AE620" s="3" t="str">
        <f t="shared" si="13"/>
        <v/>
      </c>
      <c r="AF620" s="3" t="s">
        <v>226</v>
      </c>
      <c r="AG620" s="3" t="str">
        <f t="shared" si="133"/>
        <v/>
      </c>
      <c r="AH620" s="3"/>
      <c r="AI620" s="7"/>
      <c r="AJ620" s="4"/>
      <c r="AK620" s="7"/>
      <c r="AL620" s="7"/>
      <c r="AM620" s="7"/>
      <c r="AN620" s="7"/>
      <c r="AO620" s="7"/>
      <c r="AP620" s="7"/>
      <c r="AQ620" s="7"/>
      <c r="AR620" s="7"/>
      <c r="AS620" s="7"/>
      <c r="AT620" s="7"/>
      <c r="AU620" s="7"/>
      <c r="AV620" s="7"/>
      <c r="AW620" s="7"/>
      <c r="AX620" s="7"/>
    </row>
    <row r="621" ht="12.75" hidden="1" customHeight="1">
      <c r="A621" s="3">
        <v>12.0</v>
      </c>
      <c r="B621" s="3" t="s">
        <v>194</v>
      </c>
      <c r="C621" s="3" t="s">
        <v>180</v>
      </c>
      <c r="D621" s="4">
        <f>IFERROR(VLOOKUP(B621,CurrentRank!$B$2:$C$132,2,FALSE),0)</f>
        <v>44.06</v>
      </c>
      <c r="E621" s="4">
        <f>IF(ISBLANK(B621),,IFERROR(VLOOKUP(B621,CurrentRank!$B$2:$C$132,2,FALSE),0))</f>
        <v>44.06</v>
      </c>
      <c r="F621" s="4">
        <f>IFERROR(VLOOKUP(B621,CurrentRank!$B$2:$D$132,3,FALSE),130)</f>
        <v>26</v>
      </c>
      <c r="G621" s="4">
        <f>IF(ISBLANK(B621),,IFERROR(VLOOKUP(B621,CurrentRank!$B$2:$D$132,3,FALSE),130))</f>
        <v>26</v>
      </c>
      <c r="H621" s="4">
        <f>IFERROR(VLOOKUP(C621,CurrentRank!$B$2:$C$132,2,FALSE),0)</f>
        <v>35.77</v>
      </c>
      <c r="I621" s="4">
        <f>IF(ISBLANK(B621),,IFERROR(VLOOKUP(C621,CurrentRank!$B$2:$C$132,2,FALSE),0))</f>
        <v>35.77</v>
      </c>
      <c r="J621" s="4">
        <f>IFERROR(VLOOKUP(C621,Week11,3,FALSE),130)</f>
        <v>27</v>
      </c>
      <c r="K621" s="4">
        <f>IFERROR(VLOOKUP(C621,CurrentRank!$B$2:$D$132,3,FALSE),130)</f>
        <v>55</v>
      </c>
      <c r="L621" s="19">
        <f t="shared" ref="L621:M621" si="263">IF(ISBLANK(C621),,(D621+H621)*0.015)</f>
        <v>1.19745</v>
      </c>
      <c r="M621" s="19">
        <f t="shared" si="263"/>
        <v>1.19745</v>
      </c>
      <c r="N621" s="24">
        <f t="shared" si="262"/>
        <v>40.5</v>
      </c>
      <c r="O621" s="21">
        <f t="shared" si="4"/>
        <v>3.546275</v>
      </c>
      <c r="P621" s="24">
        <f t="shared" si="264"/>
        <v>3.546275</v>
      </c>
      <c r="Q621" s="22">
        <f t="shared" si="6"/>
        <v>0.779768625</v>
      </c>
      <c r="R621" s="25" t="str">
        <f t="shared" si="7"/>
        <v>C+</v>
      </c>
      <c r="S621" s="19" t="str">
        <f t="shared" si="8"/>
        <v/>
      </c>
      <c r="T621" s="19" t="str">
        <f t="shared" si="9"/>
        <v/>
      </c>
      <c r="U621" s="3" t="s">
        <v>203</v>
      </c>
      <c r="V621" s="4" t="str">
        <f>IFERROR(IF(VLOOKUP(B621,Standings!$A:$F, 6, 0)=VLOOKUP(C621,Standings!$A:$F, 6, 0), VLOOKUP(B621,Standings!$A:$F, 6, 0), "Non-con"), "FCS")</f>
        <v>PAC12</v>
      </c>
      <c r="W621" s="3" t="str">
        <f t="shared" si="10"/>
        <v>Colorado</v>
      </c>
      <c r="X621" s="3" t="str">
        <f t="shared" si="11"/>
        <v>Arizona State</v>
      </c>
      <c r="Y621" s="30">
        <f>IF(D621=0,,IF(ISBLANK(Q621),,VLOOKUP(X621,Week11,2,FALSE)/(VLOOKUP(X621,Week11,2,FALSE)+VLOOKUP(W621,Week11,2,FALSE))+0.05)*100)</f>
        <v>48.45459045</v>
      </c>
      <c r="Z621" s="3"/>
      <c r="AA621" s="3"/>
      <c r="AB621" s="4" t="str">
        <f t="shared" si="20"/>
        <v/>
      </c>
      <c r="AC621" s="3"/>
      <c r="AD621" s="3"/>
      <c r="AE621" s="3" t="str">
        <f t="shared" si="13"/>
        <v/>
      </c>
      <c r="AF621" s="3" t="s">
        <v>226</v>
      </c>
      <c r="AG621" s="3" t="str">
        <f t="shared" si="133"/>
        <v/>
      </c>
      <c r="AH621" s="3"/>
      <c r="AI621" s="7"/>
      <c r="AJ621" s="4"/>
      <c r="AK621" s="7"/>
      <c r="AL621" s="7"/>
      <c r="AM621" s="7"/>
      <c r="AN621" s="7"/>
      <c r="AO621" s="7"/>
      <c r="AP621" s="7"/>
      <c r="AQ621" s="7"/>
      <c r="AR621" s="7"/>
      <c r="AS621" s="7"/>
      <c r="AT621" s="7"/>
      <c r="AU621" s="7"/>
      <c r="AV621" s="7"/>
      <c r="AW621" s="7"/>
      <c r="AX621" s="7"/>
    </row>
    <row r="622" ht="12.75" hidden="1" customHeight="1">
      <c r="A622" s="3">
        <v>10.0</v>
      </c>
      <c r="B622" s="3" t="s">
        <v>107</v>
      </c>
      <c r="C622" s="3" t="s">
        <v>88</v>
      </c>
      <c r="D622" s="4">
        <f>IFERROR(VLOOKUP(B622,CurrentRank!$B$2:$C$132,2,FALSE),0)</f>
        <v>35.54</v>
      </c>
      <c r="E622" s="4">
        <f>IF(ISBLANK(B622),,IFERROR(VLOOKUP(B622,CurrentRank!$B$2:$C$132,2,FALSE),0))</f>
        <v>35.54</v>
      </c>
      <c r="F622" s="4">
        <f>IFERROR(VLOOKUP(B622,Week9,3,FALSE),130)</f>
        <v>69</v>
      </c>
      <c r="G622" s="4">
        <f>IF(ISBLANK(B622),,IFERROR(VLOOKUP(B622,CurrentRank!$B$2:$D$132,3,FALSE),130))</f>
        <v>57</v>
      </c>
      <c r="H622" s="4">
        <f>IFERROR(VLOOKUP(C622,CurrentRank!$B$2:$C$132,2,FALSE),0)</f>
        <v>33.11</v>
      </c>
      <c r="I622" s="4">
        <f>IF(ISBLANK(B622),,IFERROR(VLOOKUP(C622,CurrentRank!$B$2:$C$132,2,FALSE),0))</f>
        <v>33.11</v>
      </c>
      <c r="J622" s="4">
        <f>IFERROR(VLOOKUP(C622,Week9,3,FALSE),130)</f>
        <v>25</v>
      </c>
      <c r="K622" s="4">
        <f>IF(ISBLANK(C622),,IFERROR(VLOOKUP(C622,CurrentRank!$B$2:$D$132,3,FALSE),130))</f>
        <v>85</v>
      </c>
      <c r="L622" s="19">
        <f t="shared" ref="L622:M622" si="265">IF(ISBLANK(C622),,(D622+H622)*0.015)</f>
        <v>1.02975</v>
      </c>
      <c r="M622" s="19">
        <f t="shared" si="265"/>
        <v>1.02975</v>
      </c>
      <c r="N622" s="24">
        <f t="shared" ref="N622:N627" si="266">IF(ISBLANK(C622),,(F622+J622)/2)</f>
        <v>47</v>
      </c>
      <c r="O622" s="21">
        <f t="shared" si="4"/>
        <v>0.700125</v>
      </c>
      <c r="P622" s="24">
        <f t="shared" si="264"/>
        <v>0.700125</v>
      </c>
      <c r="Q622" s="22">
        <f t="shared" si="6"/>
        <v>0.761499375</v>
      </c>
      <c r="R622" s="25" t="str">
        <f t="shared" si="7"/>
        <v>C</v>
      </c>
      <c r="S622" s="19" t="str">
        <f t="shared" si="8"/>
        <v/>
      </c>
      <c r="T622" s="19" t="str">
        <f t="shared" si="9"/>
        <v/>
      </c>
      <c r="U622" s="3" t="s">
        <v>203</v>
      </c>
      <c r="V622" s="4" t="str">
        <f>IFERROR(IF(VLOOKUP(B622,Standings!$A:$F, 6, 0)=VLOOKUP(C622,Standings!$A:$F, 6, 0), VLOOKUP(B622,Standings!$A:$F, 6, 0), "Non-con"), "FCS")</f>
        <v>Non-con</v>
      </c>
      <c r="W622" s="3" t="str">
        <f t="shared" si="10"/>
        <v>Army</v>
      </c>
      <c r="X622" s="3" t="str">
        <f t="shared" si="11"/>
        <v>Air Force</v>
      </c>
      <c r="Y622" s="30">
        <f>IF(D622=0,,IF(ISBLANK(Q622),,VLOOKUP(X622,Week9,2,FALSE)/(VLOOKUP(X622,Week9,2,FALSE)+VLOOKUP(W622,Week9,2,FALSE))+0.05)*100)</f>
        <v>45.3649635</v>
      </c>
      <c r="Z622" s="3"/>
      <c r="AA622" s="3"/>
      <c r="AB622" s="4" t="str">
        <f t="shared" si="20"/>
        <v/>
      </c>
      <c r="AC622" s="3"/>
      <c r="AD622" s="3"/>
      <c r="AE622" s="3" t="str">
        <f t="shared" si="13"/>
        <v/>
      </c>
      <c r="AF622" s="3" t="s">
        <v>228</v>
      </c>
      <c r="AG622" s="3" t="str">
        <f t="shared" si="133"/>
        <v/>
      </c>
      <c r="AH622" s="3"/>
      <c r="AI622" s="7"/>
      <c r="AJ622" s="4" t="s">
        <v>57</v>
      </c>
      <c r="AK622" s="7"/>
      <c r="AL622" s="7"/>
      <c r="AM622" s="7"/>
      <c r="AN622" s="7"/>
      <c r="AO622" s="7"/>
      <c r="AP622" s="7"/>
      <c r="AQ622" s="7"/>
      <c r="AR622" s="7"/>
      <c r="AS622" s="7"/>
      <c r="AT622" s="7"/>
      <c r="AU622" s="7"/>
      <c r="AV622" s="7"/>
      <c r="AW622" s="7"/>
      <c r="AX622" s="7"/>
    </row>
    <row r="623" ht="12.75" hidden="1" customHeight="1">
      <c r="A623" s="3">
        <v>2.0</v>
      </c>
      <c r="B623" s="3" t="s">
        <v>279</v>
      </c>
      <c r="C623" s="3" t="s">
        <v>131</v>
      </c>
      <c r="D623" s="4">
        <f>IFERROR(VLOOKUP(B623,Week1,2,FALSE),0)</f>
        <v>0</v>
      </c>
      <c r="E623" s="4">
        <f>IF(ISBLANK(B623),,IFERROR(VLOOKUP(B623,CurrentRank!$B$2:$C$132,2,FALSE),0))</f>
        <v>0</v>
      </c>
      <c r="F623" s="4">
        <f>IFERROR(VLOOKUP(B623,Week1,3,FALSE),130)</f>
        <v>130</v>
      </c>
      <c r="G623" s="4">
        <f>IF(ISBLANK(B623),,IFERROR(VLOOKUP(B623,CurrentRank!$B$2:$D$132,3,FALSE),130))</f>
        <v>130</v>
      </c>
      <c r="H623" s="4">
        <f>IFERROR(VLOOKUP(C623,Week1,2,FALSE),0)</f>
        <v>6.67</v>
      </c>
      <c r="I623" s="4">
        <f>IF(ISBLANK(B623),,IFERROR(VLOOKUP(C623,CurrentRank!$B$2:$C$132,2,FALSE),0))</f>
        <v>33.34</v>
      </c>
      <c r="J623" s="4">
        <f>IFERROR(VLOOKUP(C623,Week1,3,FALSE),130)</f>
        <v>35</v>
      </c>
      <c r="K623" s="4">
        <f>IF(ISBLANK(C623),,IFERROR(VLOOKUP(C623,CurrentRank!$B$2:$D$132,3,FALSE),130))</f>
        <v>82</v>
      </c>
      <c r="L623" s="19">
        <f t="shared" ref="L623:L624" si="267">IF(U623= "Yes", 0, IF(ISBLANK(C623),,(D623+H623)*0.015))</f>
        <v>0.10005</v>
      </c>
      <c r="M623" s="19">
        <f t="shared" ref="M623:M624" si="268">IF(U623= "Yes", 0, IF(ISBLANK(D623),,(E623+I623)*0.015))</f>
        <v>0.5001</v>
      </c>
      <c r="N623" s="24">
        <f t="shared" si="266"/>
        <v>82.5</v>
      </c>
      <c r="O623" s="21">
        <f t="shared" si="4"/>
        <v>-3.385025</v>
      </c>
      <c r="P623" s="21">
        <f t="shared" ref="P623:P627" si="269">IF(ISBLANK(C623),,(E623-(I623+L623))/2)</f>
        <v>-16.720025</v>
      </c>
      <c r="Q623" s="22">
        <f t="shared" si="6"/>
        <v>0.570574875</v>
      </c>
      <c r="R623" s="25" t="str">
        <f t="shared" si="7"/>
        <v>F</v>
      </c>
      <c r="S623" s="19">
        <f t="shared" si="8"/>
        <v>0.5825</v>
      </c>
      <c r="T623" s="19" t="str">
        <f t="shared" si="9"/>
        <v>F</v>
      </c>
      <c r="U623" s="3" t="s">
        <v>203</v>
      </c>
      <c r="V623" s="4" t="str">
        <f>IF(ISBLANK(C623),,IFERROR(IF(VLOOKUP(B623,Standings!$A:$F, 6, 0)=VLOOKUP(C623,Standings!$A:$F, 6, 0), VLOOKUP(B623,Standings!$A:$F, 6, 0), "Non-con"), "FCS"))</f>
        <v>FCS</v>
      </c>
      <c r="W623" s="3" t="str">
        <f t="shared" si="10"/>
        <v>Campbell</v>
      </c>
      <c r="X623" s="3" t="str">
        <f t="shared" si="11"/>
        <v>Georgia Southern</v>
      </c>
      <c r="Y623" s="30" t="str">
        <f>IF(D623=0,,IF(ISBLANK(Q623),,VLOOKUP(X623,Week1,2,FALSE)/(VLOOKUP(X623,Week1,2,FALSE)+VLOOKUP(W623,Week1,2,FALSE))+0.05)*100)</f>
        <v/>
      </c>
      <c r="Z623" s="3" t="s">
        <v>131</v>
      </c>
      <c r="AA623" s="3">
        <v>27.0</v>
      </c>
      <c r="AB623" s="4" t="str">
        <f t="shared" si="20"/>
        <v>Campbell</v>
      </c>
      <c r="AC623" s="3">
        <v>26.0</v>
      </c>
      <c r="AD623" s="3"/>
      <c r="AE623" s="3">
        <f t="shared" si="13"/>
        <v>1</v>
      </c>
      <c r="AF623" s="3"/>
      <c r="AG623" s="3">
        <f t="shared" si="133"/>
        <v>1</v>
      </c>
      <c r="AH623" s="3"/>
      <c r="AI623" s="7"/>
      <c r="AJ623" s="4"/>
      <c r="AK623" s="7"/>
      <c r="AL623" s="7"/>
      <c r="AM623" s="7"/>
      <c r="AN623" s="7"/>
      <c r="AO623" s="7"/>
      <c r="AP623" s="7"/>
      <c r="AQ623" s="7"/>
      <c r="AR623" s="7"/>
      <c r="AS623" s="7"/>
      <c r="AT623" s="7"/>
      <c r="AU623" s="7"/>
      <c r="AV623" s="7"/>
      <c r="AW623" s="7"/>
      <c r="AX623" s="7"/>
    </row>
    <row r="624" ht="12.75" hidden="1" customHeight="1">
      <c r="A624" s="3">
        <v>2.0</v>
      </c>
      <c r="B624" s="3" t="s">
        <v>257</v>
      </c>
      <c r="C624" s="3" t="s">
        <v>127</v>
      </c>
      <c r="D624" s="4">
        <f>IFERROR(VLOOKUP(B624,Week1,2,FALSE),0)</f>
        <v>0</v>
      </c>
      <c r="E624" s="4">
        <f>IF(ISBLANK(B624),,IFERROR(VLOOKUP(B624,CurrentRank!$B$2:$C$132,2,FALSE),0))</f>
        <v>0</v>
      </c>
      <c r="F624" s="4">
        <f>IFERROR(VLOOKUP(B624,Week1,3,FALSE),130)</f>
        <v>130</v>
      </c>
      <c r="G624" s="4">
        <f>IF(ISBLANK(B624),,IFERROR(VLOOKUP(B624,CurrentRank!$B$2:$D$132,3,FALSE),130))</f>
        <v>130</v>
      </c>
      <c r="H624" s="4">
        <f>IFERROR(VLOOKUP(C624,Week1,2,FALSE),0)</f>
        <v>6.67</v>
      </c>
      <c r="I624" s="4">
        <f>IF(ISBLANK(B624),,IFERROR(VLOOKUP(C624,CurrentRank!$B$2:$C$132,2,FALSE),0))</f>
        <v>35.27</v>
      </c>
      <c r="J624" s="4">
        <f>IFERROR(VLOOKUP(C624,Week1,3,FALSE),130)</f>
        <v>35</v>
      </c>
      <c r="K624" s="4">
        <f>IF(ISBLANK(C624),,IFERROR(VLOOKUP(C624,CurrentRank!$B$2:$D$132,3,FALSE),130))</f>
        <v>64</v>
      </c>
      <c r="L624" s="19">
        <f t="shared" si="267"/>
        <v>0.10005</v>
      </c>
      <c r="M624" s="19">
        <f t="shared" si="268"/>
        <v>0.52905</v>
      </c>
      <c r="N624" s="24">
        <f t="shared" si="266"/>
        <v>82.5</v>
      </c>
      <c r="O624" s="21">
        <f t="shared" si="4"/>
        <v>-3.385025</v>
      </c>
      <c r="P624" s="21">
        <f t="shared" si="269"/>
        <v>-17.685025</v>
      </c>
      <c r="Q624" s="22">
        <f t="shared" si="6"/>
        <v>0.570574875</v>
      </c>
      <c r="R624" s="25" t="str">
        <f t="shared" si="7"/>
        <v>F</v>
      </c>
      <c r="S624" s="19">
        <f t="shared" si="8"/>
        <v>0.5775</v>
      </c>
      <c r="T624" s="19" t="str">
        <f t="shared" si="9"/>
        <v>F</v>
      </c>
      <c r="U624" s="3" t="s">
        <v>203</v>
      </c>
      <c r="V624" s="4" t="str">
        <f>IF(ISBLANK(C624),,IFERROR(IF(VLOOKUP(B624,Standings!$A:$F, 6, 0)=VLOOKUP(C624,Standings!$A:$F, 6, 0), VLOOKUP(B624,Standings!$A:$F, 6, 0), "Non-con"), "FCS"))</f>
        <v>FCS</v>
      </c>
      <c r="W624" s="3" t="str">
        <f t="shared" si="10"/>
        <v>Houston Baptist</v>
      </c>
      <c r="X624" s="3" t="str">
        <f t="shared" si="11"/>
        <v>Texas Tech</v>
      </c>
      <c r="Y624" s="30" t="str">
        <f>IF(D624=0,,IF(ISBLANK(Q624),,VLOOKUP(X624,Week1,2,FALSE)/(VLOOKUP(X624,Week1,2,FALSE)+VLOOKUP(W624,Week1,2,FALSE))+0.05)*100)</f>
        <v/>
      </c>
      <c r="Z624" s="3" t="s">
        <v>127</v>
      </c>
      <c r="AA624" s="3">
        <v>35.0</v>
      </c>
      <c r="AB624" s="4" t="str">
        <f t="shared" si="20"/>
        <v>Houston Baptist</v>
      </c>
      <c r="AC624" s="3">
        <v>33.0</v>
      </c>
      <c r="AD624" s="3"/>
      <c r="AE624" s="3">
        <f t="shared" si="13"/>
        <v>2</v>
      </c>
      <c r="AF624" s="3"/>
      <c r="AG624" s="3">
        <f t="shared" si="133"/>
        <v>1</v>
      </c>
      <c r="AH624" s="3"/>
      <c r="AI624" s="7"/>
      <c r="AJ624" s="4"/>
      <c r="AK624" s="7"/>
      <c r="AL624" s="7"/>
      <c r="AM624" s="7"/>
      <c r="AN624" s="7"/>
      <c r="AO624" s="7"/>
      <c r="AP624" s="7"/>
      <c r="AQ624" s="7"/>
      <c r="AR624" s="7"/>
      <c r="AS624" s="7"/>
      <c r="AT624" s="7"/>
      <c r="AU624" s="7"/>
      <c r="AV624" s="7"/>
      <c r="AW624" s="7"/>
      <c r="AX624" s="7"/>
    </row>
    <row r="625" ht="12.75" hidden="1" customHeight="1">
      <c r="A625" s="3">
        <v>11.0</v>
      </c>
      <c r="B625" s="3" t="s">
        <v>282</v>
      </c>
      <c r="C625" s="3" t="s">
        <v>140</v>
      </c>
      <c r="D625" s="4">
        <f>IFERROR(VLOOKUP(B625,CurrentRank!$B$2:$C$132,2,FALSE),0)</f>
        <v>0</v>
      </c>
      <c r="E625" s="4">
        <f>IF(ISBLANK(B625),,IFERROR(VLOOKUP(B625,CurrentRank!$B$2:$C$132,2,FALSE),0))</f>
        <v>0</v>
      </c>
      <c r="F625" s="4">
        <f>IFERROR(VLOOKUP(B625,Week10,3,FALSE),130)</f>
        <v>130</v>
      </c>
      <c r="G625" s="4">
        <f>IF(ISBLANK(B625),,IFERROR(VLOOKUP(B625,CurrentRank!$B$2:$D$132,3,FALSE),130))</f>
        <v>130</v>
      </c>
      <c r="H625" s="4">
        <f>IFERROR(VLOOKUP(C625,CurrentRank!$B$2:$C$132,2,FALSE),0)</f>
        <v>22.5</v>
      </c>
      <c r="I625" s="4">
        <f>IF(ISBLANK(B625),,IFERROR(VLOOKUP(C625,CurrentRank!$B$2:$C$132,2,FALSE),0))</f>
        <v>22.5</v>
      </c>
      <c r="J625" s="4">
        <f>IFERROR(VLOOKUP(C625,Week10,3,FALSE),130)</f>
        <v>126</v>
      </c>
      <c r="K625" s="4">
        <f>IF(ISBLANK(C625),,IFERROR(VLOOKUP(C625,CurrentRank!$B$2:$D$132,3,FALSE),130))</f>
        <v>126</v>
      </c>
      <c r="L625" s="19">
        <f t="shared" ref="L625:M625" si="270">IF(ISBLANK(C625),,(D625+H625)*0.015)</f>
        <v>0.3375</v>
      </c>
      <c r="M625" s="19">
        <f t="shared" si="270"/>
        <v>0.3375</v>
      </c>
      <c r="N625" s="24">
        <f t="shared" si="266"/>
        <v>128</v>
      </c>
      <c r="O625" s="21">
        <f t="shared" si="4"/>
        <v>-11.41875</v>
      </c>
      <c r="P625" s="21">
        <f t="shared" si="269"/>
        <v>-11.41875</v>
      </c>
      <c r="Q625" s="22">
        <f t="shared" si="6"/>
        <v>0.30290625</v>
      </c>
      <c r="R625" s="25" t="str">
        <f t="shared" si="7"/>
        <v>F</v>
      </c>
      <c r="S625" s="19" t="str">
        <f t="shared" si="8"/>
        <v/>
      </c>
      <c r="T625" s="19" t="str">
        <f t="shared" si="9"/>
        <v/>
      </c>
      <c r="U625" s="3" t="s">
        <v>203</v>
      </c>
      <c r="V625" s="4" t="str">
        <f>IFERROR(IF(VLOOKUP(B625,Standings!$A:$F, 6, 0)=VLOOKUP(C625,Standings!$A:$F, 6, 0), VLOOKUP(B625,Standings!$A:$F, 6, 0), "Non-con"), "FCS")</f>
        <v>FCS</v>
      </c>
      <c r="W625" s="3" t="str">
        <f t="shared" si="10"/>
        <v>Gardner-Webb</v>
      </c>
      <c r="X625" s="3" t="str">
        <f t="shared" si="11"/>
        <v>Charlotte</v>
      </c>
      <c r="Y625" s="30" t="str">
        <f>IF(D625=0,,IF(ISBLANK(Q625),,VLOOKUP(X625,Week10,2,FALSE)/(VLOOKUP(X625,Week10,2,FALSE)+VLOOKUP(W625,Week10,2,FALSE))+0.05)*100)</f>
        <v/>
      </c>
      <c r="Z625" s="3"/>
      <c r="AA625" s="3"/>
      <c r="AB625" s="4" t="str">
        <f t="shared" si="20"/>
        <v/>
      </c>
      <c r="AC625" s="3"/>
      <c r="AD625" s="3"/>
      <c r="AE625" s="3" t="str">
        <f t="shared" si="13"/>
        <v/>
      </c>
      <c r="AF625" s="3" t="s">
        <v>226</v>
      </c>
      <c r="AG625" s="3" t="str">
        <f t="shared" si="133"/>
        <v/>
      </c>
      <c r="AH625" s="3"/>
      <c r="AI625" s="7"/>
      <c r="AJ625" s="4"/>
      <c r="AK625" s="7"/>
      <c r="AL625" s="7"/>
      <c r="AM625" s="7"/>
      <c r="AN625" s="7"/>
      <c r="AO625" s="7"/>
      <c r="AP625" s="7"/>
      <c r="AQ625" s="7"/>
      <c r="AR625" s="7"/>
      <c r="AS625" s="7"/>
      <c r="AT625" s="7"/>
      <c r="AU625" s="7"/>
      <c r="AV625" s="7"/>
      <c r="AW625" s="7"/>
      <c r="AX625" s="7"/>
    </row>
    <row r="626" ht="12.75" hidden="1" customHeight="1">
      <c r="A626" s="3">
        <v>7.0</v>
      </c>
      <c r="B626" s="3" t="s">
        <v>250</v>
      </c>
      <c r="C626" s="3" t="s">
        <v>111</v>
      </c>
      <c r="D626" s="4">
        <f>IFERROR(VLOOKUP(B626,Week6,2,FALSE),0)</f>
        <v>0</v>
      </c>
      <c r="E626" s="4">
        <f>IF(ISBLANK(B626),,IFERROR(VLOOKUP(B626,CurrentRank!$B$2:$C$132,2,FALSE),0))</f>
        <v>0</v>
      </c>
      <c r="F626" s="4">
        <f>IFERROR(VLOOKUP(B626,Week6,3,FALSE),130)</f>
        <v>130</v>
      </c>
      <c r="G626" s="4">
        <f>IF(ISBLANK(B626),,IFERROR(VLOOKUP(B626,CurrentRank!$B$2:$D$132,3,FALSE),130))</f>
        <v>130</v>
      </c>
      <c r="H626" s="4">
        <f>IFERROR(VLOOKUP(C626,Week6,2,FALSE),0)</f>
        <v>37.13</v>
      </c>
      <c r="I626" s="4">
        <f>IF(ISBLANK(B626),,IFERROR(VLOOKUP(C626,CurrentRank!$B$2:$C$132,2,FALSE),0))</f>
        <v>29.75</v>
      </c>
      <c r="J626" s="4">
        <f>IFERROR(VLOOKUP(C626,Week6,3,FALSE),130)</f>
        <v>47</v>
      </c>
      <c r="K626" s="4">
        <f>IF(ISBLANK(C626),,IFERROR(VLOOKUP(C626,CurrentRank!$B$2:$D$132,3,FALSE),130))</f>
        <v>112</v>
      </c>
      <c r="L626" s="19">
        <f t="shared" ref="L626:L627" si="271">IF(U626= "Yes", 0, IF(ISBLANK(C626),,(D626+H626)*0.015))</f>
        <v>0.55695</v>
      </c>
      <c r="M626" s="19">
        <f t="shared" ref="M626:M627" si="272">IF(U626= "Yes", 0, IF(ISBLANK(D626),,(E626+I626)*0.015))</f>
        <v>0.44625</v>
      </c>
      <c r="N626" s="24">
        <f t="shared" si="266"/>
        <v>88.5</v>
      </c>
      <c r="O626" s="21">
        <f t="shared" si="4"/>
        <v>-18.843475</v>
      </c>
      <c r="P626" s="21">
        <f t="shared" si="269"/>
        <v>-15.153475</v>
      </c>
      <c r="Q626" s="22">
        <f t="shared" si="6"/>
        <v>0.463282625</v>
      </c>
      <c r="R626" s="25" t="str">
        <f t="shared" si="7"/>
        <v>F</v>
      </c>
      <c r="S626" s="19">
        <f t="shared" si="8"/>
        <v>0.5475</v>
      </c>
      <c r="T626" s="19" t="str">
        <f t="shared" si="9"/>
        <v>F</v>
      </c>
      <c r="U626" s="3" t="s">
        <v>203</v>
      </c>
      <c r="V626" s="4" t="str">
        <f>IF(ISBLANK(C626),,IFERROR(IF(VLOOKUP(B626,Standings!$A:$F, 6, 0)=VLOOKUP(C626,Standings!$A:$F, 6, 0), VLOOKUP(B626,Standings!$A:$F, 6, 0), "Non-con"), "FCS"))</f>
        <v>FCS</v>
      </c>
      <c r="W626" s="3" t="str">
        <f t="shared" si="10"/>
        <v>Eastern Kentucky</v>
      </c>
      <c r="X626" s="3" t="str">
        <f t="shared" si="11"/>
        <v>Troy</v>
      </c>
      <c r="Y626" s="30" t="str">
        <f>IF(D626=0,,IF(ISBLANK(Q626),,VLOOKUP(X626,Week6,2,FALSE)/(VLOOKUP(X626,Week6,2,FALSE)+VLOOKUP(W626,Week6,2,FALSE))+0.05)*100)</f>
        <v/>
      </c>
      <c r="Z626" s="3" t="s">
        <v>111</v>
      </c>
      <c r="AA626" s="3">
        <v>31.0</v>
      </c>
      <c r="AB626" s="4" t="str">
        <f t="shared" si="20"/>
        <v>Eastern Kentucky</v>
      </c>
      <c r="AC626" s="3">
        <v>29.0</v>
      </c>
      <c r="AD626" s="3"/>
      <c r="AE626" s="3">
        <f t="shared" si="13"/>
        <v>2</v>
      </c>
      <c r="AF626" s="3"/>
      <c r="AG626" s="3">
        <f t="shared" si="133"/>
        <v>1</v>
      </c>
      <c r="AH626" s="3"/>
      <c r="AI626" s="7"/>
      <c r="AJ626" s="4" t="s">
        <v>64</v>
      </c>
      <c r="AK626" s="7"/>
      <c r="AL626" s="7"/>
      <c r="AM626" s="7"/>
      <c r="AN626" s="7"/>
      <c r="AO626" s="7"/>
      <c r="AP626" s="7"/>
      <c r="AQ626" s="7"/>
      <c r="AR626" s="7"/>
      <c r="AS626" s="7"/>
      <c r="AT626" s="7"/>
      <c r="AU626" s="7"/>
      <c r="AV626" s="7"/>
      <c r="AW626" s="7"/>
      <c r="AX626" s="7"/>
    </row>
    <row r="627" ht="12.75" hidden="1" customHeight="1">
      <c r="A627" s="3">
        <v>6.0</v>
      </c>
      <c r="B627" s="3" t="s">
        <v>265</v>
      </c>
      <c r="C627" s="3" t="s">
        <v>88</v>
      </c>
      <c r="D627" s="4">
        <f>IFERROR(VLOOKUP(B627,Week5,2,FALSE),0)</f>
        <v>0</v>
      </c>
      <c r="E627" s="4">
        <f>IF(ISBLANK(B627),,IFERROR(VLOOKUP(B627,CurrentRank!$B$2:$C$132,2,FALSE),0))</f>
        <v>0</v>
      </c>
      <c r="F627" s="4">
        <f>IFERROR(VLOOKUP(B627,Week5,3,FALSE),130)</f>
        <v>130</v>
      </c>
      <c r="G627" s="4">
        <f>IF(ISBLANK(B627),,IFERROR(VLOOKUP(B627,CurrentRank!$B$2:$D$132,3,FALSE),130))</f>
        <v>130</v>
      </c>
      <c r="H627" s="4">
        <f>IFERROR(VLOOKUP(C627,Week5,2,FALSE),0)</f>
        <v>36.2</v>
      </c>
      <c r="I627" s="4">
        <f>IF(ISBLANK(B627),,IFERROR(VLOOKUP(C627,CurrentRank!$B$2:$C$132,2,FALSE),0))</f>
        <v>33.11</v>
      </c>
      <c r="J627" s="4">
        <f>IFERROR(VLOOKUP(C627,Week5,3,FALSE),130)</f>
        <v>44</v>
      </c>
      <c r="K627" s="4">
        <f>IF(ISBLANK(C627),,IFERROR(VLOOKUP(C627,CurrentRank!$B$2:$D$132,3,FALSE),130))</f>
        <v>85</v>
      </c>
      <c r="L627" s="19">
        <f t="shared" si="271"/>
        <v>0.543</v>
      </c>
      <c r="M627" s="19">
        <f t="shared" si="272"/>
        <v>0.49665</v>
      </c>
      <c r="N627" s="24">
        <f t="shared" si="266"/>
        <v>87</v>
      </c>
      <c r="O627" s="21">
        <f t="shared" si="4"/>
        <v>-18.3715</v>
      </c>
      <c r="P627" s="21">
        <f t="shared" si="269"/>
        <v>-16.8265</v>
      </c>
      <c r="Q627" s="22">
        <f t="shared" si="6"/>
        <v>0.4731425</v>
      </c>
      <c r="R627" s="25" t="str">
        <f t="shared" si="7"/>
        <v>F</v>
      </c>
      <c r="S627" s="19">
        <f t="shared" si="8"/>
        <v>0.54</v>
      </c>
      <c r="T627" s="19" t="str">
        <f t="shared" si="9"/>
        <v>F</v>
      </c>
      <c r="U627" s="3" t="s">
        <v>203</v>
      </c>
      <c r="V627" s="4" t="str">
        <f>IF(ISBLANK(C627),,IFERROR(IF(VLOOKUP(B627,Standings!$A:$F, 6, 0)=VLOOKUP(C627,Standings!$A:$F, 6, 0), VLOOKUP(B627,Standings!$A:$F, 6, 0), "Non-con"), "FCS"))</f>
        <v>FCS</v>
      </c>
      <c r="W627" s="3" t="str">
        <f t="shared" si="10"/>
        <v>The Citadel</v>
      </c>
      <c r="X627" s="3" t="str">
        <f t="shared" si="11"/>
        <v>Army</v>
      </c>
      <c r="Y627" s="30" t="str">
        <f>IF(D627=0,,IF(ISBLANK(Q627),,VLOOKUP(X627,Week5,2,FALSE)/(VLOOKUP(X627,Week5,2,FALSE)+VLOOKUP(W627,Week5,2,FALSE))+0.05)*100)</f>
        <v/>
      </c>
      <c r="Z627" s="3" t="s">
        <v>88</v>
      </c>
      <c r="AA627" s="3">
        <v>14.0</v>
      </c>
      <c r="AB627" s="4" t="str">
        <f t="shared" si="20"/>
        <v>The Citadel</v>
      </c>
      <c r="AC627" s="3">
        <v>9.0</v>
      </c>
      <c r="AD627" s="3"/>
      <c r="AE627" s="3">
        <f t="shared" si="13"/>
        <v>5</v>
      </c>
      <c r="AF627" s="3"/>
      <c r="AG627" s="3">
        <f t="shared" si="133"/>
        <v>1</v>
      </c>
      <c r="AH627" s="3"/>
      <c r="AI627" s="7"/>
      <c r="AJ627" s="4"/>
      <c r="AK627" s="7"/>
      <c r="AL627" s="7"/>
      <c r="AM627" s="7"/>
      <c r="AN627" s="7"/>
      <c r="AO627" s="7"/>
      <c r="AP627" s="7"/>
      <c r="AQ627" s="7"/>
      <c r="AR627" s="7"/>
      <c r="AS627" s="7"/>
      <c r="AT627" s="7"/>
      <c r="AU627" s="7"/>
      <c r="AV627" s="7"/>
      <c r="AW627" s="7"/>
      <c r="AX627" s="7"/>
    </row>
    <row r="628" ht="12.75" hidden="1" customHeight="1">
      <c r="A628" s="3">
        <v>12.0</v>
      </c>
      <c r="B628" s="3" t="s">
        <v>261</v>
      </c>
      <c r="C628" s="3" t="s">
        <v>58</v>
      </c>
      <c r="D628" s="4">
        <f>IFERROR(VLOOKUP(B628,CurrentRank!$B$2:$C$132,2,FALSE),0)</f>
        <v>0</v>
      </c>
      <c r="E628" s="4">
        <f>IF(ISBLANK(B628),,IFERROR(VLOOKUP(B628,CurrentRank!$B$2:$C$132,2,FALSE),0))</f>
        <v>0</v>
      </c>
      <c r="F628" s="4">
        <f>IFERROR(VLOOKUP(B628,CurrentRank!$B$2:$D$132,3,FALSE),130)</f>
        <v>130</v>
      </c>
      <c r="G628" s="4">
        <f>IF(ISBLANK(B628),,IFERROR(VLOOKUP(B628,CurrentRank!$B$2:$D$132,3,FALSE),130))</f>
        <v>130</v>
      </c>
      <c r="H628" s="4">
        <f>IFERROR(VLOOKUP(C628,CurrentRank!$B$2:$C$132,2,FALSE),0)</f>
        <v>72.87</v>
      </c>
      <c r="I628" s="4">
        <f>IF(ISBLANK(B628),,IFERROR(VLOOKUP(C628,CurrentRank!$B$2:$C$132,2,FALSE),0))</f>
        <v>72.87</v>
      </c>
      <c r="J628" s="4">
        <f>IFERROR(VLOOKUP(C628,Week11,3,FALSE),130)</f>
        <v>21</v>
      </c>
      <c r="K628" s="4">
        <f>IFERROR(VLOOKUP(C628,CurrentRank!$B$2:$D$132,3,FALSE),130)</f>
        <v>10</v>
      </c>
      <c r="L628" s="19">
        <f t="shared" ref="L628:M628" si="273">IF(ISBLANK(C628),,(D628+H628)*0.015)</f>
        <v>1.09305</v>
      </c>
      <c r="M628" s="19">
        <f t="shared" si="273"/>
        <v>1.09305</v>
      </c>
      <c r="N628" s="24">
        <f>(F628+K628)/2</f>
        <v>70</v>
      </c>
      <c r="O628" s="21">
        <f t="shared" si="4"/>
        <v>-36.981525</v>
      </c>
      <c r="P628" s="24">
        <f>(D628-(H628+L628))/2</f>
        <v>-36.981525</v>
      </c>
      <c r="Q628" s="22">
        <f t="shared" si="6"/>
        <v>0.465092375</v>
      </c>
      <c r="R628" s="25" t="str">
        <f t="shared" si="7"/>
        <v>F</v>
      </c>
      <c r="S628" s="19" t="str">
        <f t="shared" si="8"/>
        <v/>
      </c>
      <c r="T628" s="19" t="str">
        <f t="shared" si="9"/>
        <v/>
      </c>
      <c r="U628" s="3" t="s">
        <v>203</v>
      </c>
      <c r="V628" s="4" t="str">
        <f>IFERROR(IF(VLOOKUP(B628,Standings!$A:$F, 6, 0)=VLOOKUP(C628,Standings!$A:$F, 6, 0), VLOOKUP(B628,Standings!$A:$F, 6, 0), "Non-con"), "FCS")</f>
        <v>FCS</v>
      </c>
      <c r="W628" s="3" t="str">
        <f t="shared" si="10"/>
        <v>Central Arkansas</v>
      </c>
      <c r="X628" s="3" t="str">
        <f t="shared" si="11"/>
        <v>UL-Lafayette</v>
      </c>
      <c r="Y628" s="30" t="str">
        <f>IF(D628=0,,IF(ISBLANK(Q628),,VLOOKUP(X628,Week11,2,FALSE)/(VLOOKUP(X628,Week11,2,FALSE)+VLOOKUP(W628,Week11,2,FALSE))+0.05)*100)</f>
        <v/>
      </c>
      <c r="Z628" s="3"/>
      <c r="AA628" s="3"/>
      <c r="AB628" s="4" t="str">
        <f t="shared" si="20"/>
        <v/>
      </c>
      <c r="AC628" s="3"/>
      <c r="AD628" s="3"/>
      <c r="AE628" s="3" t="str">
        <f t="shared" si="13"/>
        <v/>
      </c>
      <c r="AF628" s="3" t="s">
        <v>226</v>
      </c>
      <c r="AG628" s="3" t="str">
        <f t="shared" si="133"/>
        <v/>
      </c>
      <c r="AH628" s="3"/>
      <c r="AI628" s="7"/>
      <c r="AJ628" s="4"/>
      <c r="AK628" s="7"/>
      <c r="AL628" s="7"/>
      <c r="AM628" s="7"/>
      <c r="AN628" s="7"/>
      <c r="AO628" s="7"/>
      <c r="AP628" s="7"/>
      <c r="AQ628" s="7"/>
      <c r="AR628" s="7"/>
      <c r="AS628" s="7"/>
      <c r="AT628" s="7"/>
      <c r="AU628" s="7"/>
      <c r="AV628" s="7"/>
      <c r="AW628" s="7"/>
      <c r="AX628" s="7"/>
    </row>
    <row r="629" ht="12.75" hidden="1" customHeight="1">
      <c r="A629" s="3">
        <v>3.0</v>
      </c>
      <c r="B629" s="3" t="s">
        <v>260</v>
      </c>
      <c r="C629" s="3" t="s">
        <v>105</v>
      </c>
      <c r="D629" s="4">
        <f>IFERROR(VLOOKUP(B629,Week2,2,FALSE),0)</f>
        <v>0</v>
      </c>
      <c r="E629" s="4">
        <f>IF(ISBLANK(B629),,IFERROR(VLOOKUP(B629,CurrentRank!$B$2:$C$132,2,FALSE),0))</f>
        <v>0</v>
      </c>
      <c r="F629" s="4">
        <f>IFERROR(VLOOKUP(B629,Week2,3,FALSE),130)</f>
        <v>130</v>
      </c>
      <c r="G629" s="4">
        <f>IF(ISBLANK(B629),,IFERROR(VLOOKUP(B629,CurrentRank!$B$2:$D$132,3,FALSE),130))</f>
        <v>130</v>
      </c>
      <c r="H629" s="4">
        <f>IFERROR(VLOOKUP(C629,Week2,2,FALSE),0)</f>
        <v>39.57</v>
      </c>
      <c r="I629" s="4">
        <f>IF(ISBLANK(B629),,IFERROR(VLOOKUP(C629,CurrentRank!$B$2:$C$132,2,FALSE),0))</f>
        <v>32.43</v>
      </c>
      <c r="J629" s="4">
        <f>IFERROR(VLOOKUP(C629,Week2,3,FALSE),130)</f>
        <v>28</v>
      </c>
      <c r="K629" s="4">
        <f>IF(ISBLANK(C629),,IFERROR(VLOOKUP(C629,CurrentRank!$B$2:$D$132,3,FALSE),130))</f>
        <v>90</v>
      </c>
      <c r="L629" s="19">
        <f t="shared" ref="L629:L640" si="274">IF(U629= "Yes", 0, IF(ISBLANK(C629),,(D629+H629)*0.015))</f>
        <v>0.59355</v>
      </c>
      <c r="M629" s="19">
        <f t="shared" ref="M629:M640" si="275">IF(U629= "Yes", 0, IF(ISBLANK(D629),,(E629+I629)*0.015))</f>
        <v>0.48645</v>
      </c>
      <c r="N629" s="24">
        <f t="shared" ref="N629:N1004" si="276">IF(ISBLANK(C629),,(F629+J629)/2)</f>
        <v>79</v>
      </c>
      <c r="O629" s="21">
        <f t="shared" si="4"/>
        <v>-20.081775</v>
      </c>
      <c r="P629" s="21">
        <f t="shared" ref="P629:P655" si="277">IF(ISBLANK(C629),,(E629-(I629+L629))/2)</f>
        <v>-16.511775</v>
      </c>
      <c r="Q629" s="22">
        <f t="shared" si="6"/>
        <v>0.504591125</v>
      </c>
      <c r="R629" s="25" t="str">
        <f t="shared" si="7"/>
        <v>F</v>
      </c>
      <c r="S629" s="19">
        <f t="shared" si="8"/>
        <v>0.535</v>
      </c>
      <c r="T629" s="19" t="str">
        <f t="shared" si="9"/>
        <v>F</v>
      </c>
      <c r="U629" s="3" t="s">
        <v>203</v>
      </c>
      <c r="V629" s="4" t="str">
        <f>IF(ISBLANK(C629),,IFERROR(IF(VLOOKUP(B629,Standings!$A:$F, 6, 0)=VLOOKUP(C629,Standings!$A:$F, 6, 0), VLOOKUP(B629,Standings!$A:$F, 6, 0), "Non-con"), "FCS"))</f>
        <v>FCS</v>
      </c>
      <c r="W629" s="3" t="str">
        <f t="shared" si="10"/>
        <v>Stephen F. Austin</v>
      </c>
      <c r="X629" s="3" t="str">
        <f t="shared" si="11"/>
        <v>Texas-San Antonio</v>
      </c>
      <c r="Y629" s="30" t="str">
        <f>IF(D629=0,,IF(ISBLANK(Q629),,VLOOKUP(X629,Week2,2,FALSE)/(VLOOKUP(X629,Week2,2,FALSE)+VLOOKUP(W629,Week2,2,FALSE))+0.05)*100)</f>
        <v/>
      </c>
      <c r="Z629" s="3" t="s">
        <v>105</v>
      </c>
      <c r="AA629" s="3">
        <v>24.0</v>
      </c>
      <c r="AB629" s="4" t="str">
        <f t="shared" si="20"/>
        <v>Stephen F. Austin</v>
      </c>
      <c r="AC629" s="3">
        <v>10.0</v>
      </c>
      <c r="AD629" s="3"/>
      <c r="AE629" s="3">
        <f t="shared" si="13"/>
        <v>14</v>
      </c>
      <c r="AF629" s="3"/>
      <c r="AG629" s="3">
        <f t="shared" si="133"/>
        <v>1</v>
      </c>
      <c r="AH629" s="3"/>
      <c r="AI629" s="7"/>
      <c r="AJ629" s="4"/>
      <c r="AK629" s="7"/>
      <c r="AL629" s="7"/>
      <c r="AM629" s="7"/>
      <c r="AN629" s="7"/>
      <c r="AO629" s="7"/>
      <c r="AP629" s="7"/>
      <c r="AQ629" s="7"/>
      <c r="AR629" s="7"/>
      <c r="AS629" s="7"/>
      <c r="AT629" s="7"/>
      <c r="AU629" s="7"/>
      <c r="AV629" s="7"/>
      <c r="AW629" s="7"/>
      <c r="AX629" s="7"/>
    </row>
    <row r="630" ht="12.75" hidden="1" customHeight="1">
      <c r="A630" s="3">
        <v>3.0</v>
      </c>
      <c r="B630" s="3" t="s">
        <v>279</v>
      </c>
      <c r="C630" s="3" t="s">
        <v>100</v>
      </c>
      <c r="D630" s="4">
        <f>IFERROR(VLOOKUP(B630,Week2,2,FALSE),0)</f>
        <v>0</v>
      </c>
      <c r="E630" s="4">
        <f>IF(ISBLANK(B630),,IFERROR(VLOOKUP(B630,CurrentRank!$B$2:$C$132,2,FALSE),0))</f>
        <v>0</v>
      </c>
      <c r="F630" s="4">
        <f>IFERROR(VLOOKUP(B630,Week2,3,FALSE),130)</f>
        <v>130</v>
      </c>
      <c r="G630" s="4">
        <f>IF(ISBLANK(B630),,IFERROR(VLOOKUP(B630,CurrentRank!$B$2:$D$132,3,FALSE),130))</f>
        <v>130</v>
      </c>
      <c r="H630" s="4">
        <f>IFERROR(VLOOKUP(C630,Week2,2,FALSE),0)</f>
        <v>44.51</v>
      </c>
      <c r="I630" s="4">
        <f>IF(ISBLANK(B630),,IFERROR(VLOOKUP(C630,CurrentRank!$B$2:$C$132,2,FALSE),0))</f>
        <v>69.98</v>
      </c>
      <c r="J630" s="4">
        <f>IFERROR(VLOOKUP(C630,Week2,3,FALSE),130)</f>
        <v>25</v>
      </c>
      <c r="K630" s="4">
        <f>IF(ISBLANK(C630),,IFERROR(VLOOKUP(C630,CurrentRank!$B$2:$D$132,3,FALSE),130))</f>
        <v>13</v>
      </c>
      <c r="L630" s="19">
        <f t="shared" si="274"/>
        <v>0.66765</v>
      </c>
      <c r="M630" s="19">
        <f t="shared" si="275"/>
        <v>1.0497</v>
      </c>
      <c r="N630" s="24">
        <f t="shared" si="276"/>
        <v>77.5</v>
      </c>
      <c r="O630" s="21">
        <f t="shared" si="4"/>
        <v>-22.588825</v>
      </c>
      <c r="P630" s="21">
        <f t="shared" si="277"/>
        <v>-35.323825</v>
      </c>
      <c r="Q630" s="22">
        <f t="shared" si="6"/>
        <v>0.499555875</v>
      </c>
      <c r="R630" s="25" t="str">
        <f t="shared" si="7"/>
        <v>F</v>
      </c>
      <c r="S630" s="19">
        <f t="shared" si="8"/>
        <v>0.5025</v>
      </c>
      <c r="T630" s="19" t="str">
        <f t="shared" si="9"/>
        <v>F</v>
      </c>
      <c r="U630" s="3" t="s">
        <v>203</v>
      </c>
      <c r="V630" s="4" t="str">
        <f>IF(ISBLANK(C630),,IFERROR(IF(VLOOKUP(B630,Standings!$A:$F, 6, 0)=VLOOKUP(C630,Standings!$A:$F, 6, 0), VLOOKUP(B630,Standings!$A:$F, 6, 0), "Non-con"), "FCS"))</f>
        <v>FCS</v>
      </c>
      <c r="W630" s="3" t="str">
        <f t="shared" si="10"/>
        <v>Campbell</v>
      </c>
      <c r="X630" s="3" t="str">
        <f t="shared" si="11"/>
        <v>Coastal Carolina</v>
      </c>
      <c r="Y630" s="30" t="str">
        <f>IF(D630=0,,IF(ISBLANK(Q630),,VLOOKUP(X630,Week2,2,FALSE)/(VLOOKUP(X630,Week2,2,FALSE)+VLOOKUP(W630,Week2,2,FALSE))+0.05)*100)</f>
        <v/>
      </c>
      <c r="Z630" s="3" t="s">
        <v>100</v>
      </c>
      <c r="AA630" s="3">
        <v>43.0</v>
      </c>
      <c r="AB630" s="4" t="str">
        <f t="shared" si="20"/>
        <v>Campbell</v>
      </c>
      <c r="AC630" s="3">
        <v>21.0</v>
      </c>
      <c r="AD630" s="3"/>
      <c r="AE630" s="3">
        <f t="shared" si="13"/>
        <v>22</v>
      </c>
      <c r="AF630" s="3"/>
      <c r="AG630" s="3">
        <f t="shared" si="133"/>
        <v>1</v>
      </c>
      <c r="AH630" s="3"/>
      <c r="AI630" s="7"/>
      <c r="AJ630" s="4"/>
      <c r="AK630" s="7"/>
      <c r="AL630" s="7"/>
      <c r="AM630" s="7"/>
      <c r="AN630" s="7"/>
      <c r="AO630" s="7"/>
      <c r="AP630" s="7"/>
      <c r="AQ630" s="7"/>
      <c r="AR630" s="7"/>
      <c r="AS630" s="7"/>
      <c r="AT630" s="7"/>
      <c r="AU630" s="7"/>
      <c r="AV630" s="7"/>
      <c r="AW630" s="7"/>
      <c r="AX630" s="7"/>
    </row>
    <row r="631" ht="12.75" hidden="1" customHeight="1">
      <c r="A631" s="3">
        <v>2.0</v>
      </c>
      <c r="B631" s="3" t="s">
        <v>265</v>
      </c>
      <c r="C631" s="3" t="s">
        <v>123</v>
      </c>
      <c r="D631" s="4">
        <f>IFERROR(VLOOKUP(B631,Week1,2,FALSE),0)</f>
        <v>0</v>
      </c>
      <c r="E631" s="4">
        <f>IF(ISBLANK(B631),,IFERROR(VLOOKUP(B631,CurrentRank!$B$2:$C$132,2,FALSE),0))</f>
        <v>0</v>
      </c>
      <c r="F631" s="4">
        <f>IFERROR(VLOOKUP(B631,Week1,3,FALSE),130)</f>
        <v>130</v>
      </c>
      <c r="G631" s="4">
        <f>IF(ISBLANK(B631),,IFERROR(VLOOKUP(B631,CurrentRank!$B$2:$D$132,3,FALSE),130))</f>
        <v>130</v>
      </c>
      <c r="H631" s="4">
        <f>IFERROR(VLOOKUP(C631,Week1,2,FALSE),0)</f>
        <v>6.67</v>
      </c>
      <c r="I631" s="4">
        <f>IF(ISBLANK(B631),,IFERROR(VLOOKUP(C631,CurrentRank!$B$2:$C$132,2,FALSE),0))</f>
        <v>13.91</v>
      </c>
      <c r="J631" s="4">
        <f>IFERROR(VLOOKUP(C631,Week1,3,FALSE),130)</f>
        <v>35</v>
      </c>
      <c r="K631" s="4">
        <f>IF(ISBLANK(C631),,IFERROR(VLOOKUP(C631,CurrentRank!$B$2:$D$132,3,FALSE),130))</f>
        <v>129</v>
      </c>
      <c r="L631" s="19">
        <f t="shared" si="274"/>
        <v>0.10005</v>
      </c>
      <c r="M631" s="19">
        <f t="shared" si="275"/>
        <v>0.20865</v>
      </c>
      <c r="N631" s="24">
        <f t="shared" si="276"/>
        <v>82.5</v>
      </c>
      <c r="O631" s="21">
        <f t="shared" si="4"/>
        <v>-3.385025</v>
      </c>
      <c r="P631" s="21">
        <f t="shared" si="277"/>
        <v>-7.005025</v>
      </c>
      <c r="Q631" s="22">
        <f t="shared" si="6"/>
        <v>0.570574875</v>
      </c>
      <c r="R631" s="25" t="str">
        <f t="shared" si="7"/>
        <v>F</v>
      </c>
      <c r="S631" s="19">
        <f t="shared" si="8"/>
        <v>0.4825</v>
      </c>
      <c r="T631" s="19" t="str">
        <f t="shared" si="9"/>
        <v>F</v>
      </c>
      <c r="U631" s="3" t="s">
        <v>203</v>
      </c>
      <c r="V631" s="4" t="str">
        <f>IF(ISBLANK(C631),,IFERROR(IF(VLOOKUP(B631,Standings!$A:$F, 6, 0)=VLOOKUP(C631,Standings!$A:$F, 6, 0), VLOOKUP(B631,Standings!$A:$F, 6, 0), "Non-con"), "FCS"))</f>
        <v>FCS</v>
      </c>
      <c r="W631" s="3" t="str">
        <f t="shared" si="10"/>
        <v>The Citadel</v>
      </c>
      <c r="X631" s="3" t="str">
        <f t="shared" si="11"/>
        <v>South Florida</v>
      </c>
      <c r="Y631" s="30" t="str">
        <f>IF(D631=0,,IF(ISBLANK(Q631),,VLOOKUP(X631,Week1,2,FALSE)/(VLOOKUP(X631,Week1,2,FALSE)+VLOOKUP(W631,Week1,2,FALSE))+0.05)*100)</f>
        <v/>
      </c>
      <c r="Z631" s="3" t="s">
        <v>123</v>
      </c>
      <c r="AA631" s="3">
        <v>27.0</v>
      </c>
      <c r="AB631" s="4" t="str">
        <f t="shared" si="20"/>
        <v>The Citadel</v>
      </c>
      <c r="AC631" s="3">
        <v>6.0</v>
      </c>
      <c r="AD631" s="3"/>
      <c r="AE631" s="3">
        <f t="shared" si="13"/>
        <v>21</v>
      </c>
      <c r="AF631" s="3"/>
      <c r="AG631" s="3">
        <f t="shared" si="133"/>
        <v>1</v>
      </c>
      <c r="AH631" s="3"/>
      <c r="AI631" s="7"/>
      <c r="AJ631" s="4"/>
      <c r="AK631" s="7"/>
      <c r="AL631" s="7"/>
      <c r="AM631" s="7"/>
      <c r="AN631" s="7"/>
      <c r="AO631" s="7"/>
      <c r="AP631" s="7"/>
      <c r="AQ631" s="7"/>
      <c r="AR631" s="7"/>
      <c r="AS631" s="7"/>
      <c r="AT631" s="7"/>
      <c r="AU631" s="7"/>
      <c r="AV631" s="7"/>
      <c r="AW631" s="7"/>
      <c r="AX631" s="7"/>
    </row>
    <row r="632" ht="12.75" hidden="1" customHeight="1">
      <c r="A632" s="3">
        <v>5.0</v>
      </c>
      <c r="B632" s="3" t="s">
        <v>230</v>
      </c>
      <c r="C632" s="3" t="s">
        <v>106</v>
      </c>
      <c r="D632" s="4">
        <f>IFERROR(VLOOKUP(B632,Week4,2,FALSE),0)</f>
        <v>0</v>
      </c>
      <c r="E632" s="4">
        <f>IF(ISBLANK(B632),,IFERROR(VLOOKUP(B632,CurrentRank!$B$2:$C$132,2,FALSE),0))</f>
        <v>0</v>
      </c>
      <c r="F632" s="4">
        <f>IFERROR(VLOOKUP(B632,Week4,3,FALSE),130)</f>
        <v>130</v>
      </c>
      <c r="G632" s="4">
        <f>IF(ISBLANK(B632),,IFERROR(VLOOKUP(B632,CurrentRank!$B$2:$D$132,3,FALSE),130))</f>
        <v>130</v>
      </c>
      <c r="H632" s="4">
        <f>IFERROR(VLOOKUP(C632,Week4,2,FALSE),0)</f>
        <v>43.39</v>
      </c>
      <c r="I632" s="4">
        <f>IF(ISBLANK(B632),,IFERROR(VLOOKUP(C632,CurrentRank!$B$2:$C$132,2,FALSE),0))</f>
        <v>65.58</v>
      </c>
      <c r="J632" s="4">
        <f>IFERROR(VLOOKUP(C632,Week4,3,FALSE),130)</f>
        <v>36</v>
      </c>
      <c r="K632" s="4">
        <f>IF(ISBLANK(C632),,IFERROR(VLOOKUP(C632,CurrentRank!$B$2:$D$132,3,FALSE),130))</f>
        <v>17</v>
      </c>
      <c r="L632" s="19">
        <f t="shared" si="274"/>
        <v>0.65085</v>
      </c>
      <c r="M632" s="19">
        <f t="shared" si="275"/>
        <v>0.9837</v>
      </c>
      <c r="N632" s="24">
        <f t="shared" si="276"/>
        <v>83</v>
      </c>
      <c r="O632" s="21">
        <f t="shared" si="4"/>
        <v>-22.020425</v>
      </c>
      <c r="P632" s="21">
        <f t="shared" si="277"/>
        <v>-33.115425</v>
      </c>
      <c r="Q632" s="22">
        <f t="shared" si="6"/>
        <v>0.474897875</v>
      </c>
      <c r="R632" s="25" t="str">
        <f t="shared" si="7"/>
        <v>F</v>
      </c>
      <c r="S632" s="19">
        <f t="shared" si="8"/>
        <v>0.48</v>
      </c>
      <c r="T632" s="19" t="str">
        <f t="shared" si="9"/>
        <v>F</v>
      </c>
      <c r="U632" s="3" t="s">
        <v>203</v>
      </c>
      <c r="V632" s="4" t="str">
        <f>IF(ISBLANK(C632),,IFERROR(IF(VLOOKUP(B632,Standings!$A:$F, 6, 0)=VLOOKUP(C632,Standings!$A:$F, 6, 0), VLOOKUP(B632,Standings!$A:$F, 6, 0), "Non-con"), "FCS"))</f>
        <v>FCS</v>
      </c>
      <c r="W632" s="3" t="str">
        <f t="shared" si="10"/>
        <v>North Alabama</v>
      </c>
      <c r="X632" s="3" t="str">
        <f t="shared" si="11"/>
        <v>Liberty</v>
      </c>
      <c r="Y632" s="30" t="str">
        <f>IF(D632=0,,IF(ISBLANK(Q632),,VLOOKUP(X632,Week4,2,FALSE)/(VLOOKUP(X632,Week4,2,FALSE)+VLOOKUP(W632,Week4,2,FALSE))+0.05)*100)</f>
        <v/>
      </c>
      <c r="Z632" s="3" t="s">
        <v>106</v>
      </c>
      <c r="AA632" s="3">
        <v>28.0</v>
      </c>
      <c r="AB632" s="4" t="str">
        <f t="shared" si="20"/>
        <v>North Alabama</v>
      </c>
      <c r="AC632" s="3">
        <v>7.0</v>
      </c>
      <c r="AD632" s="3"/>
      <c r="AE632" s="3">
        <f t="shared" si="13"/>
        <v>21</v>
      </c>
      <c r="AF632" s="3"/>
      <c r="AG632" s="3">
        <f t="shared" si="133"/>
        <v>1</v>
      </c>
      <c r="AH632" s="3"/>
      <c r="AI632" s="7"/>
      <c r="AJ632" s="4"/>
      <c r="AK632" s="7"/>
      <c r="AL632" s="7"/>
      <c r="AM632" s="7"/>
      <c r="AN632" s="7"/>
      <c r="AO632" s="7"/>
      <c r="AP632" s="7"/>
      <c r="AQ632" s="7"/>
      <c r="AR632" s="7"/>
      <c r="AS632" s="7"/>
      <c r="AT632" s="7"/>
      <c r="AU632" s="7"/>
      <c r="AV632" s="7"/>
      <c r="AW632" s="7"/>
      <c r="AX632" s="7"/>
    </row>
    <row r="633" ht="12.75" customHeight="1">
      <c r="A633" s="3">
        <v>4.0</v>
      </c>
      <c r="B633" s="3" t="s">
        <v>43</v>
      </c>
      <c r="C633" s="3" t="s">
        <v>122</v>
      </c>
      <c r="D633" s="4">
        <f>IFERROR(VLOOKUP(B633,Week3,2,FALSE),0)</f>
        <v>18.38</v>
      </c>
      <c r="E633" s="4">
        <f>IF(ISBLANK(B633),,IFERROR(VLOOKUP(B633,CurrentRank!$B$2:$C$132,2,FALSE),0))</f>
        <v>11.84</v>
      </c>
      <c r="F633" s="4">
        <f>IFERROR(VLOOKUP(B633,Week3,3,FALSE),130)</f>
        <v>130</v>
      </c>
      <c r="G633" s="4">
        <f>IF(ISBLANK(B633),,IFERROR(VLOOKUP(B633,CurrentRank!$B$2:$D$132,3,FALSE),130))</f>
        <v>130</v>
      </c>
      <c r="H633" s="4">
        <f>IFERROR(VLOOKUP(C633,Week3,2,FALSE),0)</f>
        <v>26.09</v>
      </c>
      <c r="I633" s="4">
        <f>IF(ISBLANK(B633),,IFERROR(VLOOKUP(C633,CurrentRank!$B$2:$C$132,2,FALSE),0))</f>
        <v>25.95</v>
      </c>
      <c r="J633" s="4">
        <f>IFERROR(VLOOKUP(C633,Week3,3,FALSE),130)</f>
        <v>125</v>
      </c>
      <c r="K633" s="4">
        <f>IF(ISBLANK(C633),,IFERROR(VLOOKUP(C633,CurrentRank!$B$2:$D$132,3,FALSE),130))</f>
        <v>124</v>
      </c>
      <c r="L633" s="19">
        <f t="shared" si="274"/>
        <v>0.66705</v>
      </c>
      <c r="M633" s="19">
        <f t="shared" si="275"/>
        <v>0.56685</v>
      </c>
      <c r="N633" s="24">
        <f t="shared" si="276"/>
        <v>127.5</v>
      </c>
      <c r="O633" s="21">
        <f t="shared" si="4"/>
        <v>-4.188525</v>
      </c>
      <c r="P633" s="21">
        <f t="shared" si="277"/>
        <v>-7.388525</v>
      </c>
      <c r="Q633" s="22">
        <f t="shared" si="6"/>
        <v>0.341557375</v>
      </c>
      <c r="R633" s="25" t="str">
        <f t="shared" si="7"/>
        <v>F</v>
      </c>
      <c r="S633" s="19">
        <f t="shared" si="8"/>
        <v>0.2375</v>
      </c>
      <c r="T633" s="19" t="str">
        <f t="shared" si="9"/>
        <v>F</v>
      </c>
      <c r="U633" s="3" t="s">
        <v>203</v>
      </c>
      <c r="V633" s="4" t="str">
        <f>IF(ISBLANK(C633),,IFERROR(IF(VLOOKUP(B633,Standings!$A:$F, 6, 0)=VLOOKUP(C633,Standings!$A:$F, 6, 0), VLOOKUP(B633,Standings!$A:$F, 6, 0), "Non-con"), "FCS"))</f>
        <v>Non-con</v>
      </c>
      <c r="W633" s="3" t="str">
        <f t="shared" si="10"/>
        <v>UTEP</v>
      </c>
      <c r="X633" s="3" t="str">
        <f t="shared" si="11"/>
        <v>UL-Monroe</v>
      </c>
      <c r="Y633" s="30">
        <f>IF(D633=0,,IF(ISBLANK(Q633),,VLOOKUP(X633,Week3,2,FALSE)/(VLOOKUP(X633,Week3,2,FALSE)+VLOOKUP(W633,Week3,2,FALSE))+0.05)*100)</f>
        <v>63.66876546</v>
      </c>
      <c r="Z633" s="3" t="s">
        <v>43</v>
      </c>
      <c r="AA633" s="3">
        <v>31.0</v>
      </c>
      <c r="AB633" s="4" t="str">
        <f t="shared" si="20"/>
        <v>UL-Monroe</v>
      </c>
      <c r="AC633" s="3">
        <v>6.0</v>
      </c>
      <c r="AD633" s="3"/>
      <c r="AE633" s="3">
        <f t="shared" si="13"/>
        <v>25</v>
      </c>
      <c r="AF633" s="3"/>
      <c r="AG633" s="3">
        <f t="shared" si="133"/>
        <v>0</v>
      </c>
      <c r="AH633" s="3"/>
      <c r="AI633" s="7"/>
      <c r="AJ633" s="4"/>
      <c r="AK633" s="7"/>
      <c r="AL633" s="7"/>
      <c r="AM633" s="7"/>
      <c r="AN633" s="7"/>
      <c r="AO633" s="7"/>
      <c r="AP633" s="7"/>
      <c r="AQ633" s="7"/>
      <c r="AR633" s="7"/>
      <c r="AS633" s="7"/>
      <c r="AT633" s="7"/>
      <c r="AU633" s="7"/>
      <c r="AV633" s="7"/>
      <c r="AW633" s="7"/>
      <c r="AX633" s="7"/>
    </row>
    <row r="634" ht="12.75" hidden="1" customHeight="1">
      <c r="A634" s="3">
        <v>3.0</v>
      </c>
      <c r="B634" s="3" t="s">
        <v>263</v>
      </c>
      <c r="C634" s="3" t="s">
        <v>69</v>
      </c>
      <c r="D634" s="4">
        <f>IFERROR(VLOOKUP(B634,Week2,2,FALSE),0)</f>
        <v>0</v>
      </c>
      <c r="E634" s="4">
        <f>IF(ISBLANK(B634),,IFERROR(VLOOKUP(B634,CurrentRank!$B$2:$C$132,2,FALSE),0))</f>
        <v>0</v>
      </c>
      <c r="F634" s="4">
        <f>IFERROR(VLOOKUP(B634,Week2,3,FALSE),130)</f>
        <v>130</v>
      </c>
      <c r="G634" s="4">
        <f>IF(ISBLANK(B634),,IFERROR(VLOOKUP(B634,CurrentRank!$B$2:$D$132,3,FALSE),130))</f>
        <v>130</v>
      </c>
      <c r="H634" s="4">
        <f>IFERROR(VLOOKUP(C634,Week2,2,FALSE),0)</f>
        <v>51.69</v>
      </c>
      <c r="I634" s="4">
        <f>IF(ISBLANK(B634),,IFERROR(VLOOKUP(C634,CurrentRank!$B$2:$C$132,2,FALSE),0))</f>
        <v>72.9</v>
      </c>
      <c r="J634" s="4">
        <f>IFERROR(VLOOKUP(C634,Week2,3,FALSE),130)</f>
        <v>19</v>
      </c>
      <c r="K634" s="4">
        <f>IF(ISBLANK(C634),,IFERROR(VLOOKUP(C634,CurrentRank!$B$2:$D$132,3,FALSE),130))</f>
        <v>9</v>
      </c>
      <c r="L634" s="19">
        <f t="shared" si="274"/>
        <v>0.77535</v>
      </c>
      <c r="M634" s="19">
        <f t="shared" si="275"/>
        <v>1.0935</v>
      </c>
      <c r="N634" s="24">
        <f t="shared" si="276"/>
        <v>74.5</v>
      </c>
      <c r="O634" s="21">
        <f t="shared" si="4"/>
        <v>-26.232675</v>
      </c>
      <c r="P634" s="21">
        <f t="shared" si="277"/>
        <v>-36.837675</v>
      </c>
      <c r="Q634" s="22">
        <f t="shared" si="6"/>
        <v>0.496336625</v>
      </c>
      <c r="R634" s="25" t="str">
        <f t="shared" si="7"/>
        <v>F</v>
      </c>
      <c r="S634" s="19">
        <f t="shared" si="8"/>
        <v>0.4525</v>
      </c>
      <c r="T634" s="19" t="str">
        <f t="shared" si="9"/>
        <v>F</v>
      </c>
      <c r="U634" s="3" t="s">
        <v>203</v>
      </c>
      <c r="V634" s="4" t="str">
        <f>IF(ISBLANK(C634),,IFERROR(IF(VLOOKUP(B634,Standings!$A:$F, 6, 0)=VLOOKUP(C634,Standings!$A:$F, 6, 0), VLOOKUP(B634,Standings!$A:$F, 6, 0), "Non-con"), "FCS"))</f>
        <v>FCS</v>
      </c>
      <c r="W634" s="3" t="str">
        <f t="shared" si="10"/>
        <v>Austin Peay</v>
      </c>
      <c r="X634" s="3" t="str">
        <f t="shared" si="11"/>
        <v>Cincinnati</v>
      </c>
      <c r="Y634" s="30" t="str">
        <f>IF(D634=0,,IF(ISBLANK(Q634),,VLOOKUP(X634,Week2,2,FALSE)/(VLOOKUP(X634,Week2,2,FALSE)+VLOOKUP(W634,Week2,2,FALSE))+0.05)*100)</f>
        <v/>
      </c>
      <c r="Z634" s="3" t="s">
        <v>69</v>
      </c>
      <c r="AA634" s="3">
        <v>55.0</v>
      </c>
      <c r="AB634" s="4" t="str">
        <f t="shared" si="20"/>
        <v>Austin Peay</v>
      </c>
      <c r="AC634" s="3">
        <v>20.0</v>
      </c>
      <c r="AD634" s="3"/>
      <c r="AE634" s="3">
        <f t="shared" si="13"/>
        <v>35</v>
      </c>
      <c r="AF634" s="3"/>
      <c r="AG634" s="3">
        <f t="shared" si="133"/>
        <v>1</v>
      </c>
      <c r="AH634" s="3"/>
      <c r="AI634" s="7"/>
      <c r="AJ634" s="4" t="s">
        <v>118</v>
      </c>
      <c r="AK634" s="7"/>
      <c r="AL634" s="7"/>
      <c r="AM634" s="7"/>
      <c r="AN634" s="7"/>
      <c r="AO634" s="7"/>
      <c r="AP634" s="7"/>
      <c r="AQ634" s="7"/>
      <c r="AR634" s="7"/>
      <c r="AS634" s="7"/>
      <c r="AT634" s="7"/>
      <c r="AU634" s="7"/>
      <c r="AV634" s="7"/>
      <c r="AW634" s="7"/>
      <c r="AX634" s="7"/>
    </row>
    <row r="635" ht="12.75" hidden="1" customHeight="1">
      <c r="A635" s="3">
        <v>4.0</v>
      </c>
      <c r="B635" s="3" t="s">
        <v>257</v>
      </c>
      <c r="C635" s="3" t="s">
        <v>110</v>
      </c>
      <c r="D635" s="4">
        <f>IFERROR(VLOOKUP(B635,Week3,2,FALSE),0)</f>
        <v>0</v>
      </c>
      <c r="E635" s="4">
        <f>IF(ISBLANK(B635),,IFERROR(VLOOKUP(B635,CurrentRank!$B$2:$C$132,2,FALSE),0))</f>
        <v>0</v>
      </c>
      <c r="F635" s="4">
        <f>IFERROR(VLOOKUP(B635,Week3,3,FALSE),130)</f>
        <v>130</v>
      </c>
      <c r="G635" s="4">
        <f>IF(ISBLANK(B635),,IFERROR(VLOOKUP(B635,CurrentRank!$B$2:$D$132,3,FALSE),130))</f>
        <v>130</v>
      </c>
      <c r="H635" s="4">
        <f>IFERROR(VLOOKUP(C635,Week3,2,FALSE),0)</f>
        <v>41.9</v>
      </c>
      <c r="I635" s="4">
        <f>IF(ISBLANK(B635),,IFERROR(VLOOKUP(C635,CurrentRank!$B$2:$C$132,2,FALSE),0))</f>
        <v>20.47</v>
      </c>
      <c r="J635" s="4">
        <f>IFERROR(VLOOKUP(C635,Week3,3,FALSE),130)</f>
        <v>34</v>
      </c>
      <c r="K635" s="4">
        <f>IF(ISBLANK(C635),,IFERROR(VLOOKUP(C635,CurrentRank!$B$2:$D$132,3,FALSE),130))</f>
        <v>128</v>
      </c>
      <c r="L635" s="19">
        <f t="shared" si="274"/>
        <v>0.6285</v>
      </c>
      <c r="M635" s="19">
        <f t="shared" si="275"/>
        <v>0.30705</v>
      </c>
      <c r="N635" s="24">
        <f t="shared" si="276"/>
        <v>82</v>
      </c>
      <c r="O635" s="21">
        <f t="shared" si="4"/>
        <v>-21.26425</v>
      </c>
      <c r="P635" s="21">
        <f t="shared" si="277"/>
        <v>-10.54925</v>
      </c>
      <c r="Q635" s="22">
        <f t="shared" si="6"/>
        <v>0.48367875</v>
      </c>
      <c r="R635" s="25" t="str">
        <f t="shared" si="7"/>
        <v>F</v>
      </c>
      <c r="S635" s="19">
        <f t="shared" si="8"/>
        <v>0.45</v>
      </c>
      <c r="T635" s="19" t="str">
        <f t="shared" si="9"/>
        <v>F</v>
      </c>
      <c r="U635" s="3" t="s">
        <v>203</v>
      </c>
      <c r="V635" s="4" t="str">
        <f>IF(ISBLANK(C635),,IFERROR(IF(VLOOKUP(B635,Standings!$A:$F, 6, 0)=VLOOKUP(C635,Standings!$A:$F, 6, 0), VLOOKUP(B635,Standings!$A:$F, 6, 0), "Non-con"), "FCS"))</f>
        <v>FCS</v>
      </c>
      <c r="W635" s="3" t="str">
        <f t="shared" si="10"/>
        <v>Houston Baptist</v>
      </c>
      <c r="X635" s="3" t="str">
        <f t="shared" si="11"/>
        <v>Louisiana Tech</v>
      </c>
      <c r="Y635" s="30" t="str">
        <f>IF(D635=0,,IF(ISBLANK(Q635),,VLOOKUP(X635,Week3,2,FALSE)/(VLOOKUP(X635,Week3,2,FALSE)+VLOOKUP(W635,Week3,2,FALSE))+0.05)*100)</f>
        <v/>
      </c>
      <c r="Z635" s="3" t="s">
        <v>110</v>
      </c>
      <c r="AA635" s="3">
        <v>66.0</v>
      </c>
      <c r="AB635" s="4" t="str">
        <f t="shared" si="20"/>
        <v>Houston Baptist</v>
      </c>
      <c r="AC635" s="3">
        <v>38.0</v>
      </c>
      <c r="AD635" s="3"/>
      <c r="AE635" s="3">
        <f t="shared" si="13"/>
        <v>28</v>
      </c>
      <c r="AF635" s="3"/>
      <c r="AG635" s="3">
        <f t="shared" si="133"/>
        <v>1</v>
      </c>
      <c r="AH635" s="3"/>
      <c r="AI635" s="7"/>
      <c r="AJ635" s="4"/>
      <c r="AK635" s="7"/>
      <c r="AL635" s="7"/>
      <c r="AM635" s="7"/>
      <c r="AN635" s="7"/>
      <c r="AO635" s="7"/>
      <c r="AP635" s="7"/>
      <c r="AQ635" s="7"/>
      <c r="AR635" s="7"/>
      <c r="AS635" s="7"/>
      <c r="AT635" s="7"/>
      <c r="AU635" s="7"/>
      <c r="AV635" s="7"/>
      <c r="AW635" s="7"/>
      <c r="AX635" s="7"/>
    </row>
    <row r="636" ht="12.75" hidden="1" customHeight="1">
      <c r="A636" s="3">
        <v>6.0</v>
      </c>
      <c r="B636" s="3" t="s">
        <v>261</v>
      </c>
      <c r="C636" s="3" t="s">
        <v>115</v>
      </c>
      <c r="D636" s="4">
        <f>IFERROR(VLOOKUP(B636,Week5,2,FALSE),0)</f>
        <v>0</v>
      </c>
      <c r="E636" s="4">
        <f>IF(ISBLANK(B636),,IFERROR(VLOOKUP(B636,CurrentRank!$B$2:$C$132,2,FALSE),0))</f>
        <v>0</v>
      </c>
      <c r="F636" s="4">
        <f>IFERROR(VLOOKUP(B636,Week5,3,FALSE),130)</f>
        <v>130</v>
      </c>
      <c r="G636" s="4">
        <f>IF(ISBLANK(B636),,IFERROR(VLOOKUP(B636,CurrentRank!$B$2:$D$132,3,FALSE),130))</f>
        <v>130</v>
      </c>
      <c r="H636" s="4">
        <f>IFERROR(VLOOKUP(C636,Week5,2,FALSE),0)</f>
        <v>35.33</v>
      </c>
      <c r="I636" s="4">
        <f>IF(ISBLANK(B636),,IFERROR(VLOOKUP(C636,CurrentRank!$B$2:$C$132,2,FALSE),0))</f>
        <v>32.29</v>
      </c>
      <c r="J636" s="4">
        <f>IFERROR(VLOOKUP(C636,Week5,3,FALSE),130)</f>
        <v>46</v>
      </c>
      <c r="K636" s="4">
        <f>IF(ISBLANK(C636),,IFERROR(VLOOKUP(C636,CurrentRank!$B$2:$D$132,3,FALSE),130))</f>
        <v>91</v>
      </c>
      <c r="L636" s="19">
        <f t="shared" si="274"/>
        <v>0.52995</v>
      </c>
      <c r="M636" s="19">
        <f t="shared" si="275"/>
        <v>0.48435</v>
      </c>
      <c r="N636" s="24">
        <f t="shared" si="276"/>
        <v>88</v>
      </c>
      <c r="O636" s="21">
        <f t="shared" si="4"/>
        <v>-17.929975</v>
      </c>
      <c r="P636" s="21">
        <f t="shared" si="277"/>
        <v>-16.409975</v>
      </c>
      <c r="Q636" s="22">
        <f t="shared" si="6"/>
        <v>0.470350125</v>
      </c>
      <c r="R636" s="25" t="str">
        <f t="shared" si="7"/>
        <v>F</v>
      </c>
      <c r="S636" s="19">
        <f t="shared" si="8"/>
        <v>0.445</v>
      </c>
      <c r="T636" s="19" t="str">
        <f t="shared" si="9"/>
        <v>F</v>
      </c>
      <c r="U636" s="3" t="s">
        <v>203</v>
      </c>
      <c r="V636" s="4" t="str">
        <f>IF(ISBLANK(C636),,IFERROR(IF(VLOOKUP(B636,Standings!$A:$F, 6, 0)=VLOOKUP(C636,Standings!$A:$F, 6, 0), VLOOKUP(B636,Standings!$A:$F, 6, 0), "Non-con"), "FCS"))</f>
        <v>FCS</v>
      </c>
      <c r="W636" s="3" t="str">
        <f t="shared" si="10"/>
        <v>Central Arkansas</v>
      </c>
      <c r="X636" s="3" t="str">
        <f t="shared" si="11"/>
        <v>Arkansas State</v>
      </c>
      <c r="Y636" s="30" t="str">
        <f>IF(D636=0,,IF(ISBLANK(Q636),,VLOOKUP(X636,Week5,2,FALSE)/(VLOOKUP(X636,Week5,2,FALSE)+VLOOKUP(W636,Week5,2,FALSE))+0.05)*100)</f>
        <v/>
      </c>
      <c r="Z636" s="3" t="s">
        <v>115</v>
      </c>
      <c r="AA636" s="3">
        <v>50.0</v>
      </c>
      <c r="AB636" s="4" t="str">
        <f t="shared" si="20"/>
        <v>Central Arkansas</v>
      </c>
      <c r="AC636" s="3">
        <v>27.0</v>
      </c>
      <c r="AD636" s="3"/>
      <c r="AE636" s="3">
        <f t="shared" si="13"/>
        <v>23</v>
      </c>
      <c r="AF636" s="3"/>
      <c r="AG636" s="3">
        <f t="shared" si="133"/>
        <v>1</v>
      </c>
      <c r="AH636" s="3"/>
      <c r="AI636" s="7"/>
      <c r="AJ636" s="4"/>
      <c r="AK636" s="7"/>
      <c r="AL636" s="7"/>
      <c r="AM636" s="7"/>
      <c r="AN636" s="7"/>
      <c r="AO636" s="7"/>
      <c r="AP636" s="7"/>
      <c r="AQ636" s="7"/>
      <c r="AR636" s="7"/>
      <c r="AS636" s="7"/>
      <c r="AT636" s="7"/>
      <c r="AU636" s="7"/>
      <c r="AV636" s="7"/>
      <c r="AW636" s="7"/>
      <c r="AX636" s="7"/>
    </row>
    <row r="637" ht="12.75" hidden="1" customHeight="1">
      <c r="A637" s="3">
        <v>3.0</v>
      </c>
      <c r="B637" s="3" t="s">
        <v>265</v>
      </c>
      <c r="C637" s="3" t="s">
        <v>18</v>
      </c>
      <c r="D637" s="4">
        <f>IFERROR(VLOOKUP(B637,Week2,2,FALSE),0)</f>
        <v>0</v>
      </c>
      <c r="E637" s="4">
        <f>IF(ISBLANK(B637),,IFERROR(VLOOKUP(B637,CurrentRank!$B$2:$C$132,2,FALSE),0))</f>
        <v>0</v>
      </c>
      <c r="F637" s="4">
        <f>IFERROR(VLOOKUP(B637,Week2,3,FALSE),130)</f>
        <v>130</v>
      </c>
      <c r="G637" s="4">
        <f>IF(ISBLANK(B637),,IFERROR(VLOOKUP(B637,CurrentRank!$B$2:$D$132,3,FALSE),130))</f>
        <v>130</v>
      </c>
      <c r="H637" s="4">
        <f>IFERROR(VLOOKUP(C637,Week2,2,FALSE),0)</f>
        <v>85.78</v>
      </c>
      <c r="I637" s="4">
        <f>IF(ISBLANK(B637),,IFERROR(VLOOKUP(C637,CurrentRank!$B$2:$C$132,2,FALSE),0))</f>
        <v>84.24</v>
      </c>
      <c r="J637" s="4">
        <f>IFERROR(VLOOKUP(C637,Week2,3,FALSE),130)</f>
        <v>1</v>
      </c>
      <c r="K637" s="4">
        <f>IF(ISBLANK(C637),,IFERROR(VLOOKUP(C637,CurrentRank!$B$2:$D$132,3,FALSE),130))</f>
        <v>4</v>
      </c>
      <c r="L637" s="19">
        <f t="shared" si="274"/>
        <v>1.2867</v>
      </c>
      <c r="M637" s="19">
        <f t="shared" si="275"/>
        <v>1.2636</v>
      </c>
      <c r="N637" s="24">
        <f t="shared" si="276"/>
        <v>65.5</v>
      </c>
      <c r="O637" s="21">
        <f t="shared" si="4"/>
        <v>-43.53335</v>
      </c>
      <c r="P637" s="21">
        <f t="shared" si="277"/>
        <v>-42.76335</v>
      </c>
      <c r="Q637" s="22">
        <f t="shared" si="6"/>
        <v>0.45483325</v>
      </c>
      <c r="R637" s="25" t="str">
        <f t="shared" si="7"/>
        <v>F</v>
      </c>
      <c r="S637" s="19">
        <f t="shared" si="8"/>
        <v>0.4275</v>
      </c>
      <c r="T637" s="19" t="str">
        <f t="shared" si="9"/>
        <v>F</v>
      </c>
      <c r="U637" s="3" t="s">
        <v>203</v>
      </c>
      <c r="V637" s="4" t="str">
        <f>IF(ISBLANK(C637),,IFERROR(IF(VLOOKUP(B637,Standings!$A:$F, 6, 0)=VLOOKUP(C637,Standings!$A:$F, 6, 0), VLOOKUP(B637,Standings!$A:$F, 6, 0), "Non-con"), "FCS"))</f>
        <v>FCS</v>
      </c>
      <c r="W637" s="3" t="str">
        <f t="shared" si="10"/>
        <v>The Citadel</v>
      </c>
      <c r="X637" s="3" t="str">
        <f t="shared" si="11"/>
        <v>Clemson</v>
      </c>
      <c r="Y637" s="30" t="str">
        <f>IF(D637=0,,IF(ISBLANK(Q637),,VLOOKUP(X637,Week2,2,FALSE)/(VLOOKUP(X637,Week2,2,FALSE)+VLOOKUP(W637,Week2,2,FALSE))+0.05)*100)</f>
        <v/>
      </c>
      <c r="Z637" s="3" t="s">
        <v>18</v>
      </c>
      <c r="AA637" s="3">
        <v>49.0</v>
      </c>
      <c r="AB637" s="4" t="str">
        <f t="shared" si="20"/>
        <v>The Citadel</v>
      </c>
      <c r="AC637" s="3">
        <v>0.0</v>
      </c>
      <c r="AD637" s="3"/>
      <c r="AE637" s="3">
        <f t="shared" si="13"/>
        <v>49</v>
      </c>
      <c r="AF637" s="3"/>
      <c r="AG637" s="3">
        <f t="shared" si="133"/>
        <v>1</v>
      </c>
      <c r="AH637" s="3"/>
      <c r="AI637" s="7"/>
      <c r="AJ637" s="4"/>
      <c r="AK637" s="7"/>
      <c r="AL637" s="7"/>
      <c r="AM637" s="7"/>
      <c r="AN637" s="7"/>
      <c r="AO637" s="7"/>
      <c r="AP637" s="7"/>
      <c r="AQ637" s="7"/>
      <c r="AR637" s="7"/>
      <c r="AS637" s="7"/>
      <c r="AT637" s="7"/>
      <c r="AU637" s="7"/>
      <c r="AV637" s="7"/>
      <c r="AW637" s="7"/>
      <c r="AX637" s="7"/>
    </row>
    <row r="638" ht="12.75" hidden="1" customHeight="1">
      <c r="A638" s="3">
        <v>2.0</v>
      </c>
      <c r="B638" s="3" t="s">
        <v>264</v>
      </c>
      <c r="C638" s="3" t="s">
        <v>51</v>
      </c>
      <c r="D638" s="4">
        <f>IFERROR(VLOOKUP(B638,Week1,2,FALSE),0)</f>
        <v>0</v>
      </c>
      <c r="E638" s="4">
        <f>IF(ISBLANK(B638),,IFERROR(VLOOKUP(B638,CurrentRank!$B$2:$C$132,2,FALSE),0))</f>
        <v>0</v>
      </c>
      <c r="F638" s="4">
        <f>IFERROR(VLOOKUP(B638,Week1,3,FALSE),130)</f>
        <v>130</v>
      </c>
      <c r="G638" s="4">
        <f>IF(ISBLANK(B638),,IFERROR(VLOOKUP(B638,CurrentRank!$B$2:$D$132,3,FALSE),130))</f>
        <v>130</v>
      </c>
      <c r="H638" s="4">
        <f>IFERROR(VLOOKUP(C638,Week1,2,FALSE),0)</f>
        <v>41.52</v>
      </c>
      <c r="I638" s="4">
        <f>IF(ISBLANK(B638),,IFERROR(VLOOKUP(C638,CurrentRank!$B$2:$C$132,2,FALSE),0))</f>
        <v>81.57</v>
      </c>
      <c r="J638" s="4">
        <f>IFERROR(VLOOKUP(C638,Week1,3,FALSE),130)</f>
        <v>5</v>
      </c>
      <c r="K638" s="4">
        <f>IF(ISBLANK(C638),,IFERROR(VLOOKUP(C638,CurrentRank!$B$2:$D$132,3,FALSE),130))</f>
        <v>5</v>
      </c>
      <c r="L638" s="19">
        <f t="shared" si="274"/>
        <v>0.6228</v>
      </c>
      <c r="M638" s="19">
        <f t="shared" si="275"/>
        <v>1.22355</v>
      </c>
      <c r="N638" s="24">
        <f t="shared" si="276"/>
        <v>67.5</v>
      </c>
      <c r="O638" s="21">
        <f t="shared" si="4"/>
        <v>-21.0714</v>
      </c>
      <c r="P638" s="21">
        <f t="shared" si="277"/>
        <v>-41.0964</v>
      </c>
      <c r="Q638" s="22">
        <f t="shared" si="6"/>
        <v>0.557143</v>
      </c>
      <c r="R638" s="25" t="str">
        <f t="shared" si="7"/>
        <v>F</v>
      </c>
      <c r="S638" s="19">
        <f t="shared" si="8"/>
        <v>0.4225</v>
      </c>
      <c r="T638" s="19" t="str">
        <f t="shared" si="9"/>
        <v>F</v>
      </c>
      <c r="U638" s="3" t="s">
        <v>203</v>
      </c>
      <c r="V638" s="4" t="str">
        <f>IF(ISBLANK(C638),,IFERROR(IF(VLOOKUP(B638,Standings!$A:$F, 6, 0)=VLOOKUP(C638,Standings!$A:$F, 6, 0), VLOOKUP(B638,Standings!$A:$F, 6, 0), "Non-con"), "FCS"))</f>
        <v>FCS</v>
      </c>
      <c r="W638" s="3" t="str">
        <f t="shared" si="10"/>
        <v>Missouri State</v>
      </c>
      <c r="X638" s="3" t="str">
        <f t="shared" si="11"/>
        <v>Oklahoma</v>
      </c>
      <c r="Y638" s="30" t="str">
        <f>IF(D638=0,,IF(ISBLANK(Q638),,VLOOKUP(X638,Week1,2,FALSE)/(VLOOKUP(X638,Week1,2,FALSE)+VLOOKUP(W638,Week1,2,FALSE))+0.05)*100)</f>
        <v/>
      </c>
      <c r="Z638" s="3" t="s">
        <v>51</v>
      </c>
      <c r="AA638" s="3">
        <v>48.0</v>
      </c>
      <c r="AB638" s="4" t="str">
        <f t="shared" si="20"/>
        <v>Missouri State</v>
      </c>
      <c r="AC638" s="3">
        <v>0.0</v>
      </c>
      <c r="AD638" s="3"/>
      <c r="AE638" s="3">
        <f t="shared" si="13"/>
        <v>48</v>
      </c>
      <c r="AF638" s="3"/>
      <c r="AG638" s="3">
        <f t="shared" si="133"/>
        <v>1</v>
      </c>
      <c r="AH638" s="3"/>
      <c r="AI638" s="7"/>
      <c r="AJ638" s="4"/>
      <c r="AK638" s="7"/>
      <c r="AL638" s="7"/>
      <c r="AM638" s="7"/>
      <c r="AN638" s="7"/>
      <c r="AO638" s="7"/>
      <c r="AP638" s="7"/>
      <c r="AQ638" s="7"/>
      <c r="AR638" s="7"/>
      <c r="AS638" s="7"/>
      <c r="AT638" s="7"/>
      <c r="AU638" s="7"/>
      <c r="AV638" s="7"/>
      <c r="AW638" s="7"/>
      <c r="AX638" s="7"/>
    </row>
    <row r="639" ht="12.75" hidden="1" customHeight="1">
      <c r="A639" s="3">
        <v>11.0</v>
      </c>
      <c r="B639" s="3" t="s">
        <v>276</v>
      </c>
      <c r="C639" s="3" t="s">
        <v>106</v>
      </c>
      <c r="D639" s="4">
        <f>IFERROR(VLOOKUP(B639,Week10,2,FALSE),0)</f>
        <v>0</v>
      </c>
      <c r="E639" s="4">
        <f>IF(ISBLANK(B639),,IFERROR(VLOOKUP(B639,CurrentRank!$B$2:$C$132,2,FALSE),0))</f>
        <v>0</v>
      </c>
      <c r="F639" s="4">
        <f>IFERROR(VLOOKUP(B639,Week10,3,FALSE),130)</f>
        <v>130</v>
      </c>
      <c r="G639" s="4">
        <f>IF(ISBLANK(B639),,IFERROR(VLOOKUP(B639,CurrentRank!$B$2:$D$132,3,FALSE),130))</f>
        <v>130</v>
      </c>
      <c r="H639" s="4">
        <f>IFERROR(VLOOKUP(C639,Week10,2,FALSE),0)</f>
        <v>67.02</v>
      </c>
      <c r="I639" s="4">
        <f>IF(ISBLANK(B639),,IFERROR(VLOOKUP(C639,CurrentRank!$B$2:$C$132,2,FALSE),0))</f>
        <v>65.58</v>
      </c>
      <c r="J639" s="4">
        <f>IFERROR(VLOOKUP(C639,Week10,3,FALSE),130)</f>
        <v>17</v>
      </c>
      <c r="K639" s="4">
        <f>IF(ISBLANK(C639),,IFERROR(VLOOKUP(C639,CurrentRank!$B$2:$D$132,3,FALSE),130))</f>
        <v>17</v>
      </c>
      <c r="L639" s="19">
        <f t="shared" si="274"/>
        <v>1.0053</v>
      </c>
      <c r="M639" s="19">
        <f t="shared" si="275"/>
        <v>0.9837</v>
      </c>
      <c r="N639" s="24">
        <f t="shared" si="276"/>
        <v>73.5</v>
      </c>
      <c r="O639" s="21">
        <f t="shared" si="4"/>
        <v>-34.01265</v>
      </c>
      <c r="P639" s="21">
        <f t="shared" si="277"/>
        <v>-33.29265</v>
      </c>
      <c r="Q639" s="22">
        <f t="shared" si="6"/>
        <v>0.46243675</v>
      </c>
      <c r="R639" s="25" t="str">
        <f t="shared" si="7"/>
        <v>F</v>
      </c>
      <c r="S639" s="19">
        <f t="shared" si="8"/>
        <v>0.4125</v>
      </c>
      <c r="T639" s="19" t="str">
        <f t="shared" si="9"/>
        <v>F</v>
      </c>
      <c r="U639" s="3" t="s">
        <v>203</v>
      </c>
      <c r="V639" s="4" t="str">
        <f>IF(ISBLANK(C639),,IFERROR(IF(VLOOKUP(B639,Standings!$A:$F, 6, 0)=VLOOKUP(C639,Standings!$A:$F, 6, 0), VLOOKUP(B639,Standings!$A:$F, 6, 0), "Non-con"), "FCS"))</f>
        <v>FCS</v>
      </c>
      <c r="W639" s="3" t="str">
        <f t="shared" si="10"/>
        <v>Western Carolina</v>
      </c>
      <c r="X639" s="3" t="str">
        <f t="shared" si="11"/>
        <v>Liberty</v>
      </c>
      <c r="Y639" s="30" t="str">
        <f>IF(D639=0,,IF(ISBLANK(Q639),,VLOOKUP(X639,Week10,2,FALSE)/(VLOOKUP(X639,Week10,2,FALSE)+VLOOKUP(W639,Week10,2,FALSE))+0.05)*100)</f>
        <v/>
      </c>
      <c r="Z639" s="3" t="s">
        <v>106</v>
      </c>
      <c r="AA639" s="3">
        <v>58.0</v>
      </c>
      <c r="AB639" s="4" t="str">
        <f t="shared" si="20"/>
        <v>Western Carolina</v>
      </c>
      <c r="AC639" s="3">
        <v>14.0</v>
      </c>
      <c r="AD639" s="3"/>
      <c r="AE639" s="3">
        <f t="shared" si="13"/>
        <v>44</v>
      </c>
      <c r="AF639" s="3"/>
      <c r="AG639" s="3">
        <f t="shared" si="133"/>
        <v>1</v>
      </c>
      <c r="AH639" s="3"/>
      <c r="AI639" s="7"/>
      <c r="AJ639" s="4"/>
      <c r="AK639" s="7"/>
      <c r="AL639" s="7"/>
      <c r="AM639" s="7"/>
      <c r="AN639" s="7"/>
      <c r="AO639" s="7"/>
      <c r="AP639" s="7"/>
      <c r="AQ639" s="7"/>
      <c r="AR639" s="7"/>
      <c r="AS639" s="7"/>
      <c r="AT639" s="7"/>
      <c r="AU639" s="7"/>
      <c r="AV639" s="7"/>
      <c r="AW639" s="7"/>
      <c r="AX639" s="7"/>
    </row>
    <row r="640" ht="12.75" hidden="1" customHeight="1">
      <c r="A640" s="3">
        <v>5.0</v>
      </c>
      <c r="B640" s="3" t="s">
        <v>83</v>
      </c>
      <c r="C640" s="3" t="s">
        <v>88</v>
      </c>
      <c r="D640" s="4">
        <f>IFERROR(VLOOKUP(B640,Week4,2,FALSE),0)</f>
        <v>0</v>
      </c>
      <c r="E640" s="4">
        <f>IF(ISBLANK(B640),,IFERROR(VLOOKUP(B640,CurrentRank!$B$2:$C$132,2,FALSE),0))</f>
        <v>0</v>
      </c>
      <c r="F640" s="4">
        <f>IFERROR(VLOOKUP(B640,Week4,3,FALSE),130)</f>
        <v>130</v>
      </c>
      <c r="G640" s="4">
        <f>IF(ISBLANK(B640),,IFERROR(VLOOKUP(B640,CurrentRank!$B$2:$D$132,3,FALSE),130))</f>
        <v>130</v>
      </c>
      <c r="H640" s="4">
        <f>IFERROR(VLOOKUP(C640,Week4,2,FALSE),0)</f>
        <v>35.07</v>
      </c>
      <c r="I640" s="4">
        <f>IF(ISBLANK(B640),,IFERROR(VLOOKUP(C640,CurrentRank!$B$2:$C$132,2,FALSE),0))</f>
        <v>33.11</v>
      </c>
      <c r="J640" s="4">
        <f>IFERROR(VLOOKUP(C640,Week4,3,FALSE),130)</f>
        <v>43</v>
      </c>
      <c r="K640" s="4">
        <f>IF(ISBLANK(C640),,IFERROR(VLOOKUP(C640,CurrentRank!$B$2:$D$132,3,FALSE),130))</f>
        <v>85</v>
      </c>
      <c r="L640" s="19">
        <f t="shared" si="274"/>
        <v>0.52605</v>
      </c>
      <c r="M640" s="19">
        <f t="shared" si="275"/>
        <v>0.49665</v>
      </c>
      <c r="N640" s="24">
        <f t="shared" si="276"/>
        <v>86.5</v>
      </c>
      <c r="O640" s="21">
        <f t="shared" si="4"/>
        <v>-17.798025</v>
      </c>
      <c r="P640" s="21">
        <f t="shared" si="277"/>
        <v>-16.818025</v>
      </c>
      <c r="Q640" s="22">
        <f t="shared" si="6"/>
        <v>0.478509875</v>
      </c>
      <c r="R640" s="25" t="str">
        <f t="shared" si="7"/>
        <v>F</v>
      </c>
      <c r="S640" s="19">
        <f t="shared" si="8"/>
        <v>0.4075</v>
      </c>
      <c r="T640" s="19" t="str">
        <f t="shared" si="9"/>
        <v>F</v>
      </c>
      <c r="U640" s="3" t="s">
        <v>203</v>
      </c>
      <c r="V640" s="4" t="str">
        <f>IF(ISBLANK(C640),,IFERROR(IF(VLOOKUP(B640,Standings!$A:$F, 6, 0)=VLOOKUP(C640,Standings!$A:$F, 6, 0), VLOOKUP(B640,Standings!$A:$F, 6, 0), "Non-con"), "FCS"))</f>
        <v>FCS</v>
      </c>
      <c r="W640" s="3" t="str">
        <f t="shared" si="10"/>
        <v>Abilene Christian</v>
      </c>
      <c r="X640" s="3" t="str">
        <f t="shared" si="11"/>
        <v>Army</v>
      </c>
      <c r="Y640" s="30" t="str">
        <f>IF(D640=0,,IF(ISBLANK(Q640),,VLOOKUP(X640,Week4,2,FALSE)/(VLOOKUP(X640,Week4,2,FALSE)+VLOOKUP(W640,Week4,2,FALSE))+0.05)*100)</f>
        <v/>
      </c>
      <c r="Z640" s="3" t="s">
        <v>88</v>
      </c>
      <c r="AA640" s="3">
        <v>55.0</v>
      </c>
      <c r="AB640" s="4" t="str">
        <f t="shared" si="20"/>
        <v>Abilene Christian</v>
      </c>
      <c r="AC640" s="3">
        <v>23.0</v>
      </c>
      <c r="AD640" s="3"/>
      <c r="AE640" s="3">
        <f t="shared" si="13"/>
        <v>32</v>
      </c>
      <c r="AF640" s="3"/>
      <c r="AG640" s="3">
        <f t="shared" si="133"/>
        <v>1</v>
      </c>
      <c r="AH640" s="3"/>
      <c r="AI640" s="7"/>
      <c r="AJ640" s="4"/>
      <c r="AK640" s="7"/>
      <c r="AL640" s="7"/>
      <c r="AM640" s="7"/>
      <c r="AN640" s="7"/>
      <c r="AO640" s="7"/>
      <c r="AP640" s="7"/>
      <c r="AQ640" s="7"/>
      <c r="AR640" s="7"/>
      <c r="AS640" s="7"/>
      <c r="AT640" s="7"/>
      <c r="AU640" s="7"/>
      <c r="AV640" s="7"/>
      <c r="AW640" s="7"/>
      <c r="AX640" s="7"/>
    </row>
    <row r="641" ht="12.75" hidden="1" customHeight="1">
      <c r="A641" s="3">
        <v>15.0</v>
      </c>
      <c r="B641" s="3" t="s">
        <v>283</v>
      </c>
      <c r="C641" s="3" t="s">
        <v>115</v>
      </c>
      <c r="D641" s="4">
        <f>IFERROR(VLOOKUP(B641,Week14,2,FALSE),0)</f>
        <v>0</v>
      </c>
      <c r="E641" s="4">
        <f>IF(ISBLANK(B641),,IFERROR(VLOOKUP(B641,CurrentRank!$B$2:$C$132,2,FALSE),0))</f>
        <v>0</v>
      </c>
      <c r="F641" s="4">
        <f>IFERROR(VLOOKUP(B641,Week14,3,FALSE),130)</f>
        <v>130</v>
      </c>
      <c r="G641" s="4">
        <f>IF(ISBLANK(B641),,IFERROR(VLOOKUP(B641,CurrentRank!$B$2:$D$132,3,FALSE),130))</f>
        <v>130</v>
      </c>
      <c r="H641" s="4">
        <f>IFERROR(VLOOKUP(C641,Week14,2,FALSE),0)</f>
        <v>32.07</v>
      </c>
      <c r="I641" s="4">
        <f>IF(ISBLANK(B641),,IFERROR(VLOOKUP(C641,CurrentRank!$B$2:$C$132,2,FALSE),0))</f>
        <v>32.29</v>
      </c>
      <c r="J641" s="4">
        <f>IFERROR(VLOOKUP(C641,Week14,3,FALSE),130)</f>
        <v>95</v>
      </c>
      <c r="K641" s="4">
        <f>IF(ISBLANK(C641),,IFERROR(VLOOKUP(C641,CurrentRank!$B$2:$D$132,3,FALSE),130))</f>
        <v>91</v>
      </c>
      <c r="L641" s="19">
        <f t="shared" ref="L641:M641" si="278">IF(ISBLANK(C641),,(D641+H641)*0.015)</f>
        <v>0.48105</v>
      </c>
      <c r="M641" s="19">
        <f t="shared" si="278"/>
        <v>0.48435</v>
      </c>
      <c r="N641" s="24">
        <f t="shared" si="276"/>
        <v>112.5</v>
      </c>
      <c r="O641" s="21">
        <f t="shared" si="4"/>
        <v>-16.275525</v>
      </c>
      <c r="P641" s="21">
        <f t="shared" si="277"/>
        <v>-16.385525</v>
      </c>
      <c r="Q641" s="22">
        <f t="shared" si="6"/>
        <v>0.356122375</v>
      </c>
      <c r="R641" s="25" t="str">
        <f t="shared" si="7"/>
        <v>F</v>
      </c>
      <c r="S641" s="19" t="str">
        <f t="shared" si="8"/>
        <v/>
      </c>
      <c r="T641" s="19" t="str">
        <f t="shared" si="9"/>
        <v/>
      </c>
      <c r="U641" s="3" t="s">
        <v>203</v>
      </c>
      <c r="V641" s="4" t="str">
        <f>IF(ISBLANK(C641),,IFERROR(IF(VLOOKUP(B641,Standings!$A:$F, 6, 0)=VLOOKUP(C641,Standings!$A:$F, 6, 0), VLOOKUP(B641,Standings!$A:$F, 6, 0), "Non-con"), "FCS"))</f>
        <v>FCS</v>
      </c>
      <c r="W641" s="3" t="str">
        <f t="shared" si="10"/>
        <v>Incarnate Word</v>
      </c>
      <c r="X641" s="3" t="str">
        <f t="shared" si="11"/>
        <v>Arkansas State</v>
      </c>
      <c r="Y641" s="30" t="str">
        <f>IF(D641=0,,IF(ISBLANK(Q641),,VLOOKUP(X641,Week14,2,FALSE)/(VLOOKUP(X641,Week14,2,FALSE)+VLOOKUP(W641,Week14,2,FALSE))+0.05)*100)</f>
        <v/>
      </c>
      <c r="Z641" s="3"/>
      <c r="AA641" s="3"/>
      <c r="AB641" s="4" t="str">
        <f t="shared" si="20"/>
        <v/>
      </c>
      <c r="AC641" s="3"/>
      <c r="AD641" s="3"/>
      <c r="AE641" s="3" t="str">
        <f t="shared" si="13"/>
        <v/>
      </c>
      <c r="AF641" s="3" t="s">
        <v>226</v>
      </c>
      <c r="AG641" s="3" t="str">
        <f t="shared" si="133"/>
        <v/>
      </c>
      <c r="AH641" s="3"/>
      <c r="AI641" s="7"/>
      <c r="AJ641" s="4"/>
      <c r="AK641" s="7"/>
      <c r="AL641" s="7"/>
      <c r="AM641" s="7"/>
      <c r="AN641" s="7"/>
      <c r="AO641" s="7"/>
      <c r="AP641" s="7"/>
      <c r="AQ641" s="7"/>
      <c r="AR641" s="7"/>
      <c r="AS641" s="7"/>
      <c r="AT641" s="7"/>
      <c r="AU641" s="7"/>
      <c r="AV641" s="7"/>
      <c r="AW641" s="7"/>
      <c r="AX641" s="7"/>
    </row>
    <row r="642" ht="12.75" hidden="1" customHeight="1">
      <c r="A642" s="3">
        <v>4.0</v>
      </c>
      <c r="B642" s="3" t="s">
        <v>260</v>
      </c>
      <c r="C642" s="3" t="s">
        <v>86</v>
      </c>
      <c r="D642" s="4">
        <f>IFERROR(VLOOKUP(B642,Week3,2,FALSE),0)</f>
        <v>0</v>
      </c>
      <c r="E642" s="4">
        <f>IF(ISBLANK(B642),,IFERROR(VLOOKUP(B642,CurrentRank!$B$2:$C$132,2,FALSE),0))</f>
        <v>0</v>
      </c>
      <c r="F642" s="4">
        <f>IFERROR(VLOOKUP(B642,Week3,3,FALSE),130)</f>
        <v>130</v>
      </c>
      <c r="G642" s="4">
        <f>IF(ISBLANK(B642),,IFERROR(VLOOKUP(B642,CurrentRank!$B$2:$D$132,3,FALSE),130))</f>
        <v>130</v>
      </c>
      <c r="H642" s="4">
        <f>IFERROR(VLOOKUP(C642,Week3,2,FALSE),0)</f>
        <v>46.61</v>
      </c>
      <c r="I642" s="4">
        <f>IF(ISBLANK(B642),,IFERROR(VLOOKUP(C642,CurrentRank!$B$2:$C$132,2,FALSE),0))</f>
        <v>33.56</v>
      </c>
      <c r="J642" s="4">
        <f>IFERROR(VLOOKUP(C642,Week3,3,FALSE),130)</f>
        <v>26</v>
      </c>
      <c r="K642" s="4">
        <f>IF(ISBLANK(C642),,IFERROR(VLOOKUP(C642,CurrentRank!$B$2:$D$132,3,FALSE),130))</f>
        <v>78</v>
      </c>
      <c r="L642" s="19">
        <f t="shared" ref="L642:L1005" si="279">IF(U642= "Yes", 0, IF(ISBLANK(C642),,(D642+H642)*0.015))</f>
        <v>0.69915</v>
      </c>
      <c r="M642" s="19">
        <f t="shared" ref="M642:M1005" si="280">IF(U642= "Yes", 0, IF(ISBLANK(D642),,(E642+I642)*0.015))</f>
        <v>0.5034</v>
      </c>
      <c r="N642" s="24">
        <f t="shared" si="276"/>
        <v>78</v>
      </c>
      <c r="O642" s="21">
        <f t="shared" si="4"/>
        <v>-23.654575</v>
      </c>
      <c r="P642" s="21">
        <f t="shared" si="277"/>
        <v>-17.129575</v>
      </c>
      <c r="Q642" s="22">
        <f t="shared" si="6"/>
        <v>0.491727125</v>
      </c>
      <c r="R642" s="25" t="str">
        <f t="shared" si="7"/>
        <v>F</v>
      </c>
      <c r="S642" s="19">
        <f t="shared" si="8"/>
        <v>0.395</v>
      </c>
      <c r="T642" s="19" t="str">
        <f t="shared" si="9"/>
        <v>F</v>
      </c>
      <c r="U642" s="3" t="s">
        <v>203</v>
      </c>
      <c r="V642" s="4" t="str">
        <f>IF(ISBLANK(C642),,IFERROR(IF(VLOOKUP(B642,Standings!$A:$F, 6, 0)=VLOOKUP(C642,Standings!$A:$F, 6, 0), VLOOKUP(B642,Standings!$A:$F, 6, 0), "Non-con"), "FCS"))</f>
        <v>FCS</v>
      </c>
      <c r="W642" s="3" t="str">
        <f t="shared" si="10"/>
        <v>Stephen F. Austin</v>
      </c>
      <c r="X642" s="3" t="str">
        <f t="shared" si="11"/>
        <v>Southern Methodist</v>
      </c>
      <c r="Y642" s="30" t="str">
        <f>IF(D642=0,,IF(ISBLANK(Q642),,VLOOKUP(X642,Week3,2,FALSE)/(VLOOKUP(X642,Week3,2,FALSE)+VLOOKUP(W642,Week3,2,FALSE))+0.05)*100)</f>
        <v/>
      </c>
      <c r="Z642" s="3" t="s">
        <v>86</v>
      </c>
      <c r="AA642" s="3">
        <v>50.0</v>
      </c>
      <c r="AB642" s="4" t="str">
        <f t="shared" si="20"/>
        <v>Stephen F. Austin</v>
      </c>
      <c r="AC642" s="3">
        <v>7.0</v>
      </c>
      <c r="AD642" s="3"/>
      <c r="AE642" s="3">
        <f t="shared" si="13"/>
        <v>43</v>
      </c>
      <c r="AF642" s="3"/>
      <c r="AG642" s="3">
        <f t="shared" si="133"/>
        <v>1</v>
      </c>
      <c r="AH642" s="3"/>
      <c r="AI642" s="7"/>
      <c r="AJ642" s="4"/>
      <c r="AK642" s="7"/>
      <c r="AL642" s="7"/>
      <c r="AM642" s="7"/>
      <c r="AN642" s="7"/>
      <c r="AO642" s="7"/>
      <c r="AP642" s="7"/>
      <c r="AQ642" s="7"/>
      <c r="AR642" s="7"/>
      <c r="AS642" s="7"/>
      <c r="AT642" s="7"/>
      <c r="AU642" s="7"/>
      <c r="AV642" s="7"/>
      <c r="AW642" s="7"/>
      <c r="AX642" s="7"/>
    </row>
    <row r="643" ht="12.75" hidden="1" customHeight="1">
      <c r="A643" s="3">
        <v>12.0</v>
      </c>
      <c r="B643" s="3" t="s">
        <v>230</v>
      </c>
      <c r="C643" s="3" t="s">
        <v>73</v>
      </c>
      <c r="D643" s="4">
        <f>IFERROR(VLOOKUP(B643,Week11,2,FALSE),0)</f>
        <v>0</v>
      </c>
      <c r="E643" s="4">
        <f>IF(ISBLANK(B643),,IFERROR(VLOOKUP(B643,CurrentRank!$B$2:$C$132,2,FALSE),0))</f>
        <v>0</v>
      </c>
      <c r="F643" s="4">
        <f>IFERROR(VLOOKUP(B643,Week11,3,FALSE),130)</f>
        <v>130</v>
      </c>
      <c r="G643" s="4">
        <f>IF(ISBLANK(B643),,IFERROR(VLOOKUP(B643,CurrentRank!$B$2:$D$132,3,FALSE),130))</f>
        <v>130</v>
      </c>
      <c r="H643" s="4">
        <f>IFERROR(VLOOKUP(C643,Week11,2,FALSE),0)</f>
        <v>79.2</v>
      </c>
      <c r="I643" s="4">
        <f>IF(ISBLANK(B643),,IFERROR(VLOOKUP(C643,CurrentRank!$B$2:$C$132,2,FALSE),0))</f>
        <v>69.33</v>
      </c>
      <c r="J643" s="4">
        <f>IFERROR(VLOOKUP(C643,Week11,3,FALSE),130)</f>
        <v>9</v>
      </c>
      <c r="K643" s="4">
        <f>IF(ISBLANK(C643),,IFERROR(VLOOKUP(C643,CurrentRank!$B$2:$D$132,3,FALSE),130))</f>
        <v>15</v>
      </c>
      <c r="L643" s="19">
        <f t="shared" si="279"/>
        <v>1.188</v>
      </c>
      <c r="M643" s="19">
        <f t="shared" si="280"/>
        <v>1.03995</v>
      </c>
      <c r="N643" s="24">
        <f t="shared" si="276"/>
        <v>69.5</v>
      </c>
      <c r="O643" s="21">
        <f t="shared" si="4"/>
        <v>-40.194</v>
      </c>
      <c r="P643" s="21">
        <f t="shared" si="277"/>
        <v>-35.259</v>
      </c>
      <c r="Q643" s="22">
        <f t="shared" si="6"/>
        <v>0.45153</v>
      </c>
      <c r="R643" s="25" t="str">
        <f t="shared" si="7"/>
        <v>F</v>
      </c>
      <c r="S643" s="19">
        <f t="shared" si="8"/>
        <v>0.3925</v>
      </c>
      <c r="T643" s="19" t="str">
        <f t="shared" si="9"/>
        <v>F</v>
      </c>
      <c r="U643" s="3" t="s">
        <v>203</v>
      </c>
      <c r="V643" s="4" t="str">
        <f>IF(ISBLANK(C643),,IFERROR(IF(VLOOKUP(B643,Standings!$A:$F, 6, 0)=VLOOKUP(C643,Standings!$A:$F, 6, 0), VLOOKUP(B643,Standings!$A:$F, 6, 0), "Non-con"), "FCS"))</f>
        <v>FCS</v>
      </c>
      <c r="W643" s="3" t="str">
        <f t="shared" si="10"/>
        <v>North Alabama</v>
      </c>
      <c r="X643" s="3" t="str">
        <f t="shared" si="11"/>
        <v>BYU</v>
      </c>
      <c r="Y643" s="30" t="str">
        <f>IF(D643=0,,IF(ISBLANK(Q643),,VLOOKUP(X643,Week11,2,FALSE)/(VLOOKUP(X643,Week11,2,FALSE)+VLOOKUP(W643,Week11,2,FALSE))+0.05)*100)</f>
        <v/>
      </c>
      <c r="Z643" s="3" t="s">
        <v>73</v>
      </c>
      <c r="AA643" s="3">
        <v>66.0</v>
      </c>
      <c r="AB643" s="4" t="str">
        <f t="shared" si="20"/>
        <v>North Alabama</v>
      </c>
      <c r="AC643" s="3">
        <v>14.0</v>
      </c>
      <c r="AD643" s="3"/>
      <c r="AE643" s="3">
        <f t="shared" si="13"/>
        <v>52</v>
      </c>
      <c r="AF643" s="3"/>
      <c r="AG643" s="3">
        <f t="shared" si="133"/>
        <v>1</v>
      </c>
      <c r="AH643" s="3"/>
      <c r="AI643" s="7"/>
      <c r="AJ643" s="4"/>
      <c r="AK643" s="7"/>
      <c r="AL643" s="7"/>
      <c r="AM643" s="7"/>
      <c r="AN643" s="7"/>
      <c r="AO643" s="7"/>
      <c r="AP643" s="7"/>
      <c r="AQ643" s="7"/>
      <c r="AR643" s="7"/>
      <c r="AS643" s="7"/>
      <c r="AT643" s="7"/>
      <c r="AU643" s="7"/>
      <c r="AV643" s="7"/>
      <c r="AW643" s="7"/>
      <c r="AX643" s="7"/>
    </row>
    <row r="644" ht="12.75" hidden="1" customHeight="1">
      <c r="A644" s="3">
        <v>8.0</v>
      </c>
      <c r="B644" s="3" t="s">
        <v>275</v>
      </c>
      <c r="C644" s="3" t="s">
        <v>88</v>
      </c>
      <c r="D644" s="4">
        <f>IFERROR(VLOOKUP(B644,Week7,2,FALSE),0)</f>
        <v>0</v>
      </c>
      <c r="E644" s="4">
        <f>IF(ISBLANK(B644),,IFERROR(VLOOKUP(B644,CurrentRank!$B$2:$C$132,2,FALSE),0))</f>
        <v>0</v>
      </c>
      <c r="F644" s="4">
        <f>IFERROR(VLOOKUP(B644,Week7,3,FALSE),130)</f>
        <v>130</v>
      </c>
      <c r="G644" s="4">
        <f>IF(ISBLANK(B644),,IFERROR(VLOOKUP(B644,CurrentRank!$B$2:$D$132,3,FALSE),130))</f>
        <v>130</v>
      </c>
      <c r="H644" s="4">
        <f>IFERROR(VLOOKUP(C644,Week7,2,FALSE),0)</f>
        <v>40.43</v>
      </c>
      <c r="I644" s="4">
        <f>IF(ISBLANK(B644),,IFERROR(VLOOKUP(C644,CurrentRank!$B$2:$C$132,2,FALSE),0))</f>
        <v>33.11</v>
      </c>
      <c r="J644" s="4">
        <f>IFERROR(VLOOKUP(C644,Week7,3,FALSE),130)</f>
        <v>34</v>
      </c>
      <c r="K644" s="4">
        <f>IF(ISBLANK(C644),,IFERROR(VLOOKUP(C644,CurrentRank!$B$2:$D$132,3,FALSE),130))</f>
        <v>85</v>
      </c>
      <c r="L644" s="19">
        <f t="shared" si="279"/>
        <v>0.60645</v>
      </c>
      <c r="M644" s="19">
        <f t="shared" si="280"/>
        <v>0.49665</v>
      </c>
      <c r="N644" s="24">
        <f t="shared" si="276"/>
        <v>82</v>
      </c>
      <c r="O644" s="21">
        <f t="shared" si="4"/>
        <v>-20.518225</v>
      </c>
      <c r="P644" s="21">
        <f t="shared" si="277"/>
        <v>-16.858225</v>
      </c>
      <c r="Q644" s="22">
        <f t="shared" si="6"/>
        <v>0.487408875</v>
      </c>
      <c r="R644" s="25" t="str">
        <f t="shared" si="7"/>
        <v>F</v>
      </c>
      <c r="S644" s="19">
        <f t="shared" si="8"/>
        <v>0.36</v>
      </c>
      <c r="T644" s="19" t="str">
        <f t="shared" si="9"/>
        <v>F</v>
      </c>
      <c r="U644" s="3" t="s">
        <v>203</v>
      </c>
      <c r="V644" s="4" t="str">
        <f>IF(ISBLANK(C644),,IFERROR(IF(VLOOKUP(B644,Standings!$A:$F, 6, 0)=VLOOKUP(C644,Standings!$A:$F, 6, 0), VLOOKUP(B644,Standings!$A:$F, 6, 0), "Non-con"), "FCS"))</f>
        <v>FCS</v>
      </c>
      <c r="W644" s="3" t="str">
        <f t="shared" si="10"/>
        <v>Mercer</v>
      </c>
      <c r="X644" s="3" t="str">
        <f t="shared" si="11"/>
        <v>Army</v>
      </c>
      <c r="Y644" s="30" t="str">
        <f>IF(D644=0,,IF(ISBLANK(Q644),,VLOOKUP(X644,Week7,2,FALSE)/(VLOOKUP(X644,Week7,2,FALSE)+VLOOKUP(W644,Week7,2,FALSE))+0.05)*100)</f>
        <v/>
      </c>
      <c r="Z644" s="3" t="s">
        <v>88</v>
      </c>
      <c r="AA644" s="3">
        <v>49.0</v>
      </c>
      <c r="AB644" s="4" t="str">
        <f t="shared" si="20"/>
        <v>Mercer</v>
      </c>
      <c r="AC644" s="3">
        <v>3.0</v>
      </c>
      <c r="AD644" s="3"/>
      <c r="AE644" s="3">
        <f t="shared" si="13"/>
        <v>46</v>
      </c>
      <c r="AF644" s="3"/>
      <c r="AG644" s="3">
        <f t="shared" si="133"/>
        <v>1</v>
      </c>
      <c r="AH644" s="3"/>
      <c r="AI644" s="7"/>
      <c r="AJ644" s="4"/>
      <c r="AK644" s="7"/>
      <c r="AL644" s="7"/>
      <c r="AM644" s="7"/>
      <c r="AN644" s="7"/>
      <c r="AO644" s="7"/>
      <c r="AP644" s="7"/>
      <c r="AQ644" s="7"/>
      <c r="AR644" s="7"/>
      <c r="AS644" s="7"/>
      <c r="AT644" s="7"/>
      <c r="AU644" s="7"/>
      <c r="AV644" s="7"/>
      <c r="AW644" s="7"/>
      <c r="AX644" s="7"/>
    </row>
    <row r="645" ht="12.75" hidden="1" customHeight="1">
      <c r="A645" s="3">
        <v>2.0</v>
      </c>
      <c r="B645" s="3" t="s">
        <v>250</v>
      </c>
      <c r="C645" s="3" t="s">
        <v>117</v>
      </c>
      <c r="D645" s="4">
        <f>IFERROR(VLOOKUP(B645,Week1,2,FALSE),0)</f>
        <v>0</v>
      </c>
      <c r="E645" s="4">
        <f>IF(ISBLANK(B645),,IFERROR(VLOOKUP(B645,CurrentRank!$B$2:$C$132,2,FALSE),0))</f>
        <v>0</v>
      </c>
      <c r="F645" s="4">
        <f>IFERROR(VLOOKUP(B645,Week1,3,FALSE),130)</f>
        <v>130</v>
      </c>
      <c r="G645" s="4">
        <f>IF(ISBLANK(B645),,IFERROR(VLOOKUP(B645,CurrentRank!$B$2:$D$132,3,FALSE),130))</f>
        <v>130</v>
      </c>
      <c r="H645" s="4">
        <f>IFERROR(VLOOKUP(C645,Week1,2,FALSE),0)</f>
        <v>6.67</v>
      </c>
      <c r="I645" s="4">
        <f>IF(ISBLANK(B645),,IFERROR(VLOOKUP(C645,CurrentRank!$B$2:$C$132,2,FALSE),0))</f>
        <v>38.08</v>
      </c>
      <c r="J645" s="4">
        <f>IFERROR(VLOOKUP(C645,Week1,3,FALSE),130)</f>
        <v>35</v>
      </c>
      <c r="K645" s="4">
        <f>IF(ISBLANK(C645),,IFERROR(VLOOKUP(C645,CurrentRank!$B$2:$D$132,3,FALSE),130))</f>
        <v>37</v>
      </c>
      <c r="L645" s="19">
        <f t="shared" si="279"/>
        <v>0.10005</v>
      </c>
      <c r="M645" s="19">
        <f t="shared" si="280"/>
        <v>0.5712</v>
      </c>
      <c r="N645" s="24">
        <f t="shared" si="276"/>
        <v>82.5</v>
      </c>
      <c r="O645" s="21">
        <f t="shared" si="4"/>
        <v>-3.385025</v>
      </c>
      <c r="P645" s="21">
        <f t="shared" si="277"/>
        <v>-19.090025</v>
      </c>
      <c r="Q645" s="22">
        <f t="shared" si="6"/>
        <v>0.570574875</v>
      </c>
      <c r="R645" s="25" t="str">
        <f t="shared" si="7"/>
        <v>F</v>
      </c>
      <c r="S645" s="19">
        <f t="shared" si="8"/>
        <v>0.3575</v>
      </c>
      <c r="T645" s="19" t="str">
        <f t="shared" si="9"/>
        <v>F</v>
      </c>
      <c r="U645" s="3" t="s">
        <v>203</v>
      </c>
      <c r="V645" s="4" t="str">
        <f>IF(ISBLANK(C645),,IFERROR(IF(VLOOKUP(B645,Standings!$A:$F, 6, 0)=VLOOKUP(C645,Standings!$A:$F, 6, 0), VLOOKUP(B645,Standings!$A:$F, 6, 0), "Non-con"), "FCS"))</f>
        <v>FCS</v>
      </c>
      <c r="W645" s="3" t="str">
        <f t="shared" si="10"/>
        <v>Eastern Kentucky</v>
      </c>
      <c r="X645" s="3" t="str">
        <f t="shared" si="11"/>
        <v>West Virginia</v>
      </c>
      <c r="Y645" s="30" t="str">
        <f>IF(D645=0,,IF(ISBLANK(Q645),,VLOOKUP(X645,Week1,2,FALSE)/(VLOOKUP(X645,Week1,2,FALSE)+VLOOKUP(W645,Week1,2,FALSE))+0.05)*100)</f>
        <v/>
      </c>
      <c r="Z645" s="3" t="s">
        <v>117</v>
      </c>
      <c r="AA645" s="3">
        <v>56.0</v>
      </c>
      <c r="AB645" s="4" t="str">
        <f t="shared" si="20"/>
        <v>Eastern Kentucky</v>
      </c>
      <c r="AC645" s="3">
        <v>10.0</v>
      </c>
      <c r="AD645" s="3"/>
      <c r="AE645" s="3">
        <f t="shared" si="13"/>
        <v>46</v>
      </c>
      <c r="AF645" s="3"/>
      <c r="AG645" s="3">
        <f t="shared" si="133"/>
        <v>1</v>
      </c>
      <c r="AH645" s="3"/>
      <c r="AI645" s="7"/>
      <c r="AJ645" s="4"/>
      <c r="AK645" s="7"/>
      <c r="AL645" s="7"/>
      <c r="AM645" s="7"/>
      <c r="AN645" s="7"/>
      <c r="AO645" s="7"/>
      <c r="AP645" s="7"/>
      <c r="AQ645" s="7"/>
      <c r="AR645" s="7"/>
      <c r="AS645" s="7"/>
      <c r="AT645" s="7"/>
      <c r="AU645" s="7"/>
      <c r="AV645" s="7"/>
      <c r="AW645" s="7"/>
      <c r="AX645" s="7"/>
    </row>
    <row r="646" ht="12.75" hidden="1" customHeight="1">
      <c r="A646" s="3">
        <v>12.0</v>
      </c>
      <c r="B646" s="3" t="s">
        <v>83</v>
      </c>
      <c r="C646" s="3" t="s">
        <v>112</v>
      </c>
      <c r="D646" s="4">
        <f>IFERROR(VLOOKUP(B646,Week11,2,FALSE),0)</f>
        <v>0</v>
      </c>
      <c r="E646" s="4">
        <f>IF(ISBLANK(B646),,IFERROR(VLOOKUP(B646,CurrentRank!$B$2:$C$132,2,FALSE),0))</f>
        <v>0</v>
      </c>
      <c r="F646" s="4">
        <f>IFERROR(VLOOKUP(B646,Week11,3,FALSE),130)</f>
        <v>130</v>
      </c>
      <c r="G646" s="4">
        <f>IF(ISBLANK(B646),,IFERROR(VLOOKUP(B646,CurrentRank!$B$2:$D$132,3,FALSE),130))</f>
        <v>130</v>
      </c>
      <c r="H646" s="4">
        <f>IFERROR(VLOOKUP(C646,Week11,2,FALSE),0)</f>
        <v>38.91</v>
      </c>
      <c r="I646" s="4">
        <f>IF(ISBLANK(B646),,IFERROR(VLOOKUP(C646,CurrentRank!$B$2:$C$132,2,FALSE),0))</f>
        <v>36.98</v>
      </c>
      <c r="J646" s="4">
        <f>IFERROR(VLOOKUP(C646,Week11,3,FALSE),130)</f>
        <v>47</v>
      </c>
      <c r="K646" s="4">
        <f>IF(ISBLANK(C646),,IFERROR(VLOOKUP(C646,CurrentRank!$B$2:$D$132,3,FALSE),130))</f>
        <v>46</v>
      </c>
      <c r="L646" s="19">
        <f t="shared" si="279"/>
        <v>0.58365</v>
      </c>
      <c r="M646" s="19">
        <f t="shared" si="280"/>
        <v>0.5547</v>
      </c>
      <c r="N646" s="24">
        <f t="shared" si="276"/>
        <v>88.5</v>
      </c>
      <c r="O646" s="21">
        <f t="shared" si="4"/>
        <v>-19.746825</v>
      </c>
      <c r="P646" s="21">
        <f t="shared" si="277"/>
        <v>-18.781825</v>
      </c>
      <c r="Q646" s="22">
        <f t="shared" si="6"/>
        <v>0.458765875</v>
      </c>
      <c r="R646" s="25" t="str">
        <f t="shared" si="7"/>
        <v>F</v>
      </c>
      <c r="S646" s="19">
        <f t="shared" si="8"/>
        <v>0.3575</v>
      </c>
      <c r="T646" s="19" t="str">
        <f t="shared" si="9"/>
        <v>F</v>
      </c>
      <c r="U646" s="3" t="s">
        <v>203</v>
      </c>
      <c r="V646" s="4" t="str">
        <f>IF(ISBLANK(C646),,IFERROR(IF(VLOOKUP(B646,Standings!$A:$F, 6, 0)=VLOOKUP(C646,Standings!$A:$F, 6, 0), VLOOKUP(B646,Standings!$A:$F, 6, 0), "Non-con"), "FCS"))</f>
        <v>FCS</v>
      </c>
      <c r="W646" s="3" t="str">
        <f t="shared" si="10"/>
        <v>Abilene Christian</v>
      </c>
      <c r="X646" s="3" t="str">
        <f t="shared" si="11"/>
        <v>Virginia</v>
      </c>
      <c r="Y646" s="30" t="str">
        <f>IF(D646=0,,IF(ISBLANK(Q646),,VLOOKUP(X646,Week11,2,FALSE)/(VLOOKUP(X646,Week11,2,FALSE)+VLOOKUP(W646,Week11,2,FALSE))+0.05)*100)</f>
        <v/>
      </c>
      <c r="Z646" s="3" t="s">
        <v>112</v>
      </c>
      <c r="AA646" s="3">
        <v>55.0</v>
      </c>
      <c r="AB646" s="4" t="str">
        <f t="shared" si="20"/>
        <v>Abilene Christian</v>
      </c>
      <c r="AC646" s="3">
        <v>15.0</v>
      </c>
      <c r="AD646" s="3"/>
      <c r="AE646" s="3">
        <f t="shared" si="13"/>
        <v>40</v>
      </c>
      <c r="AF646" s="3"/>
      <c r="AG646" s="3">
        <f t="shared" si="133"/>
        <v>1</v>
      </c>
      <c r="AH646" s="3"/>
      <c r="AI646" s="7"/>
      <c r="AJ646" s="4" t="s">
        <v>171</v>
      </c>
      <c r="AK646" s="7"/>
      <c r="AL646" s="7"/>
      <c r="AM646" s="7"/>
      <c r="AN646" s="7"/>
      <c r="AO646" s="7"/>
      <c r="AP646" s="7"/>
      <c r="AQ646" s="7"/>
      <c r="AR646" s="7"/>
      <c r="AS646" s="7"/>
      <c r="AT646" s="7"/>
      <c r="AU646" s="7"/>
      <c r="AV646" s="7"/>
      <c r="AW646" s="7"/>
      <c r="AX646" s="7"/>
    </row>
    <row r="647" ht="12.75" hidden="1" customHeight="1">
      <c r="A647" s="3">
        <v>14.0</v>
      </c>
      <c r="B647" s="3" t="s">
        <v>276</v>
      </c>
      <c r="C647" s="3" t="s">
        <v>38</v>
      </c>
      <c r="D647" s="4">
        <f>IFERROR(VLOOKUP(B647,Week13,2,FALSE),0)</f>
        <v>0</v>
      </c>
      <c r="E647" s="4">
        <f>IF(ISBLANK(B647),,IFERROR(VLOOKUP(B647,CurrentRank!$B$2:$C$132,2,FALSE),0))</f>
        <v>0</v>
      </c>
      <c r="F647" s="4">
        <f>IFERROR(VLOOKUP(B647,Week13,3,FALSE),130)</f>
        <v>130</v>
      </c>
      <c r="G647" s="4">
        <f>IF(ISBLANK(B647),,IFERROR(VLOOKUP(B647,CurrentRank!$B$2:$D$132,3,FALSE),130))</f>
        <v>130</v>
      </c>
      <c r="H647" s="4">
        <f>IFERROR(VLOOKUP(C647,Week13,2,FALSE),0)</f>
        <v>36.18</v>
      </c>
      <c r="I647" s="4">
        <f>IF(ISBLANK(B647),,IFERROR(VLOOKUP(C647,CurrentRank!$B$2:$C$132,2,FALSE),0))</f>
        <v>63.1</v>
      </c>
      <c r="J647" s="4">
        <f>IFERROR(VLOOKUP(C647,Week13,3,FALSE),130)</f>
        <v>50</v>
      </c>
      <c r="K647" s="4">
        <f>IF(ISBLANK(C647),,IFERROR(VLOOKUP(C647,CurrentRank!$B$2:$D$132,3,FALSE),130))</f>
        <v>18</v>
      </c>
      <c r="L647" s="19">
        <f t="shared" si="279"/>
        <v>0.5427</v>
      </c>
      <c r="M647" s="19">
        <f t="shared" si="280"/>
        <v>0.9465</v>
      </c>
      <c r="N647" s="24">
        <f t="shared" si="276"/>
        <v>90</v>
      </c>
      <c r="O647" s="21">
        <f t="shared" si="4"/>
        <v>-18.36135</v>
      </c>
      <c r="P647" s="21">
        <f t="shared" si="277"/>
        <v>-31.82135</v>
      </c>
      <c r="Q647" s="22">
        <f t="shared" si="6"/>
        <v>0.45819325</v>
      </c>
      <c r="R647" s="25" t="str">
        <f t="shared" si="7"/>
        <v>F</v>
      </c>
      <c r="S647" s="19">
        <f t="shared" si="8"/>
        <v>0.35</v>
      </c>
      <c r="T647" s="19" t="str">
        <f t="shared" si="9"/>
        <v>F</v>
      </c>
      <c r="U647" s="3" t="s">
        <v>203</v>
      </c>
      <c r="V647" s="4" t="str">
        <f>IF(ISBLANK(C647),,IFERROR(IF(VLOOKUP(B647,Standings!$A:$F, 6, 0)=VLOOKUP(C647,Standings!$A:$F, 6, 0), VLOOKUP(B647,Standings!$A:$F, 6, 0), "Non-con"), "FCS"))</f>
        <v>FCS</v>
      </c>
      <c r="W647" s="3" t="str">
        <f t="shared" si="10"/>
        <v>Western Carolina</v>
      </c>
      <c r="X647" s="3" t="str">
        <f t="shared" si="11"/>
        <v>North Carolina</v>
      </c>
      <c r="Y647" s="30" t="str">
        <f>IF(D647=0,,IF(ISBLANK(Q647),,VLOOKUP(X647,Week13,2,FALSE)/(VLOOKUP(X647,Week13,2,FALSE)+VLOOKUP(W647,Week13,2,FALSE))+0.05)*100)</f>
        <v/>
      </c>
      <c r="Z647" s="3" t="s">
        <v>38</v>
      </c>
      <c r="AA647" s="3">
        <v>49.0</v>
      </c>
      <c r="AB647" s="4" t="str">
        <f t="shared" si="20"/>
        <v>Western Carolina</v>
      </c>
      <c r="AC647" s="3">
        <v>9.0</v>
      </c>
      <c r="AD647" s="3"/>
      <c r="AE647" s="3">
        <f t="shared" si="13"/>
        <v>40</v>
      </c>
      <c r="AF647" s="3"/>
      <c r="AG647" s="3">
        <f t="shared" si="133"/>
        <v>1</v>
      </c>
      <c r="AH647" s="3"/>
      <c r="AI647" s="7"/>
      <c r="AJ647" s="4"/>
      <c r="AK647" s="7"/>
      <c r="AL647" s="7"/>
      <c r="AM647" s="7"/>
      <c r="AN647" s="7"/>
      <c r="AO647" s="7"/>
      <c r="AP647" s="7"/>
      <c r="AQ647" s="7"/>
      <c r="AR647" s="7"/>
      <c r="AS647" s="7"/>
      <c r="AT647" s="7"/>
      <c r="AU647" s="7"/>
      <c r="AV647" s="7"/>
      <c r="AW647" s="7"/>
      <c r="AX647" s="7"/>
    </row>
    <row r="648" ht="12.75" hidden="1" customHeight="1">
      <c r="A648" s="3">
        <v>8.0</v>
      </c>
      <c r="B648" s="3" t="s">
        <v>251</v>
      </c>
      <c r="C648" s="3" t="s">
        <v>193</v>
      </c>
      <c r="D648" s="4">
        <f>IFERROR(VLOOKUP(B648,Week7,2,FALSE),0)</f>
        <v>0</v>
      </c>
      <c r="E648" s="4">
        <f>IF(ISBLANK(B648),,IFERROR(VLOOKUP(B648,CurrentRank!$B$2:$C$132,2,FALSE),0))</f>
        <v>0</v>
      </c>
      <c r="F648" s="4">
        <f>IFERROR(VLOOKUP(B648,Week7,3,FALSE),130)</f>
        <v>130</v>
      </c>
      <c r="G648" s="4">
        <f>IF(ISBLANK(B648),,IFERROR(VLOOKUP(B648,CurrentRank!$B$2:$D$132,3,FALSE),130))</f>
        <v>130</v>
      </c>
      <c r="H648" s="4">
        <f>IFERROR(VLOOKUP(C648,Week7,2,FALSE),0)</f>
        <v>27.3</v>
      </c>
      <c r="I648" s="4">
        <f>IF(ISBLANK(B648),,IFERROR(VLOOKUP(C648,CurrentRank!$B$2:$C$132,2,FALSE),0))</f>
        <v>29.31</v>
      </c>
      <c r="J648" s="4">
        <f>IFERROR(VLOOKUP(C648,Week7,3,FALSE),130)</f>
        <v>126</v>
      </c>
      <c r="K648" s="4">
        <f>IF(ISBLANK(C648),,IFERROR(VLOOKUP(C648,CurrentRank!$B$2:$D$132,3,FALSE),130))</f>
        <v>115</v>
      </c>
      <c r="L648" s="19">
        <f t="shared" si="279"/>
        <v>0.4095</v>
      </c>
      <c r="M648" s="19">
        <f t="shared" si="280"/>
        <v>0.43965</v>
      </c>
      <c r="N648" s="24">
        <f t="shared" si="276"/>
        <v>128</v>
      </c>
      <c r="O648" s="21">
        <f t="shared" si="4"/>
        <v>-13.85475</v>
      </c>
      <c r="P648" s="21">
        <f t="shared" si="277"/>
        <v>-14.85975</v>
      </c>
      <c r="Q648" s="22">
        <f t="shared" si="6"/>
        <v>0.29072625</v>
      </c>
      <c r="R648" s="25" t="str">
        <f t="shared" si="7"/>
        <v>F</v>
      </c>
      <c r="S648" s="19">
        <f t="shared" si="8"/>
        <v>0.345</v>
      </c>
      <c r="T648" s="19" t="str">
        <f t="shared" si="9"/>
        <v>F</v>
      </c>
      <c r="U648" s="3" t="s">
        <v>203</v>
      </c>
      <c r="V648" s="4" t="str">
        <f>IF(ISBLANK(C648),,IFERROR(IF(VLOOKUP(B648,Standings!$A:$F, 6, 0)=VLOOKUP(C648,Standings!$A:$F, 6, 0), VLOOKUP(B648,Standings!$A:$F, 6, 0), "Non-con"), "FCS"))</f>
        <v>FCS</v>
      </c>
      <c r="W648" s="3" t="str">
        <f t="shared" si="10"/>
        <v>Chattanooga</v>
      </c>
      <c r="X648" s="3" t="str">
        <f t="shared" si="11"/>
        <v>Western Kentucky</v>
      </c>
      <c r="Y648" s="30" t="str">
        <f>IF(D648=0,,IF(ISBLANK(Q648),,VLOOKUP(X648,Week7,2,FALSE)/(VLOOKUP(X648,Week7,2,FALSE)+VLOOKUP(W648,Week7,2,FALSE))+0.05)*100)</f>
        <v/>
      </c>
      <c r="Z648" s="3" t="s">
        <v>193</v>
      </c>
      <c r="AA648" s="3">
        <v>13.0</v>
      </c>
      <c r="AB648" s="4" t="str">
        <f t="shared" si="20"/>
        <v>Chattanooga</v>
      </c>
      <c r="AC648" s="3">
        <v>10.0</v>
      </c>
      <c r="AD648" s="3"/>
      <c r="AE648" s="3">
        <f t="shared" si="13"/>
        <v>3</v>
      </c>
      <c r="AF648" s="3"/>
      <c r="AG648" s="3">
        <f t="shared" si="133"/>
        <v>1</v>
      </c>
      <c r="AH648" s="3"/>
      <c r="AI648" s="7"/>
      <c r="AJ648" s="4" t="s">
        <v>99</v>
      </c>
      <c r="AK648" s="7"/>
      <c r="AL648" s="7"/>
      <c r="AM648" s="7"/>
      <c r="AN648" s="7"/>
      <c r="AO648" s="7"/>
      <c r="AP648" s="7"/>
      <c r="AQ648" s="7"/>
      <c r="AR648" s="7"/>
      <c r="AS648" s="7"/>
      <c r="AT648" s="7"/>
      <c r="AU648" s="7"/>
      <c r="AV648" s="7"/>
      <c r="AW648" s="7"/>
      <c r="AX648" s="7"/>
    </row>
    <row r="649" ht="12.75" hidden="1" customHeight="1">
      <c r="A649" s="3">
        <v>3.0</v>
      </c>
      <c r="B649" s="3" t="s">
        <v>83</v>
      </c>
      <c r="C649" s="3" t="s">
        <v>43</v>
      </c>
      <c r="D649" s="4">
        <f>IFERROR(VLOOKUP(B649,Week2,2,FALSE),0)</f>
        <v>0</v>
      </c>
      <c r="E649" s="4">
        <f>IF(ISBLANK(B649),,IFERROR(VLOOKUP(B649,CurrentRank!$B$2:$C$132,2,FALSE),0))</f>
        <v>0</v>
      </c>
      <c r="F649" s="4">
        <f>IFERROR(VLOOKUP(B649,Week2,3,FALSE),130)</f>
        <v>130</v>
      </c>
      <c r="G649" s="4">
        <f>IF(ISBLANK(B649),,IFERROR(VLOOKUP(B649,CurrentRank!$B$2:$D$132,3,FALSE),130))</f>
        <v>130</v>
      </c>
      <c r="H649" s="4">
        <f>IFERROR(VLOOKUP(C649,Week2,2,FALSE),0)</f>
        <v>10.12</v>
      </c>
      <c r="I649" s="4">
        <f>IF(ISBLANK(B649),,IFERROR(VLOOKUP(C649,CurrentRank!$B$2:$C$132,2,FALSE),0))</f>
        <v>11.84</v>
      </c>
      <c r="J649" s="4">
        <f>IFERROR(VLOOKUP(C649,Week2,3,FALSE),130)</f>
        <v>130</v>
      </c>
      <c r="K649" s="4">
        <f>IF(ISBLANK(C649),,IFERROR(VLOOKUP(C649,CurrentRank!$B$2:$D$132,3,FALSE),130))</f>
        <v>130</v>
      </c>
      <c r="L649" s="19">
        <f t="shared" si="279"/>
        <v>0.1518</v>
      </c>
      <c r="M649" s="19">
        <f t="shared" si="280"/>
        <v>0.1776</v>
      </c>
      <c r="N649" s="24">
        <f t="shared" si="276"/>
        <v>130</v>
      </c>
      <c r="O649" s="21">
        <f t="shared" si="4"/>
        <v>-5.1359</v>
      </c>
      <c r="P649" s="21">
        <f t="shared" si="277"/>
        <v>-5.9959</v>
      </c>
      <c r="Q649" s="22">
        <f t="shared" si="6"/>
        <v>0.3243205</v>
      </c>
      <c r="R649" s="25" t="str">
        <f t="shared" si="7"/>
        <v>F</v>
      </c>
      <c r="S649" s="19">
        <f t="shared" si="8"/>
        <v>0.33</v>
      </c>
      <c r="T649" s="19" t="str">
        <f t="shared" si="9"/>
        <v>F</v>
      </c>
      <c r="U649" s="3" t="s">
        <v>203</v>
      </c>
      <c r="V649" s="4" t="str">
        <f>IF(ISBLANK(C649),,IFERROR(IF(VLOOKUP(B649,Standings!$A:$F, 6, 0)=VLOOKUP(C649,Standings!$A:$F, 6, 0), VLOOKUP(B649,Standings!$A:$F, 6, 0), "Non-con"), "FCS"))</f>
        <v>FCS</v>
      </c>
      <c r="W649" s="3" t="str">
        <f t="shared" si="10"/>
        <v>Abilene Christian</v>
      </c>
      <c r="X649" s="3" t="str">
        <f t="shared" si="11"/>
        <v>UTEP</v>
      </c>
      <c r="Y649" s="30" t="str">
        <f>IF(D649=0,,IF(ISBLANK(Q649),,VLOOKUP(X649,Week2,2,FALSE)/(VLOOKUP(X649,Week2,2,FALSE)+VLOOKUP(W649,Week2,2,FALSE))+0.05)*100)</f>
        <v/>
      </c>
      <c r="Z649" s="3" t="s">
        <v>43</v>
      </c>
      <c r="AA649" s="3">
        <v>17.0</v>
      </c>
      <c r="AB649" s="4" t="str">
        <f t="shared" si="20"/>
        <v>Abilene Christian</v>
      </c>
      <c r="AC649" s="3">
        <v>13.0</v>
      </c>
      <c r="AD649" s="3"/>
      <c r="AE649" s="3">
        <f t="shared" si="13"/>
        <v>4</v>
      </c>
      <c r="AF649" s="3"/>
      <c r="AG649" s="3">
        <f t="shared" si="133"/>
        <v>1</v>
      </c>
      <c r="AH649" s="3"/>
      <c r="AI649" s="7"/>
      <c r="AJ649" s="4" t="s">
        <v>102</v>
      </c>
      <c r="AK649" s="7"/>
      <c r="AL649" s="7"/>
      <c r="AM649" s="7"/>
      <c r="AN649" s="7"/>
      <c r="AO649" s="7"/>
      <c r="AP649" s="7"/>
      <c r="AQ649" s="7"/>
      <c r="AR649" s="7"/>
      <c r="AS649" s="7"/>
      <c r="AT649" s="7"/>
      <c r="AU649" s="7"/>
      <c r="AV649" s="7"/>
      <c r="AW649" s="7"/>
      <c r="AX649" s="7"/>
    </row>
    <row r="650" ht="12.75" hidden="1" customHeight="1">
      <c r="A650" s="3">
        <v>10.0</v>
      </c>
      <c r="B650" s="3" t="s">
        <v>230</v>
      </c>
      <c r="C650" s="3" t="s">
        <v>170</v>
      </c>
      <c r="D650" s="4">
        <f>IFERROR(VLOOKUP(B650,Week9,2,FALSE),0)</f>
        <v>0</v>
      </c>
      <c r="E650" s="4">
        <f>IF(ISBLANK(B650),,IFERROR(VLOOKUP(B650,CurrentRank!$B$2:$C$132,2,FALSE),0))</f>
        <v>0</v>
      </c>
      <c r="F650" s="4">
        <f>IFERROR(VLOOKUP(B650,Week9,3,FALSE),130)</f>
        <v>130</v>
      </c>
      <c r="G650" s="4">
        <f>IF(ISBLANK(B650),,IFERROR(VLOOKUP(B650,CurrentRank!$B$2:$D$132,3,FALSE),130))</f>
        <v>130</v>
      </c>
      <c r="H650" s="4">
        <f>IFERROR(VLOOKUP(C650,Week9,2,FALSE),0)</f>
        <v>27.05</v>
      </c>
      <c r="I650" s="4">
        <f>IF(ISBLANK(B650),,IFERROR(VLOOKUP(C650,CurrentRank!$B$2:$C$132,2,FALSE),0))</f>
        <v>28.08</v>
      </c>
      <c r="J650" s="4">
        <f>IFERROR(VLOOKUP(C650,Week9,3,FALSE),130)</f>
        <v>120</v>
      </c>
      <c r="K650" s="4">
        <f>IF(ISBLANK(C650),,IFERROR(VLOOKUP(C650,CurrentRank!$B$2:$D$132,3,FALSE),130))</f>
        <v>121</v>
      </c>
      <c r="L650" s="19">
        <f t="shared" si="279"/>
        <v>0.40575</v>
      </c>
      <c r="M650" s="19">
        <f t="shared" si="280"/>
        <v>0.4212</v>
      </c>
      <c r="N650" s="24">
        <f t="shared" si="276"/>
        <v>125</v>
      </c>
      <c r="O650" s="21">
        <f t="shared" si="4"/>
        <v>-13.727875</v>
      </c>
      <c r="P650" s="21">
        <f t="shared" si="277"/>
        <v>-14.242875</v>
      </c>
      <c r="Q650" s="22">
        <f t="shared" si="6"/>
        <v>0.306360625</v>
      </c>
      <c r="R650" s="25" t="str">
        <f t="shared" si="7"/>
        <v>F</v>
      </c>
      <c r="S650" s="19">
        <f t="shared" si="8"/>
        <v>0.32</v>
      </c>
      <c r="T650" s="19" t="str">
        <f t="shared" si="9"/>
        <v>F</v>
      </c>
      <c r="U650" s="3" t="s">
        <v>203</v>
      </c>
      <c r="V650" s="4" t="str">
        <f>IF(ISBLANK(C650),,IFERROR(IF(VLOOKUP(B650,Standings!$A:$F, 6, 0)=VLOOKUP(C650,Standings!$A:$F, 6, 0), VLOOKUP(B650,Standings!$A:$F, 6, 0), "Non-con"), "FCS"))</f>
        <v>FCS</v>
      </c>
      <c r="W650" s="3" t="str">
        <f t="shared" si="10"/>
        <v>North Alabama</v>
      </c>
      <c r="X650" s="3" t="str">
        <f t="shared" si="11"/>
        <v>Southern Mississippi</v>
      </c>
      <c r="Y650" s="30" t="str">
        <f>IF(D650=0,,IF(ISBLANK(Q650),,VLOOKUP(X650,Week9,2,FALSE)/(VLOOKUP(X650,Week9,2,FALSE)+VLOOKUP(W650,Week9,2,FALSE))+0.05)*100)</f>
        <v/>
      </c>
      <c r="Z650" s="3" t="s">
        <v>170</v>
      </c>
      <c r="AA650" s="3">
        <v>24.0</v>
      </c>
      <c r="AB650" s="4" t="str">
        <f t="shared" si="20"/>
        <v>North Alabama</v>
      </c>
      <c r="AC650" s="3">
        <v>13.0</v>
      </c>
      <c r="AD650" s="3"/>
      <c r="AE650" s="3">
        <f t="shared" si="13"/>
        <v>11</v>
      </c>
      <c r="AF650" s="3"/>
      <c r="AG650" s="3">
        <f t="shared" si="133"/>
        <v>1</v>
      </c>
      <c r="AH650" s="3"/>
      <c r="AI650" s="7"/>
      <c r="AJ650" s="4"/>
      <c r="AK650" s="7"/>
      <c r="AL650" s="7"/>
      <c r="AM650" s="7"/>
      <c r="AN650" s="7"/>
      <c r="AO650" s="7"/>
      <c r="AP650" s="7"/>
      <c r="AQ650" s="7"/>
      <c r="AR650" s="7"/>
      <c r="AS650" s="7"/>
      <c r="AT650" s="7"/>
      <c r="AU650" s="7"/>
      <c r="AV650" s="7"/>
      <c r="AW650" s="7"/>
      <c r="AX650" s="7"/>
    </row>
    <row r="651" ht="12.75" hidden="1" customHeight="1">
      <c r="A651" s="3">
        <v>12.0</v>
      </c>
      <c r="B651" s="3" t="s">
        <v>260</v>
      </c>
      <c r="C651" s="3" t="s">
        <v>60</v>
      </c>
      <c r="D651" s="4">
        <f>IFERROR(VLOOKUP(B651,Week11,2,FALSE),0)</f>
        <v>0</v>
      </c>
      <c r="E651" s="4">
        <f>IF(ISBLANK(B651),,IFERROR(VLOOKUP(B651,CurrentRank!$B$2:$C$132,2,FALSE),0))</f>
        <v>0</v>
      </c>
      <c r="F651" s="4">
        <f>IFERROR(VLOOKUP(B651,Week11,3,FALSE),130)</f>
        <v>130</v>
      </c>
      <c r="G651" s="4">
        <f>IF(ISBLANK(B651),,IFERROR(VLOOKUP(B651,CurrentRank!$B$2:$D$132,3,FALSE),130))</f>
        <v>130</v>
      </c>
      <c r="H651" s="4">
        <f>IFERROR(VLOOKUP(C651,Week11,2,FALSE),0)</f>
        <v>35.73</v>
      </c>
      <c r="I651" s="4">
        <f>IF(ISBLANK(B651),,IFERROR(VLOOKUP(C651,CurrentRank!$B$2:$C$132,2,FALSE),0))</f>
        <v>35.34</v>
      </c>
      <c r="J651" s="4">
        <f>IFERROR(VLOOKUP(C651,Week11,3,FALSE),130)</f>
        <v>60</v>
      </c>
      <c r="K651" s="4">
        <f>IF(ISBLANK(C651),,IFERROR(VLOOKUP(C651,CurrentRank!$B$2:$D$132,3,FALSE),130))</f>
        <v>61</v>
      </c>
      <c r="L651" s="19">
        <f t="shared" si="279"/>
        <v>0.53595</v>
      </c>
      <c r="M651" s="19">
        <f t="shared" si="280"/>
        <v>0.5301</v>
      </c>
      <c r="N651" s="24">
        <f t="shared" si="276"/>
        <v>95</v>
      </c>
      <c r="O651" s="21">
        <f t="shared" si="4"/>
        <v>-18.132975</v>
      </c>
      <c r="P651" s="21">
        <f t="shared" si="277"/>
        <v>-17.937975</v>
      </c>
      <c r="Q651" s="22">
        <f t="shared" si="6"/>
        <v>0.434335125</v>
      </c>
      <c r="R651" s="25" t="str">
        <f t="shared" si="7"/>
        <v>F</v>
      </c>
      <c r="S651" s="19">
        <f t="shared" si="8"/>
        <v>0.315</v>
      </c>
      <c r="T651" s="19" t="str">
        <f t="shared" si="9"/>
        <v>F</v>
      </c>
      <c r="U651" s="3" t="s">
        <v>203</v>
      </c>
      <c r="V651" s="4" t="str">
        <f>IF(ISBLANK(C651),,IFERROR(IF(VLOOKUP(B651,Standings!$A:$F, 6, 0)=VLOOKUP(C651,Standings!$A:$F, 6, 0), VLOOKUP(B651,Standings!$A:$F, 6, 0), "Non-con"), "FCS"))</f>
        <v>FCS</v>
      </c>
      <c r="W651" s="3" t="str">
        <f t="shared" si="10"/>
        <v>Stephen F. Austin</v>
      </c>
      <c r="X651" s="3" t="str">
        <f t="shared" si="11"/>
        <v>Memphis</v>
      </c>
      <c r="Y651" s="30" t="str">
        <f>IF(D651=0,,IF(ISBLANK(Q651),,VLOOKUP(X651,Week11,2,FALSE)/(VLOOKUP(X651,Week11,2,FALSE)+VLOOKUP(W651,Week11,2,FALSE))+0.05)*100)</f>
        <v/>
      </c>
      <c r="Z651" s="3" t="s">
        <v>60</v>
      </c>
      <c r="AA651" s="3">
        <v>56.0</v>
      </c>
      <c r="AB651" s="4" t="str">
        <f t="shared" si="20"/>
        <v>Stephen F. Austin</v>
      </c>
      <c r="AC651" s="3">
        <v>14.0</v>
      </c>
      <c r="AD651" s="3"/>
      <c r="AE651" s="3">
        <f t="shared" si="13"/>
        <v>42</v>
      </c>
      <c r="AF651" s="3"/>
      <c r="AG651" s="3">
        <f t="shared" si="133"/>
        <v>1</v>
      </c>
      <c r="AH651" s="3"/>
      <c r="AI651" s="7"/>
      <c r="AJ651" s="4"/>
      <c r="AK651" s="7"/>
      <c r="AL651" s="7"/>
      <c r="AM651" s="7"/>
      <c r="AN651" s="7"/>
      <c r="AO651" s="7"/>
      <c r="AP651" s="7"/>
      <c r="AQ651" s="7"/>
      <c r="AR651" s="7"/>
      <c r="AS651" s="7"/>
      <c r="AT651" s="7"/>
      <c r="AU651" s="7"/>
      <c r="AV651" s="7"/>
      <c r="AW651" s="7"/>
      <c r="AX651" s="7"/>
    </row>
    <row r="652" ht="12.75" hidden="1" customHeight="1">
      <c r="A652" s="3">
        <v>2.0</v>
      </c>
      <c r="B652" s="3" t="s">
        <v>263</v>
      </c>
      <c r="C652" s="3" t="s">
        <v>89</v>
      </c>
      <c r="D652" s="4">
        <f>IFERROR(VLOOKUP(B652,Week1,2,FALSE),0)</f>
        <v>0</v>
      </c>
      <c r="E652" s="4">
        <f>IF(ISBLANK(B652),,IFERROR(VLOOKUP(B652,CurrentRank!$B$2:$C$132,2,FALSE),0))</f>
        <v>0</v>
      </c>
      <c r="F652" s="4">
        <f>IFERROR(VLOOKUP(B652,Week1,3,FALSE),130)</f>
        <v>130</v>
      </c>
      <c r="G652" s="4">
        <f>IF(ISBLANK(B652),,IFERROR(VLOOKUP(B652,CurrentRank!$B$2:$D$132,3,FALSE),130))</f>
        <v>130</v>
      </c>
      <c r="H652" s="4">
        <f>IFERROR(VLOOKUP(C652,Week1,2,FALSE),0)</f>
        <v>6.67</v>
      </c>
      <c r="I652" s="4">
        <f>IF(ISBLANK(B652),,IFERROR(VLOOKUP(C652,CurrentRank!$B$2:$C$132,2,FALSE),0))</f>
        <v>35.74</v>
      </c>
      <c r="J652" s="4">
        <f>IFERROR(VLOOKUP(C652,Week1,3,FALSE),130)</f>
        <v>35</v>
      </c>
      <c r="K652" s="4">
        <f>IF(ISBLANK(C652),,IFERROR(VLOOKUP(C652,CurrentRank!$B$2:$D$132,3,FALSE),130))</f>
        <v>56</v>
      </c>
      <c r="L652" s="19">
        <f t="shared" si="279"/>
        <v>0.10005</v>
      </c>
      <c r="M652" s="19">
        <f t="shared" si="280"/>
        <v>0.5361</v>
      </c>
      <c r="N652" s="24">
        <f t="shared" si="276"/>
        <v>82.5</v>
      </c>
      <c r="O652" s="21">
        <f t="shared" si="4"/>
        <v>-3.385025</v>
      </c>
      <c r="P652" s="21">
        <f t="shared" si="277"/>
        <v>-17.920025</v>
      </c>
      <c r="Q652" s="22">
        <f t="shared" si="6"/>
        <v>0.570574875</v>
      </c>
      <c r="R652" s="25" t="str">
        <f t="shared" si="7"/>
        <v>F</v>
      </c>
      <c r="S652" s="19">
        <f t="shared" si="8"/>
        <v>0.3125</v>
      </c>
      <c r="T652" s="19" t="str">
        <f t="shared" si="9"/>
        <v>F</v>
      </c>
      <c r="U652" s="3" t="s">
        <v>203</v>
      </c>
      <c r="V652" s="4" t="str">
        <f>IF(ISBLANK(C652),,IFERROR(IF(VLOOKUP(B652,Standings!$A:$F, 6, 0)=VLOOKUP(C652,Standings!$A:$F, 6, 0), VLOOKUP(B652,Standings!$A:$F, 6, 0), "Non-con"), "FCS"))</f>
        <v>FCS</v>
      </c>
      <c r="W652" s="3" t="str">
        <f t="shared" si="10"/>
        <v>Austin Peay</v>
      </c>
      <c r="X652" s="3" t="str">
        <f t="shared" si="11"/>
        <v>Pittsburgh</v>
      </c>
      <c r="Y652" s="30" t="str">
        <f>IF(D652=0,,IF(ISBLANK(Q652),,VLOOKUP(X652,Week1,2,FALSE)/(VLOOKUP(X652,Week1,2,FALSE)+VLOOKUP(W652,Week1,2,FALSE))+0.05)*100)</f>
        <v/>
      </c>
      <c r="Z652" s="3" t="s">
        <v>89</v>
      </c>
      <c r="AA652" s="3">
        <v>55.0</v>
      </c>
      <c r="AB652" s="4" t="str">
        <f t="shared" si="20"/>
        <v>Austin Peay</v>
      </c>
      <c r="AC652" s="3">
        <v>0.0</v>
      </c>
      <c r="AD652" s="3"/>
      <c r="AE652" s="3">
        <f t="shared" si="13"/>
        <v>55</v>
      </c>
      <c r="AF652" s="3"/>
      <c r="AG652" s="3">
        <f t="shared" si="133"/>
        <v>1</v>
      </c>
      <c r="AH652" s="3"/>
      <c r="AI652" s="7"/>
      <c r="AJ652" s="4" t="s">
        <v>191</v>
      </c>
      <c r="AK652" s="7"/>
      <c r="AL652" s="7"/>
      <c r="AM652" s="7"/>
      <c r="AN652" s="7"/>
      <c r="AO652" s="7"/>
      <c r="AP652" s="7"/>
      <c r="AQ652" s="7"/>
      <c r="AR652" s="7"/>
      <c r="AS652" s="7"/>
      <c r="AT652" s="7"/>
      <c r="AU652" s="7"/>
      <c r="AV652" s="7"/>
      <c r="AW652" s="7"/>
      <c r="AX652" s="7"/>
    </row>
    <row r="653" ht="12.75" hidden="1" customHeight="1">
      <c r="A653" s="3">
        <v>5.0</v>
      </c>
      <c r="B653" s="3" t="s">
        <v>252</v>
      </c>
      <c r="C653" s="3" t="s">
        <v>147</v>
      </c>
      <c r="D653" s="4">
        <f>IFERROR(VLOOKUP(B653,Week4,2,FALSE),0)</f>
        <v>0</v>
      </c>
      <c r="E653" s="4">
        <f>IF(ISBLANK(B653),,IFERROR(VLOOKUP(B653,CurrentRank!$B$2:$C$132,2,FALSE),0))</f>
        <v>0</v>
      </c>
      <c r="F653" s="4">
        <f>IFERROR(VLOOKUP(B653,Week4,3,FALSE),130)</f>
        <v>130</v>
      </c>
      <c r="G653" s="4">
        <f>IF(ISBLANK(B653),,IFERROR(VLOOKUP(B653,CurrentRank!$B$2:$D$132,3,FALSE),130))</f>
        <v>130</v>
      </c>
      <c r="H653" s="4">
        <f>IFERROR(VLOOKUP(C653,Week4,2,FALSE),0)</f>
        <v>24.68</v>
      </c>
      <c r="I653" s="4">
        <f>IF(ISBLANK(B653),,IFERROR(VLOOKUP(C653,CurrentRank!$B$2:$C$132,2,FALSE),0))</f>
        <v>32.08</v>
      </c>
      <c r="J653" s="4">
        <f>IFERROR(VLOOKUP(C653,Week4,3,FALSE),130)</f>
        <v>127</v>
      </c>
      <c r="K653" s="4">
        <f>IF(ISBLANK(C653),,IFERROR(VLOOKUP(C653,CurrentRank!$B$2:$D$132,3,FALSE),130))</f>
        <v>93</v>
      </c>
      <c r="L653" s="19">
        <f t="shared" si="279"/>
        <v>0.3702</v>
      </c>
      <c r="M653" s="19">
        <f t="shared" si="280"/>
        <v>0.4812</v>
      </c>
      <c r="N653" s="24">
        <f t="shared" si="276"/>
        <v>128.5</v>
      </c>
      <c r="O653" s="21">
        <f t="shared" si="4"/>
        <v>-12.5251</v>
      </c>
      <c r="P653" s="21">
        <f t="shared" si="277"/>
        <v>-16.2251</v>
      </c>
      <c r="Q653" s="22">
        <f t="shared" si="6"/>
        <v>0.2948745</v>
      </c>
      <c r="R653" s="25" t="str">
        <f t="shared" si="7"/>
        <v>F</v>
      </c>
      <c r="S653" s="19">
        <f t="shared" si="8"/>
        <v>0.2725</v>
      </c>
      <c r="T653" s="19" t="str">
        <f t="shared" si="9"/>
        <v>F</v>
      </c>
      <c r="U653" s="3" t="s">
        <v>203</v>
      </c>
      <c r="V653" s="4" t="str">
        <f>IF(ISBLANK(C653),,IFERROR(IF(VLOOKUP(B653,Standings!$A:$F, 6, 0)=VLOOKUP(C653,Standings!$A:$F, 6, 0), VLOOKUP(B653,Standings!$A:$F, 6, 0), "Non-con"), "FCS"))</f>
        <v>FCS</v>
      </c>
      <c r="W653" s="3" t="str">
        <f t="shared" si="10"/>
        <v>Jacksonville State</v>
      </c>
      <c r="X653" s="3" t="str">
        <f t="shared" si="11"/>
        <v>Florida State</v>
      </c>
      <c r="Y653" s="30" t="str">
        <f>IF(D653=0,,IF(ISBLANK(Q653),,VLOOKUP(X653,Week4,2,FALSE)/(VLOOKUP(X653,Week4,2,FALSE)+VLOOKUP(W653,Week4,2,FALSE))+0.05)*100)</f>
        <v/>
      </c>
      <c r="Z653" s="3" t="s">
        <v>147</v>
      </c>
      <c r="AA653" s="3">
        <v>41.0</v>
      </c>
      <c r="AB653" s="4" t="str">
        <f t="shared" si="20"/>
        <v>Jacksonville State</v>
      </c>
      <c r="AC653" s="3">
        <v>24.0</v>
      </c>
      <c r="AD653" s="3"/>
      <c r="AE653" s="3">
        <f t="shared" si="13"/>
        <v>17</v>
      </c>
      <c r="AF653" s="3"/>
      <c r="AG653" s="3">
        <f t="shared" si="133"/>
        <v>1</v>
      </c>
      <c r="AH653" s="3"/>
      <c r="AI653" s="7"/>
      <c r="AJ653" s="4"/>
      <c r="AK653" s="7"/>
      <c r="AL653" s="7"/>
      <c r="AM653" s="7"/>
      <c r="AN653" s="7"/>
      <c r="AO653" s="7"/>
      <c r="AP653" s="7"/>
      <c r="AQ653" s="7"/>
      <c r="AR653" s="7"/>
      <c r="AS653" s="7"/>
      <c r="AT653" s="7"/>
      <c r="AU653" s="7"/>
      <c r="AV653" s="7"/>
      <c r="AW653" s="7"/>
      <c r="AX653" s="7"/>
    </row>
    <row r="654" ht="12.75" hidden="1" customHeight="1">
      <c r="A654" s="3">
        <v>4.0</v>
      </c>
      <c r="B654" s="3" t="s">
        <v>279</v>
      </c>
      <c r="C654" s="3" t="s">
        <v>98</v>
      </c>
      <c r="D654" s="4">
        <f>IFERROR(VLOOKUP(B654,Week3,2,FALSE),0)</f>
        <v>0</v>
      </c>
      <c r="E654" s="4">
        <f>IF(ISBLANK(B654),,IFERROR(VLOOKUP(B654,CurrentRank!$B$2:$C$132,2,FALSE),0))</f>
        <v>0</v>
      </c>
      <c r="F654" s="4">
        <f>IFERROR(VLOOKUP(B654,Week3,3,FALSE),130)</f>
        <v>130</v>
      </c>
      <c r="G654" s="4">
        <f>IF(ISBLANK(B654),,IFERROR(VLOOKUP(B654,CurrentRank!$B$2:$D$132,3,FALSE),130))</f>
        <v>130</v>
      </c>
      <c r="H654" s="4">
        <f>IFERROR(VLOOKUP(C654,Week3,2,FALSE),0)</f>
        <v>30.39</v>
      </c>
      <c r="I654" s="4">
        <f>IF(ISBLANK(B654),,IFERROR(VLOOKUP(C654,CurrentRank!$B$2:$C$132,2,FALSE),0))</f>
        <v>37.44</v>
      </c>
      <c r="J654" s="4">
        <f>IFERROR(VLOOKUP(C654,Week3,3,FALSE),130)</f>
        <v>115</v>
      </c>
      <c r="K654" s="4">
        <f>IF(ISBLANK(C654),,IFERROR(VLOOKUP(C654,CurrentRank!$B$2:$D$132,3,FALSE),130))</f>
        <v>42</v>
      </c>
      <c r="L654" s="19">
        <f t="shared" si="279"/>
        <v>0.45585</v>
      </c>
      <c r="M654" s="19">
        <f t="shared" si="280"/>
        <v>0.5616</v>
      </c>
      <c r="N654" s="24">
        <f t="shared" si="276"/>
        <v>122.5</v>
      </c>
      <c r="O654" s="21">
        <f t="shared" si="4"/>
        <v>-15.422925</v>
      </c>
      <c r="P654" s="21">
        <f t="shared" si="277"/>
        <v>-18.947925</v>
      </c>
      <c r="Q654" s="22">
        <f t="shared" si="6"/>
        <v>0.310385375</v>
      </c>
      <c r="R654" s="25" t="str">
        <f t="shared" si="7"/>
        <v>F</v>
      </c>
      <c r="S654" s="19">
        <f t="shared" si="8"/>
        <v>0.2325</v>
      </c>
      <c r="T654" s="19" t="str">
        <f t="shared" si="9"/>
        <v>F</v>
      </c>
      <c r="U654" s="3" t="s">
        <v>203</v>
      </c>
      <c r="V654" s="4" t="str">
        <f>IF(ISBLANK(C654),,IFERROR(IF(VLOOKUP(B654,Standings!$A:$F, 6, 0)=VLOOKUP(C654,Standings!$A:$F, 6, 0), VLOOKUP(B654,Standings!$A:$F, 6, 0), "Non-con"), "FCS"))</f>
        <v>FCS</v>
      </c>
      <c r="W654" s="3" t="str">
        <f t="shared" si="10"/>
        <v>Campbell</v>
      </c>
      <c r="X654" s="3" t="str">
        <f t="shared" si="11"/>
        <v>Appalachian State</v>
      </c>
      <c r="Y654" s="30" t="str">
        <f>IF(D654=0,,IF(ISBLANK(Q654),,VLOOKUP(X654,Week3,2,FALSE)/(VLOOKUP(X654,Week3,2,FALSE)+VLOOKUP(W654,Week3,2,FALSE))+0.05)*100)</f>
        <v/>
      </c>
      <c r="Z654" s="3" t="s">
        <v>98</v>
      </c>
      <c r="AA654" s="3">
        <v>52.0</v>
      </c>
      <c r="AB654" s="4" t="str">
        <f t="shared" si="20"/>
        <v>Campbell</v>
      </c>
      <c r="AC654" s="3">
        <v>21.0</v>
      </c>
      <c r="AD654" s="3"/>
      <c r="AE654" s="3">
        <f t="shared" si="13"/>
        <v>31</v>
      </c>
      <c r="AF654" s="3"/>
      <c r="AG654" s="3">
        <f t="shared" si="133"/>
        <v>1</v>
      </c>
      <c r="AH654" s="3"/>
      <c r="AI654" s="7"/>
      <c r="AJ654" s="4"/>
      <c r="AK654" s="7"/>
      <c r="AL654" s="7"/>
      <c r="AM654" s="7"/>
      <c r="AN654" s="7"/>
      <c r="AO654" s="7"/>
      <c r="AP654" s="7"/>
      <c r="AQ654" s="7"/>
      <c r="AR654" s="7"/>
      <c r="AS654" s="7"/>
      <c r="AT654" s="7"/>
      <c r="AU654" s="7"/>
      <c r="AV654" s="7"/>
      <c r="AW654" s="7"/>
      <c r="AX654" s="7"/>
    </row>
    <row r="655" ht="12.75" hidden="1" customHeight="1">
      <c r="A655" s="3">
        <v>5.0</v>
      </c>
      <c r="B655" s="3" t="s">
        <v>279</v>
      </c>
      <c r="C655" s="3" t="s">
        <v>93</v>
      </c>
      <c r="D655" s="4">
        <f>IFERROR(VLOOKUP(B655,Week4,2,FALSE),0)</f>
        <v>0</v>
      </c>
      <c r="E655" s="4">
        <f>IF(ISBLANK(B655),,IFERROR(VLOOKUP(B655,CurrentRank!$B$2:$C$132,2,FALSE),0))</f>
        <v>0</v>
      </c>
      <c r="F655" s="4">
        <f>IFERROR(VLOOKUP(B655,Week4,3,FALSE),130)</f>
        <v>130</v>
      </c>
      <c r="G655" s="4">
        <f>IF(ISBLANK(B655),,IFERROR(VLOOKUP(B655,CurrentRank!$B$2:$D$132,3,FALSE),130))</f>
        <v>130</v>
      </c>
      <c r="H655" s="4">
        <f>IFERROR(VLOOKUP(C655,Week4,2,FALSE),0)</f>
        <v>25.71</v>
      </c>
      <c r="I655" s="4">
        <f>IF(ISBLANK(B655),,IFERROR(VLOOKUP(C655,CurrentRank!$B$2:$C$132,2,FALSE),0))</f>
        <v>36.48</v>
      </c>
      <c r="J655" s="4">
        <f>IFERROR(VLOOKUP(C655,Week4,3,FALSE),130)</f>
        <v>123</v>
      </c>
      <c r="K655" s="4">
        <f>IF(ISBLANK(C655),,IFERROR(VLOOKUP(C655,CurrentRank!$B$2:$D$132,3,FALSE),130))</f>
        <v>52</v>
      </c>
      <c r="L655" s="19">
        <f t="shared" si="279"/>
        <v>0.38565</v>
      </c>
      <c r="M655" s="19">
        <f t="shared" si="280"/>
        <v>0.5472</v>
      </c>
      <c r="N655" s="24">
        <f t="shared" si="276"/>
        <v>126.5</v>
      </c>
      <c r="O655" s="21">
        <f t="shared" si="4"/>
        <v>-13.047825</v>
      </c>
      <c r="P655" s="21">
        <f t="shared" si="277"/>
        <v>-18.432825</v>
      </c>
      <c r="Q655" s="22">
        <f t="shared" si="6"/>
        <v>0.302260875</v>
      </c>
      <c r="R655" s="25" t="str">
        <f t="shared" si="7"/>
        <v>F</v>
      </c>
      <c r="S655" s="19">
        <f t="shared" si="8"/>
        <v>0.1075</v>
      </c>
      <c r="T655" s="19" t="str">
        <f t="shared" si="9"/>
        <v>F</v>
      </c>
      <c r="U655" s="3" t="s">
        <v>203</v>
      </c>
      <c r="V655" s="4" t="str">
        <f>IF(ISBLANK(C655),,IFERROR(IF(VLOOKUP(B655,Standings!$A:$F, 6, 0)=VLOOKUP(C655,Standings!$A:$F, 6, 0), VLOOKUP(B655,Standings!$A:$F, 6, 0), "Non-con"), "FCS"))</f>
        <v>FCS</v>
      </c>
      <c r="W655" s="3" t="str">
        <f t="shared" si="10"/>
        <v>Campbell</v>
      </c>
      <c r="X655" s="3" t="str">
        <f t="shared" si="11"/>
        <v>Wake Forest</v>
      </c>
      <c r="Y655" s="30" t="str">
        <f>IF(D655=0,,IF(ISBLANK(Q655),,VLOOKUP(X655,Week4,2,FALSE)/(VLOOKUP(X655,Week4,2,FALSE)+VLOOKUP(W655,Week4,2,FALSE))+0.05)*100)</f>
        <v/>
      </c>
      <c r="Z655" s="3" t="s">
        <v>93</v>
      </c>
      <c r="AA655" s="3">
        <v>66.0</v>
      </c>
      <c r="AB655" s="4" t="str">
        <f t="shared" si="20"/>
        <v>Campbell</v>
      </c>
      <c r="AC655" s="3">
        <v>14.0</v>
      </c>
      <c r="AD655" s="3"/>
      <c r="AE655" s="3">
        <f t="shared" si="13"/>
        <v>52</v>
      </c>
      <c r="AF655" s="3"/>
      <c r="AG655" s="3">
        <f t="shared" si="133"/>
        <v>1</v>
      </c>
      <c r="AH655" s="3"/>
      <c r="AI655" s="7"/>
      <c r="AJ655" s="4"/>
      <c r="AK655" s="7"/>
      <c r="AL655" s="7"/>
      <c r="AM655" s="7"/>
      <c r="AN655" s="7"/>
      <c r="AO655" s="7"/>
      <c r="AP655" s="7"/>
      <c r="AQ655" s="7"/>
      <c r="AR655" s="7"/>
      <c r="AS655" s="7"/>
      <c r="AT655" s="7"/>
      <c r="AU655" s="7"/>
      <c r="AV655" s="7"/>
      <c r="AW655" s="7"/>
      <c r="AX655" s="7"/>
    </row>
    <row r="656" ht="12.75" customHeight="1">
      <c r="A656" s="3">
        <v>1.0</v>
      </c>
      <c r="B656" s="3" t="s">
        <v>73</v>
      </c>
      <c r="C656" s="3" t="s">
        <v>130</v>
      </c>
      <c r="D656" s="4">
        <f>IFERROR(VLOOKUP(B656,Week0,2,FALSE),0)</f>
        <v>0</v>
      </c>
      <c r="E656" s="4">
        <f>IF(ISBLANK(B656),,IFERROR(VLOOKUP(B656,CurrentRank!$B$2:$C$132,2,FALSE),0))</f>
        <v>69.33</v>
      </c>
      <c r="F656" s="4">
        <f>IFERROR(VLOOKUP(B656,Week0,3,FALSE),130)</f>
        <v>27</v>
      </c>
      <c r="G656" s="4">
        <f>IF(ISBLANK(B656),,IFERROR(VLOOKUP(B656,CurrentRank!$B$2:$D$132,3,FALSE),130))</f>
        <v>15</v>
      </c>
      <c r="H656" s="4">
        <f>IFERROR(VLOOKUP(C656,Week0,2,FALSE),0)</f>
        <v>0</v>
      </c>
      <c r="I656" s="4">
        <f>IF(ISBLANK(B656),,IFERROR(VLOOKUP(C656,CurrentRank!$B$2:$C$132,2,FALSE),0))</f>
        <v>29.22</v>
      </c>
      <c r="J656" s="4">
        <f>IFERROR(VLOOKUP(C656,Week0,3,FALSE),130)</f>
        <v>27</v>
      </c>
      <c r="K656" s="4">
        <f>IF(ISBLANK(C656),,IFERROR(VLOOKUP(C656,CurrentRank!$B$2:$D$132,3,FALSE),130))</f>
        <v>116</v>
      </c>
      <c r="L656" s="19">
        <f t="shared" si="279"/>
        <v>0</v>
      </c>
      <c r="M656" s="19">
        <f t="shared" si="280"/>
        <v>1.47825</v>
      </c>
      <c r="N656" s="24">
        <f t="shared" si="276"/>
        <v>27</v>
      </c>
      <c r="O656" s="21" t="str">
        <f t="shared" si="4"/>
        <v/>
      </c>
      <c r="P656" s="21">
        <f t="shared" ref="P656:P664" si="281">IF(ISBLANK(C656),,(E656-(I656+M656))/2)</f>
        <v>19.315875</v>
      </c>
      <c r="Q656" s="22" t="str">
        <f t="shared" si="6"/>
        <v/>
      </c>
      <c r="R656" s="25" t="str">
        <f t="shared" si="7"/>
        <v/>
      </c>
      <c r="S656" s="19" t="str">
        <f t="shared" si="8"/>
        <v/>
      </c>
      <c r="T656" s="19" t="str">
        <f t="shared" si="9"/>
        <v/>
      </c>
      <c r="U656" s="3" t="s">
        <v>203</v>
      </c>
      <c r="V656" s="4" t="str">
        <f>IF(ISBLANK(C656),,IFERROR(IF(VLOOKUP(B656,Standings!$A:$F, 6, 0)=VLOOKUP(C656,Standings!$A:$F, 6, 0), VLOOKUP(B656,Standings!$A:$F, 6, 0), "Non-con"), "FCS"))</f>
        <v>Non-con</v>
      </c>
      <c r="W656" s="3" t="str">
        <f t="shared" si="10"/>
        <v/>
      </c>
      <c r="X656" s="3" t="str">
        <f t="shared" si="11"/>
        <v/>
      </c>
      <c r="Y656" s="30" t="str">
        <f>IF(D656=0,,IF(ISBLANK(Q656),,VLOOKUP(X656,Week0,2,FALSE)/(VLOOKUP(X656,Week0,2,FALSE)+VLOOKUP(W656,Week0,2,FALSE))+0.05)*100)</f>
        <v/>
      </c>
      <c r="Z656" s="3" t="s">
        <v>73</v>
      </c>
      <c r="AA656" s="3">
        <v>35.0</v>
      </c>
      <c r="AB656" s="4" t="str">
        <f t="shared" si="20"/>
        <v>Navy</v>
      </c>
      <c r="AC656" s="3">
        <v>3.0</v>
      </c>
      <c r="AD656" s="3"/>
      <c r="AE656" s="3">
        <f t="shared" si="13"/>
        <v>32</v>
      </c>
      <c r="AF656" s="3"/>
      <c r="AG656" s="3" t="str">
        <f t="shared" si="133"/>
        <v/>
      </c>
      <c r="AH656" s="3"/>
      <c r="AI656" s="7"/>
      <c r="AJ656" s="4"/>
      <c r="AK656" s="7"/>
      <c r="AL656" s="7"/>
      <c r="AM656" s="7"/>
      <c r="AN656" s="7"/>
      <c r="AO656" s="7"/>
      <c r="AP656" s="7"/>
      <c r="AQ656" s="7"/>
      <c r="AR656" s="7"/>
      <c r="AS656" s="7"/>
      <c r="AT656" s="7"/>
      <c r="AU656" s="7"/>
      <c r="AV656" s="7"/>
      <c r="AW656" s="7"/>
      <c r="AX656" s="7"/>
    </row>
    <row r="657" ht="12.75" customHeight="1">
      <c r="A657" s="3">
        <v>1.0</v>
      </c>
      <c r="B657" s="3" t="s">
        <v>86</v>
      </c>
      <c r="C657" s="3" t="s">
        <v>139</v>
      </c>
      <c r="D657" s="4">
        <f>IFERROR(VLOOKUP(B657,Week0,2,FALSE),0)</f>
        <v>0</v>
      </c>
      <c r="E657" s="4">
        <f>IF(ISBLANK(B657),,IFERROR(VLOOKUP(B657,CurrentRank!$B$2:$C$132,2,FALSE),0))</f>
        <v>33.56</v>
      </c>
      <c r="F657" s="4">
        <f>IFERROR(VLOOKUP(B657,Week0,3,FALSE),130)</f>
        <v>27</v>
      </c>
      <c r="G657" s="4">
        <f>IF(ISBLANK(B657),,IFERROR(VLOOKUP(B657,CurrentRank!$B$2:$D$132,3,FALSE),130))</f>
        <v>78</v>
      </c>
      <c r="H657" s="4">
        <f>IFERROR(VLOOKUP(C657,Week0,2,FALSE),0)</f>
        <v>0</v>
      </c>
      <c r="I657" s="4">
        <f>IF(ISBLANK(B657),,IFERROR(VLOOKUP(C657,CurrentRank!$B$2:$C$132,2,FALSE),0))</f>
        <v>28.86</v>
      </c>
      <c r="J657" s="4">
        <f>IFERROR(VLOOKUP(C657,Week0,3,FALSE),130)</f>
        <v>27</v>
      </c>
      <c r="K657" s="4">
        <f>IF(ISBLANK(C657),,IFERROR(VLOOKUP(C657,CurrentRank!$B$2:$D$132,3,FALSE),130))</f>
        <v>119</v>
      </c>
      <c r="L657" s="19">
        <f t="shared" si="279"/>
        <v>0</v>
      </c>
      <c r="M657" s="19">
        <f t="shared" si="280"/>
        <v>0.9363</v>
      </c>
      <c r="N657" s="24">
        <f t="shared" si="276"/>
        <v>27</v>
      </c>
      <c r="O657" s="21" t="str">
        <f t="shared" si="4"/>
        <v/>
      </c>
      <c r="P657" s="21">
        <f t="shared" si="281"/>
        <v>1.88185</v>
      </c>
      <c r="Q657" s="22" t="str">
        <f t="shared" si="6"/>
        <v/>
      </c>
      <c r="R657" s="25" t="str">
        <f t="shared" si="7"/>
        <v/>
      </c>
      <c r="S657" s="19" t="str">
        <f t="shared" si="8"/>
        <v/>
      </c>
      <c r="T657" s="19" t="str">
        <f t="shared" si="9"/>
        <v/>
      </c>
      <c r="U657" s="3" t="s">
        <v>203</v>
      </c>
      <c r="V657" s="4" t="str">
        <f>IF(ISBLANK(C657),,IFERROR(IF(VLOOKUP(B657,Standings!$A:$F, 6, 0)=VLOOKUP(C657,Standings!$A:$F, 6, 0), VLOOKUP(B657,Standings!$A:$F, 6, 0), "Non-con"), "FCS"))</f>
        <v>Non-con</v>
      </c>
      <c r="W657" s="3" t="str">
        <f t="shared" si="10"/>
        <v/>
      </c>
      <c r="X657" s="3" t="str">
        <f t="shared" si="11"/>
        <v/>
      </c>
      <c r="Y657" s="30" t="str">
        <f>IF(D657=0,,IF(ISBLANK(Q657),,VLOOKUP(X657,Week0,2,FALSE)/(VLOOKUP(X657,Week0,2,FALSE)+VLOOKUP(W657,Week0,2,FALSE))+0.05)*100)</f>
        <v/>
      </c>
      <c r="Z657" s="3" t="s">
        <v>86</v>
      </c>
      <c r="AA657" s="3">
        <v>31.0</v>
      </c>
      <c r="AB657" s="4" t="str">
        <f t="shared" si="20"/>
        <v>Texas State</v>
      </c>
      <c r="AC657" s="3">
        <v>24.0</v>
      </c>
      <c r="AD657" s="3"/>
      <c r="AE657" s="3">
        <f t="shared" si="13"/>
        <v>7</v>
      </c>
      <c r="AF657" s="3"/>
      <c r="AG657" s="3" t="str">
        <f t="shared" si="133"/>
        <v/>
      </c>
      <c r="AH657" s="3"/>
      <c r="AI657" s="7"/>
      <c r="AJ657" s="4"/>
      <c r="AK657" s="7"/>
      <c r="AL657" s="7"/>
      <c r="AM657" s="7"/>
      <c r="AN657" s="7"/>
      <c r="AO657" s="7"/>
      <c r="AP657" s="7"/>
      <c r="AQ657" s="7"/>
      <c r="AR657" s="7"/>
      <c r="AS657" s="7"/>
      <c r="AT657" s="7"/>
      <c r="AU657" s="7"/>
      <c r="AV657" s="7"/>
      <c r="AW657" s="7"/>
      <c r="AX657" s="7"/>
    </row>
    <row r="658" ht="12.75" customHeight="1">
      <c r="A658" s="3">
        <v>1.0</v>
      </c>
      <c r="B658" s="3" t="s">
        <v>102</v>
      </c>
      <c r="C658" s="3" t="s">
        <v>170</v>
      </c>
      <c r="D658" s="4">
        <f>IFERROR(VLOOKUP(B658,Week0,2,FALSE),0)</f>
        <v>0</v>
      </c>
      <c r="E658" s="4">
        <f>IF(ISBLANK(B658),,IFERROR(VLOOKUP(B658,CurrentRank!$B$2:$C$132,2,FALSE),0))</f>
        <v>31.07</v>
      </c>
      <c r="F658" s="4">
        <f>IFERROR(VLOOKUP(B658,Week0,3,FALSE),130)</f>
        <v>27</v>
      </c>
      <c r="G658" s="4">
        <f>IF(ISBLANK(B658),,IFERROR(VLOOKUP(B658,CurrentRank!$B$2:$D$132,3,FALSE),130))</f>
        <v>102</v>
      </c>
      <c r="H658" s="4">
        <f>IFERROR(VLOOKUP(C658,Week0,2,FALSE),0)</f>
        <v>0</v>
      </c>
      <c r="I658" s="4">
        <f>IF(ISBLANK(B658),,IFERROR(VLOOKUP(C658,CurrentRank!$B$2:$C$132,2,FALSE),0))</f>
        <v>28.08</v>
      </c>
      <c r="J658" s="4">
        <f>IFERROR(VLOOKUP(C658,Week0,3,FALSE),130)</f>
        <v>27</v>
      </c>
      <c r="K658" s="4">
        <f>IF(ISBLANK(C658),,IFERROR(VLOOKUP(C658,CurrentRank!$B$2:$D$132,3,FALSE),130))</f>
        <v>121</v>
      </c>
      <c r="L658" s="19">
        <f t="shared" si="279"/>
        <v>0</v>
      </c>
      <c r="M658" s="19">
        <f t="shared" si="280"/>
        <v>0.88725</v>
      </c>
      <c r="N658" s="24">
        <f t="shared" si="276"/>
        <v>27</v>
      </c>
      <c r="O658" s="21" t="str">
        <f t="shared" si="4"/>
        <v/>
      </c>
      <c r="P658" s="21">
        <f t="shared" si="281"/>
        <v>1.051375</v>
      </c>
      <c r="Q658" s="22" t="str">
        <f t="shared" si="6"/>
        <v/>
      </c>
      <c r="R658" s="25" t="str">
        <f t="shared" si="7"/>
        <v/>
      </c>
      <c r="S658" s="19" t="str">
        <f t="shared" si="8"/>
        <v/>
      </c>
      <c r="T658" s="19" t="str">
        <f t="shared" si="9"/>
        <v/>
      </c>
      <c r="U658" s="3" t="s">
        <v>203</v>
      </c>
      <c r="V658" s="4" t="str">
        <f>IF(ISBLANK(C658),,IFERROR(IF(VLOOKUP(B658,Standings!$A:$F, 6, 0)=VLOOKUP(C658,Standings!$A:$F, 6, 0), VLOOKUP(B658,Standings!$A:$F, 6, 0), "Non-con"), "FCS"))</f>
        <v>Non-con</v>
      </c>
      <c r="W658" s="3" t="str">
        <f t="shared" si="10"/>
        <v/>
      </c>
      <c r="X658" s="3" t="str">
        <f t="shared" si="11"/>
        <v/>
      </c>
      <c r="Y658" s="30" t="str">
        <f>IF(D658=0,,IF(ISBLANK(Q658),,VLOOKUP(X658,Week0,2,FALSE)/(VLOOKUP(X658,Week0,2,FALSE)+VLOOKUP(W658,Week0,2,FALSE))+0.05)*100)</f>
        <v/>
      </c>
      <c r="Z658" s="3" t="s">
        <v>102</v>
      </c>
      <c r="AA658" s="3">
        <v>32.0</v>
      </c>
      <c r="AB658" s="4" t="str">
        <f t="shared" si="20"/>
        <v>Southern Mississippi</v>
      </c>
      <c r="AC658" s="3">
        <v>21.0</v>
      </c>
      <c r="AD658" s="3"/>
      <c r="AE658" s="3">
        <f t="shared" si="13"/>
        <v>11</v>
      </c>
      <c r="AF658" s="3"/>
      <c r="AG658" s="3" t="str">
        <f t="shared" si="133"/>
        <v/>
      </c>
      <c r="AH658" s="3"/>
      <c r="AI658" s="7"/>
      <c r="AJ658" s="4"/>
      <c r="AK658" s="7"/>
      <c r="AL658" s="7"/>
      <c r="AM658" s="7"/>
      <c r="AN658" s="7"/>
      <c r="AO658" s="7"/>
      <c r="AP658" s="7"/>
      <c r="AQ658" s="7"/>
      <c r="AR658" s="7"/>
      <c r="AS658" s="7"/>
      <c r="AT658" s="7"/>
      <c r="AU658" s="7"/>
      <c r="AV658" s="7"/>
      <c r="AW658" s="7"/>
      <c r="AX658" s="7"/>
    </row>
    <row r="659" ht="12.75" customHeight="1">
      <c r="A659" s="3">
        <v>1.0</v>
      </c>
      <c r="B659" s="3" t="s">
        <v>200</v>
      </c>
      <c r="C659" s="3" t="s">
        <v>88</v>
      </c>
      <c r="D659" s="4">
        <f>IFERROR(VLOOKUP(B659,Week0,2,FALSE),0)</f>
        <v>0</v>
      </c>
      <c r="E659" s="4">
        <f>IF(ISBLANK(B659),,IFERROR(VLOOKUP(B659,CurrentRank!$B$2:$C$132,2,FALSE),0))</f>
        <v>32.76</v>
      </c>
      <c r="F659" s="4">
        <f>IFERROR(VLOOKUP(B659,Week0,3,FALSE),130)</f>
        <v>27</v>
      </c>
      <c r="G659" s="4">
        <f>IF(ISBLANK(B659),,IFERROR(VLOOKUP(B659,CurrentRank!$B$2:$D$132,3,FALSE),130))</f>
        <v>89</v>
      </c>
      <c r="H659" s="4">
        <f>IFERROR(VLOOKUP(C659,Week0,2,FALSE),0)</f>
        <v>0</v>
      </c>
      <c r="I659" s="4">
        <f>IF(ISBLANK(B659),,IFERROR(VLOOKUP(C659,CurrentRank!$B$2:$C$132,2,FALSE),0))</f>
        <v>33.11</v>
      </c>
      <c r="J659" s="4">
        <f>IFERROR(VLOOKUP(C659,Week0,3,FALSE),130)</f>
        <v>27</v>
      </c>
      <c r="K659" s="4">
        <f>IF(ISBLANK(C659),,IFERROR(VLOOKUP(C659,CurrentRank!$B$2:$D$132,3,FALSE),130))</f>
        <v>85</v>
      </c>
      <c r="L659" s="19">
        <f t="shared" si="279"/>
        <v>0</v>
      </c>
      <c r="M659" s="19">
        <f t="shared" si="280"/>
        <v>0.98805</v>
      </c>
      <c r="N659" s="24">
        <f t="shared" si="276"/>
        <v>27</v>
      </c>
      <c r="O659" s="21" t="str">
        <f t="shared" si="4"/>
        <v/>
      </c>
      <c r="P659" s="21">
        <f t="shared" si="281"/>
        <v>-0.669025</v>
      </c>
      <c r="Q659" s="22" t="str">
        <f t="shared" si="6"/>
        <v/>
      </c>
      <c r="R659" s="25" t="str">
        <f t="shared" si="7"/>
        <v/>
      </c>
      <c r="S659" s="19" t="str">
        <f t="shared" si="8"/>
        <v/>
      </c>
      <c r="T659" s="19" t="str">
        <f t="shared" si="9"/>
        <v/>
      </c>
      <c r="U659" s="3" t="s">
        <v>203</v>
      </c>
      <c r="V659" s="4" t="str">
        <f>IF(ISBLANK(C659),,IFERROR(IF(VLOOKUP(B659,Standings!$A:$F, 6, 0)=VLOOKUP(C659,Standings!$A:$F, 6, 0), VLOOKUP(B659,Standings!$A:$F, 6, 0), "Non-con"), "FCS"))</f>
        <v>Non-con</v>
      </c>
      <c r="W659" s="3" t="str">
        <f t="shared" si="10"/>
        <v/>
      </c>
      <c r="X659" s="3" t="str">
        <f t="shared" si="11"/>
        <v/>
      </c>
      <c r="Y659" s="30" t="str">
        <f>IF(D659=0,,IF(ISBLANK(Q659),,VLOOKUP(X659,Week0,2,FALSE)/(VLOOKUP(X659,Week0,2,FALSE)+VLOOKUP(W659,Week0,2,FALSE))+0.05)*100)</f>
        <v/>
      </c>
      <c r="Z659" s="3" t="s">
        <v>88</v>
      </c>
      <c r="AA659" s="3">
        <v>42.0</v>
      </c>
      <c r="AB659" s="4" t="str">
        <f t="shared" si="20"/>
        <v>Middle Tennessee</v>
      </c>
      <c r="AC659" s="3">
        <v>0.0</v>
      </c>
      <c r="AD659" s="3"/>
      <c r="AE659" s="3">
        <f t="shared" si="13"/>
        <v>42</v>
      </c>
      <c r="AF659" s="3"/>
      <c r="AG659" s="3" t="str">
        <f t="shared" si="133"/>
        <v/>
      </c>
      <c r="AH659" s="3"/>
      <c r="AI659" s="7"/>
      <c r="AJ659" s="4"/>
      <c r="AK659" s="7"/>
      <c r="AL659" s="7"/>
      <c r="AM659" s="7"/>
      <c r="AN659" s="7"/>
      <c r="AO659" s="7"/>
      <c r="AP659" s="7"/>
      <c r="AQ659" s="7"/>
      <c r="AR659" s="7"/>
      <c r="AS659" s="7"/>
      <c r="AT659" s="7"/>
      <c r="AU659" s="7"/>
      <c r="AV659" s="7"/>
      <c r="AW659" s="7"/>
      <c r="AX659" s="7"/>
    </row>
    <row r="660" ht="12.75" customHeight="1">
      <c r="A660" s="3">
        <v>1.0</v>
      </c>
      <c r="B660" s="3" t="s">
        <v>115</v>
      </c>
      <c r="C660" s="3" t="s">
        <v>60</v>
      </c>
      <c r="D660" s="4">
        <f>IFERROR(VLOOKUP(B660,Week0,2,FALSE),0)</f>
        <v>0</v>
      </c>
      <c r="E660" s="4">
        <f>IF(ISBLANK(B660),,IFERROR(VLOOKUP(B660,CurrentRank!$B$2:$C$132,2,FALSE),0))</f>
        <v>32.29</v>
      </c>
      <c r="F660" s="4">
        <f>IFERROR(VLOOKUP(B660,Week0,3,FALSE),130)</f>
        <v>27</v>
      </c>
      <c r="G660" s="4">
        <f>IF(ISBLANK(B660),,IFERROR(VLOOKUP(B660,CurrentRank!$B$2:$D$132,3,FALSE),130))</f>
        <v>91</v>
      </c>
      <c r="H660" s="4">
        <f>IFERROR(VLOOKUP(C660,Week0,2,FALSE),0)</f>
        <v>0</v>
      </c>
      <c r="I660" s="4">
        <f>IF(ISBLANK(B660),,IFERROR(VLOOKUP(C660,CurrentRank!$B$2:$C$132,2,FALSE),0))</f>
        <v>35.34</v>
      </c>
      <c r="J660" s="4">
        <f>IFERROR(VLOOKUP(C660,Week0,3,FALSE),130)</f>
        <v>27</v>
      </c>
      <c r="K660" s="4">
        <f>IF(ISBLANK(C660),,IFERROR(VLOOKUP(C660,CurrentRank!$B$2:$D$132,3,FALSE),130))</f>
        <v>61</v>
      </c>
      <c r="L660" s="19">
        <f t="shared" si="279"/>
        <v>0</v>
      </c>
      <c r="M660" s="19">
        <f t="shared" si="280"/>
        <v>1.01445</v>
      </c>
      <c r="N660" s="24">
        <f t="shared" si="276"/>
        <v>27</v>
      </c>
      <c r="O660" s="21" t="str">
        <f t="shared" si="4"/>
        <v/>
      </c>
      <c r="P660" s="21">
        <f t="shared" si="281"/>
        <v>-2.032225</v>
      </c>
      <c r="Q660" s="22" t="str">
        <f t="shared" si="6"/>
        <v/>
      </c>
      <c r="R660" s="25" t="str">
        <f t="shared" si="7"/>
        <v/>
      </c>
      <c r="S660" s="19" t="str">
        <f t="shared" si="8"/>
        <v/>
      </c>
      <c r="T660" s="19" t="str">
        <f t="shared" si="9"/>
        <v/>
      </c>
      <c r="U660" s="3" t="s">
        <v>203</v>
      </c>
      <c r="V660" s="4" t="str">
        <f>IF(ISBLANK(C660),,IFERROR(IF(VLOOKUP(B660,Standings!$A:$F, 6, 0)=VLOOKUP(C660,Standings!$A:$F, 6, 0), VLOOKUP(B660,Standings!$A:$F, 6, 0), "Non-con"), "FCS"))</f>
        <v>Non-con</v>
      </c>
      <c r="W660" s="3" t="str">
        <f t="shared" si="10"/>
        <v/>
      </c>
      <c r="X660" s="3" t="str">
        <f t="shared" si="11"/>
        <v/>
      </c>
      <c r="Y660" s="30" t="str">
        <f>IF(D660=0,,IF(ISBLANK(Q660),,VLOOKUP(X660,Week0,2,FALSE)/(VLOOKUP(X660,Week0,2,FALSE)+VLOOKUP(W660,Week0,2,FALSE))+0.05)*100)</f>
        <v/>
      </c>
      <c r="Z660" s="3" t="s">
        <v>60</v>
      </c>
      <c r="AA660" s="3">
        <v>37.0</v>
      </c>
      <c r="AB660" s="4" t="str">
        <f t="shared" si="20"/>
        <v>Arkansas State</v>
      </c>
      <c r="AC660" s="3">
        <v>24.0</v>
      </c>
      <c r="AD660" s="3"/>
      <c r="AE660" s="3">
        <f t="shared" si="13"/>
        <v>13</v>
      </c>
      <c r="AF660" s="3"/>
      <c r="AG660" s="3" t="str">
        <f t="shared" si="133"/>
        <v/>
      </c>
      <c r="AH660" s="3"/>
      <c r="AI660" s="7"/>
      <c r="AJ660" s="4" t="s">
        <v>149</v>
      </c>
      <c r="AK660" s="7"/>
      <c r="AL660" s="7"/>
      <c r="AM660" s="7"/>
      <c r="AN660" s="7"/>
      <c r="AO660" s="7"/>
      <c r="AP660" s="7"/>
      <c r="AQ660" s="7"/>
      <c r="AR660" s="7"/>
      <c r="AS660" s="7"/>
      <c r="AT660" s="7"/>
      <c r="AU660" s="7"/>
      <c r="AV660" s="7"/>
      <c r="AW660" s="7"/>
      <c r="AX660" s="7"/>
    </row>
    <row r="661" ht="12.75" customHeight="1">
      <c r="A661" s="3">
        <v>1.0</v>
      </c>
      <c r="B661" s="3" t="s">
        <v>260</v>
      </c>
      <c r="C661" s="3" t="s">
        <v>43</v>
      </c>
      <c r="D661" s="4">
        <f>IFERROR(VLOOKUP(B661,Week0,2,FALSE),0)</f>
        <v>0</v>
      </c>
      <c r="E661" s="4">
        <f>IF(ISBLANK(B661),,IFERROR(VLOOKUP(B661,CurrentRank!$B$2:$C$132,2,FALSE),0))</f>
        <v>0</v>
      </c>
      <c r="F661" s="4">
        <f>IFERROR(VLOOKUP(B661,Week0,3,FALSE),130)</f>
        <v>130</v>
      </c>
      <c r="G661" s="4">
        <f>IF(ISBLANK(B661),,IFERROR(VLOOKUP(B661,CurrentRank!$B$2:$D$132,3,FALSE),130))</f>
        <v>130</v>
      </c>
      <c r="H661" s="4">
        <f>IFERROR(VLOOKUP(C661,Week0,2,FALSE),0)</f>
        <v>0</v>
      </c>
      <c r="I661" s="4">
        <f>IF(ISBLANK(B661),,IFERROR(VLOOKUP(C661,CurrentRank!$B$2:$C$132,2,FALSE),0))</f>
        <v>11.84</v>
      </c>
      <c r="J661" s="4">
        <f>IFERROR(VLOOKUP(C661,Week0,3,FALSE),130)</f>
        <v>27</v>
      </c>
      <c r="K661" s="4">
        <f>IF(ISBLANK(C661),,IFERROR(VLOOKUP(C661,CurrentRank!$B$2:$D$132,3,FALSE),130))</f>
        <v>130</v>
      </c>
      <c r="L661" s="19">
        <f t="shared" si="279"/>
        <v>0</v>
      </c>
      <c r="M661" s="19">
        <f t="shared" si="280"/>
        <v>0.1776</v>
      </c>
      <c r="N661" s="24">
        <f t="shared" si="276"/>
        <v>78.5</v>
      </c>
      <c r="O661" s="21" t="str">
        <f t="shared" si="4"/>
        <v/>
      </c>
      <c r="P661" s="21">
        <f t="shared" si="281"/>
        <v>-6.0088</v>
      </c>
      <c r="Q661" s="22" t="str">
        <f t="shared" si="6"/>
        <v/>
      </c>
      <c r="R661" s="25" t="str">
        <f t="shared" si="7"/>
        <v/>
      </c>
      <c r="S661" s="19" t="str">
        <f t="shared" si="8"/>
        <v/>
      </c>
      <c r="T661" s="19" t="str">
        <f t="shared" si="9"/>
        <v/>
      </c>
      <c r="U661" s="3" t="s">
        <v>203</v>
      </c>
      <c r="V661" s="4" t="str">
        <f>IF(ISBLANK(C661),,IFERROR(IF(VLOOKUP(B661,Standings!$A:$F, 6, 0)=VLOOKUP(C661,Standings!$A:$F, 6, 0), VLOOKUP(B661,Standings!$A:$F, 6, 0), "Non-con"), "FCS"))</f>
        <v>FCS</v>
      </c>
      <c r="W661" s="3" t="str">
        <f t="shared" si="10"/>
        <v/>
      </c>
      <c r="X661" s="3" t="str">
        <f t="shared" si="11"/>
        <v/>
      </c>
      <c r="Y661" s="30" t="str">
        <f>IF(D661=0,,IF(ISBLANK(Q661),,VLOOKUP(X661,Week0,2,FALSE)/(VLOOKUP(X661,Week0,2,FALSE)+VLOOKUP(W661,Week0,2,FALSE))+0.05)*100)</f>
        <v/>
      </c>
      <c r="Z661" s="3" t="s">
        <v>43</v>
      </c>
      <c r="AA661" s="3">
        <v>24.0</v>
      </c>
      <c r="AB661" s="4" t="str">
        <f t="shared" si="20"/>
        <v>Stephen F. Austin</v>
      </c>
      <c r="AC661" s="3">
        <v>14.0</v>
      </c>
      <c r="AD661" s="3"/>
      <c r="AE661" s="3">
        <f t="shared" si="13"/>
        <v>10</v>
      </c>
      <c r="AF661" s="3"/>
      <c r="AG661" s="3" t="str">
        <f t="shared" si="133"/>
        <v/>
      </c>
      <c r="AH661" s="3"/>
      <c r="AI661" s="7"/>
      <c r="AJ661" s="4"/>
      <c r="AK661" s="7"/>
      <c r="AL661" s="7"/>
      <c r="AM661" s="7"/>
      <c r="AN661" s="7"/>
      <c r="AO661" s="7"/>
      <c r="AP661" s="7"/>
      <c r="AQ661" s="7"/>
      <c r="AR661" s="7"/>
      <c r="AS661" s="7"/>
      <c r="AT661" s="7"/>
      <c r="AU661" s="7"/>
      <c r="AV661" s="7"/>
      <c r="AW661" s="7"/>
      <c r="AX661" s="7"/>
    </row>
    <row r="662" ht="12.75" customHeight="1">
      <c r="A662" s="3">
        <v>1.0</v>
      </c>
      <c r="B662" s="3" t="s">
        <v>257</v>
      </c>
      <c r="C662" s="3" t="s">
        <v>114</v>
      </c>
      <c r="D662" s="4">
        <f>IFERROR(VLOOKUP(B662,Week0,2,FALSE),0)</f>
        <v>0</v>
      </c>
      <c r="E662" s="4">
        <f>IF(ISBLANK(B662),,IFERROR(VLOOKUP(B662,CurrentRank!$B$2:$C$132,2,FALSE),0))</f>
        <v>0</v>
      </c>
      <c r="F662" s="4">
        <f>IFERROR(VLOOKUP(B662,Week0,3,FALSE),130)</f>
        <v>130</v>
      </c>
      <c r="G662" s="4">
        <f>IF(ISBLANK(B662),,IFERROR(VLOOKUP(B662,CurrentRank!$B$2:$D$132,3,FALSE),130))</f>
        <v>130</v>
      </c>
      <c r="H662" s="4">
        <f>IFERROR(VLOOKUP(C662,Week0,2,FALSE),0)</f>
        <v>0</v>
      </c>
      <c r="I662" s="4">
        <f>IF(ISBLANK(B662),,IFERROR(VLOOKUP(C662,CurrentRank!$B$2:$C$132,2,FALSE),0))</f>
        <v>29.9</v>
      </c>
      <c r="J662" s="4">
        <f>IFERROR(VLOOKUP(C662,Week0,3,FALSE),130)</f>
        <v>27</v>
      </c>
      <c r="K662" s="4">
        <f>IF(ISBLANK(C662),,IFERROR(VLOOKUP(C662,CurrentRank!$B$2:$D$132,3,FALSE),130))</f>
        <v>110</v>
      </c>
      <c r="L662" s="19">
        <f t="shared" si="279"/>
        <v>0</v>
      </c>
      <c r="M662" s="19">
        <f t="shared" si="280"/>
        <v>0.4485</v>
      </c>
      <c r="N662" s="24">
        <f t="shared" si="276"/>
        <v>78.5</v>
      </c>
      <c r="O662" s="21" t="str">
        <f t="shared" si="4"/>
        <v/>
      </c>
      <c r="P662" s="21">
        <f t="shared" si="281"/>
        <v>-15.17425</v>
      </c>
      <c r="Q662" s="22" t="str">
        <f t="shared" si="6"/>
        <v/>
      </c>
      <c r="R662" s="25" t="str">
        <f t="shared" si="7"/>
        <v/>
      </c>
      <c r="S662" s="19" t="str">
        <f t="shared" si="8"/>
        <v/>
      </c>
      <c r="T662" s="19" t="str">
        <f t="shared" si="9"/>
        <v/>
      </c>
      <c r="U662" s="3" t="s">
        <v>203</v>
      </c>
      <c r="V662" s="4" t="str">
        <f>IF(ISBLANK(C662),,IFERROR(IF(VLOOKUP(B662,Standings!$A:$F, 6, 0)=VLOOKUP(C662,Standings!$A:$F, 6, 0), VLOOKUP(B662,Standings!$A:$F, 6, 0), "Non-con"), "FCS"))</f>
        <v>FCS</v>
      </c>
      <c r="W662" s="3" t="str">
        <f t="shared" si="10"/>
        <v/>
      </c>
      <c r="X662" s="3" t="str">
        <f t="shared" si="11"/>
        <v/>
      </c>
      <c r="Y662" s="30" t="str">
        <f>IF(D662=0,,IF(ISBLANK(Q662),,VLOOKUP(X662,Week0,2,FALSE)/(VLOOKUP(X662,Week0,2,FALSE)+VLOOKUP(W662,Week0,2,FALSE))+0.05)*100)</f>
        <v/>
      </c>
      <c r="Z662" s="3" t="s">
        <v>114</v>
      </c>
      <c r="AA662" s="3">
        <v>57.0</v>
      </c>
      <c r="AB662" s="4" t="str">
        <f t="shared" si="20"/>
        <v>Houston Baptist</v>
      </c>
      <c r="AC662" s="3">
        <v>31.0</v>
      </c>
      <c r="AD662" s="3"/>
      <c r="AE662" s="3">
        <f t="shared" si="13"/>
        <v>26</v>
      </c>
      <c r="AF662" s="3"/>
      <c r="AG662" s="3" t="str">
        <f t="shared" si="133"/>
        <v/>
      </c>
      <c r="AH662" s="3"/>
      <c r="AI662" s="7"/>
      <c r="AJ662" s="4"/>
      <c r="AK662" s="7"/>
      <c r="AL662" s="7"/>
      <c r="AM662" s="7"/>
      <c r="AN662" s="7"/>
      <c r="AO662" s="7"/>
      <c r="AP662" s="7"/>
      <c r="AQ662" s="7"/>
      <c r="AR662" s="7"/>
      <c r="AS662" s="7"/>
      <c r="AT662" s="7"/>
      <c r="AU662" s="7"/>
      <c r="AV662" s="7"/>
      <c r="AW662" s="7"/>
      <c r="AX662" s="7"/>
    </row>
    <row r="663" ht="12.75" customHeight="1">
      <c r="A663" s="3">
        <v>1.0</v>
      </c>
      <c r="B663" s="3" t="s">
        <v>261</v>
      </c>
      <c r="C663" s="8" t="s">
        <v>119</v>
      </c>
      <c r="D663" s="4">
        <f>IFERROR(VLOOKUP(B663,Week0,2,FALSE),0)</f>
        <v>0</v>
      </c>
      <c r="E663" s="4">
        <f>IF(ISBLANK(B663),,IFERROR(VLOOKUP(B663,CurrentRank!$B$2:$C$132,2,FALSE),0))</f>
        <v>0</v>
      </c>
      <c r="F663" s="4">
        <f>IFERROR(VLOOKUP(B663,Week0,3,FALSE),130)</f>
        <v>130</v>
      </c>
      <c r="G663" s="4">
        <f>IF(ISBLANK(B663),,IFERROR(VLOOKUP(B663,CurrentRank!$B$2:$D$132,3,FALSE),130))</f>
        <v>130</v>
      </c>
      <c r="H663" s="4">
        <f>IFERROR(VLOOKUP(C663,Week0,2,FALSE),0)</f>
        <v>0</v>
      </c>
      <c r="I663" s="4">
        <f>IF(ISBLANK(B663),,IFERROR(VLOOKUP(C663,CurrentRank!$B$2:$C$132,2,FALSE),0))</f>
        <v>31.96</v>
      </c>
      <c r="J663" s="4">
        <f>IFERROR(VLOOKUP(C663,Week0,3,FALSE),130)</f>
        <v>27</v>
      </c>
      <c r="K663" s="4">
        <f>IF(ISBLANK(C663),,IFERROR(VLOOKUP(C663,CurrentRank!$B$2:$D$132,3,FALSE),130))</f>
        <v>94</v>
      </c>
      <c r="L663" s="19">
        <f t="shared" si="279"/>
        <v>0</v>
      </c>
      <c r="M663" s="19">
        <f t="shared" si="280"/>
        <v>0.4794</v>
      </c>
      <c r="N663" s="24">
        <f t="shared" si="276"/>
        <v>78.5</v>
      </c>
      <c r="O663" s="21" t="str">
        <f t="shared" si="4"/>
        <v/>
      </c>
      <c r="P663" s="21">
        <f t="shared" si="281"/>
        <v>-16.2197</v>
      </c>
      <c r="Q663" s="22" t="str">
        <f t="shared" si="6"/>
        <v/>
      </c>
      <c r="R663" s="25" t="str">
        <f t="shared" si="7"/>
        <v/>
      </c>
      <c r="S663" s="19" t="str">
        <f t="shared" si="8"/>
        <v/>
      </c>
      <c r="T663" s="19" t="str">
        <f t="shared" si="9"/>
        <v/>
      </c>
      <c r="U663" s="3" t="s">
        <v>203</v>
      </c>
      <c r="V663" s="4" t="str">
        <f>IF(ISBLANK(C663),,IFERROR(IF(VLOOKUP(B663,Standings!$A:$F, 6, 0)=VLOOKUP(C663,Standings!$A:$F, 6, 0), VLOOKUP(B663,Standings!$A:$F, 6, 0), "Non-con"), "FCS"))</f>
        <v>FCS</v>
      </c>
      <c r="W663" s="3" t="str">
        <f t="shared" si="10"/>
        <v/>
      </c>
      <c r="X663" s="3" t="str">
        <f t="shared" si="11"/>
        <v/>
      </c>
      <c r="Y663" s="30" t="str">
        <f>IF(D663=0,,IF(ISBLANK(Q663),,VLOOKUP(X663,Week0,2,FALSE)/(VLOOKUP(X663,Week0,2,FALSE)+VLOOKUP(W663,Week0,2,FALSE))+0.05)*100)</f>
        <v/>
      </c>
      <c r="Z663" s="3" t="s">
        <v>119</v>
      </c>
      <c r="AA663" s="3">
        <v>45.0</v>
      </c>
      <c r="AB663" s="4" t="str">
        <f t="shared" si="20"/>
        <v>Central Arkansas</v>
      </c>
      <c r="AC663" s="3">
        <v>35.0</v>
      </c>
      <c r="AD663" s="3"/>
      <c r="AE663" s="3">
        <f t="shared" si="13"/>
        <v>10</v>
      </c>
      <c r="AF663" s="3"/>
      <c r="AG663" s="3" t="str">
        <f t="shared" si="133"/>
        <v/>
      </c>
      <c r="AH663" s="3"/>
      <c r="AI663" s="7"/>
      <c r="AJ663" s="4"/>
      <c r="AK663" s="7"/>
      <c r="AL663" s="7"/>
      <c r="AM663" s="7"/>
      <c r="AN663" s="7"/>
      <c r="AO663" s="7"/>
      <c r="AP663" s="7"/>
      <c r="AQ663" s="7"/>
      <c r="AR663" s="7"/>
      <c r="AS663" s="7"/>
      <c r="AT663" s="7"/>
      <c r="AU663" s="7"/>
      <c r="AV663" s="7"/>
      <c r="AW663" s="7"/>
      <c r="AX663" s="7"/>
    </row>
    <row r="664" ht="12.75" customHeight="1">
      <c r="A664" s="3">
        <v>1.0</v>
      </c>
      <c r="B664" s="3" t="s">
        <v>250</v>
      </c>
      <c r="C664" s="3" t="s">
        <v>95</v>
      </c>
      <c r="D664" s="4">
        <f>IFERROR(VLOOKUP(B664,Week0,2,FALSE),0)</f>
        <v>0</v>
      </c>
      <c r="E664" s="4">
        <f>IF(ISBLANK(B664),,IFERROR(VLOOKUP(B664,CurrentRank!$B$2:$C$132,2,FALSE),0))</f>
        <v>0</v>
      </c>
      <c r="F664" s="4">
        <f>IFERROR(VLOOKUP(B664,Week0,3,FALSE),130)</f>
        <v>130</v>
      </c>
      <c r="G664" s="4">
        <f>IF(ISBLANK(B664),,IFERROR(VLOOKUP(B664,CurrentRank!$B$2:$D$132,3,FALSE),130))</f>
        <v>130</v>
      </c>
      <c r="H664" s="4">
        <f>IFERROR(VLOOKUP(C664,Week0,2,FALSE),0)</f>
        <v>0</v>
      </c>
      <c r="I664" s="4">
        <f>IF(ISBLANK(B664),,IFERROR(VLOOKUP(C664,CurrentRank!$B$2:$C$132,2,FALSE),0))</f>
        <v>33.45</v>
      </c>
      <c r="J664" s="4">
        <f>IFERROR(VLOOKUP(C664,Week0,3,FALSE),130)</f>
        <v>27</v>
      </c>
      <c r="K664" s="4">
        <f>IF(ISBLANK(C664),,IFERROR(VLOOKUP(C664,CurrentRank!$B$2:$D$132,3,FALSE),130))</f>
        <v>81</v>
      </c>
      <c r="L664" s="19">
        <f t="shared" si="279"/>
        <v>0</v>
      </c>
      <c r="M664" s="19">
        <f t="shared" si="280"/>
        <v>0.50175</v>
      </c>
      <c r="N664" s="24">
        <f t="shared" si="276"/>
        <v>78.5</v>
      </c>
      <c r="O664" s="21" t="str">
        <f t="shared" si="4"/>
        <v/>
      </c>
      <c r="P664" s="21">
        <f t="shared" si="281"/>
        <v>-16.975875</v>
      </c>
      <c r="Q664" s="22" t="str">
        <f t="shared" si="6"/>
        <v/>
      </c>
      <c r="R664" s="25" t="str">
        <f t="shared" si="7"/>
        <v/>
      </c>
      <c r="S664" s="19" t="str">
        <f t="shared" si="8"/>
        <v/>
      </c>
      <c r="T664" s="19" t="str">
        <f t="shared" si="9"/>
        <v/>
      </c>
      <c r="U664" s="3" t="s">
        <v>203</v>
      </c>
      <c r="V664" s="4" t="str">
        <f>IF(ISBLANK(C664),,IFERROR(IF(VLOOKUP(B664,Standings!$A:$F, 6, 0)=VLOOKUP(C664,Standings!$A:$F, 6, 0), VLOOKUP(B664,Standings!$A:$F, 6, 0), "Non-con"), "FCS"))</f>
        <v>FCS</v>
      </c>
      <c r="W664" s="3" t="str">
        <f t="shared" si="10"/>
        <v/>
      </c>
      <c r="X664" s="3" t="str">
        <f t="shared" si="11"/>
        <v/>
      </c>
      <c r="Y664" s="30" t="str">
        <f>IF(D664=0,,IF(ISBLANK(Q664),,VLOOKUP(X664,Week0,2,FALSE)/(VLOOKUP(X664,Week0,2,FALSE)+VLOOKUP(W664,Week0,2,FALSE))+0.05)*100)</f>
        <v/>
      </c>
      <c r="Z664" s="3" t="s">
        <v>95</v>
      </c>
      <c r="AA664" s="3">
        <v>59.0</v>
      </c>
      <c r="AB664" s="4" t="str">
        <f t="shared" si="20"/>
        <v>Eastern Kentucky</v>
      </c>
      <c r="AC664" s="3">
        <v>0.0</v>
      </c>
      <c r="AD664" s="3"/>
      <c r="AE664" s="3">
        <f t="shared" si="13"/>
        <v>59</v>
      </c>
      <c r="AF664" s="3"/>
      <c r="AG664" s="3" t="str">
        <f t="shared" si="133"/>
        <v/>
      </c>
      <c r="AH664" s="3"/>
      <c r="AI664" s="7"/>
      <c r="AJ664" s="4" t="s">
        <v>180</v>
      </c>
      <c r="AK664" s="7"/>
      <c r="AL664" s="7"/>
      <c r="AM664" s="7"/>
      <c r="AN664" s="7"/>
      <c r="AO664" s="7"/>
      <c r="AP664" s="7"/>
      <c r="AQ664" s="7"/>
      <c r="AR664" s="7"/>
      <c r="AS664" s="7"/>
      <c r="AT664" s="7"/>
      <c r="AU664" s="7"/>
      <c r="AV664" s="7"/>
      <c r="AW664" s="7"/>
      <c r="AX664" s="7"/>
    </row>
    <row r="665" ht="12.75" customHeight="1">
      <c r="A665" s="4"/>
      <c r="B665" s="4"/>
      <c r="C665" s="4"/>
      <c r="D665" s="4"/>
      <c r="E665" s="4" t="str">
        <f>IF(ISBLANK(B665),,IFERROR(VLOOKUP(B665,CurrentRank!$B$2:$C$132,2,FALSE),0))</f>
        <v/>
      </c>
      <c r="F665" s="4"/>
      <c r="G665" s="4" t="str">
        <f>IF(ISBLANK(B665),,IFERROR(VLOOKUP(B665,CurrentRank!$B$2:$D$132,3,FALSE),130))</f>
        <v/>
      </c>
      <c r="H665" s="4"/>
      <c r="I665" s="4" t="str">
        <f>IF(ISBLANK(B665),,IFERROR(VLOOKUP(C665,CurrentRank!$B$2:$C$132,2,FALSE),0))</f>
        <v/>
      </c>
      <c r="J665" s="4"/>
      <c r="K665" s="4" t="str">
        <f>IF(ISBLANK(C665),,IFERROR(VLOOKUP(C665,CurrentRank!$B$2:$D$132,3,FALSE),130))</f>
        <v/>
      </c>
      <c r="L665" s="19" t="str">
        <f t="shared" si="279"/>
        <v/>
      </c>
      <c r="M665" s="19" t="str">
        <f t="shared" si="280"/>
        <v/>
      </c>
      <c r="N665" s="24" t="str">
        <f t="shared" si="276"/>
        <v/>
      </c>
      <c r="O665" s="21" t="str">
        <f t="shared" si="4"/>
        <v/>
      </c>
      <c r="P665" s="21" t="str">
        <f t="shared" ref="P665:P1004" si="282">IF(ISBLANK(C665),,(E665-(I665+L665))/2)</f>
        <v/>
      </c>
      <c r="Q665" s="22" t="str">
        <f t="shared" si="6"/>
        <v/>
      </c>
      <c r="R665" s="25" t="str">
        <f t="shared" si="7"/>
        <v/>
      </c>
      <c r="S665" s="19" t="str">
        <f t="shared" si="8"/>
        <v/>
      </c>
      <c r="T665" s="19" t="str">
        <f t="shared" si="9"/>
        <v/>
      </c>
      <c r="U665" s="3"/>
      <c r="V665" s="4" t="str">
        <f>IF(ISBLANK(C665),,IFERROR(IF(VLOOKUP(B665,Standings!$A:$F, 6, 0)=VLOOKUP(C665,Standings!$A:$F, 6, 0), VLOOKUP(B665,Standings!$A:$F, 6, 0), "Non-con"), "FCS"))</f>
        <v/>
      </c>
      <c r="W665" s="3" t="str">
        <f t="shared" si="10"/>
        <v/>
      </c>
      <c r="X665" s="3" t="str">
        <f t="shared" si="11"/>
        <v/>
      </c>
      <c r="Y665" s="30" t="str">
        <f>IF(D665=0,,IF(ISBLANK(Q665),,VLOOKUP(X665,Week1,2,FALSE)/(VLOOKUP(X665,Week1,2,FALSE)+VLOOKUP(W665,Week1,2,FALSE)))*100)</f>
        <v/>
      </c>
      <c r="Z665" s="4"/>
      <c r="AA665" s="3"/>
      <c r="AB665" s="4" t="str">
        <f t="shared" si="20"/>
        <v/>
      </c>
      <c r="AC665" s="3"/>
      <c r="AD665" s="3"/>
      <c r="AE665" s="3" t="str">
        <f t="shared" si="13"/>
        <v/>
      </c>
      <c r="AF665" s="3"/>
      <c r="AG665" s="3" t="str">
        <f t="shared" si="133"/>
        <v/>
      </c>
      <c r="AH665" s="3"/>
      <c r="AI665" s="7"/>
      <c r="AJ665" s="4"/>
      <c r="AK665" s="7"/>
      <c r="AL665" s="7"/>
      <c r="AM665" s="7"/>
      <c r="AN665" s="7"/>
      <c r="AO665" s="7"/>
      <c r="AP665" s="7"/>
      <c r="AQ665" s="7"/>
      <c r="AR665" s="7"/>
      <c r="AS665" s="7"/>
      <c r="AT665" s="7"/>
      <c r="AU665" s="7"/>
      <c r="AV665" s="7"/>
      <c r="AW665" s="7"/>
      <c r="AX665" s="7"/>
    </row>
    <row r="666" ht="12.75" customHeight="1">
      <c r="A666" s="4"/>
      <c r="B666" s="4"/>
      <c r="C666" s="4"/>
      <c r="D666" s="4"/>
      <c r="E666" s="4" t="str">
        <f>IF(ISBLANK(B666),,IFERROR(VLOOKUP(B666,CurrentRank!$B$2:$C$132,2,FALSE),0))</f>
        <v/>
      </c>
      <c r="F666" s="4"/>
      <c r="G666" s="4" t="str">
        <f>IF(ISBLANK(B666),,IFERROR(VLOOKUP(B666,CurrentRank!$B$2:$D$132,3,FALSE),130))</f>
        <v/>
      </c>
      <c r="H666" s="4"/>
      <c r="I666" s="4" t="str">
        <f>IF(ISBLANK(B666),,IFERROR(VLOOKUP(C666,CurrentRank!$B$2:$C$132,2,FALSE),0))</f>
        <v/>
      </c>
      <c r="J666" s="4"/>
      <c r="K666" s="4" t="str">
        <f>IF(ISBLANK(C666),,IFERROR(VLOOKUP(C666,CurrentRank!$B$2:$D$132,3,FALSE),130))</f>
        <v/>
      </c>
      <c r="L666" s="19" t="str">
        <f t="shared" si="279"/>
        <v/>
      </c>
      <c r="M666" s="19" t="str">
        <f t="shared" si="280"/>
        <v/>
      </c>
      <c r="N666" s="24" t="str">
        <f t="shared" si="276"/>
        <v/>
      </c>
      <c r="O666" s="21" t="str">
        <f t="shared" si="4"/>
        <v/>
      </c>
      <c r="P666" s="21" t="str">
        <f t="shared" si="282"/>
        <v/>
      </c>
      <c r="Q666" s="22" t="str">
        <f t="shared" si="6"/>
        <v/>
      </c>
      <c r="R666" s="25" t="str">
        <f t="shared" si="7"/>
        <v/>
      </c>
      <c r="S666" s="19" t="str">
        <f t="shared" si="8"/>
        <v/>
      </c>
      <c r="T666" s="19" t="str">
        <f t="shared" si="9"/>
        <v/>
      </c>
      <c r="U666" s="3"/>
      <c r="V666" s="4" t="str">
        <f>IF(ISBLANK(C666),,IFERROR(IF(VLOOKUP(B666,Standings!$A:$F, 6, 0)=VLOOKUP(C666,Standings!$A:$F, 6, 0), VLOOKUP(B666,Standings!$A:$F, 6, 0), "Non-con"), "FCS"))</f>
        <v/>
      </c>
      <c r="W666" s="3" t="str">
        <f t="shared" si="10"/>
        <v/>
      </c>
      <c r="X666" s="3" t="str">
        <f t="shared" si="11"/>
        <v/>
      </c>
      <c r="Y666" s="30" t="str">
        <f>IF(D666=0,,IF(ISBLANK(Q666),,VLOOKUP(X666,Week1,2,FALSE)/(VLOOKUP(X666,Week1,2,FALSE)+VLOOKUP(W666,Week1,2,FALSE)))*100)</f>
        <v/>
      </c>
      <c r="Z666" s="4"/>
      <c r="AA666" s="3"/>
      <c r="AB666" s="4" t="str">
        <f t="shared" si="20"/>
        <v/>
      </c>
      <c r="AC666" s="3"/>
      <c r="AD666" s="3"/>
      <c r="AE666" s="3" t="str">
        <f t="shared" si="13"/>
        <v/>
      </c>
      <c r="AF666" s="3"/>
      <c r="AG666" s="3" t="str">
        <f t="shared" si="133"/>
        <v/>
      </c>
      <c r="AH666" s="3"/>
      <c r="AI666" s="7"/>
      <c r="AJ666" s="4"/>
      <c r="AK666" s="7"/>
      <c r="AL666" s="7"/>
      <c r="AM666" s="7"/>
      <c r="AN666" s="7"/>
      <c r="AO666" s="7"/>
      <c r="AP666" s="7"/>
      <c r="AQ666" s="7"/>
      <c r="AR666" s="7"/>
      <c r="AS666" s="7"/>
      <c r="AT666" s="7"/>
      <c r="AU666" s="7"/>
      <c r="AV666" s="7"/>
      <c r="AW666" s="7"/>
      <c r="AX666" s="7"/>
    </row>
    <row r="667" ht="12.75" customHeight="1">
      <c r="A667" s="4"/>
      <c r="B667" s="4"/>
      <c r="C667" s="4"/>
      <c r="D667" s="4"/>
      <c r="E667" s="4" t="str">
        <f>IF(ISBLANK(B667),,IFERROR(VLOOKUP(B667,CurrentRank!$B$2:$C$132,2,FALSE),0))</f>
        <v/>
      </c>
      <c r="F667" s="4"/>
      <c r="G667" s="4" t="str">
        <f>IF(ISBLANK(B667),,IFERROR(VLOOKUP(B667,CurrentRank!$B$2:$D$132,3,FALSE),130))</f>
        <v/>
      </c>
      <c r="H667" s="4"/>
      <c r="I667" s="4" t="str">
        <f>IF(ISBLANK(B667),,IFERROR(VLOOKUP(C667,CurrentRank!$B$2:$C$132,2,FALSE),0))</f>
        <v/>
      </c>
      <c r="J667" s="4"/>
      <c r="K667" s="4" t="str">
        <f>IF(ISBLANK(C667),,IFERROR(VLOOKUP(C667,CurrentRank!$B$2:$D$132,3,FALSE),130))</f>
        <v/>
      </c>
      <c r="L667" s="19" t="str">
        <f t="shared" si="279"/>
        <v/>
      </c>
      <c r="M667" s="19" t="str">
        <f t="shared" si="280"/>
        <v/>
      </c>
      <c r="N667" s="24" t="str">
        <f t="shared" si="276"/>
        <v/>
      </c>
      <c r="O667" s="21" t="str">
        <f t="shared" si="4"/>
        <v/>
      </c>
      <c r="P667" s="21" t="str">
        <f t="shared" si="282"/>
        <v/>
      </c>
      <c r="Q667" s="22" t="str">
        <f t="shared" si="6"/>
        <v/>
      </c>
      <c r="R667" s="25" t="str">
        <f t="shared" si="7"/>
        <v/>
      </c>
      <c r="S667" s="19" t="str">
        <f t="shared" si="8"/>
        <v/>
      </c>
      <c r="T667" s="19" t="str">
        <f t="shared" si="9"/>
        <v/>
      </c>
      <c r="U667" s="3"/>
      <c r="V667" s="4" t="str">
        <f>IF(ISBLANK(C667),,IFERROR(IF(VLOOKUP(B667,Standings!$A:$F, 6, 0)=VLOOKUP(C667,Standings!$A:$F, 6, 0), VLOOKUP(B667,Standings!$A:$F, 6, 0), "Non-con"), "FCS"))</f>
        <v/>
      </c>
      <c r="W667" s="3" t="str">
        <f t="shared" si="10"/>
        <v/>
      </c>
      <c r="X667" s="3" t="str">
        <f t="shared" si="11"/>
        <v/>
      </c>
      <c r="Y667" s="30" t="str">
        <f>IF(D667=0,,IF(ISBLANK(Q667),,VLOOKUP(X667,Week1,2,FALSE)/(VLOOKUP(X667,Week1,2,FALSE)+VLOOKUP(W667,Week1,2,FALSE)))*100)</f>
        <v/>
      </c>
      <c r="Z667" s="4"/>
      <c r="AA667" s="3"/>
      <c r="AB667" s="4" t="str">
        <f t="shared" si="20"/>
        <v/>
      </c>
      <c r="AC667" s="3"/>
      <c r="AD667" s="3"/>
      <c r="AE667" s="3" t="str">
        <f t="shared" si="13"/>
        <v/>
      </c>
      <c r="AF667" s="3"/>
      <c r="AG667" s="3" t="str">
        <f t="shared" si="133"/>
        <v/>
      </c>
      <c r="AH667" s="3"/>
      <c r="AI667" s="7"/>
      <c r="AJ667" s="4"/>
      <c r="AK667" s="7"/>
      <c r="AL667" s="7"/>
      <c r="AM667" s="7"/>
      <c r="AN667" s="7"/>
      <c r="AO667" s="7"/>
      <c r="AP667" s="7"/>
      <c r="AQ667" s="7"/>
      <c r="AR667" s="7"/>
      <c r="AS667" s="7"/>
      <c r="AT667" s="7"/>
      <c r="AU667" s="7"/>
      <c r="AV667" s="7"/>
      <c r="AW667" s="7"/>
      <c r="AX667" s="7"/>
    </row>
    <row r="668" ht="12.75" customHeight="1">
      <c r="A668" s="4"/>
      <c r="B668" s="4"/>
      <c r="C668" s="4"/>
      <c r="D668" s="4"/>
      <c r="E668" s="4" t="str">
        <f>IF(ISBLANK(B668),,IFERROR(VLOOKUP(B668,CurrentRank!$B$2:$C$132,2,FALSE),0))</f>
        <v/>
      </c>
      <c r="F668" s="4"/>
      <c r="G668" s="4" t="str">
        <f>IF(ISBLANK(B668),,IFERROR(VLOOKUP(B668,CurrentRank!$B$2:$D$132,3,FALSE),130))</f>
        <v/>
      </c>
      <c r="H668" s="4"/>
      <c r="I668" s="4" t="str">
        <f>IF(ISBLANK(B668),,IFERROR(VLOOKUP(C668,CurrentRank!$B$2:$C$132,2,FALSE),0))</f>
        <v/>
      </c>
      <c r="J668" s="4"/>
      <c r="K668" s="4" t="str">
        <f>IF(ISBLANK(C668),,IFERROR(VLOOKUP(C668,CurrentRank!$B$2:$D$132,3,FALSE),130))</f>
        <v/>
      </c>
      <c r="L668" s="19" t="str">
        <f t="shared" si="279"/>
        <v/>
      </c>
      <c r="M668" s="19" t="str">
        <f t="shared" si="280"/>
        <v/>
      </c>
      <c r="N668" s="24" t="str">
        <f t="shared" si="276"/>
        <v/>
      </c>
      <c r="O668" s="21" t="str">
        <f t="shared" si="4"/>
        <v/>
      </c>
      <c r="P668" s="21" t="str">
        <f t="shared" si="282"/>
        <v/>
      </c>
      <c r="Q668" s="22" t="str">
        <f t="shared" si="6"/>
        <v/>
      </c>
      <c r="R668" s="25" t="str">
        <f t="shared" si="7"/>
        <v/>
      </c>
      <c r="S668" s="19" t="str">
        <f t="shared" si="8"/>
        <v/>
      </c>
      <c r="T668" s="19" t="str">
        <f t="shared" si="9"/>
        <v/>
      </c>
      <c r="U668" s="3"/>
      <c r="V668" s="4" t="str">
        <f>IF(ISBLANK(C668),,IFERROR(IF(VLOOKUP(B668,Standings!$A:$F, 6, 0)=VLOOKUP(C668,Standings!$A:$F, 6, 0), VLOOKUP(B668,Standings!$A:$F, 6, 0), "Non-con"), "FCS"))</f>
        <v/>
      </c>
      <c r="W668" s="3" t="str">
        <f t="shared" si="10"/>
        <v/>
      </c>
      <c r="X668" s="3" t="str">
        <f t="shared" si="11"/>
        <v/>
      </c>
      <c r="Y668" s="30" t="str">
        <f>IF(D668=0,,IF(ISBLANK(Q668),,VLOOKUP(X668,Week1,2,FALSE)/(VLOOKUP(X668,Week1,2,FALSE)+VLOOKUP(W668,Week1,2,FALSE)))*100)</f>
        <v/>
      </c>
      <c r="Z668" s="4"/>
      <c r="AA668" s="3"/>
      <c r="AB668" s="4" t="str">
        <f t="shared" si="20"/>
        <v/>
      </c>
      <c r="AC668" s="3"/>
      <c r="AD668" s="3"/>
      <c r="AE668" s="3" t="str">
        <f t="shared" si="13"/>
        <v/>
      </c>
      <c r="AF668" s="3"/>
      <c r="AG668" s="3" t="str">
        <f t="shared" si="133"/>
        <v/>
      </c>
      <c r="AH668" s="3"/>
      <c r="AI668" s="7"/>
      <c r="AJ668" s="4"/>
      <c r="AK668" s="7"/>
      <c r="AL668" s="7"/>
      <c r="AM668" s="7"/>
      <c r="AN668" s="7"/>
      <c r="AO668" s="7"/>
      <c r="AP668" s="7"/>
      <c r="AQ668" s="7"/>
      <c r="AR668" s="7"/>
      <c r="AS668" s="7"/>
      <c r="AT668" s="7"/>
      <c r="AU668" s="7"/>
      <c r="AV668" s="7"/>
      <c r="AW668" s="7"/>
      <c r="AX668" s="7"/>
    </row>
    <row r="669" ht="12.75" customHeight="1">
      <c r="A669" s="4"/>
      <c r="B669" s="4"/>
      <c r="C669" s="4"/>
      <c r="D669" s="4"/>
      <c r="E669" s="4" t="str">
        <f>IF(ISBLANK(B669),,IFERROR(VLOOKUP(B669,CurrentRank!$B$2:$C$132,2,FALSE),0))</f>
        <v/>
      </c>
      <c r="F669" s="4"/>
      <c r="G669" s="4" t="str">
        <f>IF(ISBLANK(B669),,IFERROR(VLOOKUP(B669,CurrentRank!$B$2:$D$132,3,FALSE),130))</f>
        <v/>
      </c>
      <c r="H669" s="4"/>
      <c r="I669" s="4" t="str">
        <f>IF(ISBLANK(B669),,IFERROR(VLOOKUP(C669,CurrentRank!$B$2:$C$132,2,FALSE),0))</f>
        <v/>
      </c>
      <c r="J669" s="4"/>
      <c r="K669" s="4" t="str">
        <f>IF(ISBLANK(C669),,IFERROR(VLOOKUP(C669,CurrentRank!$B$2:$D$132,3,FALSE),130))</f>
        <v/>
      </c>
      <c r="L669" s="19" t="str">
        <f t="shared" si="279"/>
        <v/>
      </c>
      <c r="M669" s="19" t="str">
        <f t="shared" si="280"/>
        <v/>
      </c>
      <c r="N669" s="24" t="str">
        <f t="shared" si="276"/>
        <v/>
      </c>
      <c r="O669" s="21" t="str">
        <f t="shared" si="4"/>
        <v/>
      </c>
      <c r="P669" s="21" t="str">
        <f t="shared" si="282"/>
        <v/>
      </c>
      <c r="Q669" s="22" t="str">
        <f t="shared" si="6"/>
        <v/>
      </c>
      <c r="R669" s="25" t="str">
        <f t="shared" si="7"/>
        <v/>
      </c>
      <c r="S669" s="19" t="str">
        <f t="shared" si="8"/>
        <v/>
      </c>
      <c r="T669" s="19" t="str">
        <f t="shared" si="9"/>
        <v/>
      </c>
      <c r="U669" s="3"/>
      <c r="V669" s="4" t="str">
        <f>IF(ISBLANK(C669),,IFERROR(IF(VLOOKUP(B669,Standings!$A:$F, 6, 0)=VLOOKUP(C669,Standings!$A:$F, 6, 0), VLOOKUP(B669,Standings!$A:$F, 6, 0), "Non-con"), "FCS"))</f>
        <v/>
      </c>
      <c r="W669" s="3" t="str">
        <f t="shared" si="10"/>
        <v/>
      </c>
      <c r="X669" s="3" t="str">
        <f t="shared" si="11"/>
        <v/>
      </c>
      <c r="Y669" s="30" t="str">
        <f>IF(D669=0,,IF(ISBLANK(Q669),,VLOOKUP(X669,Week1,2,FALSE)/(VLOOKUP(X669,Week1,2,FALSE)+VLOOKUP(W669,Week1,2,FALSE)))*100)</f>
        <v/>
      </c>
      <c r="Z669" s="4"/>
      <c r="AA669" s="3"/>
      <c r="AB669" s="4" t="str">
        <f t="shared" si="20"/>
        <v/>
      </c>
      <c r="AC669" s="3"/>
      <c r="AD669" s="3"/>
      <c r="AE669" s="3" t="str">
        <f t="shared" si="13"/>
        <v/>
      </c>
      <c r="AF669" s="3"/>
      <c r="AG669" s="3" t="str">
        <f t="shared" si="133"/>
        <v/>
      </c>
      <c r="AH669" s="3"/>
      <c r="AI669" s="7"/>
      <c r="AJ669" s="4"/>
      <c r="AK669" s="7"/>
      <c r="AL669" s="7"/>
      <c r="AM669" s="7"/>
      <c r="AN669" s="7"/>
      <c r="AO669" s="7"/>
      <c r="AP669" s="7"/>
      <c r="AQ669" s="7"/>
      <c r="AR669" s="7"/>
      <c r="AS669" s="7"/>
      <c r="AT669" s="7"/>
      <c r="AU669" s="7"/>
      <c r="AV669" s="7"/>
      <c r="AW669" s="7"/>
      <c r="AX669" s="7"/>
    </row>
    <row r="670" ht="12.75" customHeight="1">
      <c r="A670" s="4"/>
      <c r="B670" s="4"/>
      <c r="C670" s="4"/>
      <c r="D670" s="4"/>
      <c r="E670" s="4" t="str">
        <f>IF(ISBLANK(B670),,IFERROR(VLOOKUP(B670,CurrentRank!$B$2:$C$132,2,FALSE),0))</f>
        <v/>
      </c>
      <c r="F670" s="4"/>
      <c r="G670" s="4" t="str">
        <f>IF(ISBLANK(B670),,IFERROR(VLOOKUP(B670,CurrentRank!$B$2:$D$132,3,FALSE),130))</f>
        <v/>
      </c>
      <c r="H670" s="4"/>
      <c r="I670" s="4" t="str">
        <f>IF(ISBLANK(B670),,IFERROR(VLOOKUP(C670,CurrentRank!$B$2:$C$132,2,FALSE),0))</f>
        <v/>
      </c>
      <c r="J670" s="4"/>
      <c r="K670" s="4" t="str">
        <f>IF(ISBLANK(C670),,IFERROR(VLOOKUP(C670,CurrentRank!$B$2:$D$132,3,FALSE),130))</f>
        <v/>
      </c>
      <c r="L670" s="19" t="str">
        <f t="shared" si="279"/>
        <v/>
      </c>
      <c r="M670" s="19" t="str">
        <f t="shared" si="280"/>
        <v/>
      </c>
      <c r="N670" s="24" t="str">
        <f t="shared" si="276"/>
        <v/>
      </c>
      <c r="O670" s="21" t="str">
        <f t="shared" si="4"/>
        <v/>
      </c>
      <c r="P670" s="21" t="str">
        <f t="shared" si="282"/>
        <v/>
      </c>
      <c r="Q670" s="22" t="str">
        <f t="shared" si="6"/>
        <v/>
      </c>
      <c r="R670" s="25" t="str">
        <f t="shared" si="7"/>
        <v/>
      </c>
      <c r="S670" s="19" t="str">
        <f t="shared" si="8"/>
        <v/>
      </c>
      <c r="T670" s="19" t="str">
        <f t="shared" si="9"/>
        <v/>
      </c>
      <c r="U670" s="3"/>
      <c r="V670" s="4" t="str">
        <f>IF(ISBLANK(C670),,IFERROR(IF(VLOOKUP(B670,Standings!$A:$F, 6, 0)=VLOOKUP(C670,Standings!$A:$F, 6, 0), VLOOKUP(B670,Standings!$A:$F, 6, 0), "Non-con"), "FCS"))</f>
        <v/>
      </c>
      <c r="W670" s="3" t="str">
        <f t="shared" si="10"/>
        <v/>
      </c>
      <c r="X670" s="3" t="str">
        <f t="shared" si="11"/>
        <v/>
      </c>
      <c r="Y670" s="30" t="str">
        <f>IF(D670=0,,IF(ISBLANK(Q670),,VLOOKUP(X670,Week1,2,FALSE)/(VLOOKUP(X670,Week1,2,FALSE)+VLOOKUP(W670,Week1,2,FALSE)))*100)</f>
        <v/>
      </c>
      <c r="Z670" s="4"/>
      <c r="AA670" s="3"/>
      <c r="AB670" s="4" t="str">
        <f t="shared" si="20"/>
        <v/>
      </c>
      <c r="AC670" s="3"/>
      <c r="AD670" s="3"/>
      <c r="AE670" s="3" t="str">
        <f t="shared" si="13"/>
        <v/>
      </c>
      <c r="AF670" s="3"/>
      <c r="AG670" s="3" t="str">
        <f t="shared" si="133"/>
        <v/>
      </c>
      <c r="AH670" s="3"/>
      <c r="AI670" s="7"/>
      <c r="AJ670" s="4"/>
      <c r="AK670" s="7"/>
      <c r="AL670" s="7"/>
      <c r="AM670" s="7"/>
      <c r="AN670" s="7"/>
      <c r="AO670" s="7"/>
      <c r="AP670" s="7"/>
      <c r="AQ670" s="7"/>
      <c r="AR670" s="7"/>
      <c r="AS670" s="7"/>
      <c r="AT670" s="7"/>
      <c r="AU670" s="7"/>
      <c r="AV670" s="7"/>
      <c r="AW670" s="7"/>
      <c r="AX670" s="7"/>
    </row>
    <row r="671" ht="12.75" customHeight="1">
      <c r="A671" s="4"/>
      <c r="B671" s="4"/>
      <c r="C671" s="4"/>
      <c r="D671" s="4"/>
      <c r="E671" s="4" t="str">
        <f>IF(ISBLANK(B671),,IFERROR(VLOOKUP(B671,CurrentRank!$B$2:$C$132,2,FALSE),0))</f>
        <v/>
      </c>
      <c r="F671" s="4"/>
      <c r="G671" s="4" t="str">
        <f>IF(ISBLANK(B671),,IFERROR(VLOOKUP(B671,CurrentRank!$B$2:$D$132,3,FALSE),130))</f>
        <v/>
      </c>
      <c r="H671" s="4"/>
      <c r="I671" s="4" t="str">
        <f>IF(ISBLANK(B671),,IFERROR(VLOOKUP(C671,CurrentRank!$B$2:$C$132,2,FALSE),0))</f>
        <v/>
      </c>
      <c r="J671" s="4"/>
      <c r="K671" s="4" t="str">
        <f>IF(ISBLANK(C671),,IFERROR(VLOOKUP(C671,CurrentRank!$B$2:$D$132,3,FALSE),130))</f>
        <v/>
      </c>
      <c r="L671" s="19" t="str">
        <f t="shared" si="279"/>
        <v/>
      </c>
      <c r="M671" s="19" t="str">
        <f t="shared" si="280"/>
        <v/>
      </c>
      <c r="N671" s="24" t="str">
        <f t="shared" si="276"/>
        <v/>
      </c>
      <c r="O671" s="21" t="str">
        <f t="shared" si="4"/>
        <v/>
      </c>
      <c r="P671" s="21" t="str">
        <f t="shared" si="282"/>
        <v/>
      </c>
      <c r="Q671" s="22" t="str">
        <f t="shared" si="6"/>
        <v/>
      </c>
      <c r="R671" s="25" t="str">
        <f t="shared" si="7"/>
        <v/>
      </c>
      <c r="S671" s="19" t="str">
        <f t="shared" si="8"/>
        <v/>
      </c>
      <c r="T671" s="19" t="str">
        <f t="shared" si="9"/>
        <v/>
      </c>
      <c r="U671" s="3"/>
      <c r="V671" s="4" t="str">
        <f>IF(ISBLANK(C671),,IFERROR(IF(VLOOKUP(B671,Standings!$A:$F, 6, 0)=VLOOKUP(C671,Standings!$A:$F, 6, 0), VLOOKUP(B671,Standings!$A:$F, 6, 0), "Non-con"), "FCS"))</f>
        <v/>
      </c>
      <c r="W671" s="3" t="str">
        <f t="shared" si="10"/>
        <v/>
      </c>
      <c r="X671" s="3" t="str">
        <f t="shared" si="11"/>
        <v/>
      </c>
      <c r="Y671" s="30" t="str">
        <f>IF(D671=0,,IF(ISBLANK(Q671),,VLOOKUP(X671,Week1,2,FALSE)/(VLOOKUP(X671,Week1,2,FALSE)+VLOOKUP(W671,Week1,2,FALSE)))*100)</f>
        <v/>
      </c>
      <c r="Z671" s="4"/>
      <c r="AA671" s="3"/>
      <c r="AB671" s="4" t="str">
        <f t="shared" si="20"/>
        <v/>
      </c>
      <c r="AC671" s="3"/>
      <c r="AD671" s="3"/>
      <c r="AE671" s="3" t="str">
        <f t="shared" si="13"/>
        <v/>
      </c>
      <c r="AF671" s="3"/>
      <c r="AG671" s="3" t="str">
        <f t="shared" si="133"/>
        <v/>
      </c>
      <c r="AH671" s="3"/>
      <c r="AI671" s="7"/>
      <c r="AJ671" s="4"/>
      <c r="AK671" s="7"/>
      <c r="AL671" s="7"/>
      <c r="AM671" s="7"/>
      <c r="AN671" s="7"/>
      <c r="AO671" s="7"/>
      <c r="AP671" s="7"/>
      <c r="AQ671" s="7"/>
      <c r="AR671" s="7"/>
      <c r="AS671" s="7"/>
      <c r="AT671" s="7"/>
      <c r="AU671" s="7"/>
      <c r="AV671" s="7"/>
      <c r="AW671" s="7"/>
      <c r="AX671" s="7"/>
    </row>
    <row r="672" ht="12.75" customHeight="1">
      <c r="A672" s="4"/>
      <c r="B672" s="4"/>
      <c r="C672" s="4"/>
      <c r="D672" s="4"/>
      <c r="E672" s="4" t="str">
        <f>IF(ISBLANK(B672),,IFERROR(VLOOKUP(B672,CurrentRank!$B$2:$C$132,2,FALSE),0))</f>
        <v/>
      </c>
      <c r="F672" s="4"/>
      <c r="G672" s="4" t="str">
        <f>IF(ISBLANK(B672),,IFERROR(VLOOKUP(B672,CurrentRank!$B$2:$D$132,3,FALSE),130))</f>
        <v/>
      </c>
      <c r="H672" s="4"/>
      <c r="I672" s="4" t="str">
        <f>IF(ISBLANK(B672),,IFERROR(VLOOKUP(C672,CurrentRank!$B$2:$C$132,2,FALSE),0))</f>
        <v/>
      </c>
      <c r="J672" s="4"/>
      <c r="K672" s="4" t="str">
        <f>IF(ISBLANK(C672),,IFERROR(VLOOKUP(C672,CurrentRank!$B$2:$D$132,3,FALSE),130))</f>
        <v/>
      </c>
      <c r="L672" s="19" t="str">
        <f t="shared" si="279"/>
        <v/>
      </c>
      <c r="M672" s="19" t="str">
        <f t="shared" si="280"/>
        <v/>
      </c>
      <c r="N672" s="24" t="str">
        <f t="shared" si="276"/>
        <v/>
      </c>
      <c r="O672" s="21" t="str">
        <f t="shared" si="4"/>
        <v/>
      </c>
      <c r="P672" s="21" t="str">
        <f t="shared" si="282"/>
        <v/>
      </c>
      <c r="Q672" s="22" t="str">
        <f t="shared" si="6"/>
        <v/>
      </c>
      <c r="R672" s="25" t="str">
        <f t="shared" si="7"/>
        <v/>
      </c>
      <c r="S672" s="19" t="str">
        <f t="shared" si="8"/>
        <v/>
      </c>
      <c r="T672" s="19" t="str">
        <f t="shared" si="9"/>
        <v/>
      </c>
      <c r="U672" s="3"/>
      <c r="V672" s="4" t="str">
        <f>IF(ISBLANK(C672),,IFERROR(IF(VLOOKUP(B672,Standings!$A:$F, 6, 0)=VLOOKUP(C672,Standings!$A:$F, 6, 0), VLOOKUP(B672,Standings!$A:$F, 6, 0), "Non-con"), "FCS"))</f>
        <v/>
      </c>
      <c r="W672" s="3" t="str">
        <f t="shared" si="10"/>
        <v/>
      </c>
      <c r="X672" s="3" t="str">
        <f t="shared" si="11"/>
        <v/>
      </c>
      <c r="Y672" s="30" t="str">
        <f>IF(D672=0,,IF(ISBLANK(Q672),,VLOOKUP(X672,Week1,2,FALSE)/(VLOOKUP(X672,Week1,2,FALSE)+VLOOKUP(W672,Week1,2,FALSE)))*100)</f>
        <v/>
      </c>
      <c r="Z672" s="4"/>
      <c r="AA672" s="3"/>
      <c r="AB672" s="4" t="str">
        <f t="shared" si="20"/>
        <v/>
      </c>
      <c r="AC672" s="3"/>
      <c r="AD672" s="3"/>
      <c r="AE672" s="3" t="str">
        <f t="shared" si="13"/>
        <v/>
      </c>
      <c r="AF672" s="3"/>
      <c r="AG672" s="3" t="str">
        <f t="shared" si="133"/>
        <v/>
      </c>
      <c r="AH672" s="3"/>
      <c r="AI672" s="7"/>
      <c r="AJ672" s="4"/>
      <c r="AK672" s="7"/>
      <c r="AL672" s="7"/>
      <c r="AM672" s="7"/>
      <c r="AN672" s="7"/>
      <c r="AO672" s="7"/>
      <c r="AP672" s="7"/>
      <c r="AQ672" s="7"/>
      <c r="AR672" s="7"/>
      <c r="AS672" s="7"/>
      <c r="AT672" s="7"/>
      <c r="AU672" s="7"/>
      <c r="AV672" s="7"/>
      <c r="AW672" s="7"/>
      <c r="AX672" s="7"/>
    </row>
    <row r="673" ht="12.75" customHeight="1">
      <c r="A673" s="4"/>
      <c r="B673" s="4"/>
      <c r="C673" s="4"/>
      <c r="D673" s="4"/>
      <c r="E673" s="4" t="str">
        <f>IF(ISBLANK(B673),,IFERROR(VLOOKUP(B673,CurrentRank!$B$2:$C$132,2,FALSE),0))</f>
        <v/>
      </c>
      <c r="F673" s="4"/>
      <c r="G673" s="4" t="str">
        <f>IF(ISBLANK(B673),,IFERROR(VLOOKUP(B673,CurrentRank!$B$2:$D$132,3,FALSE),130))</f>
        <v/>
      </c>
      <c r="H673" s="4"/>
      <c r="I673" s="4" t="str">
        <f>IF(ISBLANK(B673),,IFERROR(VLOOKUP(C673,CurrentRank!$B$2:$C$132,2,FALSE),0))</f>
        <v/>
      </c>
      <c r="J673" s="4"/>
      <c r="K673" s="4" t="str">
        <f>IF(ISBLANK(C673),,IFERROR(VLOOKUP(C673,CurrentRank!$B$2:$D$132,3,FALSE),130))</f>
        <v/>
      </c>
      <c r="L673" s="19" t="str">
        <f t="shared" si="279"/>
        <v/>
      </c>
      <c r="M673" s="19" t="str">
        <f t="shared" si="280"/>
        <v/>
      </c>
      <c r="N673" s="24" t="str">
        <f t="shared" si="276"/>
        <v/>
      </c>
      <c r="O673" s="21" t="str">
        <f t="shared" si="4"/>
        <v/>
      </c>
      <c r="P673" s="21" t="str">
        <f t="shared" si="282"/>
        <v/>
      </c>
      <c r="Q673" s="22" t="str">
        <f t="shared" si="6"/>
        <v/>
      </c>
      <c r="R673" s="25" t="str">
        <f t="shared" si="7"/>
        <v/>
      </c>
      <c r="S673" s="19" t="str">
        <f t="shared" si="8"/>
        <v/>
      </c>
      <c r="T673" s="19" t="str">
        <f t="shared" si="9"/>
        <v/>
      </c>
      <c r="U673" s="3"/>
      <c r="V673" s="4" t="str">
        <f>IF(ISBLANK(C673),,IFERROR(IF(VLOOKUP(B673,Standings!$A:$F, 6, 0)=VLOOKUP(C673,Standings!$A:$F, 6, 0), VLOOKUP(B673,Standings!$A:$F, 6, 0), "Non-con"), "FCS"))</f>
        <v/>
      </c>
      <c r="W673" s="3" t="str">
        <f t="shared" si="10"/>
        <v/>
      </c>
      <c r="X673" s="3" t="str">
        <f t="shared" si="11"/>
        <v/>
      </c>
      <c r="Y673" s="30" t="str">
        <f>IF(D673=0,,IF(ISBLANK(Q673),,VLOOKUP(X673,Week1,2,FALSE)/(VLOOKUP(X673,Week1,2,FALSE)+VLOOKUP(W673,Week1,2,FALSE)))*100)</f>
        <v/>
      </c>
      <c r="Z673" s="4"/>
      <c r="AA673" s="3"/>
      <c r="AB673" s="4" t="str">
        <f t="shared" si="20"/>
        <v/>
      </c>
      <c r="AC673" s="3"/>
      <c r="AD673" s="3"/>
      <c r="AE673" s="3" t="str">
        <f t="shared" si="13"/>
        <v/>
      </c>
      <c r="AF673" s="3"/>
      <c r="AG673" s="3" t="str">
        <f t="shared" si="133"/>
        <v/>
      </c>
      <c r="AH673" s="3"/>
      <c r="AI673" s="7"/>
      <c r="AJ673" s="4"/>
      <c r="AK673" s="7"/>
      <c r="AL673" s="7"/>
      <c r="AM673" s="7"/>
      <c r="AN673" s="7"/>
      <c r="AO673" s="7"/>
      <c r="AP673" s="7"/>
      <c r="AQ673" s="7"/>
      <c r="AR673" s="7"/>
      <c r="AS673" s="7"/>
      <c r="AT673" s="7"/>
      <c r="AU673" s="7"/>
      <c r="AV673" s="7"/>
      <c r="AW673" s="7"/>
      <c r="AX673" s="7"/>
    </row>
    <row r="674" ht="12.75" customHeight="1">
      <c r="A674" s="4"/>
      <c r="B674" s="4"/>
      <c r="C674" s="4"/>
      <c r="D674" s="4"/>
      <c r="E674" s="4" t="str">
        <f>IF(ISBLANK(B674),,IFERROR(VLOOKUP(B674,CurrentRank!$B$2:$C$132,2,FALSE),0))</f>
        <v/>
      </c>
      <c r="F674" s="4"/>
      <c r="G674" s="4" t="str">
        <f>IF(ISBLANK(B674),,IFERROR(VLOOKUP(B674,CurrentRank!$B$2:$D$132,3,FALSE),130))</f>
        <v/>
      </c>
      <c r="H674" s="4"/>
      <c r="I674" s="4" t="str">
        <f>IF(ISBLANK(B674),,IFERROR(VLOOKUP(C674,CurrentRank!$B$2:$C$132,2,FALSE),0))</f>
        <v/>
      </c>
      <c r="J674" s="4"/>
      <c r="K674" s="4" t="str">
        <f>IF(ISBLANK(C674),,IFERROR(VLOOKUP(C674,CurrentRank!$B$2:$D$132,3,FALSE),130))</f>
        <v/>
      </c>
      <c r="L674" s="19" t="str">
        <f t="shared" si="279"/>
        <v/>
      </c>
      <c r="M674" s="19" t="str">
        <f t="shared" si="280"/>
        <v/>
      </c>
      <c r="N674" s="24" t="str">
        <f t="shared" si="276"/>
        <v/>
      </c>
      <c r="O674" s="21" t="str">
        <f t="shared" si="4"/>
        <v/>
      </c>
      <c r="P674" s="21" t="str">
        <f t="shared" si="282"/>
        <v/>
      </c>
      <c r="Q674" s="22" t="str">
        <f t="shared" si="6"/>
        <v/>
      </c>
      <c r="R674" s="25" t="str">
        <f t="shared" si="7"/>
        <v/>
      </c>
      <c r="S674" s="19" t="str">
        <f t="shared" si="8"/>
        <v/>
      </c>
      <c r="T674" s="19" t="str">
        <f t="shared" si="9"/>
        <v/>
      </c>
      <c r="U674" s="3"/>
      <c r="V674" s="4" t="str">
        <f>IF(ISBLANK(C674),,IFERROR(IF(VLOOKUP(B674,Standings!$A:$F, 6, 0)=VLOOKUP(C674,Standings!$A:$F, 6, 0), VLOOKUP(B674,Standings!$A:$F, 6, 0), "Non-con"), "FCS"))</f>
        <v/>
      </c>
      <c r="W674" s="3" t="str">
        <f t="shared" si="10"/>
        <v/>
      </c>
      <c r="X674" s="3" t="str">
        <f t="shared" si="11"/>
        <v/>
      </c>
      <c r="Y674" s="30" t="str">
        <f>IF(D674=0,,IF(ISBLANK(Q674),,VLOOKUP(X674,Week1,2,FALSE)/(VLOOKUP(X674,Week1,2,FALSE)+VLOOKUP(W674,Week1,2,FALSE)))*100)</f>
        <v/>
      </c>
      <c r="Z674" s="4"/>
      <c r="AA674" s="3"/>
      <c r="AB674" s="4" t="str">
        <f t="shared" si="20"/>
        <v/>
      </c>
      <c r="AC674" s="3"/>
      <c r="AD674" s="3"/>
      <c r="AE674" s="3" t="str">
        <f t="shared" si="13"/>
        <v/>
      </c>
      <c r="AF674" s="3"/>
      <c r="AG674" s="3" t="str">
        <f t="shared" si="133"/>
        <v/>
      </c>
      <c r="AH674" s="3"/>
      <c r="AI674" s="7"/>
      <c r="AJ674" s="4"/>
      <c r="AK674" s="7"/>
      <c r="AL674" s="7"/>
      <c r="AM674" s="7"/>
      <c r="AN674" s="7"/>
      <c r="AO674" s="7"/>
      <c r="AP674" s="7"/>
      <c r="AQ674" s="7"/>
      <c r="AR674" s="7"/>
      <c r="AS674" s="7"/>
      <c r="AT674" s="7"/>
      <c r="AU674" s="7"/>
      <c r="AV674" s="7"/>
      <c r="AW674" s="7"/>
      <c r="AX674" s="7"/>
    </row>
    <row r="675" ht="12.75" customHeight="1">
      <c r="A675" s="4"/>
      <c r="B675" s="4"/>
      <c r="C675" s="4"/>
      <c r="D675" s="4"/>
      <c r="E675" s="4" t="str">
        <f>IF(ISBLANK(B675),,IFERROR(VLOOKUP(B675,CurrentRank!$B$2:$C$132,2,FALSE),0))</f>
        <v/>
      </c>
      <c r="F675" s="4"/>
      <c r="G675" s="4" t="str">
        <f>IF(ISBLANK(B675),,IFERROR(VLOOKUP(B675,CurrentRank!$B$2:$D$132,3,FALSE),130))</f>
        <v/>
      </c>
      <c r="H675" s="4"/>
      <c r="I675" s="4" t="str">
        <f>IF(ISBLANK(B675),,IFERROR(VLOOKUP(C675,CurrentRank!$B$2:$C$132,2,FALSE),0))</f>
        <v/>
      </c>
      <c r="J675" s="4"/>
      <c r="K675" s="4" t="str">
        <f>IF(ISBLANK(C675),,IFERROR(VLOOKUP(C675,CurrentRank!$B$2:$D$132,3,FALSE),130))</f>
        <v/>
      </c>
      <c r="L675" s="19" t="str">
        <f t="shared" si="279"/>
        <v/>
      </c>
      <c r="M675" s="19" t="str">
        <f t="shared" si="280"/>
        <v/>
      </c>
      <c r="N675" s="24" t="str">
        <f t="shared" si="276"/>
        <v/>
      </c>
      <c r="O675" s="21" t="str">
        <f t="shared" si="4"/>
        <v/>
      </c>
      <c r="P675" s="21" t="str">
        <f t="shared" si="282"/>
        <v/>
      </c>
      <c r="Q675" s="22" t="str">
        <f t="shared" si="6"/>
        <v/>
      </c>
      <c r="R675" s="25" t="str">
        <f t="shared" si="7"/>
        <v/>
      </c>
      <c r="S675" s="19" t="str">
        <f t="shared" si="8"/>
        <v/>
      </c>
      <c r="T675" s="19" t="str">
        <f t="shared" si="9"/>
        <v/>
      </c>
      <c r="U675" s="3"/>
      <c r="V675" s="4" t="str">
        <f>IF(ISBLANK(C675),,IFERROR(IF(VLOOKUP(B675,Standings!$A:$F, 6, 0)=VLOOKUP(C675,Standings!$A:$F, 6, 0), VLOOKUP(B675,Standings!$A:$F, 6, 0), "Non-con"), "FCS"))</f>
        <v/>
      </c>
      <c r="W675" s="3" t="str">
        <f t="shared" si="10"/>
        <v/>
      </c>
      <c r="X675" s="3" t="str">
        <f t="shared" si="11"/>
        <v/>
      </c>
      <c r="Y675" s="30" t="str">
        <f>IF(D675=0,,IF(ISBLANK(Q675),,VLOOKUP(X675,Week1,2,FALSE)/(VLOOKUP(X675,Week1,2,FALSE)+VLOOKUP(W675,Week1,2,FALSE)))*100)</f>
        <v/>
      </c>
      <c r="Z675" s="4"/>
      <c r="AA675" s="3"/>
      <c r="AB675" s="4" t="str">
        <f t="shared" si="20"/>
        <v/>
      </c>
      <c r="AC675" s="3"/>
      <c r="AD675" s="3"/>
      <c r="AE675" s="3" t="str">
        <f t="shared" si="13"/>
        <v/>
      </c>
      <c r="AF675" s="3"/>
      <c r="AG675" s="3" t="str">
        <f t="shared" si="133"/>
        <v/>
      </c>
      <c r="AH675" s="3"/>
      <c r="AI675" s="7"/>
      <c r="AJ675" s="4"/>
      <c r="AK675" s="7"/>
      <c r="AL675" s="7"/>
      <c r="AM675" s="7"/>
      <c r="AN675" s="7"/>
      <c r="AO675" s="7"/>
      <c r="AP675" s="7"/>
      <c r="AQ675" s="7"/>
      <c r="AR675" s="7"/>
      <c r="AS675" s="7"/>
      <c r="AT675" s="7"/>
      <c r="AU675" s="7"/>
      <c r="AV675" s="7"/>
      <c r="AW675" s="7"/>
      <c r="AX675" s="7"/>
    </row>
    <row r="676" ht="12.75" customHeight="1">
      <c r="A676" s="4"/>
      <c r="B676" s="4"/>
      <c r="C676" s="4"/>
      <c r="D676" s="4"/>
      <c r="E676" s="4" t="str">
        <f>IF(ISBLANK(B676),,IFERROR(VLOOKUP(B676,CurrentRank!$B$2:$C$132,2,FALSE),0))</f>
        <v/>
      </c>
      <c r="F676" s="4"/>
      <c r="G676" s="4" t="str">
        <f>IF(ISBLANK(B676),,IFERROR(VLOOKUP(B676,CurrentRank!$B$2:$D$132,3,FALSE),130))</f>
        <v/>
      </c>
      <c r="H676" s="4"/>
      <c r="I676" s="4" t="str">
        <f>IF(ISBLANK(B676),,IFERROR(VLOOKUP(C676,CurrentRank!$B$2:$C$132,2,FALSE),0))</f>
        <v/>
      </c>
      <c r="J676" s="4"/>
      <c r="K676" s="4" t="str">
        <f>IF(ISBLANK(C676),,IFERROR(VLOOKUP(C676,CurrentRank!$B$2:$D$132,3,FALSE),130))</f>
        <v/>
      </c>
      <c r="L676" s="19" t="str">
        <f t="shared" si="279"/>
        <v/>
      </c>
      <c r="M676" s="19" t="str">
        <f t="shared" si="280"/>
        <v/>
      </c>
      <c r="N676" s="24" t="str">
        <f t="shared" si="276"/>
        <v/>
      </c>
      <c r="O676" s="21" t="str">
        <f t="shared" si="4"/>
        <v/>
      </c>
      <c r="P676" s="21" t="str">
        <f t="shared" si="282"/>
        <v/>
      </c>
      <c r="Q676" s="22" t="str">
        <f t="shared" si="6"/>
        <v/>
      </c>
      <c r="R676" s="25" t="str">
        <f t="shared" si="7"/>
        <v/>
      </c>
      <c r="S676" s="19" t="str">
        <f t="shared" si="8"/>
        <v/>
      </c>
      <c r="T676" s="19" t="str">
        <f t="shared" si="9"/>
        <v/>
      </c>
      <c r="U676" s="3"/>
      <c r="V676" s="4" t="str">
        <f>IF(ISBLANK(C676),,IFERROR(IF(VLOOKUP(B676,Standings!$A:$F, 6, 0)=VLOOKUP(C676,Standings!$A:$F, 6, 0), VLOOKUP(B676,Standings!$A:$F, 6, 0), "Non-con"), "FCS"))</f>
        <v/>
      </c>
      <c r="W676" s="3" t="str">
        <f t="shared" si="10"/>
        <v/>
      </c>
      <c r="X676" s="3" t="str">
        <f t="shared" si="11"/>
        <v/>
      </c>
      <c r="Y676" s="30" t="str">
        <f>IF(D676=0,,IF(ISBLANK(Q676),,VLOOKUP(X676,Week1,2,FALSE)/(VLOOKUP(X676,Week1,2,FALSE)+VLOOKUP(W676,Week1,2,FALSE)))*100)</f>
        <v/>
      </c>
      <c r="Z676" s="4"/>
      <c r="AA676" s="3"/>
      <c r="AB676" s="4" t="str">
        <f t="shared" si="20"/>
        <v/>
      </c>
      <c r="AC676" s="3"/>
      <c r="AD676" s="3"/>
      <c r="AE676" s="3" t="str">
        <f t="shared" si="13"/>
        <v/>
      </c>
      <c r="AF676" s="3"/>
      <c r="AG676" s="3" t="str">
        <f t="shared" si="133"/>
        <v/>
      </c>
      <c r="AH676" s="3"/>
      <c r="AI676" s="7"/>
      <c r="AJ676" s="4"/>
      <c r="AK676" s="7"/>
      <c r="AL676" s="7"/>
      <c r="AM676" s="7"/>
      <c r="AN676" s="7"/>
      <c r="AO676" s="7"/>
      <c r="AP676" s="7"/>
      <c r="AQ676" s="7"/>
      <c r="AR676" s="7"/>
      <c r="AS676" s="7"/>
      <c r="AT676" s="7"/>
      <c r="AU676" s="7"/>
      <c r="AV676" s="7"/>
      <c r="AW676" s="7"/>
      <c r="AX676" s="7"/>
    </row>
    <row r="677" ht="12.75" customHeight="1">
      <c r="A677" s="4"/>
      <c r="B677" s="4"/>
      <c r="C677" s="4"/>
      <c r="D677" s="4"/>
      <c r="E677" s="4" t="str">
        <f>IF(ISBLANK(B677),,IFERROR(VLOOKUP(B677,CurrentRank!$B$2:$C$132,2,FALSE),0))</f>
        <v/>
      </c>
      <c r="F677" s="4"/>
      <c r="G677" s="4" t="str">
        <f>IF(ISBLANK(B677),,IFERROR(VLOOKUP(B677,CurrentRank!$B$2:$D$132,3,FALSE),130))</f>
        <v/>
      </c>
      <c r="H677" s="4"/>
      <c r="I677" s="4" t="str">
        <f>IF(ISBLANK(B677),,IFERROR(VLOOKUP(C677,CurrentRank!$B$2:$C$132,2,FALSE),0))</f>
        <v/>
      </c>
      <c r="J677" s="4"/>
      <c r="K677" s="4" t="str">
        <f>IF(ISBLANK(C677),,IFERROR(VLOOKUP(C677,CurrentRank!$B$2:$D$132,3,FALSE),130))</f>
        <v/>
      </c>
      <c r="L677" s="19" t="str">
        <f t="shared" si="279"/>
        <v/>
      </c>
      <c r="M677" s="19" t="str">
        <f t="shared" si="280"/>
        <v/>
      </c>
      <c r="N677" s="24" t="str">
        <f t="shared" si="276"/>
        <v/>
      </c>
      <c r="O677" s="21" t="str">
        <f t="shared" si="4"/>
        <v/>
      </c>
      <c r="P677" s="21" t="str">
        <f t="shared" si="282"/>
        <v/>
      </c>
      <c r="Q677" s="22" t="str">
        <f t="shared" si="6"/>
        <v/>
      </c>
      <c r="R677" s="25" t="str">
        <f t="shared" si="7"/>
        <v/>
      </c>
      <c r="S677" s="19" t="str">
        <f t="shared" si="8"/>
        <v/>
      </c>
      <c r="T677" s="19" t="str">
        <f t="shared" si="9"/>
        <v/>
      </c>
      <c r="U677" s="3"/>
      <c r="V677" s="4" t="str">
        <f>IF(ISBLANK(C677),,IFERROR(IF(VLOOKUP(B677,Standings!$A:$F, 6, 0)=VLOOKUP(C677,Standings!$A:$F, 6, 0), VLOOKUP(B677,Standings!$A:$F, 6, 0), "Non-con"), "FCS"))</f>
        <v/>
      </c>
      <c r="W677" s="3" t="str">
        <f t="shared" si="10"/>
        <v/>
      </c>
      <c r="X677" s="3" t="str">
        <f t="shared" si="11"/>
        <v/>
      </c>
      <c r="Y677" s="30" t="str">
        <f>IF(D677=0,,IF(ISBLANK(Q677),,VLOOKUP(X677,Week1,2,FALSE)/(VLOOKUP(X677,Week1,2,FALSE)+VLOOKUP(W677,Week1,2,FALSE)))*100)</f>
        <v/>
      </c>
      <c r="Z677" s="4"/>
      <c r="AA677" s="3"/>
      <c r="AB677" s="4" t="str">
        <f t="shared" si="20"/>
        <v/>
      </c>
      <c r="AC677" s="3"/>
      <c r="AD677" s="3"/>
      <c r="AE677" s="3" t="str">
        <f t="shared" si="13"/>
        <v/>
      </c>
      <c r="AF677" s="3"/>
      <c r="AG677" s="3" t="str">
        <f t="shared" si="133"/>
        <v/>
      </c>
      <c r="AH677" s="3"/>
      <c r="AI677" s="7"/>
      <c r="AJ677" s="4"/>
      <c r="AK677" s="7"/>
      <c r="AL677" s="7"/>
      <c r="AM677" s="7"/>
      <c r="AN677" s="7"/>
      <c r="AO677" s="7"/>
      <c r="AP677" s="7"/>
      <c r="AQ677" s="7"/>
      <c r="AR677" s="7"/>
      <c r="AS677" s="7"/>
      <c r="AT677" s="7"/>
      <c r="AU677" s="7"/>
      <c r="AV677" s="7"/>
      <c r="AW677" s="7"/>
      <c r="AX677" s="7"/>
    </row>
    <row r="678" ht="12.75" customHeight="1">
      <c r="A678" s="4"/>
      <c r="B678" s="4"/>
      <c r="C678" s="4"/>
      <c r="D678" s="4"/>
      <c r="E678" s="4" t="str">
        <f>IF(ISBLANK(B678),,IFERROR(VLOOKUP(B678,CurrentRank!$B$2:$C$132,2,FALSE),0))</f>
        <v/>
      </c>
      <c r="F678" s="4"/>
      <c r="G678" s="4" t="str">
        <f>IF(ISBLANK(B678),,IFERROR(VLOOKUP(B678,CurrentRank!$B$2:$D$132,3,FALSE),130))</f>
        <v/>
      </c>
      <c r="H678" s="4"/>
      <c r="I678" s="4" t="str">
        <f>IF(ISBLANK(B678),,IFERROR(VLOOKUP(C678,CurrentRank!$B$2:$C$132,2,FALSE),0))</f>
        <v/>
      </c>
      <c r="J678" s="4"/>
      <c r="K678" s="4" t="str">
        <f>IF(ISBLANK(C678),,IFERROR(VLOOKUP(C678,CurrentRank!$B$2:$D$132,3,FALSE),130))</f>
        <v/>
      </c>
      <c r="L678" s="19" t="str">
        <f t="shared" si="279"/>
        <v/>
      </c>
      <c r="M678" s="19" t="str">
        <f t="shared" si="280"/>
        <v/>
      </c>
      <c r="N678" s="24" t="str">
        <f t="shared" si="276"/>
        <v/>
      </c>
      <c r="O678" s="21" t="str">
        <f t="shared" si="4"/>
        <v/>
      </c>
      <c r="P678" s="21" t="str">
        <f t="shared" si="282"/>
        <v/>
      </c>
      <c r="Q678" s="22" t="str">
        <f t="shared" si="6"/>
        <v/>
      </c>
      <c r="R678" s="25" t="str">
        <f t="shared" si="7"/>
        <v/>
      </c>
      <c r="S678" s="19" t="str">
        <f t="shared" si="8"/>
        <v/>
      </c>
      <c r="T678" s="19" t="str">
        <f t="shared" si="9"/>
        <v/>
      </c>
      <c r="U678" s="3"/>
      <c r="V678" s="4" t="str">
        <f>IF(ISBLANK(C678),,IFERROR(IF(VLOOKUP(B678,Standings!$A:$F, 6, 0)=VLOOKUP(C678,Standings!$A:$F, 6, 0), VLOOKUP(B678,Standings!$A:$F, 6, 0), "Non-con"), "FCS"))</f>
        <v/>
      </c>
      <c r="W678" s="3" t="str">
        <f t="shared" si="10"/>
        <v/>
      </c>
      <c r="X678" s="3" t="str">
        <f t="shared" si="11"/>
        <v/>
      </c>
      <c r="Y678" s="30" t="str">
        <f>IF(D678=0,,IF(ISBLANK(Q678),,VLOOKUP(X678,Week1,2,FALSE)/(VLOOKUP(X678,Week1,2,FALSE)+VLOOKUP(W678,Week1,2,FALSE)))*100)</f>
        <v/>
      </c>
      <c r="Z678" s="4"/>
      <c r="AA678" s="3"/>
      <c r="AB678" s="4" t="str">
        <f t="shared" si="20"/>
        <v/>
      </c>
      <c r="AC678" s="3"/>
      <c r="AD678" s="3"/>
      <c r="AE678" s="3" t="str">
        <f t="shared" si="13"/>
        <v/>
      </c>
      <c r="AF678" s="3"/>
      <c r="AG678" s="3" t="str">
        <f t="shared" si="133"/>
        <v/>
      </c>
      <c r="AH678" s="3"/>
      <c r="AI678" s="7"/>
      <c r="AJ678" s="4"/>
      <c r="AK678" s="7"/>
      <c r="AL678" s="7"/>
      <c r="AM678" s="7"/>
      <c r="AN678" s="7"/>
      <c r="AO678" s="7"/>
      <c r="AP678" s="7"/>
      <c r="AQ678" s="7"/>
      <c r="AR678" s="7"/>
      <c r="AS678" s="7"/>
      <c r="AT678" s="7"/>
      <c r="AU678" s="7"/>
      <c r="AV678" s="7"/>
      <c r="AW678" s="7"/>
      <c r="AX678" s="7"/>
    </row>
    <row r="679" ht="12.75" customHeight="1">
      <c r="A679" s="4"/>
      <c r="B679" s="4"/>
      <c r="C679" s="4"/>
      <c r="D679" s="4"/>
      <c r="E679" s="4" t="str">
        <f>IF(ISBLANK(B679),,IFERROR(VLOOKUP(B679,CurrentRank!$B$2:$C$132,2,FALSE),0))</f>
        <v/>
      </c>
      <c r="F679" s="4"/>
      <c r="G679" s="4" t="str">
        <f>IF(ISBLANK(B679),,IFERROR(VLOOKUP(B679,CurrentRank!$B$2:$D$132,3,FALSE),130))</f>
        <v/>
      </c>
      <c r="H679" s="4"/>
      <c r="I679" s="4" t="str">
        <f>IF(ISBLANK(B679),,IFERROR(VLOOKUP(C679,CurrentRank!$B$2:$C$132,2,FALSE),0))</f>
        <v/>
      </c>
      <c r="J679" s="4"/>
      <c r="K679" s="4" t="str">
        <f>IF(ISBLANK(C679),,IFERROR(VLOOKUP(C679,CurrentRank!$B$2:$D$132,3,FALSE),130))</f>
        <v/>
      </c>
      <c r="L679" s="19" t="str">
        <f t="shared" si="279"/>
        <v/>
      </c>
      <c r="M679" s="19" t="str">
        <f t="shared" si="280"/>
        <v/>
      </c>
      <c r="N679" s="24" t="str">
        <f t="shared" si="276"/>
        <v/>
      </c>
      <c r="O679" s="21" t="str">
        <f t="shared" si="4"/>
        <v/>
      </c>
      <c r="P679" s="21" t="str">
        <f t="shared" si="282"/>
        <v/>
      </c>
      <c r="Q679" s="22" t="str">
        <f t="shared" si="6"/>
        <v/>
      </c>
      <c r="R679" s="25" t="str">
        <f t="shared" si="7"/>
        <v/>
      </c>
      <c r="S679" s="19" t="str">
        <f t="shared" si="8"/>
        <v/>
      </c>
      <c r="T679" s="19" t="str">
        <f t="shared" si="9"/>
        <v/>
      </c>
      <c r="U679" s="3"/>
      <c r="V679" s="4" t="str">
        <f>IF(ISBLANK(C679),,IFERROR(IF(VLOOKUP(B679,Standings!$A:$F, 6, 0)=VLOOKUP(C679,Standings!$A:$F, 6, 0), VLOOKUP(B679,Standings!$A:$F, 6, 0), "Non-con"), "FCS"))</f>
        <v/>
      </c>
      <c r="W679" s="3" t="str">
        <f t="shared" si="10"/>
        <v/>
      </c>
      <c r="X679" s="3" t="str">
        <f t="shared" si="11"/>
        <v/>
      </c>
      <c r="Y679" s="30" t="str">
        <f>IF(D679=0,,IF(ISBLANK(Q679),,VLOOKUP(X679,Week1,2,FALSE)/(VLOOKUP(X679,Week1,2,FALSE)+VLOOKUP(W679,Week1,2,FALSE)))*100)</f>
        <v/>
      </c>
      <c r="Z679" s="4"/>
      <c r="AA679" s="3"/>
      <c r="AB679" s="4" t="str">
        <f t="shared" si="20"/>
        <v/>
      </c>
      <c r="AC679" s="3"/>
      <c r="AD679" s="3"/>
      <c r="AE679" s="3" t="str">
        <f t="shared" si="13"/>
        <v/>
      </c>
      <c r="AF679" s="3"/>
      <c r="AG679" s="3" t="str">
        <f t="shared" si="133"/>
        <v/>
      </c>
      <c r="AH679" s="3"/>
      <c r="AI679" s="7"/>
      <c r="AJ679" s="4"/>
      <c r="AK679" s="7"/>
      <c r="AL679" s="7"/>
      <c r="AM679" s="7"/>
      <c r="AN679" s="7"/>
      <c r="AO679" s="7"/>
      <c r="AP679" s="7"/>
      <c r="AQ679" s="7"/>
      <c r="AR679" s="7"/>
      <c r="AS679" s="7"/>
      <c r="AT679" s="7"/>
      <c r="AU679" s="7"/>
      <c r="AV679" s="7"/>
      <c r="AW679" s="7"/>
      <c r="AX679" s="7"/>
    </row>
    <row r="680" ht="12.75" customHeight="1">
      <c r="A680" s="4"/>
      <c r="B680" s="4"/>
      <c r="C680" s="4"/>
      <c r="D680" s="4"/>
      <c r="E680" s="4" t="str">
        <f>IF(ISBLANK(B680),,IFERROR(VLOOKUP(B680,CurrentRank!$B$2:$C$132,2,FALSE),0))</f>
        <v/>
      </c>
      <c r="F680" s="4"/>
      <c r="G680" s="4" t="str">
        <f>IF(ISBLANK(B680),,IFERROR(VLOOKUP(B680,CurrentRank!$B$2:$D$132,3,FALSE),130))</f>
        <v/>
      </c>
      <c r="H680" s="4"/>
      <c r="I680" s="4" t="str">
        <f>IF(ISBLANK(B680),,IFERROR(VLOOKUP(C680,CurrentRank!$B$2:$C$132,2,FALSE),0))</f>
        <v/>
      </c>
      <c r="J680" s="4"/>
      <c r="K680" s="4" t="str">
        <f>IF(ISBLANK(C680),,IFERROR(VLOOKUP(C680,CurrentRank!$B$2:$D$132,3,FALSE),130))</f>
        <v/>
      </c>
      <c r="L680" s="19" t="str">
        <f t="shared" si="279"/>
        <v/>
      </c>
      <c r="M680" s="19" t="str">
        <f t="shared" si="280"/>
        <v/>
      </c>
      <c r="N680" s="24" t="str">
        <f t="shared" si="276"/>
        <v/>
      </c>
      <c r="O680" s="21" t="str">
        <f t="shared" si="4"/>
        <v/>
      </c>
      <c r="P680" s="21" t="str">
        <f t="shared" si="282"/>
        <v/>
      </c>
      <c r="Q680" s="22" t="str">
        <f t="shared" si="6"/>
        <v/>
      </c>
      <c r="R680" s="25" t="str">
        <f t="shared" si="7"/>
        <v/>
      </c>
      <c r="S680" s="19" t="str">
        <f t="shared" si="8"/>
        <v/>
      </c>
      <c r="T680" s="19" t="str">
        <f t="shared" si="9"/>
        <v/>
      </c>
      <c r="U680" s="3"/>
      <c r="V680" s="4" t="str">
        <f>IF(ISBLANK(C680),,IFERROR(IF(VLOOKUP(B680,Standings!$A:$F, 6, 0)=VLOOKUP(C680,Standings!$A:$F, 6, 0), VLOOKUP(B680,Standings!$A:$F, 6, 0), "Non-con"), "FCS"))</f>
        <v/>
      </c>
      <c r="W680" s="3" t="str">
        <f t="shared" si="10"/>
        <v/>
      </c>
      <c r="X680" s="3" t="str">
        <f t="shared" si="11"/>
        <v/>
      </c>
      <c r="Y680" s="30" t="str">
        <f>IF(D680=0,,IF(ISBLANK(Q680),,VLOOKUP(X680,Week1,2,FALSE)/(VLOOKUP(X680,Week1,2,FALSE)+VLOOKUP(W680,Week1,2,FALSE)))*100)</f>
        <v/>
      </c>
      <c r="Z680" s="4"/>
      <c r="AA680" s="3"/>
      <c r="AB680" s="4" t="str">
        <f t="shared" si="20"/>
        <v/>
      </c>
      <c r="AC680" s="3"/>
      <c r="AD680" s="3"/>
      <c r="AE680" s="3" t="str">
        <f t="shared" si="13"/>
        <v/>
      </c>
      <c r="AF680" s="3"/>
      <c r="AG680" s="3" t="str">
        <f t="shared" si="133"/>
        <v/>
      </c>
      <c r="AH680" s="3"/>
      <c r="AI680" s="7"/>
      <c r="AJ680" s="4"/>
      <c r="AK680" s="7"/>
      <c r="AL680" s="7"/>
      <c r="AM680" s="7"/>
      <c r="AN680" s="7"/>
      <c r="AO680" s="7"/>
      <c r="AP680" s="7"/>
      <c r="AQ680" s="7"/>
      <c r="AR680" s="7"/>
      <c r="AS680" s="7"/>
      <c r="AT680" s="7"/>
      <c r="AU680" s="7"/>
      <c r="AV680" s="7"/>
      <c r="AW680" s="7"/>
      <c r="AX680" s="7"/>
    </row>
    <row r="681" ht="12.75" customHeight="1">
      <c r="A681" s="4"/>
      <c r="B681" s="4"/>
      <c r="C681" s="4"/>
      <c r="D681" s="4"/>
      <c r="E681" s="4" t="str">
        <f>IF(ISBLANK(B681),,IFERROR(VLOOKUP(B681,CurrentRank!$B$2:$C$132,2,FALSE),0))</f>
        <v/>
      </c>
      <c r="F681" s="4"/>
      <c r="G681" s="4" t="str">
        <f>IF(ISBLANK(B681),,IFERROR(VLOOKUP(B681,CurrentRank!$B$2:$D$132,3,FALSE),130))</f>
        <v/>
      </c>
      <c r="H681" s="4"/>
      <c r="I681" s="4" t="str">
        <f>IF(ISBLANK(B681),,IFERROR(VLOOKUP(C681,CurrentRank!$B$2:$C$132,2,FALSE),0))</f>
        <v/>
      </c>
      <c r="J681" s="4"/>
      <c r="K681" s="4" t="str">
        <f>IF(ISBLANK(C681),,IFERROR(VLOOKUP(C681,CurrentRank!$B$2:$D$132,3,FALSE),130))</f>
        <v/>
      </c>
      <c r="L681" s="19" t="str">
        <f t="shared" si="279"/>
        <v/>
      </c>
      <c r="M681" s="19" t="str">
        <f t="shared" si="280"/>
        <v/>
      </c>
      <c r="N681" s="24" t="str">
        <f t="shared" si="276"/>
        <v/>
      </c>
      <c r="O681" s="21" t="str">
        <f t="shared" si="4"/>
        <v/>
      </c>
      <c r="P681" s="21" t="str">
        <f t="shared" si="282"/>
        <v/>
      </c>
      <c r="Q681" s="22" t="str">
        <f t="shared" si="6"/>
        <v/>
      </c>
      <c r="R681" s="25" t="str">
        <f t="shared" si="7"/>
        <v/>
      </c>
      <c r="S681" s="19" t="str">
        <f t="shared" si="8"/>
        <v/>
      </c>
      <c r="T681" s="19" t="str">
        <f t="shared" si="9"/>
        <v/>
      </c>
      <c r="U681" s="3"/>
      <c r="V681" s="4" t="str">
        <f>IF(ISBLANK(C681),,IFERROR(IF(VLOOKUP(B681,Standings!$A:$F, 6, 0)=VLOOKUP(C681,Standings!$A:$F, 6, 0), VLOOKUP(B681,Standings!$A:$F, 6, 0), "Non-con"), "FCS"))</f>
        <v/>
      </c>
      <c r="W681" s="3" t="str">
        <f t="shared" si="10"/>
        <v/>
      </c>
      <c r="X681" s="3" t="str">
        <f t="shared" si="11"/>
        <v/>
      </c>
      <c r="Y681" s="30" t="str">
        <f>IF(D681=0,,IF(ISBLANK(Q681),,VLOOKUP(X681,Week1,2,FALSE)/(VLOOKUP(X681,Week1,2,FALSE)+VLOOKUP(W681,Week1,2,FALSE)))*100)</f>
        <v/>
      </c>
      <c r="Z681" s="4"/>
      <c r="AA681" s="3"/>
      <c r="AB681" s="4" t="str">
        <f t="shared" si="20"/>
        <v/>
      </c>
      <c r="AC681" s="3"/>
      <c r="AD681" s="3"/>
      <c r="AE681" s="3" t="str">
        <f t="shared" si="13"/>
        <v/>
      </c>
      <c r="AF681" s="3"/>
      <c r="AG681" s="3" t="str">
        <f t="shared" si="133"/>
        <v/>
      </c>
      <c r="AH681" s="3"/>
      <c r="AI681" s="7"/>
      <c r="AJ681" s="4"/>
      <c r="AK681" s="7"/>
      <c r="AL681" s="7"/>
      <c r="AM681" s="7"/>
      <c r="AN681" s="7"/>
      <c r="AO681" s="7"/>
      <c r="AP681" s="7"/>
      <c r="AQ681" s="7"/>
      <c r="AR681" s="7"/>
      <c r="AS681" s="7"/>
      <c r="AT681" s="7"/>
      <c r="AU681" s="7"/>
      <c r="AV681" s="7"/>
      <c r="AW681" s="7"/>
      <c r="AX681" s="7"/>
    </row>
    <row r="682" ht="12.75" customHeight="1">
      <c r="A682" s="4"/>
      <c r="B682" s="4"/>
      <c r="C682" s="4"/>
      <c r="D682" s="4"/>
      <c r="E682" s="4" t="str">
        <f>IF(ISBLANK(B682),,IFERROR(VLOOKUP(B682,CurrentRank!$B$2:$C$132,2,FALSE),0))</f>
        <v/>
      </c>
      <c r="F682" s="4"/>
      <c r="G682" s="4" t="str">
        <f>IF(ISBLANK(B682),,IFERROR(VLOOKUP(B682,CurrentRank!$B$2:$D$132,3,FALSE),130))</f>
        <v/>
      </c>
      <c r="H682" s="4"/>
      <c r="I682" s="4" t="str">
        <f>IF(ISBLANK(B682),,IFERROR(VLOOKUP(C682,CurrentRank!$B$2:$C$132,2,FALSE),0))</f>
        <v/>
      </c>
      <c r="J682" s="4"/>
      <c r="K682" s="4" t="str">
        <f>IF(ISBLANK(C682),,IFERROR(VLOOKUP(C682,CurrentRank!$B$2:$D$132,3,FALSE),130))</f>
        <v/>
      </c>
      <c r="L682" s="19" t="str">
        <f t="shared" si="279"/>
        <v/>
      </c>
      <c r="M682" s="19" t="str">
        <f t="shared" si="280"/>
        <v/>
      </c>
      <c r="N682" s="24" t="str">
        <f t="shared" si="276"/>
        <v/>
      </c>
      <c r="O682" s="21" t="str">
        <f t="shared" si="4"/>
        <v/>
      </c>
      <c r="P682" s="21" t="str">
        <f t="shared" si="282"/>
        <v/>
      </c>
      <c r="Q682" s="22" t="str">
        <f t="shared" si="6"/>
        <v/>
      </c>
      <c r="R682" s="25" t="str">
        <f t="shared" si="7"/>
        <v/>
      </c>
      <c r="S682" s="19" t="str">
        <f t="shared" si="8"/>
        <v/>
      </c>
      <c r="T682" s="19" t="str">
        <f t="shared" si="9"/>
        <v/>
      </c>
      <c r="U682" s="3"/>
      <c r="V682" s="4" t="str">
        <f>IF(ISBLANK(C682),,IFERROR(IF(VLOOKUP(B682,Standings!$A:$F, 6, 0)=VLOOKUP(C682,Standings!$A:$F, 6, 0), VLOOKUP(B682,Standings!$A:$F, 6, 0), "Non-con"), "FCS"))</f>
        <v/>
      </c>
      <c r="W682" s="3" t="str">
        <f t="shared" si="10"/>
        <v/>
      </c>
      <c r="X682" s="3" t="str">
        <f t="shared" si="11"/>
        <v/>
      </c>
      <c r="Y682" s="30" t="str">
        <f>IF(D682=0,,IF(ISBLANK(Q682),,VLOOKUP(X682,Week1,2,FALSE)/(VLOOKUP(X682,Week1,2,FALSE)+VLOOKUP(W682,Week1,2,FALSE)))*100)</f>
        <v/>
      </c>
      <c r="Z682" s="4"/>
      <c r="AA682" s="3"/>
      <c r="AB682" s="4" t="str">
        <f t="shared" si="20"/>
        <v/>
      </c>
      <c r="AC682" s="3"/>
      <c r="AD682" s="3"/>
      <c r="AE682" s="3" t="str">
        <f t="shared" si="13"/>
        <v/>
      </c>
      <c r="AF682" s="3"/>
      <c r="AG682" s="3" t="str">
        <f t="shared" si="133"/>
        <v/>
      </c>
      <c r="AH682" s="3"/>
      <c r="AI682" s="7"/>
      <c r="AJ682" s="4"/>
      <c r="AK682" s="7"/>
      <c r="AL682" s="7"/>
      <c r="AM682" s="7"/>
      <c r="AN682" s="7"/>
      <c r="AO682" s="7"/>
      <c r="AP682" s="7"/>
      <c r="AQ682" s="7"/>
      <c r="AR682" s="7"/>
      <c r="AS682" s="7"/>
      <c r="AT682" s="7"/>
      <c r="AU682" s="7"/>
      <c r="AV682" s="7"/>
      <c r="AW682" s="7"/>
      <c r="AX682" s="7"/>
    </row>
    <row r="683" ht="12.75" customHeight="1">
      <c r="A683" s="4"/>
      <c r="B683" s="4"/>
      <c r="C683" s="4"/>
      <c r="D683" s="4"/>
      <c r="E683" s="4" t="str">
        <f>IF(ISBLANK(B683),,IFERROR(VLOOKUP(B683,CurrentRank!$B$2:$C$132,2,FALSE),0))</f>
        <v/>
      </c>
      <c r="F683" s="4"/>
      <c r="G683" s="4" t="str">
        <f>IF(ISBLANK(B683),,IFERROR(VLOOKUP(B683,CurrentRank!$B$2:$D$132,3,FALSE),130))</f>
        <v/>
      </c>
      <c r="H683" s="4"/>
      <c r="I683" s="4" t="str">
        <f>IF(ISBLANK(B683),,IFERROR(VLOOKUP(C683,CurrentRank!$B$2:$C$132,2,FALSE),0))</f>
        <v/>
      </c>
      <c r="J683" s="4"/>
      <c r="K683" s="4" t="str">
        <f>IF(ISBLANK(C683),,IFERROR(VLOOKUP(C683,CurrentRank!$B$2:$D$132,3,FALSE),130))</f>
        <v/>
      </c>
      <c r="L683" s="19" t="str">
        <f t="shared" si="279"/>
        <v/>
      </c>
      <c r="M683" s="19" t="str">
        <f t="shared" si="280"/>
        <v/>
      </c>
      <c r="N683" s="24" t="str">
        <f t="shared" si="276"/>
        <v/>
      </c>
      <c r="O683" s="21" t="str">
        <f t="shared" si="4"/>
        <v/>
      </c>
      <c r="P683" s="21" t="str">
        <f t="shared" si="282"/>
        <v/>
      </c>
      <c r="Q683" s="22" t="str">
        <f t="shared" si="6"/>
        <v/>
      </c>
      <c r="R683" s="25" t="str">
        <f t="shared" si="7"/>
        <v/>
      </c>
      <c r="S683" s="19" t="str">
        <f t="shared" si="8"/>
        <v/>
      </c>
      <c r="T683" s="19" t="str">
        <f t="shared" si="9"/>
        <v/>
      </c>
      <c r="U683" s="3"/>
      <c r="V683" s="4" t="str">
        <f>IF(ISBLANK(C683),,IFERROR(IF(VLOOKUP(B683,Standings!$A:$F, 6, 0)=VLOOKUP(C683,Standings!$A:$F, 6, 0), VLOOKUP(B683,Standings!$A:$F, 6, 0), "Non-con"), "FCS"))</f>
        <v/>
      </c>
      <c r="W683" s="3" t="str">
        <f t="shared" si="10"/>
        <v/>
      </c>
      <c r="X683" s="3" t="str">
        <f t="shared" si="11"/>
        <v/>
      </c>
      <c r="Y683" s="30" t="str">
        <f>IF(D683=0,,IF(ISBLANK(Q683),,VLOOKUP(X683,Week1,2,FALSE)/(VLOOKUP(X683,Week1,2,FALSE)+VLOOKUP(W683,Week1,2,FALSE)))*100)</f>
        <v/>
      </c>
      <c r="Z683" s="4"/>
      <c r="AA683" s="3"/>
      <c r="AB683" s="4" t="str">
        <f t="shared" si="20"/>
        <v/>
      </c>
      <c r="AC683" s="3"/>
      <c r="AD683" s="3"/>
      <c r="AE683" s="3" t="str">
        <f t="shared" si="13"/>
        <v/>
      </c>
      <c r="AF683" s="3"/>
      <c r="AG683" s="3" t="str">
        <f t="shared" si="133"/>
        <v/>
      </c>
      <c r="AH683" s="3"/>
      <c r="AI683" s="7"/>
      <c r="AJ683" s="4"/>
      <c r="AK683" s="7"/>
      <c r="AL683" s="7"/>
      <c r="AM683" s="7"/>
      <c r="AN683" s="7"/>
      <c r="AO683" s="7"/>
      <c r="AP683" s="7"/>
      <c r="AQ683" s="7"/>
      <c r="AR683" s="7"/>
      <c r="AS683" s="7"/>
      <c r="AT683" s="7"/>
      <c r="AU683" s="7"/>
      <c r="AV683" s="7"/>
      <c r="AW683" s="7"/>
      <c r="AX683" s="7"/>
    </row>
    <row r="684" ht="12.75" customHeight="1">
      <c r="A684" s="4"/>
      <c r="B684" s="4"/>
      <c r="C684" s="4"/>
      <c r="D684" s="4"/>
      <c r="E684" s="4" t="str">
        <f>IF(ISBLANK(B684),,IFERROR(VLOOKUP(B684,CurrentRank!$B$2:$C$132,2,FALSE),0))</f>
        <v/>
      </c>
      <c r="F684" s="4"/>
      <c r="G684" s="4" t="str">
        <f>IF(ISBLANK(B684),,IFERROR(VLOOKUP(B684,CurrentRank!$B$2:$D$132,3,FALSE),130))</f>
        <v/>
      </c>
      <c r="H684" s="4"/>
      <c r="I684" s="4" t="str">
        <f>IF(ISBLANK(B684),,IFERROR(VLOOKUP(C684,CurrentRank!$B$2:$C$132,2,FALSE),0))</f>
        <v/>
      </c>
      <c r="J684" s="4"/>
      <c r="K684" s="4" t="str">
        <f>IF(ISBLANK(C684),,IFERROR(VLOOKUP(C684,CurrentRank!$B$2:$D$132,3,FALSE),130))</f>
        <v/>
      </c>
      <c r="L684" s="19" t="str">
        <f t="shared" si="279"/>
        <v/>
      </c>
      <c r="M684" s="19" t="str">
        <f t="shared" si="280"/>
        <v/>
      </c>
      <c r="N684" s="24" t="str">
        <f t="shared" si="276"/>
        <v/>
      </c>
      <c r="O684" s="21" t="str">
        <f t="shared" si="4"/>
        <v/>
      </c>
      <c r="P684" s="21" t="str">
        <f t="shared" si="282"/>
        <v/>
      </c>
      <c r="Q684" s="22" t="str">
        <f t="shared" si="6"/>
        <v/>
      </c>
      <c r="R684" s="25" t="str">
        <f t="shared" si="7"/>
        <v/>
      </c>
      <c r="S684" s="19" t="str">
        <f t="shared" si="8"/>
        <v/>
      </c>
      <c r="T684" s="19" t="str">
        <f t="shared" si="9"/>
        <v/>
      </c>
      <c r="U684" s="3"/>
      <c r="V684" s="4" t="str">
        <f>IF(ISBLANK(C684),,IFERROR(IF(VLOOKUP(B684,Standings!$A:$F, 6, 0)=VLOOKUP(C684,Standings!$A:$F, 6, 0), VLOOKUP(B684,Standings!$A:$F, 6, 0), "Non-con"), "FCS"))</f>
        <v/>
      </c>
      <c r="W684" s="3" t="str">
        <f t="shared" si="10"/>
        <v/>
      </c>
      <c r="X684" s="3" t="str">
        <f t="shared" si="11"/>
        <v/>
      </c>
      <c r="Y684" s="30" t="str">
        <f>IF(D684=0,,IF(ISBLANK(Q684),,VLOOKUP(X684,Week1,2,FALSE)/(VLOOKUP(X684,Week1,2,FALSE)+VLOOKUP(W684,Week1,2,FALSE)))*100)</f>
        <v/>
      </c>
      <c r="Z684" s="4"/>
      <c r="AA684" s="3"/>
      <c r="AB684" s="4" t="str">
        <f t="shared" si="20"/>
        <v/>
      </c>
      <c r="AC684" s="3"/>
      <c r="AD684" s="3"/>
      <c r="AE684" s="3" t="str">
        <f t="shared" si="13"/>
        <v/>
      </c>
      <c r="AF684" s="3"/>
      <c r="AG684" s="3" t="str">
        <f t="shared" si="133"/>
        <v/>
      </c>
      <c r="AH684" s="3"/>
      <c r="AI684" s="7"/>
      <c r="AJ684" s="4"/>
      <c r="AK684" s="7"/>
      <c r="AL684" s="7"/>
      <c r="AM684" s="7"/>
      <c r="AN684" s="7"/>
      <c r="AO684" s="7"/>
      <c r="AP684" s="7"/>
      <c r="AQ684" s="7"/>
      <c r="AR684" s="7"/>
      <c r="AS684" s="7"/>
      <c r="AT684" s="7"/>
      <c r="AU684" s="7"/>
      <c r="AV684" s="7"/>
      <c r="AW684" s="7"/>
      <c r="AX684" s="7"/>
    </row>
    <row r="685" ht="12.75" customHeight="1">
      <c r="A685" s="4"/>
      <c r="B685" s="4"/>
      <c r="C685" s="4"/>
      <c r="D685" s="4"/>
      <c r="E685" s="4" t="str">
        <f>IF(ISBLANK(B685),,IFERROR(VLOOKUP(B685,CurrentRank!$B$2:$C$132,2,FALSE),0))</f>
        <v/>
      </c>
      <c r="F685" s="4"/>
      <c r="G685" s="4" t="str">
        <f>IF(ISBLANK(B685),,IFERROR(VLOOKUP(B685,CurrentRank!$B$2:$D$132,3,FALSE),130))</f>
        <v/>
      </c>
      <c r="H685" s="4"/>
      <c r="I685" s="4" t="str">
        <f>IF(ISBLANK(B685),,IFERROR(VLOOKUP(C685,CurrentRank!$B$2:$C$132,2,FALSE),0))</f>
        <v/>
      </c>
      <c r="J685" s="4"/>
      <c r="K685" s="4" t="str">
        <f>IF(ISBLANK(C685),,IFERROR(VLOOKUP(C685,CurrentRank!$B$2:$D$132,3,FALSE),130))</f>
        <v/>
      </c>
      <c r="L685" s="19" t="str">
        <f t="shared" si="279"/>
        <v/>
      </c>
      <c r="M685" s="19" t="str">
        <f t="shared" si="280"/>
        <v/>
      </c>
      <c r="N685" s="24" t="str">
        <f t="shared" si="276"/>
        <v/>
      </c>
      <c r="O685" s="21" t="str">
        <f t="shared" si="4"/>
        <v/>
      </c>
      <c r="P685" s="21" t="str">
        <f t="shared" si="282"/>
        <v/>
      </c>
      <c r="Q685" s="22" t="str">
        <f t="shared" si="6"/>
        <v/>
      </c>
      <c r="R685" s="25" t="str">
        <f t="shared" si="7"/>
        <v/>
      </c>
      <c r="S685" s="19" t="str">
        <f t="shared" si="8"/>
        <v/>
      </c>
      <c r="T685" s="19" t="str">
        <f t="shared" si="9"/>
        <v/>
      </c>
      <c r="U685" s="3"/>
      <c r="V685" s="4" t="str">
        <f>IF(ISBLANK(C685),,IFERROR(IF(VLOOKUP(B685,Standings!$A:$F, 6, 0)=VLOOKUP(C685,Standings!$A:$F, 6, 0), VLOOKUP(B685,Standings!$A:$F, 6, 0), "Non-con"), "FCS"))</f>
        <v/>
      </c>
      <c r="W685" s="3" t="str">
        <f t="shared" si="10"/>
        <v/>
      </c>
      <c r="X685" s="3" t="str">
        <f t="shared" si="11"/>
        <v/>
      </c>
      <c r="Y685" s="30" t="str">
        <f>IF(D685=0,,IF(ISBLANK(Q685),,VLOOKUP(X685,Week1,2,FALSE)/(VLOOKUP(X685,Week1,2,FALSE)+VLOOKUP(W685,Week1,2,FALSE)))*100)</f>
        <v/>
      </c>
      <c r="Z685" s="4"/>
      <c r="AA685" s="3"/>
      <c r="AB685" s="4" t="str">
        <f t="shared" si="20"/>
        <v/>
      </c>
      <c r="AC685" s="3"/>
      <c r="AD685" s="3"/>
      <c r="AE685" s="3" t="str">
        <f t="shared" si="13"/>
        <v/>
      </c>
      <c r="AF685" s="3"/>
      <c r="AG685" s="3" t="str">
        <f t="shared" si="133"/>
        <v/>
      </c>
      <c r="AH685" s="3"/>
      <c r="AI685" s="7"/>
      <c r="AJ685" s="4"/>
      <c r="AK685" s="7"/>
      <c r="AL685" s="7"/>
      <c r="AM685" s="7"/>
      <c r="AN685" s="7"/>
      <c r="AO685" s="7"/>
      <c r="AP685" s="7"/>
      <c r="AQ685" s="7"/>
      <c r="AR685" s="7"/>
      <c r="AS685" s="7"/>
      <c r="AT685" s="7"/>
      <c r="AU685" s="7"/>
      <c r="AV685" s="7"/>
      <c r="AW685" s="7"/>
      <c r="AX685" s="7"/>
    </row>
    <row r="686" ht="12.75" customHeight="1">
      <c r="A686" s="4"/>
      <c r="B686" s="4"/>
      <c r="C686" s="4"/>
      <c r="D686" s="4"/>
      <c r="E686" s="4" t="str">
        <f>IF(ISBLANK(B686),,IFERROR(VLOOKUP(B686,CurrentRank!$B$2:$C$132,2,FALSE),0))</f>
        <v/>
      </c>
      <c r="F686" s="4"/>
      <c r="G686" s="4" t="str">
        <f>IF(ISBLANK(B686),,IFERROR(VLOOKUP(B686,CurrentRank!$B$2:$D$132,3,FALSE),130))</f>
        <v/>
      </c>
      <c r="H686" s="4"/>
      <c r="I686" s="4" t="str">
        <f>IF(ISBLANK(B686),,IFERROR(VLOOKUP(C686,CurrentRank!$B$2:$C$132,2,FALSE),0))</f>
        <v/>
      </c>
      <c r="J686" s="4"/>
      <c r="K686" s="4" t="str">
        <f>IF(ISBLANK(C686),,IFERROR(VLOOKUP(C686,CurrentRank!$B$2:$D$132,3,FALSE),130))</f>
        <v/>
      </c>
      <c r="L686" s="19" t="str">
        <f t="shared" si="279"/>
        <v/>
      </c>
      <c r="M686" s="19" t="str">
        <f t="shared" si="280"/>
        <v/>
      </c>
      <c r="N686" s="24" t="str">
        <f t="shared" si="276"/>
        <v/>
      </c>
      <c r="O686" s="21" t="str">
        <f t="shared" si="4"/>
        <v/>
      </c>
      <c r="P686" s="21" t="str">
        <f t="shared" si="282"/>
        <v/>
      </c>
      <c r="Q686" s="22" t="str">
        <f t="shared" si="6"/>
        <v/>
      </c>
      <c r="R686" s="25" t="str">
        <f t="shared" si="7"/>
        <v/>
      </c>
      <c r="S686" s="19" t="str">
        <f t="shared" si="8"/>
        <v/>
      </c>
      <c r="T686" s="19" t="str">
        <f t="shared" si="9"/>
        <v/>
      </c>
      <c r="U686" s="3"/>
      <c r="V686" s="4" t="str">
        <f>IF(ISBLANK(C686),,IFERROR(IF(VLOOKUP(B686,Standings!$A:$F, 6, 0)=VLOOKUP(C686,Standings!$A:$F, 6, 0), VLOOKUP(B686,Standings!$A:$F, 6, 0), "Non-con"), "FCS"))</f>
        <v/>
      </c>
      <c r="W686" s="3" t="str">
        <f t="shared" si="10"/>
        <v/>
      </c>
      <c r="X686" s="3" t="str">
        <f t="shared" si="11"/>
        <v/>
      </c>
      <c r="Y686" s="30" t="str">
        <f>IF(D686=0,,IF(ISBLANK(Q686),,VLOOKUP(X686,Week1,2,FALSE)/(VLOOKUP(X686,Week1,2,FALSE)+VLOOKUP(W686,Week1,2,FALSE)))*100)</f>
        <v/>
      </c>
      <c r="Z686" s="4"/>
      <c r="AA686" s="3"/>
      <c r="AB686" s="4" t="str">
        <f t="shared" si="20"/>
        <v/>
      </c>
      <c r="AC686" s="3"/>
      <c r="AD686" s="3"/>
      <c r="AE686" s="3" t="str">
        <f t="shared" si="13"/>
        <v/>
      </c>
      <c r="AF686" s="3"/>
      <c r="AG686" s="3" t="str">
        <f t="shared" si="133"/>
        <v/>
      </c>
      <c r="AH686" s="3"/>
      <c r="AI686" s="7"/>
      <c r="AJ686" s="4"/>
      <c r="AK686" s="7"/>
      <c r="AL686" s="7"/>
      <c r="AM686" s="7"/>
      <c r="AN686" s="7"/>
      <c r="AO686" s="7"/>
      <c r="AP686" s="7"/>
      <c r="AQ686" s="7"/>
      <c r="AR686" s="7"/>
      <c r="AS686" s="7"/>
      <c r="AT686" s="7"/>
      <c r="AU686" s="7"/>
      <c r="AV686" s="7"/>
      <c r="AW686" s="7"/>
      <c r="AX686" s="7"/>
    </row>
    <row r="687" ht="12.75" customHeight="1">
      <c r="A687" s="4"/>
      <c r="B687" s="4"/>
      <c r="C687" s="4"/>
      <c r="D687" s="4"/>
      <c r="E687" s="4" t="str">
        <f>IF(ISBLANK(B687),,IFERROR(VLOOKUP(B687,CurrentRank!$B$2:$C$132,2,FALSE),0))</f>
        <v/>
      </c>
      <c r="F687" s="4"/>
      <c r="G687" s="4" t="str">
        <f>IF(ISBLANK(B687),,IFERROR(VLOOKUP(B687,CurrentRank!$B$2:$D$132,3,FALSE),130))</f>
        <v/>
      </c>
      <c r="H687" s="4"/>
      <c r="I687" s="4" t="str">
        <f>IF(ISBLANK(B687),,IFERROR(VLOOKUP(C687,CurrentRank!$B$2:$C$132,2,FALSE),0))</f>
        <v/>
      </c>
      <c r="J687" s="4"/>
      <c r="K687" s="4" t="str">
        <f>IF(ISBLANK(C687),,IFERROR(VLOOKUP(C687,CurrentRank!$B$2:$D$132,3,FALSE),130))</f>
        <v/>
      </c>
      <c r="L687" s="19" t="str">
        <f t="shared" si="279"/>
        <v/>
      </c>
      <c r="M687" s="19" t="str">
        <f t="shared" si="280"/>
        <v/>
      </c>
      <c r="N687" s="24" t="str">
        <f t="shared" si="276"/>
        <v/>
      </c>
      <c r="O687" s="21" t="str">
        <f t="shared" si="4"/>
        <v/>
      </c>
      <c r="P687" s="21" t="str">
        <f t="shared" si="282"/>
        <v/>
      </c>
      <c r="Q687" s="22" t="str">
        <f t="shared" si="6"/>
        <v/>
      </c>
      <c r="R687" s="25" t="str">
        <f t="shared" si="7"/>
        <v/>
      </c>
      <c r="S687" s="19" t="str">
        <f t="shared" si="8"/>
        <v/>
      </c>
      <c r="T687" s="19" t="str">
        <f t="shared" si="9"/>
        <v/>
      </c>
      <c r="U687" s="3"/>
      <c r="V687" s="4" t="str">
        <f>IF(ISBLANK(C687),,IFERROR(IF(VLOOKUP(B687,Standings!$A:$F, 6, 0)=VLOOKUP(C687,Standings!$A:$F, 6, 0), VLOOKUP(B687,Standings!$A:$F, 6, 0), "Non-con"), "FCS"))</f>
        <v/>
      </c>
      <c r="W687" s="3" t="str">
        <f t="shared" si="10"/>
        <v/>
      </c>
      <c r="X687" s="3" t="str">
        <f t="shared" si="11"/>
        <v/>
      </c>
      <c r="Y687" s="30" t="str">
        <f>IF(D687=0,,IF(ISBLANK(Q687),,VLOOKUP(X687,Week1,2,FALSE)/(VLOOKUP(X687,Week1,2,FALSE)+VLOOKUP(W687,Week1,2,FALSE)))*100)</f>
        <v/>
      </c>
      <c r="Z687" s="4"/>
      <c r="AA687" s="3"/>
      <c r="AB687" s="4" t="str">
        <f t="shared" si="20"/>
        <v/>
      </c>
      <c r="AC687" s="3"/>
      <c r="AD687" s="3"/>
      <c r="AE687" s="3" t="str">
        <f t="shared" si="13"/>
        <v/>
      </c>
      <c r="AF687" s="3"/>
      <c r="AG687" s="3" t="str">
        <f t="shared" si="133"/>
        <v/>
      </c>
      <c r="AH687" s="3"/>
      <c r="AI687" s="7"/>
      <c r="AJ687" s="4"/>
      <c r="AK687" s="7"/>
      <c r="AL687" s="7"/>
      <c r="AM687" s="7"/>
      <c r="AN687" s="7"/>
      <c r="AO687" s="7"/>
      <c r="AP687" s="7"/>
      <c r="AQ687" s="7"/>
      <c r="AR687" s="7"/>
      <c r="AS687" s="7"/>
      <c r="AT687" s="7"/>
      <c r="AU687" s="7"/>
      <c r="AV687" s="7"/>
      <c r="AW687" s="7"/>
      <c r="AX687" s="7"/>
    </row>
    <row r="688" ht="12.75" customHeight="1">
      <c r="A688" s="4"/>
      <c r="B688" s="4"/>
      <c r="C688" s="4"/>
      <c r="D688" s="4"/>
      <c r="E688" s="4" t="str">
        <f>IF(ISBLANK(B688),,IFERROR(VLOOKUP(B688,CurrentRank!$B$2:$C$132,2,FALSE),0))</f>
        <v/>
      </c>
      <c r="F688" s="4"/>
      <c r="G688" s="4" t="str">
        <f>IF(ISBLANK(B688),,IFERROR(VLOOKUP(B688,CurrentRank!$B$2:$D$132,3,FALSE),130))</f>
        <v/>
      </c>
      <c r="H688" s="4"/>
      <c r="I688" s="4" t="str">
        <f>IF(ISBLANK(B688),,IFERROR(VLOOKUP(C688,CurrentRank!$B$2:$C$132,2,FALSE),0))</f>
        <v/>
      </c>
      <c r="J688" s="4"/>
      <c r="K688" s="4" t="str">
        <f>IF(ISBLANK(C688),,IFERROR(VLOOKUP(C688,CurrentRank!$B$2:$D$132,3,FALSE),130))</f>
        <v/>
      </c>
      <c r="L688" s="19" t="str">
        <f t="shared" si="279"/>
        <v/>
      </c>
      <c r="M688" s="19" t="str">
        <f t="shared" si="280"/>
        <v/>
      </c>
      <c r="N688" s="24" t="str">
        <f t="shared" si="276"/>
        <v/>
      </c>
      <c r="O688" s="21" t="str">
        <f t="shared" si="4"/>
        <v/>
      </c>
      <c r="P688" s="21" t="str">
        <f t="shared" si="282"/>
        <v/>
      </c>
      <c r="Q688" s="22" t="str">
        <f t="shared" si="6"/>
        <v/>
      </c>
      <c r="R688" s="25" t="str">
        <f t="shared" si="7"/>
        <v/>
      </c>
      <c r="S688" s="19" t="str">
        <f t="shared" si="8"/>
        <v/>
      </c>
      <c r="T688" s="19" t="str">
        <f t="shared" si="9"/>
        <v/>
      </c>
      <c r="U688" s="3"/>
      <c r="V688" s="4" t="str">
        <f>IF(ISBLANK(C688),,IFERROR(IF(VLOOKUP(B688,Standings!$A:$F, 6, 0)=VLOOKUP(C688,Standings!$A:$F, 6, 0), VLOOKUP(B688,Standings!$A:$F, 6, 0), "Non-con"), "FCS"))</f>
        <v/>
      </c>
      <c r="W688" s="3" t="str">
        <f t="shared" si="10"/>
        <v/>
      </c>
      <c r="X688" s="3" t="str">
        <f t="shared" si="11"/>
        <v/>
      </c>
      <c r="Y688" s="30" t="str">
        <f>IF(D688=0,,IF(ISBLANK(Q688),,VLOOKUP(X688,Week1,2,FALSE)/(VLOOKUP(X688,Week1,2,FALSE)+VLOOKUP(W688,Week1,2,FALSE)))*100)</f>
        <v/>
      </c>
      <c r="Z688" s="4"/>
      <c r="AA688" s="3"/>
      <c r="AB688" s="4" t="str">
        <f t="shared" si="20"/>
        <v/>
      </c>
      <c r="AC688" s="3"/>
      <c r="AD688" s="3"/>
      <c r="AE688" s="3" t="str">
        <f t="shared" si="13"/>
        <v/>
      </c>
      <c r="AF688" s="3"/>
      <c r="AG688" s="3" t="str">
        <f t="shared" si="133"/>
        <v/>
      </c>
      <c r="AH688" s="3"/>
      <c r="AI688" s="7"/>
      <c r="AJ688" s="4"/>
      <c r="AK688" s="7"/>
      <c r="AL688" s="7"/>
      <c r="AM688" s="7"/>
      <c r="AN688" s="7"/>
      <c r="AO688" s="7"/>
      <c r="AP688" s="7"/>
      <c r="AQ688" s="7"/>
      <c r="AR688" s="7"/>
      <c r="AS688" s="7"/>
      <c r="AT688" s="7"/>
      <c r="AU688" s="7"/>
      <c r="AV688" s="7"/>
      <c r="AW688" s="7"/>
      <c r="AX688" s="7"/>
    </row>
    <row r="689" ht="12.75" customHeight="1">
      <c r="A689" s="4"/>
      <c r="B689" s="4"/>
      <c r="C689" s="4"/>
      <c r="D689" s="4"/>
      <c r="E689" s="4" t="str">
        <f>IF(ISBLANK(B689),,IFERROR(VLOOKUP(B689,CurrentRank!$B$2:$C$132,2,FALSE),0))</f>
        <v/>
      </c>
      <c r="F689" s="4"/>
      <c r="G689" s="4" t="str">
        <f>IF(ISBLANK(B689),,IFERROR(VLOOKUP(B689,CurrentRank!$B$2:$D$132,3,FALSE),130))</f>
        <v/>
      </c>
      <c r="H689" s="4"/>
      <c r="I689" s="4" t="str">
        <f>IF(ISBLANK(B689),,IFERROR(VLOOKUP(C689,CurrentRank!$B$2:$C$132,2,FALSE),0))</f>
        <v/>
      </c>
      <c r="J689" s="4"/>
      <c r="K689" s="4" t="str">
        <f>IF(ISBLANK(C689),,IFERROR(VLOOKUP(C689,CurrentRank!$B$2:$D$132,3,FALSE),130))</f>
        <v/>
      </c>
      <c r="L689" s="19" t="str">
        <f t="shared" si="279"/>
        <v/>
      </c>
      <c r="M689" s="19" t="str">
        <f t="shared" si="280"/>
        <v/>
      </c>
      <c r="N689" s="24" t="str">
        <f t="shared" si="276"/>
        <v/>
      </c>
      <c r="O689" s="21" t="str">
        <f t="shared" si="4"/>
        <v/>
      </c>
      <c r="P689" s="21" t="str">
        <f t="shared" si="282"/>
        <v/>
      </c>
      <c r="Q689" s="22" t="str">
        <f t="shared" si="6"/>
        <v/>
      </c>
      <c r="R689" s="25" t="str">
        <f t="shared" si="7"/>
        <v/>
      </c>
      <c r="S689" s="19" t="str">
        <f t="shared" si="8"/>
        <v/>
      </c>
      <c r="T689" s="19" t="str">
        <f t="shared" si="9"/>
        <v/>
      </c>
      <c r="U689" s="3"/>
      <c r="V689" s="4" t="str">
        <f>IF(ISBLANK(C689),,IFERROR(IF(VLOOKUP(B689,Standings!$A:$F, 6, 0)=VLOOKUP(C689,Standings!$A:$F, 6, 0), VLOOKUP(B689,Standings!$A:$F, 6, 0), "Non-con"), "FCS"))</f>
        <v/>
      </c>
      <c r="W689" s="3" t="str">
        <f t="shared" si="10"/>
        <v/>
      </c>
      <c r="X689" s="3" t="str">
        <f t="shared" si="11"/>
        <v/>
      </c>
      <c r="Y689" s="30" t="str">
        <f>IF(D689=0,,IF(ISBLANK(Q689),,VLOOKUP(X689,Week1,2,FALSE)/(VLOOKUP(X689,Week1,2,FALSE)+VLOOKUP(W689,Week1,2,FALSE)))*100)</f>
        <v/>
      </c>
      <c r="Z689" s="4"/>
      <c r="AA689" s="3"/>
      <c r="AB689" s="4" t="str">
        <f t="shared" si="20"/>
        <v/>
      </c>
      <c r="AC689" s="3"/>
      <c r="AD689" s="3"/>
      <c r="AE689" s="3" t="str">
        <f t="shared" si="13"/>
        <v/>
      </c>
      <c r="AF689" s="3"/>
      <c r="AG689" s="3" t="str">
        <f t="shared" si="133"/>
        <v/>
      </c>
      <c r="AH689" s="3"/>
      <c r="AI689" s="7"/>
      <c r="AJ689" s="4"/>
      <c r="AK689" s="7"/>
      <c r="AL689" s="7"/>
      <c r="AM689" s="7"/>
      <c r="AN689" s="7"/>
      <c r="AO689" s="7"/>
      <c r="AP689" s="7"/>
      <c r="AQ689" s="7"/>
      <c r="AR689" s="7"/>
      <c r="AS689" s="7"/>
      <c r="AT689" s="7"/>
      <c r="AU689" s="7"/>
      <c r="AV689" s="7"/>
      <c r="AW689" s="7"/>
      <c r="AX689" s="7"/>
    </row>
    <row r="690" ht="12.75" customHeight="1">
      <c r="A690" s="4"/>
      <c r="B690" s="4"/>
      <c r="C690" s="4"/>
      <c r="D690" s="4"/>
      <c r="E690" s="4" t="str">
        <f>IF(ISBLANK(B690),,IFERROR(VLOOKUP(B690,CurrentRank!$B$2:$C$132,2,FALSE),0))</f>
        <v/>
      </c>
      <c r="F690" s="4"/>
      <c r="G690" s="4" t="str">
        <f>IF(ISBLANK(B690),,IFERROR(VLOOKUP(B690,CurrentRank!$B$2:$D$132,3,FALSE),130))</f>
        <v/>
      </c>
      <c r="H690" s="4"/>
      <c r="I690" s="4" t="str">
        <f>IF(ISBLANK(B690),,IFERROR(VLOOKUP(C690,CurrentRank!$B$2:$C$132,2,FALSE),0))</f>
        <v/>
      </c>
      <c r="J690" s="4"/>
      <c r="K690" s="4" t="str">
        <f>IF(ISBLANK(C690),,IFERROR(VLOOKUP(C690,CurrentRank!$B$2:$D$132,3,FALSE),130))</f>
        <v/>
      </c>
      <c r="L690" s="19" t="str">
        <f t="shared" si="279"/>
        <v/>
      </c>
      <c r="M690" s="19" t="str">
        <f t="shared" si="280"/>
        <v/>
      </c>
      <c r="N690" s="24" t="str">
        <f t="shared" si="276"/>
        <v/>
      </c>
      <c r="O690" s="21" t="str">
        <f t="shared" si="4"/>
        <v/>
      </c>
      <c r="P690" s="21" t="str">
        <f t="shared" si="282"/>
        <v/>
      </c>
      <c r="Q690" s="22" t="str">
        <f t="shared" si="6"/>
        <v/>
      </c>
      <c r="R690" s="25" t="str">
        <f t="shared" si="7"/>
        <v/>
      </c>
      <c r="S690" s="19" t="str">
        <f t="shared" si="8"/>
        <v/>
      </c>
      <c r="T690" s="19" t="str">
        <f t="shared" si="9"/>
        <v/>
      </c>
      <c r="U690" s="3"/>
      <c r="V690" s="4" t="str">
        <f>IF(ISBLANK(C690),,IFERROR(IF(VLOOKUP(B690,Standings!$A:$F, 6, 0)=VLOOKUP(C690,Standings!$A:$F, 6, 0), VLOOKUP(B690,Standings!$A:$F, 6, 0), "Non-con"), "FCS"))</f>
        <v/>
      </c>
      <c r="W690" s="3" t="str">
        <f t="shared" si="10"/>
        <v/>
      </c>
      <c r="X690" s="3" t="str">
        <f t="shared" si="11"/>
        <v/>
      </c>
      <c r="Y690" s="30" t="str">
        <f>IF(D690=0,,IF(ISBLANK(Q690),,VLOOKUP(X690,Week1,2,FALSE)/(VLOOKUP(X690,Week1,2,FALSE)+VLOOKUP(W690,Week1,2,FALSE)))*100)</f>
        <v/>
      </c>
      <c r="Z690" s="4"/>
      <c r="AA690" s="3"/>
      <c r="AB690" s="4" t="str">
        <f t="shared" si="20"/>
        <v/>
      </c>
      <c r="AC690" s="3"/>
      <c r="AD690" s="3"/>
      <c r="AE690" s="3" t="str">
        <f t="shared" si="13"/>
        <v/>
      </c>
      <c r="AF690" s="3"/>
      <c r="AG690" s="3" t="str">
        <f t="shared" si="133"/>
        <v/>
      </c>
      <c r="AH690" s="3"/>
      <c r="AI690" s="7"/>
      <c r="AJ690" s="4"/>
      <c r="AK690" s="7"/>
      <c r="AL690" s="7"/>
      <c r="AM690" s="7"/>
      <c r="AN690" s="7"/>
      <c r="AO690" s="7"/>
      <c r="AP690" s="7"/>
      <c r="AQ690" s="7"/>
      <c r="AR690" s="7"/>
      <c r="AS690" s="7"/>
      <c r="AT690" s="7"/>
      <c r="AU690" s="7"/>
      <c r="AV690" s="7"/>
      <c r="AW690" s="7"/>
      <c r="AX690" s="7"/>
    </row>
    <row r="691" ht="12.75" customHeight="1">
      <c r="A691" s="4"/>
      <c r="B691" s="4"/>
      <c r="C691" s="4"/>
      <c r="D691" s="4"/>
      <c r="E691" s="4" t="str">
        <f>IF(ISBLANK(B691),,IFERROR(VLOOKUP(B691,CurrentRank!$B$2:$C$132,2,FALSE),0))</f>
        <v/>
      </c>
      <c r="F691" s="4"/>
      <c r="G691" s="4" t="str">
        <f>IF(ISBLANK(B691),,IFERROR(VLOOKUP(B691,CurrentRank!$B$2:$D$132,3,FALSE),130))</f>
        <v/>
      </c>
      <c r="H691" s="4"/>
      <c r="I691" s="4" t="str">
        <f>IF(ISBLANK(B691),,IFERROR(VLOOKUP(C691,CurrentRank!$B$2:$C$132,2,FALSE),0))</f>
        <v/>
      </c>
      <c r="J691" s="4"/>
      <c r="K691" s="4" t="str">
        <f>IF(ISBLANK(C691),,IFERROR(VLOOKUP(C691,CurrentRank!$B$2:$D$132,3,FALSE),130))</f>
        <v/>
      </c>
      <c r="L691" s="19" t="str">
        <f t="shared" si="279"/>
        <v/>
      </c>
      <c r="M691" s="19" t="str">
        <f t="shared" si="280"/>
        <v/>
      </c>
      <c r="N691" s="24" t="str">
        <f t="shared" si="276"/>
        <v/>
      </c>
      <c r="O691" s="21" t="str">
        <f t="shared" si="4"/>
        <v/>
      </c>
      <c r="P691" s="21" t="str">
        <f t="shared" si="282"/>
        <v/>
      </c>
      <c r="Q691" s="22" t="str">
        <f t="shared" si="6"/>
        <v/>
      </c>
      <c r="R691" s="25" t="str">
        <f t="shared" si="7"/>
        <v/>
      </c>
      <c r="S691" s="19" t="str">
        <f t="shared" si="8"/>
        <v/>
      </c>
      <c r="T691" s="19" t="str">
        <f t="shared" si="9"/>
        <v/>
      </c>
      <c r="U691" s="3"/>
      <c r="V691" s="4" t="str">
        <f>IF(ISBLANK(C691),,IFERROR(IF(VLOOKUP(B691,Standings!$A:$F, 6, 0)=VLOOKUP(C691,Standings!$A:$F, 6, 0), VLOOKUP(B691,Standings!$A:$F, 6, 0), "Non-con"), "FCS"))</f>
        <v/>
      </c>
      <c r="W691" s="3" t="str">
        <f t="shared" si="10"/>
        <v/>
      </c>
      <c r="X691" s="3" t="str">
        <f t="shared" si="11"/>
        <v/>
      </c>
      <c r="Y691" s="30" t="str">
        <f>IF(D691=0,,IF(ISBLANK(Q691),,VLOOKUP(X691,Week1,2,FALSE)/(VLOOKUP(X691,Week1,2,FALSE)+VLOOKUP(W691,Week1,2,FALSE)))*100)</f>
        <v/>
      </c>
      <c r="Z691" s="4"/>
      <c r="AA691" s="3"/>
      <c r="AB691" s="4" t="str">
        <f t="shared" si="20"/>
        <v/>
      </c>
      <c r="AC691" s="3"/>
      <c r="AD691" s="3"/>
      <c r="AE691" s="3" t="str">
        <f t="shared" si="13"/>
        <v/>
      </c>
      <c r="AF691" s="3"/>
      <c r="AG691" s="3" t="str">
        <f t="shared" si="133"/>
        <v/>
      </c>
      <c r="AH691" s="3"/>
      <c r="AI691" s="7"/>
      <c r="AJ691" s="4"/>
      <c r="AK691" s="7"/>
      <c r="AL691" s="7"/>
      <c r="AM691" s="7"/>
      <c r="AN691" s="7"/>
      <c r="AO691" s="7"/>
      <c r="AP691" s="7"/>
      <c r="AQ691" s="7"/>
      <c r="AR691" s="7"/>
      <c r="AS691" s="7"/>
      <c r="AT691" s="7"/>
      <c r="AU691" s="7"/>
      <c r="AV691" s="7"/>
      <c r="AW691" s="7"/>
      <c r="AX691" s="7"/>
    </row>
    <row r="692" ht="12.75" customHeight="1">
      <c r="A692" s="4"/>
      <c r="B692" s="4"/>
      <c r="C692" s="4"/>
      <c r="D692" s="4"/>
      <c r="E692" s="4" t="str">
        <f>IF(ISBLANK(B692),,IFERROR(VLOOKUP(B692,CurrentRank!$B$2:$C$132,2,FALSE),0))</f>
        <v/>
      </c>
      <c r="F692" s="4"/>
      <c r="G692" s="4" t="str">
        <f>IF(ISBLANK(B692),,IFERROR(VLOOKUP(B692,CurrentRank!$B$2:$D$132,3,FALSE),130))</f>
        <v/>
      </c>
      <c r="H692" s="4"/>
      <c r="I692" s="4" t="str">
        <f>IF(ISBLANK(B692),,IFERROR(VLOOKUP(C692,CurrentRank!$B$2:$C$132,2,FALSE),0))</f>
        <v/>
      </c>
      <c r="J692" s="4"/>
      <c r="K692" s="4" t="str">
        <f>IF(ISBLANK(C692),,IFERROR(VLOOKUP(C692,CurrentRank!$B$2:$D$132,3,FALSE),130))</f>
        <v/>
      </c>
      <c r="L692" s="19" t="str">
        <f t="shared" si="279"/>
        <v/>
      </c>
      <c r="M692" s="19" t="str">
        <f t="shared" si="280"/>
        <v/>
      </c>
      <c r="N692" s="24" t="str">
        <f t="shared" si="276"/>
        <v/>
      </c>
      <c r="O692" s="21" t="str">
        <f t="shared" si="4"/>
        <v/>
      </c>
      <c r="P692" s="21" t="str">
        <f t="shared" si="282"/>
        <v/>
      </c>
      <c r="Q692" s="22" t="str">
        <f t="shared" si="6"/>
        <v/>
      </c>
      <c r="R692" s="25" t="str">
        <f t="shared" si="7"/>
        <v/>
      </c>
      <c r="S692" s="19" t="str">
        <f t="shared" si="8"/>
        <v/>
      </c>
      <c r="T692" s="19" t="str">
        <f t="shared" si="9"/>
        <v/>
      </c>
      <c r="U692" s="3"/>
      <c r="V692" s="4" t="str">
        <f>IF(ISBLANK(C692),,IFERROR(IF(VLOOKUP(B692,Standings!$A:$F, 6, 0)=VLOOKUP(C692,Standings!$A:$F, 6, 0), VLOOKUP(B692,Standings!$A:$F, 6, 0), "Non-con"), "FCS"))</f>
        <v/>
      </c>
      <c r="W692" s="3" t="str">
        <f t="shared" si="10"/>
        <v/>
      </c>
      <c r="X692" s="3" t="str">
        <f t="shared" si="11"/>
        <v/>
      </c>
      <c r="Y692" s="30" t="str">
        <f>IF(D692=0,,IF(ISBLANK(Q692),,VLOOKUP(X692,Week1,2,FALSE)/(VLOOKUP(X692,Week1,2,FALSE)+VLOOKUP(W692,Week1,2,FALSE)))*100)</f>
        <v/>
      </c>
      <c r="Z692" s="4"/>
      <c r="AA692" s="3"/>
      <c r="AB692" s="4" t="str">
        <f t="shared" si="20"/>
        <v/>
      </c>
      <c r="AC692" s="3"/>
      <c r="AD692" s="3"/>
      <c r="AE692" s="3" t="str">
        <f t="shared" si="13"/>
        <v/>
      </c>
      <c r="AF692" s="3"/>
      <c r="AG692" s="3" t="str">
        <f t="shared" si="133"/>
        <v/>
      </c>
      <c r="AH692" s="3"/>
      <c r="AI692" s="7"/>
      <c r="AJ692" s="4"/>
      <c r="AK692" s="7"/>
      <c r="AL692" s="7"/>
      <c r="AM692" s="7"/>
      <c r="AN692" s="7"/>
      <c r="AO692" s="7"/>
      <c r="AP692" s="7"/>
      <c r="AQ692" s="7"/>
      <c r="AR692" s="7"/>
      <c r="AS692" s="7"/>
      <c r="AT692" s="7"/>
      <c r="AU692" s="7"/>
      <c r="AV692" s="7"/>
      <c r="AW692" s="7"/>
      <c r="AX692" s="7"/>
    </row>
    <row r="693" ht="12.75" customHeight="1">
      <c r="A693" s="4"/>
      <c r="B693" s="4"/>
      <c r="C693" s="4"/>
      <c r="D693" s="4"/>
      <c r="E693" s="4" t="str">
        <f>IF(ISBLANK(B693),,IFERROR(VLOOKUP(B693,CurrentRank!$B$2:$C$132,2,FALSE),0))</f>
        <v/>
      </c>
      <c r="F693" s="4"/>
      <c r="G693" s="4" t="str">
        <f>IF(ISBLANK(B693),,IFERROR(VLOOKUP(B693,CurrentRank!$B$2:$D$132,3,FALSE),130))</f>
        <v/>
      </c>
      <c r="H693" s="4"/>
      <c r="I693" s="4" t="str">
        <f>IF(ISBLANK(B693),,IFERROR(VLOOKUP(C693,CurrentRank!$B$2:$C$132,2,FALSE),0))</f>
        <v/>
      </c>
      <c r="J693" s="4"/>
      <c r="K693" s="4" t="str">
        <f>IF(ISBLANK(C693),,IFERROR(VLOOKUP(C693,CurrentRank!$B$2:$D$132,3,FALSE),130))</f>
        <v/>
      </c>
      <c r="L693" s="19" t="str">
        <f t="shared" si="279"/>
        <v/>
      </c>
      <c r="M693" s="19" t="str">
        <f t="shared" si="280"/>
        <v/>
      </c>
      <c r="N693" s="24" t="str">
        <f t="shared" si="276"/>
        <v/>
      </c>
      <c r="O693" s="21" t="str">
        <f t="shared" si="4"/>
        <v/>
      </c>
      <c r="P693" s="21" t="str">
        <f t="shared" si="282"/>
        <v/>
      </c>
      <c r="Q693" s="22" t="str">
        <f t="shared" si="6"/>
        <v/>
      </c>
      <c r="R693" s="25" t="str">
        <f t="shared" si="7"/>
        <v/>
      </c>
      <c r="S693" s="19" t="str">
        <f t="shared" si="8"/>
        <v/>
      </c>
      <c r="T693" s="19" t="str">
        <f t="shared" si="9"/>
        <v/>
      </c>
      <c r="U693" s="3"/>
      <c r="V693" s="4" t="str">
        <f>IF(ISBLANK(C693),,IFERROR(IF(VLOOKUP(B693,Standings!$A:$F, 6, 0)=VLOOKUP(C693,Standings!$A:$F, 6, 0), VLOOKUP(B693,Standings!$A:$F, 6, 0), "Non-con"), "FCS"))</f>
        <v/>
      </c>
      <c r="W693" s="3" t="str">
        <f t="shared" si="10"/>
        <v/>
      </c>
      <c r="X693" s="3" t="str">
        <f t="shared" si="11"/>
        <v/>
      </c>
      <c r="Y693" s="30" t="str">
        <f>IF(D693=0,,IF(ISBLANK(Q693),,VLOOKUP(X693,Week1,2,FALSE)/(VLOOKUP(X693,Week1,2,FALSE)+VLOOKUP(W693,Week1,2,FALSE)))*100)</f>
        <v/>
      </c>
      <c r="Z693" s="4"/>
      <c r="AA693" s="3"/>
      <c r="AB693" s="4" t="str">
        <f t="shared" si="20"/>
        <v/>
      </c>
      <c r="AC693" s="3"/>
      <c r="AD693" s="3"/>
      <c r="AE693" s="3" t="str">
        <f t="shared" si="13"/>
        <v/>
      </c>
      <c r="AF693" s="3"/>
      <c r="AG693" s="3" t="str">
        <f t="shared" si="133"/>
        <v/>
      </c>
      <c r="AH693" s="3"/>
      <c r="AI693" s="7"/>
      <c r="AJ693" s="4"/>
      <c r="AK693" s="7"/>
      <c r="AL693" s="7"/>
      <c r="AM693" s="7"/>
      <c r="AN693" s="7"/>
      <c r="AO693" s="7"/>
      <c r="AP693" s="7"/>
      <c r="AQ693" s="7"/>
      <c r="AR693" s="7"/>
      <c r="AS693" s="7"/>
      <c r="AT693" s="7"/>
      <c r="AU693" s="7"/>
      <c r="AV693" s="7"/>
      <c r="AW693" s="7"/>
      <c r="AX693" s="7"/>
    </row>
    <row r="694" ht="12.75" customHeight="1">
      <c r="A694" s="4"/>
      <c r="B694" s="4"/>
      <c r="C694" s="4"/>
      <c r="D694" s="4"/>
      <c r="E694" s="4" t="str">
        <f>IF(ISBLANK(B694),,IFERROR(VLOOKUP(B694,CurrentRank!$B$2:$C$132,2,FALSE),0))</f>
        <v/>
      </c>
      <c r="F694" s="4"/>
      <c r="G694" s="4" t="str">
        <f>IF(ISBLANK(B694),,IFERROR(VLOOKUP(B694,CurrentRank!$B$2:$D$132,3,FALSE),130))</f>
        <v/>
      </c>
      <c r="H694" s="4"/>
      <c r="I694" s="4" t="str">
        <f>IF(ISBLANK(B694),,IFERROR(VLOOKUP(C694,CurrentRank!$B$2:$C$132,2,FALSE),0))</f>
        <v/>
      </c>
      <c r="J694" s="4"/>
      <c r="K694" s="4" t="str">
        <f>IF(ISBLANK(C694),,IFERROR(VLOOKUP(C694,CurrentRank!$B$2:$D$132,3,FALSE),130))</f>
        <v/>
      </c>
      <c r="L694" s="19" t="str">
        <f t="shared" si="279"/>
        <v/>
      </c>
      <c r="M694" s="19" t="str">
        <f t="shared" si="280"/>
        <v/>
      </c>
      <c r="N694" s="24" t="str">
        <f t="shared" si="276"/>
        <v/>
      </c>
      <c r="O694" s="21" t="str">
        <f t="shared" si="4"/>
        <v/>
      </c>
      <c r="P694" s="21" t="str">
        <f t="shared" si="282"/>
        <v/>
      </c>
      <c r="Q694" s="22" t="str">
        <f t="shared" si="6"/>
        <v/>
      </c>
      <c r="R694" s="25" t="str">
        <f t="shared" si="7"/>
        <v/>
      </c>
      <c r="S694" s="19" t="str">
        <f t="shared" si="8"/>
        <v/>
      </c>
      <c r="T694" s="19" t="str">
        <f t="shared" si="9"/>
        <v/>
      </c>
      <c r="U694" s="3"/>
      <c r="V694" s="4" t="str">
        <f>IF(ISBLANK(C694),,IFERROR(IF(VLOOKUP(B694,Standings!$A:$F, 6, 0)=VLOOKUP(C694,Standings!$A:$F, 6, 0), VLOOKUP(B694,Standings!$A:$F, 6, 0), "Non-con"), "FCS"))</f>
        <v/>
      </c>
      <c r="W694" s="3" t="str">
        <f t="shared" si="10"/>
        <v/>
      </c>
      <c r="X694" s="3" t="str">
        <f t="shared" si="11"/>
        <v/>
      </c>
      <c r="Y694" s="30" t="str">
        <f>IF(D694=0,,IF(ISBLANK(Q694),,VLOOKUP(X694,Week1,2,FALSE)/(VLOOKUP(X694,Week1,2,FALSE)+VLOOKUP(W694,Week1,2,FALSE)))*100)</f>
        <v/>
      </c>
      <c r="Z694" s="4"/>
      <c r="AA694" s="3"/>
      <c r="AB694" s="4" t="str">
        <f t="shared" si="20"/>
        <v/>
      </c>
      <c r="AC694" s="3"/>
      <c r="AD694" s="3"/>
      <c r="AE694" s="3" t="str">
        <f t="shared" si="13"/>
        <v/>
      </c>
      <c r="AF694" s="3"/>
      <c r="AG694" s="3" t="str">
        <f t="shared" si="133"/>
        <v/>
      </c>
      <c r="AH694" s="3"/>
      <c r="AI694" s="7"/>
      <c r="AJ694" s="4"/>
      <c r="AK694" s="7"/>
      <c r="AL694" s="7"/>
      <c r="AM694" s="7"/>
      <c r="AN694" s="7"/>
      <c r="AO694" s="7"/>
      <c r="AP694" s="7"/>
      <c r="AQ694" s="7"/>
      <c r="AR694" s="7"/>
      <c r="AS694" s="7"/>
      <c r="AT694" s="7"/>
      <c r="AU694" s="7"/>
      <c r="AV694" s="7"/>
      <c r="AW694" s="7"/>
      <c r="AX694" s="7"/>
    </row>
    <row r="695" ht="12.75" customHeight="1">
      <c r="A695" s="4"/>
      <c r="B695" s="4"/>
      <c r="C695" s="4"/>
      <c r="D695" s="4"/>
      <c r="E695" s="4" t="str">
        <f>IF(ISBLANK(B695),,IFERROR(VLOOKUP(B695,CurrentRank!$B$2:$C$132,2,FALSE),0))</f>
        <v/>
      </c>
      <c r="F695" s="4"/>
      <c r="G695" s="4" t="str">
        <f>IF(ISBLANK(B695),,IFERROR(VLOOKUP(B695,CurrentRank!$B$2:$D$132,3,FALSE),130))</f>
        <v/>
      </c>
      <c r="H695" s="4"/>
      <c r="I695" s="4" t="str">
        <f>IF(ISBLANK(B695),,IFERROR(VLOOKUP(C695,CurrentRank!$B$2:$C$132,2,FALSE),0))</f>
        <v/>
      </c>
      <c r="J695" s="4"/>
      <c r="K695" s="4" t="str">
        <f>IF(ISBLANK(C695),,IFERROR(VLOOKUP(C695,CurrentRank!$B$2:$D$132,3,FALSE),130))</f>
        <v/>
      </c>
      <c r="L695" s="19" t="str">
        <f t="shared" si="279"/>
        <v/>
      </c>
      <c r="M695" s="19" t="str">
        <f t="shared" si="280"/>
        <v/>
      </c>
      <c r="N695" s="24" t="str">
        <f t="shared" si="276"/>
        <v/>
      </c>
      <c r="O695" s="21" t="str">
        <f t="shared" si="4"/>
        <v/>
      </c>
      <c r="P695" s="21" t="str">
        <f t="shared" si="282"/>
        <v/>
      </c>
      <c r="Q695" s="22" t="str">
        <f t="shared" si="6"/>
        <v/>
      </c>
      <c r="R695" s="25" t="str">
        <f t="shared" si="7"/>
        <v/>
      </c>
      <c r="S695" s="19" t="str">
        <f t="shared" si="8"/>
        <v/>
      </c>
      <c r="T695" s="19" t="str">
        <f t="shared" si="9"/>
        <v/>
      </c>
      <c r="U695" s="3"/>
      <c r="V695" s="4" t="str">
        <f>IF(ISBLANK(C695),,IFERROR(IF(VLOOKUP(B695,Standings!$A:$F, 6, 0)=VLOOKUP(C695,Standings!$A:$F, 6, 0), VLOOKUP(B695,Standings!$A:$F, 6, 0), "Non-con"), "FCS"))</f>
        <v/>
      </c>
      <c r="W695" s="3" t="str">
        <f t="shared" si="10"/>
        <v/>
      </c>
      <c r="X695" s="3" t="str">
        <f t="shared" si="11"/>
        <v/>
      </c>
      <c r="Y695" s="30" t="str">
        <f>IF(D695=0,,IF(ISBLANK(Q695),,VLOOKUP(X695,Week1,2,FALSE)/(VLOOKUP(X695,Week1,2,FALSE)+VLOOKUP(W695,Week1,2,FALSE)))*100)</f>
        <v/>
      </c>
      <c r="Z695" s="4"/>
      <c r="AA695" s="3"/>
      <c r="AB695" s="4" t="str">
        <f t="shared" si="20"/>
        <v/>
      </c>
      <c r="AC695" s="3"/>
      <c r="AD695" s="3"/>
      <c r="AE695" s="3" t="str">
        <f t="shared" si="13"/>
        <v/>
      </c>
      <c r="AF695" s="3"/>
      <c r="AG695" s="3" t="str">
        <f t="shared" si="133"/>
        <v/>
      </c>
      <c r="AH695" s="3"/>
      <c r="AI695" s="7"/>
      <c r="AJ695" s="4"/>
      <c r="AK695" s="7"/>
      <c r="AL695" s="7"/>
      <c r="AM695" s="7"/>
      <c r="AN695" s="7"/>
      <c r="AO695" s="7"/>
      <c r="AP695" s="7"/>
      <c r="AQ695" s="7"/>
      <c r="AR695" s="7"/>
      <c r="AS695" s="7"/>
      <c r="AT695" s="7"/>
      <c r="AU695" s="7"/>
      <c r="AV695" s="7"/>
      <c r="AW695" s="7"/>
      <c r="AX695" s="7"/>
    </row>
    <row r="696" ht="12.75" customHeight="1">
      <c r="A696" s="4"/>
      <c r="B696" s="4"/>
      <c r="C696" s="3"/>
      <c r="D696" s="4"/>
      <c r="E696" s="4" t="str">
        <f>IF(ISBLANK(B696),,IFERROR(VLOOKUP(B696,CurrentRank!$B$2:$C$132,2,FALSE),0))</f>
        <v/>
      </c>
      <c r="F696" s="4"/>
      <c r="G696" s="4" t="str">
        <f>IF(ISBLANK(B696),,IFERROR(VLOOKUP(B696,CurrentRank!$B$2:$D$132,3,FALSE),130))</f>
        <v/>
      </c>
      <c r="H696" s="4"/>
      <c r="I696" s="4" t="str">
        <f>IF(ISBLANK(B696),,IFERROR(VLOOKUP(C696,CurrentRank!$B$2:$C$132,2,FALSE),0))</f>
        <v/>
      </c>
      <c r="J696" s="4"/>
      <c r="K696" s="4" t="str">
        <f>IF(ISBLANK(C696),,IFERROR(VLOOKUP(C696,CurrentRank!$B$2:$D$132,3,FALSE),130))</f>
        <v/>
      </c>
      <c r="L696" s="19" t="str">
        <f t="shared" si="279"/>
        <v/>
      </c>
      <c r="M696" s="19" t="str">
        <f t="shared" si="280"/>
        <v/>
      </c>
      <c r="N696" s="24" t="str">
        <f t="shared" si="276"/>
        <v/>
      </c>
      <c r="O696" s="21" t="str">
        <f t="shared" si="4"/>
        <v/>
      </c>
      <c r="P696" s="21" t="str">
        <f t="shared" si="282"/>
        <v/>
      </c>
      <c r="Q696" s="22" t="str">
        <f t="shared" si="6"/>
        <v/>
      </c>
      <c r="R696" s="25" t="str">
        <f t="shared" si="7"/>
        <v/>
      </c>
      <c r="S696" s="19" t="str">
        <f t="shared" si="8"/>
        <v/>
      </c>
      <c r="T696" s="19" t="str">
        <f t="shared" si="9"/>
        <v/>
      </c>
      <c r="U696" s="3"/>
      <c r="V696" s="4" t="str">
        <f>IF(ISBLANK(C696),,IFERROR(IF(VLOOKUP(B696,Standings!$A:$F, 6, 0)=VLOOKUP(C696,Standings!$A:$F, 6, 0), VLOOKUP(B696,Standings!$A:$F, 6, 0), "Non-con"), "FCS"))</f>
        <v/>
      </c>
      <c r="W696" s="3" t="str">
        <f t="shared" si="10"/>
        <v/>
      </c>
      <c r="X696" s="3" t="str">
        <f t="shared" si="11"/>
        <v/>
      </c>
      <c r="Y696" s="30" t="str">
        <f>IF(D696=0,,IF(ISBLANK(Q696),,VLOOKUP(X696,Week1,2,FALSE)/(VLOOKUP(X696,Week1,2,FALSE)+VLOOKUP(W696,Week1,2,FALSE)))*100)</f>
        <v/>
      </c>
      <c r="Z696" s="4"/>
      <c r="AA696" s="3"/>
      <c r="AB696" s="4" t="str">
        <f t="shared" si="20"/>
        <v/>
      </c>
      <c r="AC696" s="3"/>
      <c r="AD696" s="3"/>
      <c r="AE696" s="3" t="str">
        <f t="shared" si="13"/>
        <v/>
      </c>
      <c r="AF696" s="3"/>
      <c r="AG696" s="3" t="str">
        <f t="shared" si="133"/>
        <v/>
      </c>
      <c r="AH696" s="3"/>
      <c r="AI696" s="7"/>
      <c r="AJ696" s="4"/>
      <c r="AK696" s="7"/>
      <c r="AL696" s="7"/>
      <c r="AM696" s="7"/>
      <c r="AN696" s="7"/>
      <c r="AO696" s="7"/>
      <c r="AP696" s="7"/>
      <c r="AQ696" s="7"/>
      <c r="AR696" s="7"/>
      <c r="AS696" s="7"/>
      <c r="AT696" s="7"/>
      <c r="AU696" s="7"/>
      <c r="AV696" s="7"/>
      <c r="AW696" s="7"/>
      <c r="AX696" s="7"/>
    </row>
    <row r="697" ht="12.75" customHeight="1">
      <c r="A697" s="4"/>
      <c r="B697" s="4"/>
      <c r="C697" s="4"/>
      <c r="D697" s="4"/>
      <c r="E697" s="4" t="str">
        <f>IF(ISBLANK(B697),,IFERROR(VLOOKUP(B697,CurrentRank!$B$2:$C$132,2,FALSE),0))</f>
        <v/>
      </c>
      <c r="F697" s="4"/>
      <c r="G697" s="4" t="str">
        <f>IF(ISBLANK(B697),,IFERROR(VLOOKUP(B697,CurrentRank!$B$2:$D$132,3,FALSE),130))</f>
        <v/>
      </c>
      <c r="H697" s="4"/>
      <c r="I697" s="4" t="str">
        <f>IF(ISBLANK(B697),,IFERROR(VLOOKUP(C697,CurrentRank!$B$2:$C$132,2,FALSE),0))</f>
        <v/>
      </c>
      <c r="J697" s="4"/>
      <c r="K697" s="4" t="str">
        <f>IF(ISBLANK(C697),,IFERROR(VLOOKUP(C697,CurrentRank!$B$2:$D$132,3,FALSE),130))</f>
        <v/>
      </c>
      <c r="L697" s="19" t="str">
        <f t="shared" si="279"/>
        <v/>
      </c>
      <c r="M697" s="19" t="str">
        <f t="shared" si="280"/>
        <v/>
      </c>
      <c r="N697" s="24" t="str">
        <f t="shared" si="276"/>
        <v/>
      </c>
      <c r="O697" s="21" t="str">
        <f t="shared" si="4"/>
        <v/>
      </c>
      <c r="P697" s="21" t="str">
        <f t="shared" si="282"/>
        <v/>
      </c>
      <c r="Q697" s="22" t="str">
        <f t="shared" si="6"/>
        <v/>
      </c>
      <c r="R697" s="25" t="str">
        <f t="shared" si="7"/>
        <v/>
      </c>
      <c r="S697" s="19" t="str">
        <f t="shared" si="8"/>
        <v/>
      </c>
      <c r="T697" s="19" t="str">
        <f t="shared" si="9"/>
        <v/>
      </c>
      <c r="U697" s="3"/>
      <c r="V697" s="4" t="str">
        <f>IF(ISBLANK(C697),,IFERROR(IF(VLOOKUP(B697,Standings!$A:$F, 6, 0)=VLOOKUP(C697,Standings!$A:$F, 6, 0), VLOOKUP(B697,Standings!$A:$F, 6, 0), "Non-con"), "FCS"))</f>
        <v/>
      </c>
      <c r="W697" s="3" t="str">
        <f t="shared" si="10"/>
        <v/>
      </c>
      <c r="X697" s="3" t="str">
        <f t="shared" si="11"/>
        <v/>
      </c>
      <c r="Y697" s="30" t="str">
        <f>IF(D697=0,,IF(ISBLANK(Q697),,VLOOKUP(X697,Week1,2,FALSE)/(VLOOKUP(X697,Week1,2,FALSE)+VLOOKUP(W697,Week1,2,FALSE)))*100)</f>
        <v/>
      </c>
      <c r="Z697" s="4"/>
      <c r="AA697" s="3"/>
      <c r="AB697" s="4" t="str">
        <f t="shared" si="20"/>
        <v/>
      </c>
      <c r="AC697" s="3"/>
      <c r="AD697" s="3"/>
      <c r="AE697" s="3" t="str">
        <f t="shared" si="13"/>
        <v/>
      </c>
      <c r="AF697" s="3"/>
      <c r="AG697" s="3" t="str">
        <f t="shared" si="133"/>
        <v/>
      </c>
      <c r="AH697" s="3"/>
      <c r="AI697" s="7"/>
      <c r="AJ697" s="4"/>
      <c r="AK697" s="7"/>
      <c r="AL697" s="7"/>
      <c r="AM697" s="7"/>
      <c r="AN697" s="7"/>
      <c r="AO697" s="7"/>
      <c r="AP697" s="7"/>
      <c r="AQ697" s="7"/>
      <c r="AR697" s="7"/>
      <c r="AS697" s="7"/>
      <c r="AT697" s="7"/>
      <c r="AU697" s="7"/>
      <c r="AV697" s="7"/>
      <c r="AW697" s="7"/>
      <c r="AX697" s="7"/>
    </row>
    <row r="698" ht="12.75" customHeight="1">
      <c r="A698" s="4"/>
      <c r="B698" s="4"/>
      <c r="C698" s="4"/>
      <c r="D698" s="4"/>
      <c r="E698" s="4" t="str">
        <f>IF(ISBLANK(B698),,IFERROR(VLOOKUP(B698,CurrentRank!$B$2:$C$132,2,FALSE),0))</f>
        <v/>
      </c>
      <c r="F698" s="4"/>
      <c r="G698" s="4" t="str">
        <f>IF(ISBLANK(B698),,IFERROR(VLOOKUP(B698,CurrentRank!$B$2:$D$132,3,FALSE),130))</f>
        <v/>
      </c>
      <c r="H698" s="4"/>
      <c r="I698" s="4" t="str">
        <f>IF(ISBLANK(B698),,IFERROR(VLOOKUP(C698,CurrentRank!$B$2:$C$132,2,FALSE),0))</f>
        <v/>
      </c>
      <c r="J698" s="4"/>
      <c r="K698" s="4" t="str">
        <f>IF(ISBLANK(C698),,IFERROR(VLOOKUP(C698,CurrentRank!$B$2:$D$132,3,FALSE),130))</f>
        <v/>
      </c>
      <c r="L698" s="19" t="str">
        <f t="shared" si="279"/>
        <v/>
      </c>
      <c r="M698" s="19" t="str">
        <f t="shared" si="280"/>
        <v/>
      </c>
      <c r="N698" s="24" t="str">
        <f t="shared" si="276"/>
        <v/>
      </c>
      <c r="O698" s="21" t="str">
        <f t="shared" si="4"/>
        <v/>
      </c>
      <c r="P698" s="21" t="str">
        <f t="shared" si="282"/>
        <v/>
      </c>
      <c r="Q698" s="22" t="str">
        <f t="shared" si="6"/>
        <v/>
      </c>
      <c r="R698" s="25" t="str">
        <f t="shared" si="7"/>
        <v/>
      </c>
      <c r="S698" s="19" t="str">
        <f t="shared" si="8"/>
        <v/>
      </c>
      <c r="T698" s="19" t="str">
        <f t="shared" si="9"/>
        <v/>
      </c>
      <c r="U698" s="3"/>
      <c r="V698" s="4" t="str">
        <f>IF(ISBLANK(C698),,IFERROR(IF(VLOOKUP(B698,Standings!$A:$F, 6, 0)=VLOOKUP(C698,Standings!$A:$F, 6, 0), VLOOKUP(B698,Standings!$A:$F, 6, 0), "Non-con"), "FCS"))</f>
        <v/>
      </c>
      <c r="W698" s="3" t="str">
        <f t="shared" si="10"/>
        <v/>
      </c>
      <c r="X698" s="3" t="str">
        <f t="shared" si="11"/>
        <v/>
      </c>
      <c r="Y698" s="30" t="str">
        <f>IF(D698=0,,IF(ISBLANK(Q698),,VLOOKUP(X698,Week1,2,FALSE)/(VLOOKUP(X698,Week1,2,FALSE)+VLOOKUP(W698,Week1,2,FALSE)))*100)</f>
        <v/>
      </c>
      <c r="Z698" s="4"/>
      <c r="AA698" s="3"/>
      <c r="AB698" s="4" t="str">
        <f t="shared" si="20"/>
        <v/>
      </c>
      <c r="AC698" s="3"/>
      <c r="AD698" s="3"/>
      <c r="AE698" s="3" t="str">
        <f t="shared" si="13"/>
        <v/>
      </c>
      <c r="AF698" s="3"/>
      <c r="AG698" s="3" t="str">
        <f t="shared" si="133"/>
        <v/>
      </c>
      <c r="AH698" s="3"/>
      <c r="AI698" s="7"/>
      <c r="AJ698" s="4"/>
      <c r="AK698" s="7"/>
      <c r="AL698" s="7"/>
      <c r="AM698" s="7"/>
      <c r="AN698" s="7"/>
      <c r="AO698" s="7"/>
      <c r="AP698" s="7"/>
      <c r="AQ698" s="7"/>
      <c r="AR698" s="7"/>
      <c r="AS698" s="7"/>
      <c r="AT698" s="7"/>
      <c r="AU698" s="7"/>
      <c r="AV698" s="7"/>
      <c r="AW698" s="7"/>
      <c r="AX698" s="7"/>
    </row>
    <row r="699" ht="12.75" customHeight="1">
      <c r="A699" s="4"/>
      <c r="B699" s="4"/>
      <c r="C699" s="4"/>
      <c r="D699" s="4"/>
      <c r="E699" s="4" t="str">
        <f>IF(ISBLANK(B699),,IFERROR(VLOOKUP(B699,CurrentRank!$B$2:$C$132,2,FALSE),0))</f>
        <v/>
      </c>
      <c r="F699" s="4"/>
      <c r="G699" s="4" t="str">
        <f>IF(ISBLANK(B699),,IFERROR(VLOOKUP(B699,CurrentRank!$B$2:$D$132,3,FALSE),130))</f>
        <v/>
      </c>
      <c r="H699" s="4"/>
      <c r="I699" s="4" t="str">
        <f>IF(ISBLANK(B699),,IFERROR(VLOOKUP(C699,CurrentRank!$B$2:$C$132,2,FALSE),0))</f>
        <v/>
      </c>
      <c r="J699" s="4"/>
      <c r="K699" s="4" t="str">
        <f>IF(ISBLANK(C699),,IFERROR(VLOOKUP(C699,CurrentRank!$B$2:$D$132,3,FALSE),130))</f>
        <v/>
      </c>
      <c r="L699" s="19" t="str">
        <f t="shared" si="279"/>
        <v/>
      </c>
      <c r="M699" s="19" t="str">
        <f t="shared" si="280"/>
        <v/>
      </c>
      <c r="N699" s="24" t="str">
        <f t="shared" si="276"/>
        <v/>
      </c>
      <c r="O699" s="21" t="str">
        <f t="shared" si="4"/>
        <v/>
      </c>
      <c r="P699" s="21" t="str">
        <f t="shared" si="282"/>
        <v/>
      </c>
      <c r="Q699" s="22" t="str">
        <f t="shared" si="6"/>
        <v/>
      </c>
      <c r="R699" s="25" t="str">
        <f t="shared" si="7"/>
        <v/>
      </c>
      <c r="S699" s="19" t="str">
        <f t="shared" si="8"/>
        <v/>
      </c>
      <c r="T699" s="19" t="str">
        <f t="shared" si="9"/>
        <v/>
      </c>
      <c r="U699" s="3"/>
      <c r="V699" s="4" t="str">
        <f>IF(ISBLANK(C699),,IFERROR(IF(VLOOKUP(B699,Standings!$A:$F, 6, 0)=VLOOKUP(C699,Standings!$A:$F, 6, 0), VLOOKUP(B699,Standings!$A:$F, 6, 0), "Non-con"), "FCS"))</f>
        <v/>
      </c>
      <c r="W699" s="3" t="str">
        <f t="shared" si="10"/>
        <v/>
      </c>
      <c r="X699" s="3" t="str">
        <f t="shared" si="11"/>
        <v/>
      </c>
      <c r="Y699" s="30" t="str">
        <f>IF(D699=0,,IF(ISBLANK(Q699),,VLOOKUP(X699,Week1,2,FALSE)/(VLOOKUP(X699,Week1,2,FALSE)+VLOOKUP(W699,Week1,2,FALSE)))*100)</f>
        <v/>
      </c>
      <c r="Z699" s="4"/>
      <c r="AA699" s="3"/>
      <c r="AB699" s="4" t="str">
        <f t="shared" si="20"/>
        <v/>
      </c>
      <c r="AC699" s="3"/>
      <c r="AD699" s="3"/>
      <c r="AE699" s="3" t="str">
        <f t="shared" si="13"/>
        <v/>
      </c>
      <c r="AF699" s="3"/>
      <c r="AG699" s="3" t="str">
        <f t="shared" si="133"/>
        <v/>
      </c>
      <c r="AH699" s="3"/>
      <c r="AI699" s="7"/>
      <c r="AJ699" s="4"/>
      <c r="AK699" s="7"/>
      <c r="AL699" s="7"/>
      <c r="AM699" s="7"/>
      <c r="AN699" s="7"/>
      <c r="AO699" s="7"/>
      <c r="AP699" s="7"/>
      <c r="AQ699" s="7"/>
      <c r="AR699" s="7"/>
      <c r="AS699" s="7"/>
      <c r="AT699" s="7"/>
      <c r="AU699" s="7"/>
      <c r="AV699" s="7"/>
      <c r="AW699" s="7"/>
      <c r="AX699" s="7"/>
    </row>
    <row r="700" ht="12.75" customHeight="1">
      <c r="A700" s="4"/>
      <c r="B700" s="4"/>
      <c r="C700" s="4"/>
      <c r="D700" s="4"/>
      <c r="E700" s="4" t="str">
        <f>IF(ISBLANK(B700),,IFERROR(VLOOKUP(B700,CurrentRank!$B$2:$C$132,2,FALSE),0))</f>
        <v/>
      </c>
      <c r="F700" s="4"/>
      <c r="G700" s="4" t="str">
        <f>IF(ISBLANK(B700),,IFERROR(VLOOKUP(B700,CurrentRank!$B$2:$D$132,3,FALSE),130))</f>
        <v/>
      </c>
      <c r="H700" s="4"/>
      <c r="I700" s="4" t="str">
        <f>IF(ISBLANK(B700),,IFERROR(VLOOKUP(C700,CurrentRank!$B$2:$C$132,2,FALSE),0))</f>
        <v/>
      </c>
      <c r="J700" s="4"/>
      <c r="K700" s="4" t="str">
        <f>IF(ISBLANK(C700),,IFERROR(VLOOKUP(C700,CurrentRank!$B$2:$D$132,3,FALSE),130))</f>
        <v/>
      </c>
      <c r="L700" s="19" t="str">
        <f t="shared" si="279"/>
        <v/>
      </c>
      <c r="M700" s="19" t="str">
        <f t="shared" si="280"/>
        <v/>
      </c>
      <c r="N700" s="24" t="str">
        <f t="shared" si="276"/>
        <v/>
      </c>
      <c r="O700" s="21" t="str">
        <f t="shared" si="4"/>
        <v/>
      </c>
      <c r="P700" s="21" t="str">
        <f t="shared" si="282"/>
        <v/>
      </c>
      <c r="Q700" s="22" t="str">
        <f t="shared" si="6"/>
        <v/>
      </c>
      <c r="R700" s="25" t="str">
        <f t="shared" si="7"/>
        <v/>
      </c>
      <c r="S700" s="19" t="str">
        <f t="shared" si="8"/>
        <v/>
      </c>
      <c r="T700" s="19" t="str">
        <f t="shared" si="9"/>
        <v/>
      </c>
      <c r="U700" s="3"/>
      <c r="V700" s="4" t="str">
        <f>IF(ISBLANK(C700),,IFERROR(IF(VLOOKUP(B700,Standings!$A:$F, 6, 0)=VLOOKUP(C700,Standings!$A:$F, 6, 0), VLOOKUP(B700,Standings!$A:$F, 6, 0), "Non-con"), "FCS"))</f>
        <v/>
      </c>
      <c r="W700" s="3" t="str">
        <f t="shared" si="10"/>
        <v/>
      </c>
      <c r="X700" s="3" t="str">
        <f t="shared" si="11"/>
        <v/>
      </c>
      <c r="Y700" s="30" t="str">
        <f>IF(D700=0,,IF(ISBLANK(Q700),,VLOOKUP(X700,Week1,2,FALSE)/(VLOOKUP(X700,Week1,2,FALSE)+VLOOKUP(W700,Week1,2,FALSE)))*100)</f>
        <v/>
      </c>
      <c r="Z700" s="4"/>
      <c r="AA700" s="3"/>
      <c r="AB700" s="4" t="str">
        <f t="shared" si="20"/>
        <v/>
      </c>
      <c r="AC700" s="3"/>
      <c r="AD700" s="3"/>
      <c r="AE700" s="3" t="str">
        <f t="shared" si="13"/>
        <v/>
      </c>
      <c r="AF700" s="3"/>
      <c r="AG700" s="3" t="str">
        <f t="shared" si="133"/>
        <v/>
      </c>
      <c r="AH700" s="3"/>
      <c r="AI700" s="7"/>
      <c r="AJ700" s="4"/>
      <c r="AK700" s="7"/>
      <c r="AL700" s="7"/>
      <c r="AM700" s="7"/>
      <c r="AN700" s="7"/>
      <c r="AO700" s="7"/>
      <c r="AP700" s="7"/>
      <c r="AQ700" s="7"/>
      <c r="AR700" s="7"/>
      <c r="AS700" s="7"/>
      <c r="AT700" s="7"/>
      <c r="AU700" s="7"/>
      <c r="AV700" s="7"/>
      <c r="AW700" s="7"/>
      <c r="AX700" s="7"/>
    </row>
    <row r="701" ht="12.75" customHeight="1">
      <c r="A701" s="4"/>
      <c r="B701" s="4"/>
      <c r="C701" s="4"/>
      <c r="D701" s="4"/>
      <c r="E701" s="4" t="str">
        <f>IF(ISBLANK(B701),,IFERROR(VLOOKUP(B701,CurrentRank!$B$2:$C$132,2,FALSE),0))</f>
        <v/>
      </c>
      <c r="F701" s="4"/>
      <c r="G701" s="4" t="str">
        <f>IF(ISBLANK(B701),,IFERROR(VLOOKUP(B701,CurrentRank!$B$2:$D$132,3,FALSE),130))</f>
        <v/>
      </c>
      <c r="H701" s="4"/>
      <c r="I701" s="4" t="str">
        <f>IF(ISBLANK(B701),,IFERROR(VLOOKUP(C701,CurrentRank!$B$2:$C$132,2,FALSE),0))</f>
        <v/>
      </c>
      <c r="J701" s="4"/>
      <c r="K701" s="4" t="str">
        <f>IF(ISBLANK(C701),,IFERROR(VLOOKUP(C701,CurrentRank!$B$2:$D$132,3,FALSE),130))</f>
        <v/>
      </c>
      <c r="L701" s="19" t="str">
        <f t="shared" si="279"/>
        <v/>
      </c>
      <c r="M701" s="19" t="str">
        <f t="shared" si="280"/>
        <v/>
      </c>
      <c r="N701" s="24" t="str">
        <f t="shared" si="276"/>
        <v/>
      </c>
      <c r="O701" s="21" t="str">
        <f t="shared" si="4"/>
        <v/>
      </c>
      <c r="P701" s="21" t="str">
        <f t="shared" si="282"/>
        <v/>
      </c>
      <c r="Q701" s="22" t="str">
        <f t="shared" si="6"/>
        <v/>
      </c>
      <c r="R701" s="25" t="str">
        <f t="shared" si="7"/>
        <v/>
      </c>
      <c r="S701" s="19" t="str">
        <f t="shared" si="8"/>
        <v/>
      </c>
      <c r="T701" s="19" t="str">
        <f t="shared" si="9"/>
        <v/>
      </c>
      <c r="U701" s="3"/>
      <c r="V701" s="4" t="str">
        <f>IF(ISBLANK(C701),,IFERROR(IF(VLOOKUP(B701,Standings!$A:$F, 6, 0)=VLOOKUP(C701,Standings!$A:$F, 6, 0), VLOOKUP(B701,Standings!$A:$F, 6, 0), "Non-con"), "FCS"))</f>
        <v/>
      </c>
      <c r="W701" s="3" t="str">
        <f t="shared" si="10"/>
        <v/>
      </c>
      <c r="X701" s="3" t="str">
        <f t="shared" si="11"/>
        <v/>
      </c>
      <c r="Y701" s="30" t="str">
        <f>IF(D701=0,,IF(ISBLANK(Q701),,VLOOKUP(X701,Week1,2,FALSE)/(VLOOKUP(X701,Week1,2,FALSE)+VLOOKUP(W701,Week1,2,FALSE)))*100)</f>
        <v/>
      </c>
      <c r="Z701" s="4"/>
      <c r="AA701" s="3"/>
      <c r="AB701" s="4" t="str">
        <f t="shared" si="20"/>
        <v/>
      </c>
      <c r="AC701" s="3"/>
      <c r="AD701" s="3"/>
      <c r="AE701" s="3" t="str">
        <f t="shared" si="13"/>
        <v/>
      </c>
      <c r="AF701" s="3"/>
      <c r="AG701" s="3" t="str">
        <f t="shared" si="133"/>
        <v/>
      </c>
      <c r="AH701" s="3"/>
      <c r="AI701" s="7"/>
      <c r="AJ701" s="4"/>
      <c r="AK701" s="7"/>
      <c r="AL701" s="7"/>
      <c r="AM701" s="7"/>
      <c r="AN701" s="7"/>
      <c r="AO701" s="7"/>
      <c r="AP701" s="7"/>
      <c r="AQ701" s="7"/>
      <c r="AR701" s="7"/>
      <c r="AS701" s="7"/>
      <c r="AT701" s="7"/>
      <c r="AU701" s="7"/>
      <c r="AV701" s="7"/>
      <c r="AW701" s="7"/>
      <c r="AX701" s="7"/>
    </row>
    <row r="702" ht="12.75" customHeight="1">
      <c r="A702" s="4"/>
      <c r="B702" s="4"/>
      <c r="C702" s="4"/>
      <c r="D702" s="4"/>
      <c r="E702" s="4" t="str">
        <f>IF(ISBLANK(B702),,IFERROR(VLOOKUP(B702,CurrentRank!$B$2:$C$132,2,FALSE),0))</f>
        <v/>
      </c>
      <c r="F702" s="4"/>
      <c r="G702" s="4" t="str">
        <f>IF(ISBLANK(B702),,IFERROR(VLOOKUP(B702,CurrentRank!$B$2:$D$132,3,FALSE),130))</f>
        <v/>
      </c>
      <c r="H702" s="4"/>
      <c r="I702" s="4" t="str">
        <f>IF(ISBLANK(B702),,IFERROR(VLOOKUP(C702,CurrentRank!$B$2:$C$132,2,FALSE),0))</f>
        <v/>
      </c>
      <c r="J702" s="4"/>
      <c r="K702" s="4" t="str">
        <f>IF(ISBLANK(C702),,IFERROR(VLOOKUP(C702,CurrentRank!$B$2:$D$132,3,FALSE),130))</f>
        <v/>
      </c>
      <c r="L702" s="19" t="str">
        <f t="shared" si="279"/>
        <v/>
      </c>
      <c r="M702" s="19" t="str">
        <f t="shared" si="280"/>
        <v/>
      </c>
      <c r="N702" s="24" t="str">
        <f t="shared" si="276"/>
        <v/>
      </c>
      <c r="O702" s="21" t="str">
        <f t="shared" si="4"/>
        <v/>
      </c>
      <c r="P702" s="21" t="str">
        <f t="shared" si="282"/>
        <v/>
      </c>
      <c r="Q702" s="22" t="str">
        <f t="shared" si="6"/>
        <v/>
      </c>
      <c r="R702" s="25" t="str">
        <f t="shared" si="7"/>
        <v/>
      </c>
      <c r="S702" s="19" t="str">
        <f t="shared" si="8"/>
        <v/>
      </c>
      <c r="T702" s="19" t="str">
        <f t="shared" si="9"/>
        <v/>
      </c>
      <c r="U702" s="3"/>
      <c r="V702" s="4" t="str">
        <f>IF(ISBLANK(C702),,IFERROR(IF(VLOOKUP(B702,Standings!$A:$F, 6, 0)=VLOOKUP(C702,Standings!$A:$F, 6, 0), VLOOKUP(B702,Standings!$A:$F, 6, 0), "Non-con"), "FCS"))</f>
        <v/>
      </c>
      <c r="W702" s="3" t="str">
        <f t="shared" si="10"/>
        <v/>
      </c>
      <c r="X702" s="3" t="str">
        <f t="shared" si="11"/>
        <v/>
      </c>
      <c r="Y702" s="30" t="str">
        <f>IF(D702=0,,IF(ISBLANK(Q702),,VLOOKUP(X702,Week1,2,FALSE)/(VLOOKUP(X702,Week1,2,FALSE)+VLOOKUP(W702,Week1,2,FALSE)))*100)</f>
        <v/>
      </c>
      <c r="Z702" s="4"/>
      <c r="AA702" s="3"/>
      <c r="AB702" s="4" t="str">
        <f t="shared" si="20"/>
        <v/>
      </c>
      <c r="AC702" s="3"/>
      <c r="AD702" s="3"/>
      <c r="AE702" s="3" t="str">
        <f t="shared" si="13"/>
        <v/>
      </c>
      <c r="AF702" s="3"/>
      <c r="AG702" s="3" t="str">
        <f t="shared" si="133"/>
        <v/>
      </c>
      <c r="AH702" s="3"/>
      <c r="AI702" s="7"/>
      <c r="AJ702" s="4"/>
      <c r="AK702" s="7"/>
      <c r="AL702" s="7"/>
      <c r="AM702" s="7"/>
      <c r="AN702" s="7"/>
      <c r="AO702" s="7"/>
      <c r="AP702" s="7"/>
      <c r="AQ702" s="7"/>
      <c r="AR702" s="7"/>
      <c r="AS702" s="7"/>
      <c r="AT702" s="7"/>
      <c r="AU702" s="7"/>
      <c r="AV702" s="7"/>
      <c r="AW702" s="7"/>
      <c r="AX702" s="7"/>
    </row>
    <row r="703" ht="12.75" customHeight="1">
      <c r="A703" s="4"/>
      <c r="B703" s="4"/>
      <c r="C703" s="4"/>
      <c r="D703" s="4"/>
      <c r="E703" s="4" t="str">
        <f>IF(ISBLANK(B703),,IFERROR(VLOOKUP(B703,CurrentRank!$B$2:$C$132,2,FALSE),0))</f>
        <v/>
      </c>
      <c r="F703" s="4"/>
      <c r="G703" s="4" t="str">
        <f>IF(ISBLANK(B703),,IFERROR(VLOOKUP(B703,CurrentRank!$B$2:$D$132,3,FALSE),130))</f>
        <v/>
      </c>
      <c r="H703" s="4"/>
      <c r="I703" s="4" t="str">
        <f>IF(ISBLANK(B703),,IFERROR(VLOOKUP(C703,CurrentRank!$B$2:$C$132,2,FALSE),0))</f>
        <v/>
      </c>
      <c r="J703" s="4"/>
      <c r="K703" s="4" t="str">
        <f>IF(ISBLANK(C703),,IFERROR(VLOOKUP(C703,CurrentRank!$B$2:$D$132,3,FALSE),130))</f>
        <v/>
      </c>
      <c r="L703" s="19" t="str">
        <f t="shared" si="279"/>
        <v/>
      </c>
      <c r="M703" s="19" t="str">
        <f t="shared" si="280"/>
        <v/>
      </c>
      <c r="N703" s="24" t="str">
        <f t="shared" si="276"/>
        <v/>
      </c>
      <c r="O703" s="21" t="str">
        <f t="shared" si="4"/>
        <v/>
      </c>
      <c r="P703" s="21" t="str">
        <f t="shared" si="282"/>
        <v/>
      </c>
      <c r="Q703" s="22" t="str">
        <f t="shared" si="6"/>
        <v/>
      </c>
      <c r="R703" s="25" t="str">
        <f t="shared" si="7"/>
        <v/>
      </c>
      <c r="S703" s="19" t="str">
        <f t="shared" si="8"/>
        <v/>
      </c>
      <c r="T703" s="19" t="str">
        <f t="shared" si="9"/>
        <v/>
      </c>
      <c r="U703" s="3"/>
      <c r="V703" s="4" t="str">
        <f>IF(ISBLANK(C703),,IFERROR(IF(VLOOKUP(B703,Standings!$A:$F, 6, 0)=VLOOKUP(C703,Standings!$A:$F, 6, 0), VLOOKUP(B703,Standings!$A:$F, 6, 0), "Non-con"), "FCS"))</f>
        <v/>
      </c>
      <c r="W703" s="3" t="str">
        <f t="shared" si="10"/>
        <v/>
      </c>
      <c r="X703" s="3" t="str">
        <f t="shared" si="11"/>
        <v/>
      </c>
      <c r="Y703" s="30" t="str">
        <f>IF(D703=0,,IF(ISBLANK(Q703),,VLOOKUP(X703,Week1,2,FALSE)/(VLOOKUP(X703,Week1,2,FALSE)+VLOOKUP(W703,Week1,2,FALSE)))*100)</f>
        <v/>
      </c>
      <c r="Z703" s="4"/>
      <c r="AA703" s="3"/>
      <c r="AB703" s="4" t="str">
        <f t="shared" si="20"/>
        <v/>
      </c>
      <c r="AC703" s="3"/>
      <c r="AD703" s="3"/>
      <c r="AE703" s="3" t="str">
        <f t="shared" si="13"/>
        <v/>
      </c>
      <c r="AF703" s="3"/>
      <c r="AG703" s="3" t="str">
        <f t="shared" si="133"/>
        <v/>
      </c>
      <c r="AH703" s="3"/>
      <c r="AI703" s="7"/>
      <c r="AJ703" s="4"/>
      <c r="AK703" s="7"/>
      <c r="AL703" s="7"/>
      <c r="AM703" s="7"/>
      <c r="AN703" s="7"/>
      <c r="AO703" s="7"/>
      <c r="AP703" s="7"/>
      <c r="AQ703" s="7"/>
      <c r="AR703" s="7"/>
      <c r="AS703" s="7"/>
      <c r="AT703" s="7"/>
      <c r="AU703" s="7"/>
      <c r="AV703" s="7"/>
      <c r="AW703" s="7"/>
      <c r="AX703" s="7"/>
    </row>
    <row r="704" ht="12.75" customHeight="1">
      <c r="A704" s="4"/>
      <c r="B704" s="4"/>
      <c r="C704" s="4"/>
      <c r="D704" s="4"/>
      <c r="E704" s="4" t="str">
        <f>IF(ISBLANK(B704),,IFERROR(VLOOKUP(B704,CurrentRank!$B$2:$C$132,2,FALSE),0))</f>
        <v/>
      </c>
      <c r="F704" s="4"/>
      <c r="G704" s="4" t="str">
        <f>IF(ISBLANK(B704),,IFERROR(VLOOKUP(B704,CurrentRank!$B$2:$D$132,3,FALSE),130))</f>
        <v/>
      </c>
      <c r="H704" s="4"/>
      <c r="I704" s="4" t="str">
        <f>IF(ISBLANK(B704),,IFERROR(VLOOKUP(C704,CurrentRank!$B$2:$C$132,2,FALSE),0))</f>
        <v/>
      </c>
      <c r="J704" s="4"/>
      <c r="K704" s="4" t="str">
        <f>IF(ISBLANK(C704),,IFERROR(VLOOKUP(C704,CurrentRank!$B$2:$D$132,3,FALSE),130))</f>
        <v/>
      </c>
      <c r="L704" s="19" t="str">
        <f t="shared" si="279"/>
        <v/>
      </c>
      <c r="M704" s="19" t="str">
        <f t="shared" si="280"/>
        <v/>
      </c>
      <c r="N704" s="24" t="str">
        <f t="shared" si="276"/>
        <v/>
      </c>
      <c r="O704" s="21" t="str">
        <f t="shared" si="4"/>
        <v/>
      </c>
      <c r="P704" s="21" t="str">
        <f t="shared" si="282"/>
        <v/>
      </c>
      <c r="Q704" s="22" t="str">
        <f t="shared" si="6"/>
        <v/>
      </c>
      <c r="R704" s="25" t="str">
        <f t="shared" si="7"/>
        <v/>
      </c>
      <c r="S704" s="19" t="str">
        <f t="shared" si="8"/>
        <v/>
      </c>
      <c r="T704" s="19" t="str">
        <f t="shared" si="9"/>
        <v/>
      </c>
      <c r="U704" s="3"/>
      <c r="V704" s="4" t="str">
        <f>IF(ISBLANK(C704),,IFERROR(IF(VLOOKUP(B704,Standings!$A:$F, 6, 0)=VLOOKUP(C704,Standings!$A:$F, 6, 0), VLOOKUP(B704,Standings!$A:$F, 6, 0), "Non-con"), "FCS"))</f>
        <v/>
      </c>
      <c r="W704" s="3" t="str">
        <f t="shared" si="10"/>
        <v/>
      </c>
      <c r="X704" s="3" t="str">
        <f t="shared" si="11"/>
        <v/>
      </c>
      <c r="Y704" s="30" t="str">
        <f>IF(D704=0,,IF(ISBLANK(Q704),,VLOOKUP(X704,Week1,2,FALSE)/(VLOOKUP(X704,Week1,2,FALSE)+VLOOKUP(W704,Week1,2,FALSE)))*100)</f>
        <v/>
      </c>
      <c r="Z704" s="4"/>
      <c r="AA704" s="3"/>
      <c r="AB704" s="4" t="str">
        <f t="shared" si="20"/>
        <v/>
      </c>
      <c r="AC704" s="3"/>
      <c r="AD704" s="3"/>
      <c r="AE704" s="3" t="str">
        <f t="shared" si="13"/>
        <v/>
      </c>
      <c r="AF704" s="3"/>
      <c r="AG704" s="3" t="str">
        <f t="shared" si="133"/>
        <v/>
      </c>
      <c r="AH704" s="3"/>
      <c r="AI704" s="7"/>
      <c r="AJ704" s="4"/>
      <c r="AK704" s="7"/>
      <c r="AL704" s="7"/>
      <c r="AM704" s="7"/>
      <c r="AN704" s="7"/>
      <c r="AO704" s="7"/>
      <c r="AP704" s="7"/>
      <c r="AQ704" s="7"/>
      <c r="AR704" s="7"/>
      <c r="AS704" s="7"/>
      <c r="AT704" s="7"/>
      <c r="AU704" s="7"/>
      <c r="AV704" s="7"/>
      <c r="AW704" s="7"/>
      <c r="AX704" s="7"/>
    </row>
    <row r="705" ht="12.75" customHeight="1">
      <c r="A705" s="4"/>
      <c r="B705" s="4"/>
      <c r="C705" s="4"/>
      <c r="D705" s="4"/>
      <c r="E705" s="4" t="str">
        <f>IF(ISBLANK(B705),,IFERROR(VLOOKUP(B705,CurrentRank!$B$2:$C$132,2,FALSE),0))</f>
        <v/>
      </c>
      <c r="F705" s="4"/>
      <c r="G705" s="4" t="str">
        <f>IF(ISBLANK(B705),,IFERROR(VLOOKUP(B705,CurrentRank!$B$2:$D$132,3,FALSE),130))</f>
        <v/>
      </c>
      <c r="H705" s="4"/>
      <c r="I705" s="4" t="str">
        <f>IF(ISBLANK(B705),,IFERROR(VLOOKUP(C705,CurrentRank!$B$2:$C$132,2,FALSE),0))</f>
        <v/>
      </c>
      <c r="J705" s="4"/>
      <c r="K705" s="4" t="str">
        <f>IF(ISBLANK(C705),,IFERROR(VLOOKUP(C705,CurrentRank!$B$2:$D$132,3,FALSE),130))</f>
        <v/>
      </c>
      <c r="L705" s="19" t="str">
        <f t="shared" si="279"/>
        <v/>
      </c>
      <c r="M705" s="19" t="str">
        <f t="shared" si="280"/>
        <v/>
      </c>
      <c r="N705" s="24" t="str">
        <f t="shared" si="276"/>
        <v/>
      </c>
      <c r="O705" s="21" t="str">
        <f t="shared" si="4"/>
        <v/>
      </c>
      <c r="P705" s="21" t="str">
        <f t="shared" si="282"/>
        <v/>
      </c>
      <c r="Q705" s="22" t="str">
        <f t="shared" si="6"/>
        <v/>
      </c>
      <c r="R705" s="25" t="str">
        <f t="shared" si="7"/>
        <v/>
      </c>
      <c r="S705" s="19" t="str">
        <f t="shared" si="8"/>
        <v/>
      </c>
      <c r="T705" s="19" t="str">
        <f t="shared" si="9"/>
        <v/>
      </c>
      <c r="U705" s="3"/>
      <c r="V705" s="4" t="str">
        <f>IF(ISBLANK(C705),,IFERROR(IF(VLOOKUP(B705,Standings!$A:$F, 6, 0)=VLOOKUP(C705,Standings!$A:$F, 6, 0), VLOOKUP(B705,Standings!$A:$F, 6, 0), "Non-con"), "FCS"))</f>
        <v/>
      </c>
      <c r="W705" s="3" t="str">
        <f t="shared" si="10"/>
        <v/>
      </c>
      <c r="X705" s="3" t="str">
        <f t="shared" si="11"/>
        <v/>
      </c>
      <c r="Y705" s="30" t="str">
        <f>IF(D705=0,,IF(ISBLANK(Q705),,VLOOKUP(X705,Week1,2,FALSE)/(VLOOKUP(X705,Week1,2,FALSE)+VLOOKUP(W705,Week1,2,FALSE)))*100)</f>
        <v/>
      </c>
      <c r="Z705" s="4"/>
      <c r="AA705" s="3"/>
      <c r="AB705" s="4" t="str">
        <f t="shared" si="20"/>
        <v/>
      </c>
      <c r="AC705" s="3"/>
      <c r="AD705" s="3"/>
      <c r="AE705" s="3" t="str">
        <f t="shared" si="13"/>
        <v/>
      </c>
      <c r="AF705" s="3"/>
      <c r="AG705" s="3" t="str">
        <f t="shared" si="133"/>
        <v/>
      </c>
      <c r="AH705" s="3"/>
      <c r="AI705" s="7"/>
      <c r="AJ705" s="4"/>
      <c r="AK705" s="7"/>
      <c r="AL705" s="7"/>
      <c r="AM705" s="7"/>
      <c r="AN705" s="7"/>
      <c r="AO705" s="7"/>
      <c r="AP705" s="7"/>
      <c r="AQ705" s="7"/>
      <c r="AR705" s="7"/>
      <c r="AS705" s="7"/>
      <c r="AT705" s="7"/>
      <c r="AU705" s="7"/>
      <c r="AV705" s="7"/>
      <c r="AW705" s="7"/>
      <c r="AX705" s="7"/>
    </row>
    <row r="706" ht="12.75" customHeight="1">
      <c r="A706" s="4"/>
      <c r="B706" s="4"/>
      <c r="C706" s="4"/>
      <c r="D706" s="4"/>
      <c r="E706" s="4" t="str">
        <f>IF(ISBLANK(B706),,IFERROR(VLOOKUP(B706,CurrentRank!$B$2:$C$132,2,FALSE),0))</f>
        <v/>
      </c>
      <c r="F706" s="4"/>
      <c r="G706" s="4" t="str">
        <f>IF(ISBLANK(B706),,IFERROR(VLOOKUP(B706,CurrentRank!$B$2:$D$132,3,FALSE),130))</f>
        <v/>
      </c>
      <c r="H706" s="4"/>
      <c r="I706" s="4" t="str">
        <f>IF(ISBLANK(B706),,IFERROR(VLOOKUP(C706,CurrentRank!$B$2:$C$132,2,FALSE),0))</f>
        <v/>
      </c>
      <c r="J706" s="4"/>
      <c r="K706" s="4" t="str">
        <f>IF(ISBLANK(C706),,IFERROR(VLOOKUP(C706,CurrentRank!$B$2:$D$132,3,FALSE),130))</f>
        <v/>
      </c>
      <c r="L706" s="19" t="str">
        <f t="shared" si="279"/>
        <v/>
      </c>
      <c r="M706" s="19" t="str">
        <f t="shared" si="280"/>
        <v/>
      </c>
      <c r="N706" s="24" t="str">
        <f t="shared" si="276"/>
        <v/>
      </c>
      <c r="O706" s="21" t="str">
        <f t="shared" si="4"/>
        <v/>
      </c>
      <c r="P706" s="21" t="str">
        <f t="shared" si="282"/>
        <v/>
      </c>
      <c r="Q706" s="22" t="str">
        <f t="shared" si="6"/>
        <v/>
      </c>
      <c r="R706" s="25" t="str">
        <f t="shared" si="7"/>
        <v/>
      </c>
      <c r="S706" s="19" t="str">
        <f t="shared" si="8"/>
        <v/>
      </c>
      <c r="T706" s="19" t="str">
        <f t="shared" si="9"/>
        <v/>
      </c>
      <c r="U706" s="3"/>
      <c r="V706" s="4" t="str">
        <f>IF(ISBLANK(C706),,IFERROR(IF(VLOOKUP(B706,Standings!$A:$F, 6, 0)=VLOOKUP(C706,Standings!$A:$F, 6, 0), VLOOKUP(B706,Standings!$A:$F, 6, 0), "Non-con"), "FCS"))</f>
        <v/>
      </c>
      <c r="W706" s="3" t="str">
        <f t="shared" si="10"/>
        <v/>
      </c>
      <c r="X706" s="3" t="str">
        <f t="shared" si="11"/>
        <v/>
      </c>
      <c r="Y706" s="30" t="str">
        <f>IF(D706=0,,IF(ISBLANK(Q706),,VLOOKUP(X706,Week1,2,FALSE)/(VLOOKUP(X706,Week1,2,FALSE)+VLOOKUP(W706,Week1,2,FALSE)))*100)</f>
        <v/>
      </c>
      <c r="Z706" s="4"/>
      <c r="AA706" s="3"/>
      <c r="AB706" s="4" t="str">
        <f t="shared" si="20"/>
        <v/>
      </c>
      <c r="AC706" s="3"/>
      <c r="AD706" s="3"/>
      <c r="AE706" s="3" t="str">
        <f t="shared" si="13"/>
        <v/>
      </c>
      <c r="AF706" s="3"/>
      <c r="AG706" s="3" t="str">
        <f t="shared" si="133"/>
        <v/>
      </c>
      <c r="AH706" s="3"/>
      <c r="AI706" s="7"/>
      <c r="AJ706" s="4"/>
      <c r="AK706" s="7"/>
      <c r="AL706" s="7"/>
      <c r="AM706" s="7"/>
      <c r="AN706" s="7"/>
      <c r="AO706" s="7"/>
      <c r="AP706" s="7"/>
      <c r="AQ706" s="7"/>
      <c r="AR706" s="7"/>
      <c r="AS706" s="7"/>
      <c r="AT706" s="7"/>
      <c r="AU706" s="7"/>
      <c r="AV706" s="7"/>
      <c r="AW706" s="7"/>
      <c r="AX706" s="7"/>
    </row>
    <row r="707" ht="12.75" customHeight="1">
      <c r="A707" s="4"/>
      <c r="B707" s="4"/>
      <c r="C707" s="4"/>
      <c r="D707" s="4"/>
      <c r="E707" s="4" t="str">
        <f>IF(ISBLANK(B707),,IFERROR(VLOOKUP(B707,CurrentRank!$B$2:$C$132,2,FALSE),0))</f>
        <v/>
      </c>
      <c r="F707" s="4"/>
      <c r="G707" s="4" t="str">
        <f>IF(ISBLANK(B707),,IFERROR(VLOOKUP(B707,CurrentRank!$B$2:$D$132,3,FALSE),130))</f>
        <v/>
      </c>
      <c r="H707" s="4"/>
      <c r="I707" s="4" t="str">
        <f>IF(ISBLANK(B707),,IFERROR(VLOOKUP(C707,CurrentRank!$B$2:$C$132,2,FALSE),0))</f>
        <v/>
      </c>
      <c r="J707" s="4"/>
      <c r="K707" s="4" t="str">
        <f>IF(ISBLANK(C707),,IFERROR(VLOOKUP(C707,CurrentRank!$B$2:$D$132,3,FALSE),130))</f>
        <v/>
      </c>
      <c r="L707" s="19" t="str">
        <f t="shared" si="279"/>
        <v/>
      </c>
      <c r="M707" s="19" t="str">
        <f t="shared" si="280"/>
        <v/>
      </c>
      <c r="N707" s="24" t="str">
        <f t="shared" si="276"/>
        <v/>
      </c>
      <c r="O707" s="21" t="str">
        <f t="shared" si="4"/>
        <v/>
      </c>
      <c r="P707" s="21" t="str">
        <f t="shared" si="282"/>
        <v/>
      </c>
      <c r="Q707" s="22" t="str">
        <f t="shared" si="6"/>
        <v/>
      </c>
      <c r="R707" s="25" t="str">
        <f t="shared" si="7"/>
        <v/>
      </c>
      <c r="S707" s="19" t="str">
        <f t="shared" si="8"/>
        <v/>
      </c>
      <c r="T707" s="19" t="str">
        <f t="shared" si="9"/>
        <v/>
      </c>
      <c r="U707" s="3"/>
      <c r="V707" s="4" t="str">
        <f>IF(ISBLANK(C707),,IFERROR(IF(VLOOKUP(B707,Standings!$A:$F, 6, 0)=VLOOKUP(C707,Standings!$A:$F, 6, 0), VLOOKUP(B707,Standings!$A:$F, 6, 0), "Non-con"), "FCS"))</f>
        <v/>
      </c>
      <c r="W707" s="3" t="str">
        <f t="shared" si="10"/>
        <v/>
      </c>
      <c r="X707" s="3" t="str">
        <f t="shared" si="11"/>
        <v/>
      </c>
      <c r="Y707" s="30" t="str">
        <f>IF(D707=0,,IF(ISBLANK(Q707),,VLOOKUP(X707,Week1,2,FALSE)/(VLOOKUP(X707,Week1,2,FALSE)+VLOOKUP(W707,Week1,2,FALSE)))*100)</f>
        <v/>
      </c>
      <c r="Z707" s="4"/>
      <c r="AA707" s="3"/>
      <c r="AB707" s="4" t="str">
        <f t="shared" si="20"/>
        <v/>
      </c>
      <c r="AC707" s="3"/>
      <c r="AD707" s="3"/>
      <c r="AE707" s="3" t="str">
        <f t="shared" si="13"/>
        <v/>
      </c>
      <c r="AF707" s="3"/>
      <c r="AG707" s="3" t="str">
        <f t="shared" si="133"/>
        <v/>
      </c>
      <c r="AH707" s="3"/>
      <c r="AI707" s="7"/>
      <c r="AJ707" s="4"/>
      <c r="AK707" s="7"/>
      <c r="AL707" s="7"/>
      <c r="AM707" s="7"/>
      <c r="AN707" s="7"/>
      <c r="AO707" s="7"/>
      <c r="AP707" s="7"/>
      <c r="AQ707" s="7"/>
      <c r="AR707" s="7"/>
      <c r="AS707" s="7"/>
      <c r="AT707" s="7"/>
      <c r="AU707" s="7"/>
      <c r="AV707" s="7"/>
      <c r="AW707" s="7"/>
      <c r="AX707" s="7"/>
    </row>
    <row r="708" ht="12.75" customHeight="1">
      <c r="A708" s="4"/>
      <c r="B708" s="4"/>
      <c r="C708" s="4"/>
      <c r="D708" s="4"/>
      <c r="E708" s="4" t="str">
        <f>IF(ISBLANK(B708),,IFERROR(VLOOKUP(B708,CurrentRank!$B$2:$C$132,2,FALSE),0))</f>
        <v/>
      </c>
      <c r="F708" s="4"/>
      <c r="G708" s="4" t="str">
        <f>IF(ISBLANK(B708),,IFERROR(VLOOKUP(B708,CurrentRank!$B$2:$D$132,3,FALSE),130))</f>
        <v/>
      </c>
      <c r="H708" s="4"/>
      <c r="I708" s="4" t="str">
        <f>IF(ISBLANK(B708),,IFERROR(VLOOKUP(C708,CurrentRank!$B$2:$C$132,2,FALSE),0))</f>
        <v/>
      </c>
      <c r="J708" s="4"/>
      <c r="K708" s="4" t="str">
        <f>IF(ISBLANK(C708),,IFERROR(VLOOKUP(C708,CurrentRank!$B$2:$D$132,3,FALSE),130))</f>
        <v/>
      </c>
      <c r="L708" s="19" t="str">
        <f t="shared" si="279"/>
        <v/>
      </c>
      <c r="M708" s="19" t="str">
        <f t="shared" si="280"/>
        <v/>
      </c>
      <c r="N708" s="24" t="str">
        <f t="shared" si="276"/>
        <v/>
      </c>
      <c r="O708" s="21" t="str">
        <f t="shared" si="4"/>
        <v/>
      </c>
      <c r="P708" s="21" t="str">
        <f t="shared" si="282"/>
        <v/>
      </c>
      <c r="Q708" s="22" t="str">
        <f t="shared" si="6"/>
        <v/>
      </c>
      <c r="R708" s="25" t="str">
        <f t="shared" si="7"/>
        <v/>
      </c>
      <c r="S708" s="19" t="str">
        <f t="shared" si="8"/>
        <v/>
      </c>
      <c r="T708" s="19" t="str">
        <f t="shared" si="9"/>
        <v/>
      </c>
      <c r="U708" s="3"/>
      <c r="V708" s="4" t="str">
        <f>IF(ISBLANK(C708),,IFERROR(IF(VLOOKUP(B708,Standings!$A:$F, 6, 0)=VLOOKUP(C708,Standings!$A:$F, 6, 0), VLOOKUP(B708,Standings!$A:$F, 6, 0), "Non-con"), "FCS"))</f>
        <v/>
      </c>
      <c r="W708" s="3" t="str">
        <f t="shared" si="10"/>
        <v/>
      </c>
      <c r="X708" s="3" t="str">
        <f t="shared" si="11"/>
        <v/>
      </c>
      <c r="Y708" s="30" t="str">
        <f>IF(D708=0,,IF(ISBLANK(Q708),,VLOOKUP(X708,Week1,2,FALSE)/(VLOOKUP(X708,Week1,2,FALSE)+VLOOKUP(W708,Week1,2,FALSE)))*100)</f>
        <v/>
      </c>
      <c r="Z708" s="4"/>
      <c r="AA708" s="3"/>
      <c r="AB708" s="4" t="str">
        <f t="shared" si="20"/>
        <v/>
      </c>
      <c r="AC708" s="3"/>
      <c r="AD708" s="3"/>
      <c r="AE708" s="3" t="str">
        <f t="shared" si="13"/>
        <v/>
      </c>
      <c r="AF708" s="3"/>
      <c r="AG708" s="3" t="str">
        <f t="shared" si="133"/>
        <v/>
      </c>
      <c r="AH708" s="3"/>
      <c r="AI708" s="7"/>
      <c r="AJ708" s="4"/>
      <c r="AK708" s="7"/>
      <c r="AL708" s="7"/>
      <c r="AM708" s="7"/>
      <c r="AN708" s="7"/>
      <c r="AO708" s="7"/>
      <c r="AP708" s="7"/>
      <c r="AQ708" s="7"/>
      <c r="AR708" s="7"/>
      <c r="AS708" s="7"/>
      <c r="AT708" s="7"/>
      <c r="AU708" s="7"/>
      <c r="AV708" s="7"/>
      <c r="AW708" s="7"/>
      <c r="AX708" s="7"/>
    </row>
    <row r="709" ht="12.75" customHeight="1">
      <c r="A709" s="4"/>
      <c r="B709" s="4"/>
      <c r="C709" s="4"/>
      <c r="D709" s="4"/>
      <c r="E709" s="4" t="str">
        <f>IF(ISBLANK(B709),,IFERROR(VLOOKUP(B709,CurrentRank!$B$2:$C$132,2,FALSE),0))</f>
        <v/>
      </c>
      <c r="F709" s="4"/>
      <c r="G709" s="4" t="str">
        <f>IF(ISBLANK(B709),,IFERROR(VLOOKUP(B709,CurrentRank!$B$2:$D$132,3,FALSE),130))</f>
        <v/>
      </c>
      <c r="H709" s="4"/>
      <c r="I709" s="4" t="str">
        <f>IF(ISBLANK(B709),,IFERROR(VLOOKUP(C709,CurrentRank!$B$2:$C$132,2,FALSE),0))</f>
        <v/>
      </c>
      <c r="J709" s="4"/>
      <c r="K709" s="4" t="str">
        <f>IF(ISBLANK(C709),,IFERROR(VLOOKUP(C709,CurrentRank!$B$2:$D$132,3,FALSE),130))</f>
        <v/>
      </c>
      <c r="L709" s="19" t="str">
        <f t="shared" si="279"/>
        <v/>
      </c>
      <c r="M709" s="19" t="str">
        <f t="shared" si="280"/>
        <v/>
      </c>
      <c r="N709" s="24" t="str">
        <f t="shared" si="276"/>
        <v/>
      </c>
      <c r="O709" s="21" t="str">
        <f t="shared" si="4"/>
        <v/>
      </c>
      <c r="P709" s="21" t="str">
        <f t="shared" si="282"/>
        <v/>
      </c>
      <c r="Q709" s="22" t="str">
        <f t="shared" si="6"/>
        <v/>
      </c>
      <c r="R709" s="25" t="str">
        <f t="shared" si="7"/>
        <v/>
      </c>
      <c r="S709" s="19" t="str">
        <f t="shared" si="8"/>
        <v/>
      </c>
      <c r="T709" s="19" t="str">
        <f t="shared" si="9"/>
        <v/>
      </c>
      <c r="U709" s="3"/>
      <c r="V709" s="4" t="str">
        <f>IF(ISBLANK(C709),,IFERROR(IF(VLOOKUP(B709,Standings!$A:$F, 6, 0)=VLOOKUP(C709,Standings!$A:$F, 6, 0), VLOOKUP(B709,Standings!$A:$F, 6, 0), "Non-con"), "FCS"))</f>
        <v/>
      </c>
      <c r="W709" s="3" t="str">
        <f t="shared" si="10"/>
        <v/>
      </c>
      <c r="X709" s="3" t="str">
        <f t="shared" si="11"/>
        <v/>
      </c>
      <c r="Y709" s="30" t="str">
        <f>IF(D709=0,,IF(ISBLANK(Q709),,VLOOKUP(X709,Week1,2,FALSE)/(VLOOKUP(X709,Week1,2,FALSE)+VLOOKUP(W709,Week1,2,FALSE)))*100)</f>
        <v/>
      </c>
      <c r="Z709" s="4"/>
      <c r="AA709" s="3"/>
      <c r="AB709" s="4" t="str">
        <f t="shared" si="20"/>
        <v/>
      </c>
      <c r="AC709" s="3"/>
      <c r="AD709" s="3"/>
      <c r="AE709" s="3" t="str">
        <f t="shared" si="13"/>
        <v/>
      </c>
      <c r="AF709" s="3"/>
      <c r="AG709" s="3" t="str">
        <f t="shared" si="133"/>
        <v/>
      </c>
      <c r="AH709" s="3"/>
      <c r="AI709" s="7"/>
      <c r="AJ709" s="4"/>
      <c r="AK709" s="7"/>
      <c r="AL709" s="7"/>
      <c r="AM709" s="7"/>
      <c r="AN709" s="7"/>
      <c r="AO709" s="7"/>
      <c r="AP709" s="7"/>
      <c r="AQ709" s="7"/>
      <c r="AR709" s="7"/>
      <c r="AS709" s="7"/>
      <c r="AT709" s="7"/>
      <c r="AU709" s="7"/>
      <c r="AV709" s="7"/>
      <c r="AW709" s="7"/>
      <c r="AX709" s="7"/>
    </row>
    <row r="710" ht="12.75" customHeight="1">
      <c r="A710" s="4"/>
      <c r="B710" s="4"/>
      <c r="C710" s="4"/>
      <c r="D710" s="4"/>
      <c r="E710" s="4" t="str">
        <f>IF(ISBLANK(B710),,IFERROR(VLOOKUP(B710,CurrentRank!$B$2:$C$132,2,FALSE),0))</f>
        <v/>
      </c>
      <c r="F710" s="4"/>
      <c r="G710" s="4" t="str">
        <f>IF(ISBLANK(B710),,IFERROR(VLOOKUP(B710,CurrentRank!$B$2:$D$132,3,FALSE),130))</f>
        <v/>
      </c>
      <c r="H710" s="4"/>
      <c r="I710" s="4" t="str">
        <f>IF(ISBLANK(B710),,IFERROR(VLOOKUP(C710,CurrentRank!$B$2:$C$132,2,FALSE),0))</f>
        <v/>
      </c>
      <c r="J710" s="4"/>
      <c r="K710" s="4" t="str">
        <f>IF(ISBLANK(C710),,IFERROR(VLOOKUP(C710,CurrentRank!$B$2:$D$132,3,FALSE),130))</f>
        <v/>
      </c>
      <c r="L710" s="19" t="str">
        <f t="shared" si="279"/>
        <v/>
      </c>
      <c r="M710" s="19" t="str">
        <f t="shared" si="280"/>
        <v/>
      </c>
      <c r="N710" s="24" t="str">
        <f t="shared" si="276"/>
        <v/>
      </c>
      <c r="O710" s="21" t="str">
        <f t="shared" si="4"/>
        <v/>
      </c>
      <c r="P710" s="21" t="str">
        <f t="shared" si="282"/>
        <v/>
      </c>
      <c r="Q710" s="22" t="str">
        <f t="shared" si="6"/>
        <v/>
      </c>
      <c r="R710" s="25" t="str">
        <f t="shared" si="7"/>
        <v/>
      </c>
      <c r="S710" s="19" t="str">
        <f t="shared" si="8"/>
        <v/>
      </c>
      <c r="T710" s="19" t="str">
        <f t="shared" si="9"/>
        <v/>
      </c>
      <c r="U710" s="3"/>
      <c r="V710" s="4" t="str">
        <f>IF(ISBLANK(C710),,IFERROR(IF(VLOOKUP(B710,Standings!$A:$F, 6, 0)=VLOOKUP(C710,Standings!$A:$F, 6, 0), VLOOKUP(B710,Standings!$A:$F, 6, 0), "Non-con"), "FCS"))</f>
        <v/>
      </c>
      <c r="W710" s="3" t="str">
        <f t="shared" si="10"/>
        <v/>
      </c>
      <c r="X710" s="3" t="str">
        <f t="shared" si="11"/>
        <v/>
      </c>
      <c r="Y710" s="30" t="str">
        <f>IF(D710=0,,IF(ISBLANK(Q710),,VLOOKUP(X710,Week1,2,FALSE)/(VLOOKUP(X710,Week1,2,FALSE)+VLOOKUP(W710,Week1,2,FALSE)))*100)</f>
        <v/>
      </c>
      <c r="Z710" s="4"/>
      <c r="AA710" s="3"/>
      <c r="AB710" s="4" t="str">
        <f t="shared" si="20"/>
        <v/>
      </c>
      <c r="AC710" s="3"/>
      <c r="AD710" s="3"/>
      <c r="AE710" s="3" t="str">
        <f t="shared" si="13"/>
        <v/>
      </c>
      <c r="AF710" s="3"/>
      <c r="AG710" s="3" t="str">
        <f t="shared" si="133"/>
        <v/>
      </c>
      <c r="AH710" s="3"/>
      <c r="AI710" s="7"/>
      <c r="AJ710" s="4"/>
      <c r="AK710" s="7"/>
      <c r="AL710" s="7"/>
      <c r="AM710" s="7"/>
      <c r="AN710" s="7"/>
      <c r="AO710" s="7"/>
      <c r="AP710" s="7"/>
      <c r="AQ710" s="7"/>
      <c r="AR710" s="7"/>
      <c r="AS710" s="7"/>
      <c r="AT710" s="7"/>
      <c r="AU710" s="7"/>
      <c r="AV710" s="7"/>
      <c r="AW710" s="7"/>
      <c r="AX710" s="7"/>
    </row>
    <row r="711" ht="12.75" customHeight="1">
      <c r="A711" s="4"/>
      <c r="B711" s="4"/>
      <c r="C711" s="4"/>
      <c r="D711" s="4"/>
      <c r="E711" s="4" t="str">
        <f>IF(ISBLANK(B711),,IFERROR(VLOOKUP(B711,CurrentRank!$B$2:$C$132,2,FALSE),0))</f>
        <v/>
      </c>
      <c r="F711" s="4"/>
      <c r="G711" s="4" t="str">
        <f>IF(ISBLANK(B711),,IFERROR(VLOOKUP(B711,CurrentRank!$B$2:$D$132,3,FALSE),130))</f>
        <v/>
      </c>
      <c r="H711" s="4"/>
      <c r="I711" s="4" t="str">
        <f>IF(ISBLANK(B711),,IFERROR(VLOOKUP(C711,CurrentRank!$B$2:$C$132,2,FALSE),0))</f>
        <v/>
      </c>
      <c r="J711" s="4"/>
      <c r="K711" s="4" t="str">
        <f>IF(ISBLANK(C711),,IFERROR(VLOOKUP(C711,CurrentRank!$B$2:$D$132,3,FALSE),130))</f>
        <v/>
      </c>
      <c r="L711" s="19" t="str">
        <f t="shared" si="279"/>
        <v/>
      </c>
      <c r="M711" s="19" t="str">
        <f t="shared" si="280"/>
        <v/>
      </c>
      <c r="N711" s="24" t="str">
        <f t="shared" si="276"/>
        <v/>
      </c>
      <c r="O711" s="21" t="str">
        <f t="shared" si="4"/>
        <v/>
      </c>
      <c r="P711" s="21" t="str">
        <f t="shared" si="282"/>
        <v/>
      </c>
      <c r="Q711" s="22" t="str">
        <f t="shared" si="6"/>
        <v/>
      </c>
      <c r="R711" s="25" t="str">
        <f t="shared" si="7"/>
        <v/>
      </c>
      <c r="S711" s="19" t="str">
        <f t="shared" si="8"/>
        <v/>
      </c>
      <c r="T711" s="19" t="str">
        <f t="shared" si="9"/>
        <v/>
      </c>
      <c r="U711" s="3"/>
      <c r="V711" s="4" t="str">
        <f>IF(ISBLANK(C711),,IFERROR(IF(VLOOKUP(B711,Standings!$A:$F, 6, 0)=VLOOKUP(C711,Standings!$A:$F, 6, 0), VLOOKUP(B711,Standings!$A:$F, 6, 0), "Non-con"), "FCS"))</f>
        <v/>
      </c>
      <c r="W711" s="3" t="str">
        <f t="shared" si="10"/>
        <v/>
      </c>
      <c r="X711" s="3" t="str">
        <f t="shared" si="11"/>
        <v/>
      </c>
      <c r="Y711" s="30" t="str">
        <f>IF(D711=0,,IF(ISBLANK(Q711),,VLOOKUP(X711,Week1,2,FALSE)/(VLOOKUP(X711,Week1,2,FALSE)+VLOOKUP(W711,Week1,2,FALSE)))*100)</f>
        <v/>
      </c>
      <c r="Z711" s="4"/>
      <c r="AA711" s="3"/>
      <c r="AB711" s="4" t="str">
        <f t="shared" si="20"/>
        <v/>
      </c>
      <c r="AC711" s="3"/>
      <c r="AD711" s="3"/>
      <c r="AE711" s="3" t="str">
        <f t="shared" si="13"/>
        <v/>
      </c>
      <c r="AF711" s="3"/>
      <c r="AG711" s="3" t="str">
        <f t="shared" si="133"/>
        <v/>
      </c>
      <c r="AH711" s="3"/>
      <c r="AI711" s="7"/>
      <c r="AJ711" s="4"/>
      <c r="AK711" s="7"/>
      <c r="AL711" s="7"/>
      <c r="AM711" s="7"/>
      <c r="AN711" s="7"/>
      <c r="AO711" s="7"/>
      <c r="AP711" s="7"/>
      <c r="AQ711" s="7"/>
      <c r="AR711" s="7"/>
      <c r="AS711" s="7"/>
      <c r="AT711" s="7"/>
      <c r="AU711" s="7"/>
      <c r="AV711" s="7"/>
      <c r="AW711" s="7"/>
      <c r="AX711" s="7"/>
    </row>
    <row r="712" ht="12.75" customHeight="1">
      <c r="A712" s="4"/>
      <c r="B712" s="4"/>
      <c r="C712" s="4"/>
      <c r="D712" s="4"/>
      <c r="E712" s="4" t="str">
        <f>IF(ISBLANK(B712),,IFERROR(VLOOKUP(B712,CurrentRank!$B$2:$C$132,2,FALSE),0))</f>
        <v/>
      </c>
      <c r="F712" s="4"/>
      <c r="G712" s="4" t="str">
        <f>IF(ISBLANK(B712),,IFERROR(VLOOKUP(B712,CurrentRank!$B$2:$D$132,3,FALSE),130))</f>
        <v/>
      </c>
      <c r="H712" s="4"/>
      <c r="I712" s="4" t="str">
        <f>IF(ISBLANK(B712),,IFERROR(VLOOKUP(C712,CurrentRank!$B$2:$C$132,2,FALSE),0))</f>
        <v/>
      </c>
      <c r="J712" s="4"/>
      <c r="K712" s="4" t="str">
        <f>IF(ISBLANK(C712),,IFERROR(VLOOKUP(C712,CurrentRank!$B$2:$D$132,3,FALSE),130))</f>
        <v/>
      </c>
      <c r="L712" s="19" t="str">
        <f t="shared" si="279"/>
        <v/>
      </c>
      <c r="M712" s="19" t="str">
        <f t="shared" si="280"/>
        <v/>
      </c>
      <c r="N712" s="24" t="str">
        <f t="shared" si="276"/>
        <v/>
      </c>
      <c r="O712" s="21" t="str">
        <f t="shared" si="4"/>
        <v/>
      </c>
      <c r="P712" s="21" t="str">
        <f t="shared" si="282"/>
        <v/>
      </c>
      <c r="Q712" s="22" t="str">
        <f t="shared" si="6"/>
        <v/>
      </c>
      <c r="R712" s="25" t="str">
        <f t="shared" si="7"/>
        <v/>
      </c>
      <c r="S712" s="19" t="str">
        <f t="shared" si="8"/>
        <v/>
      </c>
      <c r="T712" s="19" t="str">
        <f t="shared" si="9"/>
        <v/>
      </c>
      <c r="U712" s="3"/>
      <c r="V712" s="4" t="str">
        <f>IF(ISBLANK(C712),,IFERROR(IF(VLOOKUP(B712,Standings!$A:$F, 6, 0)=VLOOKUP(C712,Standings!$A:$F, 6, 0), VLOOKUP(B712,Standings!$A:$F, 6, 0), "Non-con"), "FCS"))</f>
        <v/>
      </c>
      <c r="W712" s="3" t="str">
        <f t="shared" si="10"/>
        <v/>
      </c>
      <c r="X712" s="3" t="str">
        <f t="shared" si="11"/>
        <v/>
      </c>
      <c r="Y712" s="30" t="str">
        <f>IF(D712=0,,IF(ISBLANK(Q712),,VLOOKUP(X712,Week1,2,FALSE)/(VLOOKUP(X712,Week1,2,FALSE)+VLOOKUP(W712,Week1,2,FALSE)))*100)</f>
        <v/>
      </c>
      <c r="Z712" s="4"/>
      <c r="AA712" s="3"/>
      <c r="AB712" s="4" t="str">
        <f t="shared" si="20"/>
        <v/>
      </c>
      <c r="AC712" s="3"/>
      <c r="AD712" s="3"/>
      <c r="AE712" s="3" t="str">
        <f t="shared" si="13"/>
        <v/>
      </c>
      <c r="AF712" s="3"/>
      <c r="AG712" s="3" t="str">
        <f t="shared" si="133"/>
        <v/>
      </c>
      <c r="AH712" s="3"/>
      <c r="AI712" s="7"/>
      <c r="AJ712" s="4"/>
      <c r="AK712" s="7"/>
      <c r="AL712" s="7"/>
      <c r="AM712" s="7"/>
      <c r="AN712" s="7"/>
      <c r="AO712" s="7"/>
      <c r="AP712" s="7"/>
      <c r="AQ712" s="7"/>
      <c r="AR712" s="7"/>
      <c r="AS712" s="7"/>
      <c r="AT712" s="7"/>
      <c r="AU712" s="7"/>
      <c r="AV712" s="7"/>
      <c r="AW712" s="7"/>
      <c r="AX712" s="7"/>
    </row>
    <row r="713" ht="12.75" customHeight="1">
      <c r="A713" s="4"/>
      <c r="B713" s="4"/>
      <c r="C713" s="4"/>
      <c r="D713" s="4"/>
      <c r="E713" s="4" t="str">
        <f>IF(ISBLANK(B713),,IFERROR(VLOOKUP(B713,CurrentRank!$B$2:$C$132,2,FALSE),0))</f>
        <v/>
      </c>
      <c r="F713" s="4"/>
      <c r="G713" s="4" t="str">
        <f>IF(ISBLANK(B713),,IFERROR(VLOOKUP(B713,CurrentRank!$B$2:$D$132,3,FALSE),130))</f>
        <v/>
      </c>
      <c r="H713" s="4"/>
      <c r="I713" s="4" t="str">
        <f>IF(ISBLANK(B713),,IFERROR(VLOOKUP(C713,CurrentRank!$B$2:$C$132,2,FALSE),0))</f>
        <v/>
      </c>
      <c r="J713" s="4"/>
      <c r="K713" s="4" t="str">
        <f>IF(ISBLANK(C713),,IFERROR(VLOOKUP(C713,CurrentRank!$B$2:$D$132,3,FALSE),130))</f>
        <v/>
      </c>
      <c r="L713" s="19" t="str">
        <f t="shared" si="279"/>
        <v/>
      </c>
      <c r="M713" s="19" t="str">
        <f t="shared" si="280"/>
        <v/>
      </c>
      <c r="N713" s="24" t="str">
        <f t="shared" si="276"/>
        <v/>
      </c>
      <c r="O713" s="21" t="str">
        <f t="shared" si="4"/>
        <v/>
      </c>
      <c r="P713" s="21" t="str">
        <f t="shared" si="282"/>
        <v/>
      </c>
      <c r="Q713" s="22" t="str">
        <f t="shared" si="6"/>
        <v/>
      </c>
      <c r="R713" s="25" t="str">
        <f t="shared" si="7"/>
        <v/>
      </c>
      <c r="S713" s="19" t="str">
        <f t="shared" si="8"/>
        <v/>
      </c>
      <c r="T713" s="19" t="str">
        <f t="shared" si="9"/>
        <v/>
      </c>
      <c r="U713" s="3"/>
      <c r="V713" s="4" t="str">
        <f>IF(ISBLANK(C713),,IFERROR(IF(VLOOKUP(B713,Standings!$A:$F, 6, 0)=VLOOKUP(C713,Standings!$A:$F, 6, 0), VLOOKUP(B713,Standings!$A:$F, 6, 0), "Non-con"), "FCS"))</f>
        <v/>
      </c>
      <c r="W713" s="3" t="str">
        <f t="shared" si="10"/>
        <v/>
      </c>
      <c r="X713" s="3" t="str">
        <f t="shared" si="11"/>
        <v/>
      </c>
      <c r="Y713" s="30" t="str">
        <f>IF(D713=0,,IF(ISBLANK(Q713),,VLOOKUP(X713,Week1,2,FALSE)/(VLOOKUP(X713,Week1,2,FALSE)+VLOOKUP(W713,Week1,2,FALSE)))*100)</f>
        <v/>
      </c>
      <c r="Z713" s="4"/>
      <c r="AA713" s="3"/>
      <c r="AB713" s="4" t="str">
        <f t="shared" si="20"/>
        <v/>
      </c>
      <c r="AC713" s="3"/>
      <c r="AD713" s="3"/>
      <c r="AE713" s="3" t="str">
        <f t="shared" si="13"/>
        <v/>
      </c>
      <c r="AF713" s="3"/>
      <c r="AG713" s="3" t="str">
        <f t="shared" si="133"/>
        <v/>
      </c>
      <c r="AH713" s="3"/>
      <c r="AI713" s="7"/>
      <c r="AJ713" s="4"/>
      <c r="AK713" s="7"/>
      <c r="AL713" s="7"/>
      <c r="AM713" s="7"/>
      <c r="AN713" s="7"/>
      <c r="AO713" s="7"/>
      <c r="AP713" s="7"/>
      <c r="AQ713" s="7"/>
      <c r="AR713" s="7"/>
      <c r="AS713" s="7"/>
      <c r="AT713" s="7"/>
      <c r="AU713" s="7"/>
      <c r="AV713" s="7"/>
      <c r="AW713" s="7"/>
      <c r="AX713" s="7"/>
    </row>
    <row r="714" ht="12.75" customHeight="1">
      <c r="A714" s="4"/>
      <c r="B714" s="4"/>
      <c r="C714" s="4"/>
      <c r="D714" s="4"/>
      <c r="E714" s="4" t="str">
        <f>IF(ISBLANK(B714),,IFERROR(VLOOKUP(B714,CurrentRank!$B$2:$C$132,2,FALSE),0))</f>
        <v/>
      </c>
      <c r="F714" s="4"/>
      <c r="G714" s="4" t="str">
        <f>IF(ISBLANK(B714),,IFERROR(VLOOKUP(B714,CurrentRank!$B$2:$D$132,3,FALSE),130))</f>
        <v/>
      </c>
      <c r="H714" s="4"/>
      <c r="I714" s="4" t="str">
        <f>IF(ISBLANK(B714),,IFERROR(VLOOKUP(C714,CurrentRank!$B$2:$C$132,2,FALSE),0))</f>
        <v/>
      </c>
      <c r="J714" s="4"/>
      <c r="K714" s="4" t="str">
        <f>IF(ISBLANK(C714),,IFERROR(VLOOKUP(C714,CurrentRank!$B$2:$D$132,3,FALSE),130))</f>
        <v/>
      </c>
      <c r="L714" s="19" t="str">
        <f t="shared" si="279"/>
        <v/>
      </c>
      <c r="M714" s="19" t="str">
        <f t="shared" si="280"/>
        <v/>
      </c>
      <c r="N714" s="24" t="str">
        <f t="shared" si="276"/>
        <v/>
      </c>
      <c r="O714" s="21" t="str">
        <f t="shared" si="4"/>
        <v/>
      </c>
      <c r="P714" s="21" t="str">
        <f t="shared" si="282"/>
        <v/>
      </c>
      <c r="Q714" s="22" t="str">
        <f t="shared" si="6"/>
        <v/>
      </c>
      <c r="R714" s="25" t="str">
        <f t="shared" si="7"/>
        <v/>
      </c>
      <c r="S714" s="19" t="str">
        <f t="shared" si="8"/>
        <v/>
      </c>
      <c r="T714" s="19" t="str">
        <f t="shared" si="9"/>
        <v/>
      </c>
      <c r="U714" s="3"/>
      <c r="V714" s="4" t="str">
        <f>IF(ISBLANK(C714),,IFERROR(IF(VLOOKUP(B714,Standings!$A:$F, 6, 0)=VLOOKUP(C714,Standings!$A:$F, 6, 0), VLOOKUP(B714,Standings!$A:$F, 6, 0), "Non-con"), "FCS"))</f>
        <v/>
      </c>
      <c r="W714" s="3" t="str">
        <f t="shared" si="10"/>
        <v/>
      </c>
      <c r="X714" s="3" t="str">
        <f t="shared" si="11"/>
        <v/>
      </c>
      <c r="Y714" s="30" t="str">
        <f>IF(D714=0,,IF(ISBLANK(Q714),,VLOOKUP(X714,Week1,2,FALSE)/(VLOOKUP(X714,Week1,2,FALSE)+VLOOKUP(W714,Week1,2,FALSE)))*100)</f>
        <v/>
      </c>
      <c r="Z714" s="4"/>
      <c r="AA714" s="3"/>
      <c r="AB714" s="4" t="str">
        <f t="shared" si="20"/>
        <v/>
      </c>
      <c r="AC714" s="3"/>
      <c r="AD714" s="3"/>
      <c r="AE714" s="3" t="str">
        <f t="shared" si="13"/>
        <v/>
      </c>
      <c r="AF714" s="3"/>
      <c r="AG714" s="3" t="str">
        <f t="shared" si="133"/>
        <v/>
      </c>
      <c r="AH714" s="3"/>
      <c r="AI714" s="7"/>
      <c r="AJ714" s="4"/>
      <c r="AK714" s="7"/>
      <c r="AL714" s="7"/>
      <c r="AM714" s="7"/>
      <c r="AN714" s="7"/>
      <c r="AO714" s="7"/>
      <c r="AP714" s="7"/>
      <c r="AQ714" s="7"/>
      <c r="AR714" s="7"/>
      <c r="AS714" s="7"/>
      <c r="AT714" s="7"/>
      <c r="AU714" s="7"/>
      <c r="AV714" s="7"/>
      <c r="AW714" s="7"/>
      <c r="AX714" s="7"/>
    </row>
    <row r="715" ht="12.75" customHeight="1">
      <c r="A715" s="4"/>
      <c r="B715" s="4"/>
      <c r="C715" s="4"/>
      <c r="D715" s="4"/>
      <c r="E715" s="4" t="str">
        <f>IF(ISBLANK(B715),,IFERROR(VLOOKUP(B715,CurrentRank!$B$2:$C$132,2,FALSE),0))</f>
        <v/>
      </c>
      <c r="F715" s="4"/>
      <c r="G715" s="4" t="str">
        <f>IF(ISBLANK(B715),,IFERROR(VLOOKUP(B715,CurrentRank!$B$2:$D$132,3,FALSE),130))</f>
        <v/>
      </c>
      <c r="H715" s="4"/>
      <c r="I715" s="4" t="str">
        <f>IF(ISBLANK(B715),,IFERROR(VLOOKUP(C715,CurrentRank!$B$2:$C$132,2,FALSE),0))</f>
        <v/>
      </c>
      <c r="J715" s="4"/>
      <c r="K715" s="4" t="str">
        <f>IF(ISBLANK(C715),,IFERROR(VLOOKUP(C715,CurrentRank!$B$2:$D$132,3,FALSE),130))</f>
        <v/>
      </c>
      <c r="L715" s="19" t="str">
        <f t="shared" si="279"/>
        <v/>
      </c>
      <c r="M715" s="19" t="str">
        <f t="shared" si="280"/>
        <v/>
      </c>
      <c r="N715" s="24" t="str">
        <f t="shared" si="276"/>
        <v/>
      </c>
      <c r="O715" s="21" t="str">
        <f t="shared" si="4"/>
        <v/>
      </c>
      <c r="P715" s="21" t="str">
        <f t="shared" si="282"/>
        <v/>
      </c>
      <c r="Q715" s="22" t="str">
        <f t="shared" si="6"/>
        <v/>
      </c>
      <c r="R715" s="25" t="str">
        <f t="shared" si="7"/>
        <v/>
      </c>
      <c r="S715" s="19" t="str">
        <f t="shared" si="8"/>
        <v/>
      </c>
      <c r="T715" s="19" t="str">
        <f t="shared" si="9"/>
        <v/>
      </c>
      <c r="U715" s="3"/>
      <c r="V715" s="4" t="str">
        <f>IF(ISBLANK(C715),,IFERROR(IF(VLOOKUP(B715,Standings!$A:$F, 6, 0)=VLOOKUP(C715,Standings!$A:$F, 6, 0), VLOOKUP(B715,Standings!$A:$F, 6, 0), "Non-con"), "FCS"))</f>
        <v/>
      </c>
      <c r="W715" s="3" t="str">
        <f t="shared" si="10"/>
        <v/>
      </c>
      <c r="X715" s="3" t="str">
        <f t="shared" si="11"/>
        <v/>
      </c>
      <c r="Y715" s="30" t="str">
        <f>IF(D715=0,,IF(ISBLANK(Q715),,VLOOKUP(X715,Week1,2,FALSE)/(VLOOKUP(X715,Week1,2,FALSE)+VLOOKUP(W715,Week1,2,FALSE)))*100)</f>
        <v/>
      </c>
      <c r="Z715" s="4"/>
      <c r="AA715" s="3"/>
      <c r="AB715" s="4" t="str">
        <f t="shared" si="20"/>
        <v/>
      </c>
      <c r="AC715" s="3"/>
      <c r="AD715" s="3"/>
      <c r="AE715" s="3" t="str">
        <f t="shared" si="13"/>
        <v/>
      </c>
      <c r="AF715" s="3"/>
      <c r="AG715" s="3" t="str">
        <f t="shared" si="133"/>
        <v/>
      </c>
      <c r="AH715" s="3"/>
      <c r="AI715" s="7"/>
      <c r="AJ715" s="4"/>
      <c r="AK715" s="7"/>
      <c r="AL715" s="7"/>
      <c r="AM715" s="7"/>
      <c r="AN715" s="7"/>
      <c r="AO715" s="7"/>
      <c r="AP715" s="7"/>
      <c r="AQ715" s="7"/>
      <c r="AR715" s="7"/>
      <c r="AS715" s="7"/>
      <c r="AT715" s="7"/>
      <c r="AU715" s="7"/>
      <c r="AV715" s="7"/>
      <c r="AW715" s="7"/>
      <c r="AX715" s="7"/>
    </row>
    <row r="716" ht="12.75" customHeight="1">
      <c r="A716" s="4"/>
      <c r="B716" s="4"/>
      <c r="C716" s="4"/>
      <c r="D716" s="4"/>
      <c r="E716" s="4" t="str">
        <f>IF(ISBLANK(B716),,IFERROR(VLOOKUP(B716,CurrentRank!$B$2:$C$132,2,FALSE),0))</f>
        <v/>
      </c>
      <c r="F716" s="4"/>
      <c r="G716" s="4" t="str">
        <f>IF(ISBLANK(B716),,IFERROR(VLOOKUP(B716,CurrentRank!$B$2:$D$132,3,FALSE),130))</f>
        <v/>
      </c>
      <c r="H716" s="4"/>
      <c r="I716" s="4" t="str">
        <f>IF(ISBLANK(B716),,IFERROR(VLOOKUP(C716,CurrentRank!$B$2:$C$132,2,FALSE),0))</f>
        <v/>
      </c>
      <c r="J716" s="4"/>
      <c r="K716" s="4" t="str">
        <f>IF(ISBLANK(C716),,IFERROR(VLOOKUP(C716,CurrentRank!$B$2:$D$132,3,FALSE),130))</f>
        <v/>
      </c>
      <c r="L716" s="19" t="str">
        <f t="shared" si="279"/>
        <v/>
      </c>
      <c r="M716" s="19" t="str">
        <f t="shared" si="280"/>
        <v/>
      </c>
      <c r="N716" s="24" t="str">
        <f t="shared" si="276"/>
        <v/>
      </c>
      <c r="O716" s="21" t="str">
        <f t="shared" si="4"/>
        <v/>
      </c>
      <c r="P716" s="21" t="str">
        <f t="shared" si="282"/>
        <v/>
      </c>
      <c r="Q716" s="22" t="str">
        <f t="shared" si="6"/>
        <v/>
      </c>
      <c r="R716" s="25" t="str">
        <f t="shared" si="7"/>
        <v/>
      </c>
      <c r="S716" s="19" t="str">
        <f t="shared" si="8"/>
        <v/>
      </c>
      <c r="T716" s="19" t="str">
        <f t="shared" si="9"/>
        <v/>
      </c>
      <c r="U716" s="3"/>
      <c r="V716" s="4" t="str">
        <f>IF(ISBLANK(C716),,IFERROR(IF(VLOOKUP(B716,Standings!$A:$F, 6, 0)=VLOOKUP(C716,Standings!$A:$F, 6, 0), VLOOKUP(B716,Standings!$A:$F, 6, 0), "Non-con"), "FCS"))</f>
        <v/>
      </c>
      <c r="W716" s="3" t="str">
        <f t="shared" si="10"/>
        <v/>
      </c>
      <c r="X716" s="3" t="str">
        <f t="shared" si="11"/>
        <v/>
      </c>
      <c r="Y716" s="30" t="str">
        <f>IF(D716=0,,IF(ISBLANK(Q716),,VLOOKUP(X716,Week1,2,FALSE)/(VLOOKUP(X716,Week1,2,FALSE)+VLOOKUP(W716,Week1,2,FALSE)))*100)</f>
        <v/>
      </c>
      <c r="Z716" s="4"/>
      <c r="AA716" s="3"/>
      <c r="AB716" s="4" t="str">
        <f t="shared" si="20"/>
        <v/>
      </c>
      <c r="AC716" s="3"/>
      <c r="AD716" s="3"/>
      <c r="AE716" s="3" t="str">
        <f t="shared" si="13"/>
        <v/>
      </c>
      <c r="AF716" s="3"/>
      <c r="AG716" s="3" t="str">
        <f t="shared" si="133"/>
        <v/>
      </c>
      <c r="AH716" s="3"/>
      <c r="AI716" s="7"/>
      <c r="AJ716" s="4"/>
      <c r="AK716" s="7"/>
      <c r="AL716" s="7"/>
      <c r="AM716" s="7"/>
      <c r="AN716" s="7"/>
      <c r="AO716" s="7"/>
      <c r="AP716" s="7"/>
      <c r="AQ716" s="7"/>
      <c r="AR716" s="7"/>
      <c r="AS716" s="7"/>
      <c r="AT716" s="7"/>
      <c r="AU716" s="7"/>
      <c r="AV716" s="7"/>
      <c r="AW716" s="7"/>
      <c r="AX716" s="7"/>
    </row>
    <row r="717" ht="12.75" customHeight="1">
      <c r="A717" s="4"/>
      <c r="B717" s="4"/>
      <c r="C717" s="4"/>
      <c r="D717" s="4"/>
      <c r="E717" s="4" t="str">
        <f>IF(ISBLANK(B717),,IFERROR(VLOOKUP(B717,CurrentRank!$B$2:$C$132,2,FALSE),0))</f>
        <v/>
      </c>
      <c r="F717" s="4"/>
      <c r="G717" s="4" t="str">
        <f>IF(ISBLANK(B717),,IFERROR(VLOOKUP(B717,CurrentRank!$B$2:$D$132,3,FALSE),130))</f>
        <v/>
      </c>
      <c r="H717" s="4"/>
      <c r="I717" s="4" t="str">
        <f>IF(ISBLANK(B717),,IFERROR(VLOOKUP(C717,CurrentRank!$B$2:$C$132,2,FALSE),0))</f>
        <v/>
      </c>
      <c r="J717" s="4"/>
      <c r="K717" s="4" t="str">
        <f>IF(ISBLANK(C717),,IFERROR(VLOOKUP(C717,CurrentRank!$B$2:$D$132,3,FALSE),130))</f>
        <v/>
      </c>
      <c r="L717" s="19" t="str">
        <f t="shared" si="279"/>
        <v/>
      </c>
      <c r="M717" s="19" t="str">
        <f t="shared" si="280"/>
        <v/>
      </c>
      <c r="N717" s="24" t="str">
        <f t="shared" si="276"/>
        <v/>
      </c>
      <c r="O717" s="21" t="str">
        <f t="shared" si="4"/>
        <v/>
      </c>
      <c r="P717" s="21" t="str">
        <f t="shared" si="282"/>
        <v/>
      </c>
      <c r="Q717" s="22" t="str">
        <f t="shared" si="6"/>
        <v/>
      </c>
      <c r="R717" s="25" t="str">
        <f t="shared" si="7"/>
        <v/>
      </c>
      <c r="S717" s="19" t="str">
        <f t="shared" si="8"/>
        <v/>
      </c>
      <c r="T717" s="19" t="str">
        <f t="shared" si="9"/>
        <v/>
      </c>
      <c r="U717" s="3"/>
      <c r="V717" s="4" t="str">
        <f>IF(ISBLANK(C717),,IFERROR(IF(VLOOKUP(B717,Standings!$A:$F, 6, 0)=VLOOKUP(C717,Standings!$A:$F, 6, 0), VLOOKUP(B717,Standings!$A:$F, 6, 0), "Non-con"), "FCS"))</f>
        <v/>
      </c>
      <c r="W717" s="3" t="str">
        <f t="shared" si="10"/>
        <v/>
      </c>
      <c r="X717" s="3" t="str">
        <f t="shared" si="11"/>
        <v/>
      </c>
      <c r="Y717" s="30" t="str">
        <f>IF(D717=0,,IF(ISBLANK(Q717),,VLOOKUP(X717,Week1,2,FALSE)/(VLOOKUP(X717,Week1,2,FALSE)+VLOOKUP(W717,Week1,2,FALSE)))*100)</f>
        <v/>
      </c>
      <c r="Z717" s="4"/>
      <c r="AA717" s="3"/>
      <c r="AB717" s="4" t="str">
        <f t="shared" si="20"/>
        <v/>
      </c>
      <c r="AC717" s="3"/>
      <c r="AD717" s="3"/>
      <c r="AE717" s="3" t="str">
        <f t="shared" si="13"/>
        <v/>
      </c>
      <c r="AF717" s="3"/>
      <c r="AG717" s="3" t="str">
        <f t="shared" si="133"/>
        <v/>
      </c>
      <c r="AH717" s="3"/>
      <c r="AI717" s="7"/>
      <c r="AJ717" s="4"/>
      <c r="AK717" s="7"/>
      <c r="AL717" s="7"/>
      <c r="AM717" s="7"/>
      <c r="AN717" s="7"/>
      <c r="AO717" s="7"/>
      <c r="AP717" s="7"/>
      <c r="AQ717" s="7"/>
      <c r="AR717" s="7"/>
      <c r="AS717" s="7"/>
      <c r="AT717" s="7"/>
      <c r="AU717" s="7"/>
      <c r="AV717" s="7"/>
      <c r="AW717" s="7"/>
      <c r="AX717" s="7"/>
    </row>
    <row r="718" ht="12.75" customHeight="1">
      <c r="A718" s="4"/>
      <c r="B718" s="4"/>
      <c r="C718" s="4"/>
      <c r="D718" s="4"/>
      <c r="E718" s="4" t="str">
        <f>IF(ISBLANK(B718),,IFERROR(VLOOKUP(B718,CurrentRank!$B$2:$C$132,2,FALSE),0))</f>
        <v/>
      </c>
      <c r="F718" s="4"/>
      <c r="G718" s="4" t="str">
        <f>IF(ISBLANK(B718),,IFERROR(VLOOKUP(B718,CurrentRank!$B$2:$D$132,3,FALSE),130))</f>
        <v/>
      </c>
      <c r="H718" s="4"/>
      <c r="I718" s="4" t="str">
        <f>IF(ISBLANK(B718),,IFERROR(VLOOKUP(C718,CurrentRank!$B$2:$C$132,2,FALSE),0))</f>
        <v/>
      </c>
      <c r="J718" s="4"/>
      <c r="K718" s="4" t="str">
        <f>IF(ISBLANK(C718),,IFERROR(VLOOKUP(C718,CurrentRank!$B$2:$D$132,3,FALSE),130))</f>
        <v/>
      </c>
      <c r="L718" s="19" t="str">
        <f t="shared" si="279"/>
        <v/>
      </c>
      <c r="M718" s="19" t="str">
        <f t="shared" si="280"/>
        <v/>
      </c>
      <c r="N718" s="24" t="str">
        <f t="shared" si="276"/>
        <v/>
      </c>
      <c r="O718" s="21" t="str">
        <f t="shared" si="4"/>
        <v/>
      </c>
      <c r="P718" s="21" t="str">
        <f t="shared" si="282"/>
        <v/>
      </c>
      <c r="Q718" s="22" t="str">
        <f t="shared" si="6"/>
        <v/>
      </c>
      <c r="R718" s="25" t="str">
        <f t="shared" si="7"/>
        <v/>
      </c>
      <c r="S718" s="19" t="str">
        <f t="shared" si="8"/>
        <v/>
      </c>
      <c r="T718" s="19" t="str">
        <f t="shared" si="9"/>
        <v/>
      </c>
      <c r="U718" s="3"/>
      <c r="V718" s="4" t="str">
        <f>IF(ISBLANK(C718),,IFERROR(IF(VLOOKUP(B718,Standings!$A:$F, 6, 0)=VLOOKUP(C718,Standings!$A:$F, 6, 0), VLOOKUP(B718,Standings!$A:$F, 6, 0), "Non-con"), "FCS"))</f>
        <v/>
      </c>
      <c r="W718" s="3" t="str">
        <f t="shared" si="10"/>
        <v/>
      </c>
      <c r="X718" s="3" t="str">
        <f t="shared" si="11"/>
        <v/>
      </c>
      <c r="Y718" s="30" t="str">
        <f>IF(D718=0,,IF(ISBLANK(Q718),,VLOOKUP(X718,Week1,2,FALSE)/(VLOOKUP(X718,Week1,2,FALSE)+VLOOKUP(W718,Week1,2,FALSE)))*100)</f>
        <v/>
      </c>
      <c r="Z718" s="4"/>
      <c r="AA718" s="3"/>
      <c r="AB718" s="4" t="str">
        <f t="shared" si="20"/>
        <v/>
      </c>
      <c r="AC718" s="3"/>
      <c r="AD718" s="3"/>
      <c r="AE718" s="3" t="str">
        <f t="shared" si="13"/>
        <v/>
      </c>
      <c r="AF718" s="3"/>
      <c r="AG718" s="3" t="str">
        <f t="shared" si="133"/>
        <v/>
      </c>
      <c r="AH718" s="3"/>
      <c r="AI718" s="7"/>
      <c r="AJ718" s="4"/>
      <c r="AK718" s="7"/>
      <c r="AL718" s="7"/>
      <c r="AM718" s="7"/>
      <c r="AN718" s="7"/>
      <c r="AO718" s="7"/>
      <c r="AP718" s="7"/>
      <c r="AQ718" s="7"/>
      <c r="AR718" s="7"/>
      <c r="AS718" s="7"/>
      <c r="AT718" s="7"/>
      <c r="AU718" s="7"/>
      <c r="AV718" s="7"/>
      <c r="AW718" s="7"/>
      <c r="AX718" s="7"/>
    </row>
    <row r="719" ht="12.75" customHeight="1">
      <c r="A719" s="4"/>
      <c r="B719" s="4"/>
      <c r="C719" s="4"/>
      <c r="D719" s="4"/>
      <c r="E719" s="4" t="str">
        <f>IF(ISBLANK(B719),,IFERROR(VLOOKUP(B719,CurrentRank!$B$2:$C$132,2,FALSE),0))</f>
        <v/>
      </c>
      <c r="F719" s="4"/>
      <c r="G719" s="4" t="str">
        <f>IF(ISBLANK(B719),,IFERROR(VLOOKUP(B719,CurrentRank!$B$2:$D$132,3,FALSE),130))</f>
        <v/>
      </c>
      <c r="H719" s="4"/>
      <c r="I719" s="4" t="str">
        <f>IF(ISBLANK(B719),,IFERROR(VLOOKUP(C719,CurrentRank!$B$2:$C$132,2,FALSE),0))</f>
        <v/>
      </c>
      <c r="J719" s="4"/>
      <c r="K719" s="4" t="str">
        <f>IF(ISBLANK(C719),,IFERROR(VLOOKUP(C719,CurrentRank!$B$2:$D$132,3,FALSE),130))</f>
        <v/>
      </c>
      <c r="L719" s="19" t="str">
        <f t="shared" si="279"/>
        <v/>
      </c>
      <c r="M719" s="19" t="str">
        <f t="shared" si="280"/>
        <v/>
      </c>
      <c r="N719" s="24" t="str">
        <f t="shared" si="276"/>
        <v/>
      </c>
      <c r="O719" s="21" t="str">
        <f t="shared" si="4"/>
        <v/>
      </c>
      <c r="P719" s="21" t="str">
        <f t="shared" si="282"/>
        <v/>
      </c>
      <c r="Q719" s="22" t="str">
        <f t="shared" si="6"/>
        <v/>
      </c>
      <c r="R719" s="25" t="str">
        <f t="shared" si="7"/>
        <v/>
      </c>
      <c r="S719" s="19" t="str">
        <f t="shared" si="8"/>
        <v/>
      </c>
      <c r="T719" s="19" t="str">
        <f t="shared" si="9"/>
        <v/>
      </c>
      <c r="U719" s="3"/>
      <c r="V719" s="4" t="str">
        <f>IF(ISBLANK(C719),,IFERROR(IF(VLOOKUP(B719,Standings!$A:$F, 6, 0)=VLOOKUP(C719,Standings!$A:$F, 6, 0), VLOOKUP(B719,Standings!$A:$F, 6, 0), "Non-con"), "FCS"))</f>
        <v/>
      </c>
      <c r="W719" s="3" t="str">
        <f t="shared" si="10"/>
        <v/>
      </c>
      <c r="X719" s="3" t="str">
        <f t="shared" si="11"/>
        <v/>
      </c>
      <c r="Y719" s="30" t="str">
        <f>IF(D719=0,,IF(ISBLANK(Q719),,VLOOKUP(X719,Week1,2,FALSE)/(VLOOKUP(X719,Week1,2,FALSE)+VLOOKUP(W719,Week1,2,FALSE)))*100)</f>
        <v/>
      </c>
      <c r="Z719" s="4"/>
      <c r="AA719" s="3"/>
      <c r="AB719" s="4" t="str">
        <f t="shared" si="20"/>
        <v/>
      </c>
      <c r="AC719" s="3"/>
      <c r="AD719" s="3"/>
      <c r="AE719" s="3" t="str">
        <f t="shared" si="13"/>
        <v/>
      </c>
      <c r="AF719" s="3"/>
      <c r="AG719" s="3" t="str">
        <f t="shared" si="133"/>
        <v/>
      </c>
      <c r="AH719" s="3"/>
      <c r="AI719" s="7"/>
      <c r="AJ719" s="4"/>
      <c r="AK719" s="7"/>
      <c r="AL719" s="7"/>
      <c r="AM719" s="7"/>
      <c r="AN719" s="7"/>
      <c r="AO719" s="7"/>
      <c r="AP719" s="7"/>
      <c r="AQ719" s="7"/>
      <c r="AR719" s="7"/>
      <c r="AS719" s="7"/>
      <c r="AT719" s="7"/>
      <c r="AU719" s="7"/>
      <c r="AV719" s="7"/>
      <c r="AW719" s="7"/>
      <c r="AX719" s="7"/>
    </row>
    <row r="720" ht="12.75" customHeight="1">
      <c r="A720" s="4"/>
      <c r="B720" s="4"/>
      <c r="C720" s="4"/>
      <c r="D720" s="4"/>
      <c r="E720" s="4" t="str">
        <f>IF(ISBLANK(B720),,IFERROR(VLOOKUP(B720,CurrentRank!$B$2:$C$132,2,FALSE),0))</f>
        <v/>
      </c>
      <c r="F720" s="4"/>
      <c r="G720" s="4" t="str">
        <f>IF(ISBLANK(B720),,IFERROR(VLOOKUP(B720,CurrentRank!$B$2:$D$132,3,FALSE),130))</f>
        <v/>
      </c>
      <c r="H720" s="4"/>
      <c r="I720" s="4" t="str">
        <f>IF(ISBLANK(B720),,IFERROR(VLOOKUP(C720,CurrentRank!$B$2:$C$132,2,FALSE),0))</f>
        <v/>
      </c>
      <c r="J720" s="4"/>
      <c r="K720" s="4" t="str">
        <f>IF(ISBLANK(C720),,IFERROR(VLOOKUP(C720,CurrentRank!$B$2:$D$132,3,FALSE),130))</f>
        <v/>
      </c>
      <c r="L720" s="19" t="str">
        <f t="shared" si="279"/>
        <v/>
      </c>
      <c r="M720" s="19" t="str">
        <f t="shared" si="280"/>
        <v/>
      </c>
      <c r="N720" s="24" t="str">
        <f t="shared" si="276"/>
        <v/>
      </c>
      <c r="O720" s="21" t="str">
        <f t="shared" si="4"/>
        <v/>
      </c>
      <c r="P720" s="21" t="str">
        <f t="shared" si="282"/>
        <v/>
      </c>
      <c r="Q720" s="22" t="str">
        <f t="shared" si="6"/>
        <v/>
      </c>
      <c r="R720" s="25" t="str">
        <f t="shared" si="7"/>
        <v/>
      </c>
      <c r="S720" s="19" t="str">
        <f t="shared" si="8"/>
        <v/>
      </c>
      <c r="T720" s="19" t="str">
        <f t="shared" si="9"/>
        <v/>
      </c>
      <c r="U720" s="3"/>
      <c r="V720" s="4" t="str">
        <f>IF(ISBLANK(C720),,IFERROR(IF(VLOOKUP(B720,Standings!$A:$F, 6, 0)=VLOOKUP(C720,Standings!$A:$F, 6, 0), VLOOKUP(B720,Standings!$A:$F, 6, 0), "Non-con"), "FCS"))</f>
        <v/>
      </c>
      <c r="W720" s="3" t="str">
        <f t="shared" si="10"/>
        <v/>
      </c>
      <c r="X720" s="3" t="str">
        <f t="shared" si="11"/>
        <v/>
      </c>
      <c r="Y720" s="30" t="str">
        <f>IF(D720=0,,IF(ISBLANK(Q720),,VLOOKUP(X720,Week1,2,FALSE)/(VLOOKUP(X720,Week1,2,FALSE)+VLOOKUP(W720,Week1,2,FALSE)))*100)</f>
        <v/>
      </c>
      <c r="Z720" s="4"/>
      <c r="AA720" s="3"/>
      <c r="AB720" s="4" t="str">
        <f t="shared" si="20"/>
        <v/>
      </c>
      <c r="AC720" s="3"/>
      <c r="AD720" s="3"/>
      <c r="AE720" s="3" t="str">
        <f t="shared" si="13"/>
        <v/>
      </c>
      <c r="AF720" s="3"/>
      <c r="AG720" s="3" t="str">
        <f t="shared" si="133"/>
        <v/>
      </c>
      <c r="AH720" s="3"/>
      <c r="AI720" s="7"/>
      <c r="AJ720" s="4"/>
      <c r="AK720" s="7"/>
      <c r="AL720" s="7"/>
      <c r="AM720" s="7"/>
      <c r="AN720" s="7"/>
      <c r="AO720" s="7"/>
      <c r="AP720" s="7"/>
      <c r="AQ720" s="7"/>
      <c r="AR720" s="7"/>
      <c r="AS720" s="7"/>
      <c r="AT720" s="7"/>
      <c r="AU720" s="7"/>
      <c r="AV720" s="7"/>
      <c r="AW720" s="7"/>
      <c r="AX720" s="7"/>
    </row>
    <row r="721" ht="12.75" customHeight="1">
      <c r="A721" s="4"/>
      <c r="B721" s="4"/>
      <c r="C721" s="4"/>
      <c r="D721" s="4"/>
      <c r="E721" s="4" t="str">
        <f>IF(ISBLANK(B721),,IFERROR(VLOOKUP(B721,CurrentRank!$B$2:$C$132,2,FALSE),0))</f>
        <v/>
      </c>
      <c r="F721" s="4"/>
      <c r="G721" s="4" t="str">
        <f>IF(ISBLANK(B721),,IFERROR(VLOOKUP(B721,CurrentRank!$B$2:$D$132,3,FALSE),130))</f>
        <v/>
      </c>
      <c r="H721" s="4"/>
      <c r="I721" s="4" t="str">
        <f>IF(ISBLANK(B721),,IFERROR(VLOOKUP(C721,CurrentRank!$B$2:$C$132,2,FALSE),0))</f>
        <v/>
      </c>
      <c r="J721" s="4"/>
      <c r="K721" s="4" t="str">
        <f>IF(ISBLANK(C721),,IFERROR(VLOOKUP(C721,CurrentRank!$B$2:$D$132,3,FALSE),130))</f>
        <v/>
      </c>
      <c r="L721" s="19" t="str">
        <f t="shared" si="279"/>
        <v/>
      </c>
      <c r="M721" s="19" t="str">
        <f t="shared" si="280"/>
        <v/>
      </c>
      <c r="N721" s="24" t="str">
        <f t="shared" si="276"/>
        <v/>
      </c>
      <c r="O721" s="21" t="str">
        <f t="shared" si="4"/>
        <v/>
      </c>
      <c r="P721" s="21" t="str">
        <f t="shared" si="282"/>
        <v/>
      </c>
      <c r="Q721" s="22" t="str">
        <f t="shared" si="6"/>
        <v/>
      </c>
      <c r="R721" s="25" t="str">
        <f t="shared" si="7"/>
        <v/>
      </c>
      <c r="S721" s="19" t="str">
        <f t="shared" si="8"/>
        <v/>
      </c>
      <c r="T721" s="19" t="str">
        <f t="shared" si="9"/>
        <v/>
      </c>
      <c r="U721" s="3"/>
      <c r="V721" s="4" t="str">
        <f>IF(ISBLANK(C721),,IFERROR(IF(VLOOKUP(B721,Standings!$A:$F, 6, 0)=VLOOKUP(C721,Standings!$A:$F, 6, 0), VLOOKUP(B721,Standings!$A:$F, 6, 0), "Non-con"), "FCS"))</f>
        <v/>
      </c>
      <c r="W721" s="3" t="str">
        <f t="shared" si="10"/>
        <v/>
      </c>
      <c r="X721" s="3" t="str">
        <f t="shared" si="11"/>
        <v/>
      </c>
      <c r="Y721" s="30" t="str">
        <f>IF(D721=0,,IF(ISBLANK(Q721),,VLOOKUP(X721,Week1,2,FALSE)/(VLOOKUP(X721,Week1,2,FALSE)+VLOOKUP(W721,Week1,2,FALSE)))*100)</f>
        <v/>
      </c>
      <c r="Z721" s="4"/>
      <c r="AA721" s="3"/>
      <c r="AB721" s="4" t="str">
        <f t="shared" si="20"/>
        <v/>
      </c>
      <c r="AC721" s="3"/>
      <c r="AD721" s="3"/>
      <c r="AE721" s="3" t="str">
        <f t="shared" si="13"/>
        <v/>
      </c>
      <c r="AF721" s="3"/>
      <c r="AG721" s="3" t="str">
        <f t="shared" si="133"/>
        <v/>
      </c>
      <c r="AH721" s="3"/>
      <c r="AI721" s="7"/>
      <c r="AJ721" s="4"/>
      <c r="AK721" s="7"/>
      <c r="AL721" s="7"/>
      <c r="AM721" s="7"/>
      <c r="AN721" s="7"/>
      <c r="AO721" s="7"/>
      <c r="AP721" s="7"/>
      <c r="AQ721" s="7"/>
      <c r="AR721" s="7"/>
      <c r="AS721" s="7"/>
      <c r="AT721" s="7"/>
      <c r="AU721" s="7"/>
      <c r="AV721" s="7"/>
      <c r="AW721" s="7"/>
      <c r="AX721" s="7"/>
    </row>
    <row r="722" ht="12.75" customHeight="1">
      <c r="A722" s="4"/>
      <c r="B722" s="4"/>
      <c r="C722" s="4"/>
      <c r="D722" s="4"/>
      <c r="E722" s="4" t="str">
        <f>IF(ISBLANK(B722),,IFERROR(VLOOKUP(B722,CurrentRank!$B$2:$C$132,2,FALSE),0))</f>
        <v/>
      </c>
      <c r="F722" s="4"/>
      <c r="G722" s="4" t="str">
        <f>IF(ISBLANK(B722),,IFERROR(VLOOKUP(B722,CurrentRank!$B$2:$D$132,3,FALSE),130))</f>
        <v/>
      </c>
      <c r="H722" s="4"/>
      <c r="I722" s="4" t="str">
        <f>IF(ISBLANK(B722),,IFERROR(VLOOKUP(C722,CurrentRank!$B$2:$C$132,2,FALSE),0))</f>
        <v/>
      </c>
      <c r="J722" s="4"/>
      <c r="K722" s="4" t="str">
        <f>IF(ISBLANK(C722),,IFERROR(VLOOKUP(C722,CurrentRank!$B$2:$D$132,3,FALSE),130))</f>
        <v/>
      </c>
      <c r="L722" s="19" t="str">
        <f t="shared" si="279"/>
        <v/>
      </c>
      <c r="M722" s="19" t="str">
        <f t="shared" si="280"/>
        <v/>
      </c>
      <c r="N722" s="24" t="str">
        <f t="shared" si="276"/>
        <v/>
      </c>
      <c r="O722" s="21" t="str">
        <f t="shared" si="4"/>
        <v/>
      </c>
      <c r="P722" s="21" t="str">
        <f t="shared" si="282"/>
        <v/>
      </c>
      <c r="Q722" s="22" t="str">
        <f t="shared" si="6"/>
        <v/>
      </c>
      <c r="R722" s="25" t="str">
        <f t="shared" si="7"/>
        <v/>
      </c>
      <c r="S722" s="19" t="str">
        <f t="shared" si="8"/>
        <v/>
      </c>
      <c r="T722" s="19" t="str">
        <f t="shared" si="9"/>
        <v/>
      </c>
      <c r="U722" s="3"/>
      <c r="V722" s="4" t="str">
        <f>IF(ISBLANK(C722),,IFERROR(IF(VLOOKUP(B722,Standings!$A:$F, 6, 0)=VLOOKUP(C722,Standings!$A:$F, 6, 0), VLOOKUP(B722,Standings!$A:$F, 6, 0), "Non-con"), "FCS"))</f>
        <v/>
      </c>
      <c r="W722" s="3" t="str">
        <f t="shared" si="10"/>
        <v/>
      </c>
      <c r="X722" s="3" t="str">
        <f t="shared" si="11"/>
        <v/>
      </c>
      <c r="Y722" s="30" t="str">
        <f>IF(D722=0,,IF(ISBLANK(Q722),,VLOOKUP(X722,Week1,2,FALSE)/(VLOOKUP(X722,Week1,2,FALSE)+VLOOKUP(W722,Week1,2,FALSE)))*100)</f>
        <v/>
      </c>
      <c r="Z722" s="4"/>
      <c r="AA722" s="3"/>
      <c r="AB722" s="4" t="str">
        <f t="shared" si="20"/>
        <v/>
      </c>
      <c r="AC722" s="3"/>
      <c r="AD722" s="3"/>
      <c r="AE722" s="3" t="str">
        <f t="shared" si="13"/>
        <v/>
      </c>
      <c r="AF722" s="3"/>
      <c r="AG722" s="3" t="str">
        <f t="shared" si="133"/>
        <v/>
      </c>
      <c r="AH722" s="3"/>
      <c r="AI722" s="7"/>
      <c r="AJ722" s="4"/>
      <c r="AK722" s="7"/>
      <c r="AL722" s="7"/>
      <c r="AM722" s="7"/>
      <c r="AN722" s="7"/>
      <c r="AO722" s="7"/>
      <c r="AP722" s="7"/>
      <c r="AQ722" s="7"/>
      <c r="AR722" s="7"/>
      <c r="AS722" s="7"/>
      <c r="AT722" s="7"/>
      <c r="AU722" s="7"/>
      <c r="AV722" s="7"/>
      <c r="AW722" s="7"/>
      <c r="AX722" s="7"/>
    </row>
    <row r="723" ht="12.75" customHeight="1">
      <c r="A723" s="4"/>
      <c r="B723" s="4"/>
      <c r="C723" s="4"/>
      <c r="D723" s="4"/>
      <c r="E723" s="4" t="str">
        <f>IF(ISBLANK(B723),,IFERROR(VLOOKUP(B723,CurrentRank!$B$2:$C$132,2,FALSE),0))</f>
        <v/>
      </c>
      <c r="F723" s="4"/>
      <c r="G723" s="4" t="str">
        <f>IF(ISBLANK(B723),,IFERROR(VLOOKUP(B723,CurrentRank!$B$2:$D$132,3,FALSE),130))</f>
        <v/>
      </c>
      <c r="H723" s="4"/>
      <c r="I723" s="4" t="str">
        <f>IF(ISBLANK(B723),,IFERROR(VLOOKUP(C723,CurrentRank!$B$2:$C$132,2,FALSE),0))</f>
        <v/>
      </c>
      <c r="J723" s="4"/>
      <c r="K723" s="4" t="str">
        <f>IF(ISBLANK(C723),,IFERROR(VLOOKUP(C723,CurrentRank!$B$2:$D$132,3,FALSE),130))</f>
        <v/>
      </c>
      <c r="L723" s="19" t="str">
        <f t="shared" si="279"/>
        <v/>
      </c>
      <c r="M723" s="19" t="str">
        <f t="shared" si="280"/>
        <v/>
      </c>
      <c r="N723" s="24" t="str">
        <f t="shared" si="276"/>
        <v/>
      </c>
      <c r="O723" s="21" t="str">
        <f t="shared" si="4"/>
        <v/>
      </c>
      <c r="P723" s="21" t="str">
        <f t="shared" si="282"/>
        <v/>
      </c>
      <c r="Q723" s="22" t="str">
        <f t="shared" si="6"/>
        <v/>
      </c>
      <c r="R723" s="25" t="str">
        <f t="shared" si="7"/>
        <v/>
      </c>
      <c r="S723" s="19" t="str">
        <f t="shared" si="8"/>
        <v/>
      </c>
      <c r="T723" s="19" t="str">
        <f t="shared" si="9"/>
        <v/>
      </c>
      <c r="U723" s="3"/>
      <c r="V723" s="4" t="str">
        <f>IF(ISBLANK(C723),,IFERROR(IF(VLOOKUP(B723,Standings!$A:$F, 6, 0)=VLOOKUP(C723,Standings!$A:$F, 6, 0), VLOOKUP(B723,Standings!$A:$F, 6, 0), "Non-con"), "FCS"))</f>
        <v/>
      </c>
      <c r="W723" s="3" t="str">
        <f t="shared" si="10"/>
        <v/>
      </c>
      <c r="X723" s="3" t="str">
        <f t="shared" si="11"/>
        <v/>
      </c>
      <c r="Y723" s="30" t="str">
        <f>IF(D723=0,,IF(ISBLANK(Q723),,VLOOKUP(X723,Week1,2,FALSE)/(VLOOKUP(X723,Week1,2,FALSE)+VLOOKUP(W723,Week1,2,FALSE)))*100)</f>
        <v/>
      </c>
      <c r="Z723" s="4"/>
      <c r="AA723" s="3"/>
      <c r="AB723" s="4" t="str">
        <f t="shared" si="20"/>
        <v/>
      </c>
      <c r="AC723" s="3"/>
      <c r="AD723" s="3"/>
      <c r="AE723" s="3" t="str">
        <f t="shared" si="13"/>
        <v/>
      </c>
      <c r="AF723" s="3"/>
      <c r="AG723" s="3" t="str">
        <f t="shared" si="133"/>
        <v/>
      </c>
      <c r="AH723" s="3"/>
      <c r="AI723" s="7"/>
      <c r="AJ723" s="4"/>
      <c r="AK723" s="7"/>
      <c r="AL723" s="7"/>
      <c r="AM723" s="7"/>
      <c r="AN723" s="7"/>
      <c r="AO723" s="7"/>
      <c r="AP723" s="7"/>
      <c r="AQ723" s="7"/>
      <c r="AR723" s="7"/>
      <c r="AS723" s="7"/>
      <c r="AT723" s="7"/>
      <c r="AU723" s="7"/>
      <c r="AV723" s="7"/>
      <c r="AW723" s="7"/>
      <c r="AX723" s="7"/>
    </row>
    <row r="724" ht="12.75" customHeight="1">
      <c r="A724" s="4"/>
      <c r="B724" s="4"/>
      <c r="C724" s="4"/>
      <c r="D724" s="4"/>
      <c r="E724" s="4" t="str">
        <f>IF(ISBLANK(B724),,IFERROR(VLOOKUP(B724,CurrentRank!$B$2:$C$132,2,FALSE),0))</f>
        <v/>
      </c>
      <c r="F724" s="4"/>
      <c r="G724" s="4" t="str">
        <f>IF(ISBLANK(B724),,IFERROR(VLOOKUP(B724,CurrentRank!$B$2:$D$132,3,FALSE),130))</f>
        <v/>
      </c>
      <c r="H724" s="4"/>
      <c r="I724" s="4" t="str">
        <f>IF(ISBLANK(B724),,IFERROR(VLOOKUP(C724,CurrentRank!$B$2:$C$132,2,FALSE),0))</f>
        <v/>
      </c>
      <c r="J724" s="4"/>
      <c r="K724" s="4" t="str">
        <f>IF(ISBLANK(C724),,IFERROR(VLOOKUP(C724,CurrentRank!$B$2:$D$132,3,FALSE),130))</f>
        <v/>
      </c>
      <c r="L724" s="19" t="str">
        <f t="shared" si="279"/>
        <v/>
      </c>
      <c r="M724" s="19" t="str">
        <f t="shared" si="280"/>
        <v/>
      </c>
      <c r="N724" s="24" t="str">
        <f t="shared" si="276"/>
        <v/>
      </c>
      <c r="O724" s="21" t="str">
        <f t="shared" si="4"/>
        <v/>
      </c>
      <c r="P724" s="21" t="str">
        <f t="shared" si="282"/>
        <v/>
      </c>
      <c r="Q724" s="22" t="str">
        <f t="shared" si="6"/>
        <v/>
      </c>
      <c r="R724" s="25" t="str">
        <f t="shared" si="7"/>
        <v/>
      </c>
      <c r="S724" s="19" t="str">
        <f t="shared" si="8"/>
        <v/>
      </c>
      <c r="T724" s="19" t="str">
        <f t="shared" si="9"/>
        <v/>
      </c>
      <c r="U724" s="3"/>
      <c r="V724" s="4" t="str">
        <f>IF(ISBLANK(C724),,IFERROR(IF(VLOOKUP(B724,Standings!$A:$F, 6, 0)=VLOOKUP(C724,Standings!$A:$F, 6, 0), VLOOKUP(B724,Standings!$A:$F, 6, 0), "Non-con"), "FCS"))</f>
        <v/>
      </c>
      <c r="W724" s="3" t="str">
        <f t="shared" si="10"/>
        <v/>
      </c>
      <c r="X724" s="3" t="str">
        <f t="shared" si="11"/>
        <v/>
      </c>
      <c r="Y724" s="30" t="str">
        <f>IF(D724=0,,IF(ISBLANK(Q724),,VLOOKUP(X724,Week1,2,FALSE)/(VLOOKUP(X724,Week1,2,FALSE)+VLOOKUP(W724,Week1,2,FALSE)))*100)</f>
        <v/>
      </c>
      <c r="Z724" s="4"/>
      <c r="AA724" s="3"/>
      <c r="AB724" s="4" t="str">
        <f t="shared" si="20"/>
        <v/>
      </c>
      <c r="AC724" s="3"/>
      <c r="AD724" s="3"/>
      <c r="AE724" s="3" t="str">
        <f t="shared" si="13"/>
        <v/>
      </c>
      <c r="AF724" s="3"/>
      <c r="AG724" s="3" t="str">
        <f t="shared" si="133"/>
        <v/>
      </c>
      <c r="AH724" s="3"/>
      <c r="AI724" s="7"/>
      <c r="AJ724" s="4"/>
      <c r="AK724" s="7"/>
      <c r="AL724" s="7"/>
      <c r="AM724" s="7"/>
      <c r="AN724" s="7"/>
      <c r="AO724" s="7"/>
      <c r="AP724" s="7"/>
      <c r="AQ724" s="7"/>
      <c r="AR724" s="7"/>
      <c r="AS724" s="7"/>
      <c r="AT724" s="7"/>
      <c r="AU724" s="7"/>
      <c r="AV724" s="7"/>
      <c r="AW724" s="7"/>
      <c r="AX724" s="7"/>
    </row>
    <row r="725" ht="12.75" customHeight="1">
      <c r="A725" s="4"/>
      <c r="B725" s="4"/>
      <c r="C725" s="4"/>
      <c r="D725" s="4"/>
      <c r="E725" s="4" t="str">
        <f>IF(ISBLANK(B725),,IFERROR(VLOOKUP(B725,CurrentRank!$B$2:$C$132,2,FALSE),0))</f>
        <v/>
      </c>
      <c r="F725" s="4"/>
      <c r="G725" s="4" t="str">
        <f>IF(ISBLANK(B725),,IFERROR(VLOOKUP(B725,CurrentRank!$B$2:$D$132,3,FALSE),130))</f>
        <v/>
      </c>
      <c r="H725" s="4"/>
      <c r="I725" s="4" t="str">
        <f>IF(ISBLANK(B725),,IFERROR(VLOOKUP(C725,CurrentRank!$B$2:$C$132,2,FALSE),0))</f>
        <v/>
      </c>
      <c r="J725" s="4"/>
      <c r="K725" s="4" t="str">
        <f>IF(ISBLANK(C725),,IFERROR(VLOOKUP(C725,CurrentRank!$B$2:$D$132,3,FALSE),130))</f>
        <v/>
      </c>
      <c r="L725" s="19" t="str">
        <f t="shared" si="279"/>
        <v/>
      </c>
      <c r="M725" s="19" t="str">
        <f t="shared" si="280"/>
        <v/>
      </c>
      <c r="N725" s="24" t="str">
        <f t="shared" si="276"/>
        <v/>
      </c>
      <c r="O725" s="21" t="str">
        <f t="shared" si="4"/>
        <v/>
      </c>
      <c r="P725" s="21" t="str">
        <f t="shared" si="282"/>
        <v/>
      </c>
      <c r="Q725" s="22" t="str">
        <f t="shared" si="6"/>
        <v/>
      </c>
      <c r="R725" s="25" t="str">
        <f t="shared" si="7"/>
        <v/>
      </c>
      <c r="S725" s="19" t="str">
        <f t="shared" si="8"/>
        <v/>
      </c>
      <c r="T725" s="19" t="str">
        <f t="shared" si="9"/>
        <v/>
      </c>
      <c r="U725" s="3"/>
      <c r="V725" s="4" t="str">
        <f>IF(ISBLANK(C725),,IFERROR(IF(VLOOKUP(B725,Standings!$A:$F, 6, 0)=VLOOKUP(C725,Standings!$A:$F, 6, 0), VLOOKUP(B725,Standings!$A:$F, 6, 0), "Non-con"), "FCS"))</f>
        <v/>
      </c>
      <c r="W725" s="3" t="str">
        <f t="shared" si="10"/>
        <v/>
      </c>
      <c r="X725" s="3" t="str">
        <f t="shared" si="11"/>
        <v/>
      </c>
      <c r="Y725" s="30" t="str">
        <f>IF(D725=0,,IF(ISBLANK(Q725),,VLOOKUP(X725,Week1,2,FALSE)/(VLOOKUP(X725,Week1,2,FALSE)+VLOOKUP(W725,Week1,2,FALSE)))*100)</f>
        <v/>
      </c>
      <c r="Z725" s="4"/>
      <c r="AA725" s="3"/>
      <c r="AB725" s="4" t="str">
        <f t="shared" si="20"/>
        <v/>
      </c>
      <c r="AC725" s="3"/>
      <c r="AD725" s="3"/>
      <c r="AE725" s="3" t="str">
        <f t="shared" si="13"/>
        <v/>
      </c>
      <c r="AF725" s="3"/>
      <c r="AG725" s="3" t="str">
        <f t="shared" si="133"/>
        <v/>
      </c>
      <c r="AH725" s="3"/>
      <c r="AI725" s="7"/>
      <c r="AJ725" s="4"/>
      <c r="AK725" s="7"/>
      <c r="AL725" s="7"/>
      <c r="AM725" s="7"/>
      <c r="AN725" s="7"/>
      <c r="AO725" s="7"/>
      <c r="AP725" s="7"/>
      <c r="AQ725" s="7"/>
      <c r="AR725" s="7"/>
      <c r="AS725" s="7"/>
      <c r="AT725" s="7"/>
      <c r="AU725" s="7"/>
      <c r="AV725" s="7"/>
      <c r="AW725" s="7"/>
      <c r="AX725" s="7"/>
    </row>
    <row r="726" ht="12.75" customHeight="1">
      <c r="A726" s="4"/>
      <c r="B726" s="4"/>
      <c r="C726" s="4"/>
      <c r="D726" s="4"/>
      <c r="E726" s="4" t="str">
        <f>IF(ISBLANK(B726),,IFERROR(VLOOKUP(B726,CurrentRank!$B$2:$C$132,2,FALSE),0))</f>
        <v/>
      </c>
      <c r="F726" s="4"/>
      <c r="G726" s="4" t="str">
        <f>IF(ISBLANK(B726),,IFERROR(VLOOKUP(B726,CurrentRank!$B$2:$D$132,3,FALSE),130))</f>
        <v/>
      </c>
      <c r="H726" s="4"/>
      <c r="I726" s="4" t="str">
        <f>IF(ISBLANK(B726),,IFERROR(VLOOKUP(C726,CurrentRank!$B$2:$C$132,2,FALSE),0))</f>
        <v/>
      </c>
      <c r="J726" s="4"/>
      <c r="K726" s="4" t="str">
        <f>IF(ISBLANK(C726),,IFERROR(VLOOKUP(C726,CurrentRank!$B$2:$D$132,3,FALSE),130))</f>
        <v/>
      </c>
      <c r="L726" s="19" t="str">
        <f t="shared" si="279"/>
        <v/>
      </c>
      <c r="M726" s="19" t="str">
        <f t="shared" si="280"/>
        <v/>
      </c>
      <c r="N726" s="24" t="str">
        <f t="shared" si="276"/>
        <v/>
      </c>
      <c r="O726" s="21" t="str">
        <f t="shared" si="4"/>
        <v/>
      </c>
      <c r="P726" s="21" t="str">
        <f t="shared" si="282"/>
        <v/>
      </c>
      <c r="Q726" s="22" t="str">
        <f t="shared" si="6"/>
        <v/>
      </c>
      <c r="R726" s="25" t="str">
        <f t="shared" si="7"/>
        <v/>
      </c>
      <c r="S726" s="19" t="str">
        <f t="shared" si="8"/>
        <v/>
      </c>
      <c r="T726" s="19" t="str">
        <f t="shared" si="9"/>
        <v/>
      </c>
      <c r="U726" s="3"/>
      <c r="V726" s="4" t="str">
        <f>IF(ISBLANK(C726),,IFERROR(IF(VLOOKUP(B726,Standings!$A:$F, 6, 0)=VLOOKUP(C726,Standings!$A:$F, 6, 0), VLOOKUP(B726,Standings!$A:$F, 6, 0), "Non-con"), "FCS"))</f>
        <v/>
      </c>
      <c r="W726" s="3" t="str">
        <f t="shared" si="10"/>
        <v/>
      </c>
      <c r="X726" s="3" t="str">
        <f t="shared" si="11"/>
        <v/>
      </c>
      <c r="Y726" s="30" t="str">
        <f>IF(D726=0,,IF(ISBLANK(Q726),,VLOOKUP(X726,Week1,2,FALSE)/(VLOOKUP(X726,Week1,2,FALSE)+VLOOKUP(W726,Week1,2,FALSE)))*100)</f>
        <v/>
      </c>
      <c r="Z726" s="4"/>
      <c r="AA726" s="3"/>
      <c r="AB726" s="4" t="str">
        <f t="shared" si="20"/>
        <v/>
      </c>
      <c r="AC726" s="3"/>
      <c r="AD726" s="3"/>
      <c r="AE726" s="3" t="str">
        <f t="shared" si="13"/>
        <v/>
      </c>
      <c r="AF726" s="3"/>
      <c r="AG726" s="3" t="str">
        <f t="shared" si="133"/>
        <v/>
      </c>
      <c r="AH726" s="3"/>
      <c r="AI726" s="7"/>
      <c r="AJ726" s="4"/>
      <c r="AK726" s="7"/>
      <c r="AL726" s="7"/>
      <c r="AM726" s="7"/>
      <c r="AN726" s="7"/>
      <c r="AO726" s="7"/>
      <c r="AP726" s="7"/>
      <c r="AQ726" s="7"/>
      <c r="AR726" s="7"/>
      <c r="AS726" s="7"/>
      <c r="AT726" s="7"/>
      <c r="AU726" s="7"/>
      <c r="AV726" s="7"/>
      <c r="AW726" s="7"/>
      <c r="AX726" s="7"/>
    </row>
    <row r="727" ht="12.75" customHeight="1">
      <c r="A727" s="4"/>
      <c r="B727" s="4"/>
      <c r="C727" s="4"/>
      <c r="D727" s="4"/>
      <c r="E727" s="4" t="str">
        <f>IF(ISBLANK(B727),,IFERROR(VLOOKUP(B727,CurrentRank!$B$2:$C$132,2,FALSE),0))</f>
        <v/>
      </c>
      <c r="F727" s="4"/>
      <c r="G727" s="4" t="str">
        <f>IF(ISBLANK(B727),,IFERROR(VLOOKUP(B727,CurrentRank!$B$2:$D$132,3,FALSE),130))</f>
        <v/>
      </c>
      <c r="H727" s="4"/>
      <c r="I727" s="4" t="str">
        <f>IF(ISBLANK(B727),,IFERROR(VLOOKUP(C727,CurrentRank!$B$2:$C$132,2,FALSE),0))</f>
        <v/>
      </c>
      <c r="J727" s="4"/>
      <c r="K727" s="4" t="str">
        <f>IF(ISBLANK(C727),,IFERROR(VLOOKUP(C727,CurrentRank!$B$2:$D$132,3,FALSE),130))</f>
        <v/>
      </c>
      <c r="L727" s="19" t="str">
        <f t="shared" si="279"/>
        <v/>
      </c>
      <c r="M727" s="19" t="str">
        <f t="shared" si="280"/>
        <v/>
      </c>
      <c r="N727" s="24" t="str">
        <f t="shared" si="276"/>
        <v/>
      </c>
      <c r="O727" s="21" t="str">
        <f t="shared" si="4"/>
        <v/>
      </c>
      <c r="P727" s="21" t="str">
        <f t="shared" si="282"/>
        <v/>
      </c>
      <c r="Q727" s="22" t="str">
        <f t="shared" si="6"/>
        <v/>
      </c>
      <c r="R727" s="25" t="str">
        <f t="shared" si="7"/>
        <v/>
      </c>
      <c r="S727" s="19" t="str">
        <f t="shared" si="8"/>
        <v/>
      </c>
      <c r="T727" s="19" t="str">
        <f t="shared" si="9"/>
        <v/>
      </c>
      <c r="U727" s="3"/>
      <c r="V727" s="4" t="str">
        <f>IF(ISBLANK(C727),,IFERROR(IF(VLOOKUP(B727,Standings!$A:$F, 6, 0)=VLOOKUP(C727,Standings!$A:$F, 6, 0), VLOOKUP(B727,Standings!$A:$F, 6, 0), "Non-con"), "FCS"))</f>
        <v/>
      </c>
      <c r="W727" s="3" t="str">
        <f t="shared" si="10"/>
        <v/>
      </c>
      <c r="X727" s="3" t="str">
        <f t="shared" si="11"/>
        <v/>
      </c>
      <c r="Y727" s="30" t="str">
        <f>IF(D727=0,,IF(ISBLANK(Q727),,VLOOKUP(X727,Week1,2,FALSE)/(VLOOKUP(X727,Week1,2,FALSE)+VLOOKUP(W727,Week1,2,FALSE)))*100)</f>
        <v/>
      </c>
      <c r="Z727" s="4"/>
      <c r="AA727" s="3"/>
      <c r="AB727" s="4" t="str">
        <f t="shared" si="20"/>
        <v/>
      </c>
      <c r="AC727" s="3"/>
      <c r="AD727" s="3"/>
      <c r="AE727" s="3" t="str">
        <f t="shared" si="13"/>
        <v/>
      </c>
      <c r="AF727" s="3"/>
      <c r="AG727" s="3" t="str">
        <f t="shared" si="133"/>
        <v/>
      </c>
      <c r="AH727" s="3"/>
      <c r="AI727" s="7"/>
      <c r="AJ727" s="4"/>
      <c r="AK727" s="7"/>
      <c r="AL727" s="7"/>
      <c r="AM727" s="7"/>
      <c r="AN727" s="7"/>
      <c r="AO727" s="7"/>
      <c r="AP727" s="7"/>
      <c r="AQ727" s="7"/>
      <c r="AR727" s="7"/>
      <c r="AS727" s="7"/>
      <c r="AT727" s="7"/>
      <c r="AU727" s="7"/>
      <c r="AV727" s="7"/>
      <c r="AW727" s="7"/>
      <c r="AX727" s="7"/>
    </row>
    <row r="728" ht="12.75" customHeight="1">
      <c r="A728" s="4"/>
      <c r="B728" s="4"/>
      <c r="C728" s="4"/>
      <c r="D728" s="4"/>
      <c r="E728" s="4" t="str">
        <f>IF(ISBLANK(B728),,IFERROR(VLOOKUP(B728,CurrentRank!$B$2:$C$132,2,FALSE),0))</f>
        <v/>
      </c>
      <c r="F728" s="4"/>
      <c r="G728" s="4" t="str">
        <f>IF(ISBLANK(B728),,IFERROR(VLOOKUP(B728,CurrentRank!$B$2:$D$132,3,FALSE),130))</f>
        <v/>
      </c>
      <c r="H728" s="4"/>
      <c r="I728" s="4" t="str">
        <f>IF(ISBLANK(B728),,IFERROR(VLOOKUP(C728,CurrentRank!$B$2:$C$132,2,FALSE),0))</f>
        <v/>
      </c>
      <c r="J728" s="4"/>
      <c r="K728" s="4" t="str">
        <f>IF(ISBLANK(C728),,IFERROR(VLOOKUP(C728,CurrentRank!$B$2:$D$132,3,FALSE),130))</f>
        <v/>
      </c>
      <c r="L728" s="19" t="str">
        <f t="shared" si="279"/>
        <v/>
      </c>
      <c r="M728" s="19" t="str">
        <f t="shared" si="280"/>
        <v/>
      </c>
      <c r="N728" s="24" t="str">
        <f t="shared" si="276"/>
        <v/>
      </c>
      <c r="O728" s="21" t="str">
        <f t="shared" si="4"/>
        <v/>
      </c>
      <c r="P728" s="21" t="str">
        <f t="shared" si="282"/>
        <v/>
      </c>
      <c r="Q728" s="22" t="str">
        <f t="shared" si="6"/>
        <v/>
      </c>
      <c r="R728" s="25" t="str">
        <f t="shared" si="7"/>
        <v/>
      </c>
      <c r="S728" s="19" t="str">
        <f t="shared" si="8"/>
        <v/>
      </c>
      <c r="T728" s="19" t="str">
        <f t="shared" si="9"/>
        <v/>
      </c>
      <c r="U728" s="3"/>
      <c r="V728" s="4" t="str">
        <f>IF(ISBLANK(C728),,IFERROR(IF(VLOOKUP(B728,Standings!$A:$F, 6, 0)=VLOOKUP(C728,Standings!$A:$F, 6, 0), VLOOKUP(B728,Standings!$A:$F, 6, 0), "Non-con"), "FCS"))</f>
        <v/>
      </c>
      <c r="W728" s="3" t="str">
        <f t="shared" si="10"/>
        <v/>
      </c>
      <c r="X728" s="3" t="str">
        <f t="shared" si="11"/>
        <v/>
      </c>
      <c r="Y728" s="30" t="str">
        <f>IF(D728=0,,IF(ISBLANK(Q728),,VLOOKUP(X728,Week1,2,FALSE)/(VLOOKUP(X728,Week1,2,FALSE)+VLOOKUP(W728,Week1,2,FALSE)))*100)</f>
        <v/>
      </c>
      <c r="Z728" s="4"/>
      <c r="AA728" s="3"/>
      <c r="AB728" s="4" t="str">
        <f t="shared" si="20"/>
        <v/>
      </c>
      <c r="AC728" s="3"/>
      <c r="AD728" s="3"/>
      <c r="AE728" s="3" t="str">
        <f t="shared" si="13"/>
        <v/>
      </c>
      <c r="AF728" s="3"/>
      <c r="AG728" s="3" t="str">
        <f t="shared" si="133"/>
        <v/>
      </c>
      <c r="AH728" s="3"/>
      <c r="AI728" s="7"/>
      <c r="AJ728" s="4"/>
      <c r="AK728" s="7"/>
      <c r="AL728" s="7"/>
      <c r="AM728" s="7"/>
      <c r="AN728" s="7"/>
      <c r="AO728" s="7"/>
      <c r="AP728" s="7"/>
      <c r="AQ728" s="7"/>
      <c r="AR728" s="7"/>
      <c r="AS728" s="7"/>
      <c r="AT728" s="7"/>
      <c r="AU728" s="7"/>
      <c r="AV728" s="7"/>
      <c r="AW728" s="7"/>
      <c r="AX728" s="7"/>
    </row>
    <row r="729" ht="12.75" customHeight="1">
      <c r="A729" s="4"/>
      <c r="B729" s="4"/>
      <c r="C729" s="4"/>
      <c r="D729" s="4"/>
      <c r="E729" s="4" t="str">
        <f>IF(ISBLANK(B729),,IFERROR(VLOOKUP(B729,CurrentRank!$B$2:$C$132,2,FALSE),0))</f>
        <v/>
      </c>
      <c r="F729" s="4"/>
      <c r="G729" s="4" t="str">
        <f>IF(ISBLANK(B729),,IFERROR(VLOOKUP(B729,CurrentRank!$B$2:$D$132,3,FALSE),130))</f>
        <v/>
      </c>
      <c r="H729" s="4"/>
      <c r="I729" s="4" t="str">
        <f>IF(ISBLANK(B729),,IFERROR(VLOOKUP(C729,CurrentRank!$B$2:$C$132,2,FALSE),0))</f>
        <v/>
      </c>
      <c r="J729" s="4"/>
      <c r="K729" s="4" t="str">
        <f>IF(ISBLANK(C729),,IFERROR(VLOOKUP(C729,CurrentRank!$B$2:$D$132,3,FALSE),130))</f>
        <v/>
      </c>
      <c r="L729" s="19" t="str">
        <f t="shared" si="279"/>
        <v/>
      </c>
      <c r="M729" s="19" t="str">
        <f t="shared" si="280"/>
        <v/>
      </c>
      <c r="N729" s="24" t="str">
        <f t="shared" si="276"/>
        <v/>
      </c>
      <c r="O729" s="21" t="str">
        <f t="shared" si="4"/>
        <v/>
      </c>
      <c r="P729" s="21" t="str">
        <f t="shared" si="282"/>
        <v/>
      </c>
      <c r="Q729" s="22" t="str">
        <f t="shared" si="6"/>
        <v/>
      </c>
      <c r="R729" s="25" t="str">
        <f t="shared" si="7"/>
        <v/>
      </c>
      <c r="S729" s="19" t="str">
        <f t="shared" si="8"/>
        <v/>
      </c>
      <c r="T729" s="19" t="str">
        <f t="shared" si="9"/>
        <v/>
      </c>
      <c r="U729" s="3"/>
      <c r="V729" s="4" t="str">
        <f>IF(ISBLANK(C729),,IFERROR(IF(VLOOKUP(B729,Standings!$A:$F, 6, 0)=VLOOKUP(C729,Standings!$A:$F, 6, 0), VLOOKUP(B729,Standings!$A:$F, 6, 0), "Non-con"), "FCS"))</f>
        <v/>
      </c>
      <c r="W729" s="3" t="str">
        <f t="shared" si="10"/>
        <v/>
      </c>
      <c r="X729" s="3" t="str">
        <f t="shared" si="11"/>
        <v/>
      </c>
      <c r="Y729" s="30" t="str">
        <f>IF(D729=0,,IF(ISBLANK(Q729),,VLOOKUP(X729,Week1,2,FALSE)/(VLOOKUP(X729,Week1,2,FALSE)+VLOOKUP(W729,Week1,2,FALSE)))*100)</f>
        <v/>
      </c>
      <c r="Z729" s="4"/>
      <c r="AA729" s="3"/>
      <c r="AB729" s="4" t="str">
        <f t="shared" si="20"/>
        <v/>
      </c>
      <c r="AC729" s="3"/>
      <c r="AD729" s="3"/>
      <c r="AE729" s="3" t="str">
        <f t="shared" si="13"/>
        <v/>
      </c>
      <c r="AF729" s="3"/>
      <c r="AG729" s="3" t="str">
        <f t="shared" si="133"/>
        <v/>
      </c>
      <c r="AH729" s="3"/>
      <c r="AI729" s="7"/>
      <c r="AJ729" s="4"/>
      <c r="AK729" s="7"/>
      <c r="AL729" s="7"/>
      <c r="AM729" s="7"/>
      <c r="AN729" s="7"/>
      <c r="AO729" s="7"/>
      <c r="AP729" s="7"/>
      <c r="AQ729" s="7"/>
      <c r="AR729" s="7"/>
      <c r="AS729" s="7"/>
      <c r="AT729" s="7"/>
      <c r="AU729" s="7"/>
      <c r="AV729" s="7"/>
      <c r="AW729" s="7"/>
      <c r="AX729" s="7"/>
    </row>
    <row r="730" ht="12.75" customHeight="1">
      <c r="A730" s="4"/>
      <c r="B730" s="4"/>
      <c r="C730" s="4"/>
      <c r="D730" s="4"/>
      <c r="E730" s="4" t="str">
        <f>IF(ISBLANK(B730),,IFERROR(VLOOKUP(B730,CurrentRank!$B$2:$C$132,2,FALSE),0))</f>
        <v/>
      </c>
      <c r="F730" s="4"/>
      <c r="G730" s="4" t="str">
        <f>IF(ISBLANK(B730),,IFERROR(VLOOKUP(B730,CurrentRank!$B$2:$D$132,3,FALSE),130))</f>
        <v/>
      </c>
      <c r="H730" s="4"/>
      <c r="I730" s="4" t="str">
        <f>IF(ISBLANK(B730),,IFERROR(VLOOKUP(C730,CurrentRank!$B$2:$C$132,2,FALSE),0))</f>
        <v/>
      </c>
      <c r="J730" s="4"/>
      <c r="K730" s="4" t="str">
        <f>IF(ISBLANK(C730),,IFERROR(VLOOKUP(C730,CurrentRank!$B$2:$D$132,3,FALSE),130))</f>
        <v/>
      </c>
      <c r="L730" s="19" t="str">
        <f t="shared" si="279"/>
        <v/>
      </c>
      <c r="M730" s="19" t="str">
        <f t="shared" si="280"/>
        <v/>
      </c>
      <c r="N730" s="24" t="str">
        <f t="shared" si="276"/>
        <v/>
      </c>
      <c r="O730" s="21" t="str">
        <f t="shared" si="4"/>
        <v/>
      </c>
      <c r="P730" s="21" t="str">
        <f t="shared" si="282"/>
        <v/>
      </c>
      <c r="Q730" s="22" t="str">
        <f t="shared" si="6"/>
        <v/>
      </c>
      <c r="R730" s="25" t="str">
        <f t="shared" si="7"/>
        <v/>
      </c>
      <c r="S730" s="19" t="str">
        <f t="shared" si="8"/>
        <v/>
      </c>
      <c r="T730" s="19" t="str">
        <f t="shared" si="9"/>
        <v/>
      </c>
      <c r="U730" s="3"/>
      <c r="V730" s="4" t="str">
        <f>IF(ISBLANK(C730),,IFERROR(IF(VLOOKUP(B730,Standings!$A:$F, 6, 0)=VLOOKUP(C730,Standings!$A:$F, 6, 0), VLOOKUP(B730,Standings!$A:$F, 6, 0), "Non-con"), "FCS"))</f>
        <v/>
      </c>
      <c r="W730" s="3" t="str">
        <f t="shared" si="10"/>
        <v/>
      </c>
      <c r="X730" s="3" t="str">
        <f t="shared" si="11"/>
        <v/>
      </c>
      <c r="Y730" s="30" t="str">
        <f>IF(D730=0,,IF(ISBLANK(Q730),,VLOOKUP(X730,Week1,2,FALSE)/(VLOOKUP(X730,Week1,2,FALSE)+VLOOKUP(W730,Week1,2,FALSE)))*100)</f>
        <v/>
      </c>
      <c r="Z730" s="4"/>
      <c r="AA730" s="3"/>
      <c r="AB730" s="4" t="str">
        <f t="shared" si="20"/>
        <v/>
      </c>
      <c r="AC730" s="3"/>
      <c r="AD730" s="3"/>
      <c r="AE730" s="3" t="str">
        <f t="shared" si="13"/>
        <v/>
      </c>
      <c r="AF730" s="3"/>
      <c r="AG730" s="3" t="str">
        <f t="shared" si="133"/>
        <v/>
      </c>
      <c r="AH730" s="3"/>
      <c r="AI730" s="7"/>
      <c r="AJ730" s="4"/>
      <c r="AK730" s="7"/>
      <c r="AL730" s="7"/>
      <c r="AM730" s="7"/>
      <c r="AN730" s="7"/>
      <c r="AO730" s="7"/>
      <c r="AP730" s="7"/>
      <c r="AQ730" s="7"/>
      <c r="AR730" s="7"/>
      <c r="AS730" s="7"/>
      <c r="AT730" s="7"/>
      <c r="AU730" s="7"/>
      <c r="AV730" s="7"/>
      <c r="AW730" s="7"/>
      <c r="AX730" s="7"/>
    </row>
    <row r="731" ht="12.75" customHeight="1">
      <c r="A731" s="4"/>
      <c r="B731" s="4"/>
      <c r="C731" s="4"/>
      <c r="D731" s="4"/>
      <c r="E731" s="4" t="str">
        <f>IF(ISBLANK(B731),,IFERROR(VLOOKUP(B731,CurrentRank!$B$2:$C$132,2,FALSE),0))</f>
        <v/>
      </c>
      <c r="F731" s="4"/>
      <c r="G731" s="4" t="str">
        <f>IF(ISBLANK(B731),,IFERROR(VLOOKUP(B731,CurrentRank!$B$2:$D$132,3,FALSE),130))</f>
        <v/>
      </c>
      <c r="H731" s="4"/>
      <c r="I731" s="4" t="str">
        <f>IF(ISBLANK(B731),,IFERROR(VLOOKUP(C731,CurrentRank!$B$2:$C$132,2,FALSE),0))</f>
        <v/>
      </c>
      <c r="J731" s="4"/>
      <c r="K731" s="4" t="str">
        <f>IF(ISBLANK(C731),,IFERROR(VLOOKUP(C731,CurrentRank!$B$2:$D$132,3,FALSE),130))</f>
        <v/>
      </c>
      <c r="L731" s="19" t="str">
        <f t="shared" si="279"/>
        <v/>
      </c>
      <c r="M731" s="19" t="str">
        <f t="shared" si="280"/>
        <v/>
      </c>
      <c r="N731" s="24" t="str">
        <f t="shared" si="276"/>
        <v/>
      </c>
      <c r="O731" s="21" t="str">
        <f t="shared" si="4"/>
        <v/>
      </c>
      <c r="P731" s="21" t="str">
        <f t="shared" si="282"/>
        <v/>
      </c>
      <c r="Q731" s="22" t="str">
        <f t="shared" si="6"/>
        <v/>
      </c>
      <c r="R731" s="25" t="str">
        <f t="shared" si="7"/>
        <v/>
      </c>
      <c r="S731" s="19" t="str">
        <f t="shared" si="8"/>
        <v/>
      </c>
      <c r="T731" s="19" t="str">
        <f t="shared" si="9"/>
        <v/>
      </c>
      <c r="U731" s="3"/>
      <c r="V731" s="4" t="str">
        <f>IF(ISBLANK(C731),,IFERROR(IF(VLOOKUP(B731,Standings!$A:$F, 6, 0)=VLOOKUP(C731,Standings!$A:$F, 6, 0), VLOOKUP(B731,Standings!$A:$F, 6, 0), "Non-con"), "FCS"))</f>
        <v/>
      </c>
      <c r="W731" s="3" t="str">
        <f t="shared" si="10"/>
        <v/>
      </c>
      <c r="X731" s="3" t="str">
        <f t="shared" si="11"/>
        <v/>
      </c>
      <c r="Y731" s="30" t="str">
        <f>IF(D731=0,,IF(ISBLANK(Q731),,VLOOKUP(X731,Week1,2,FALSE)/(VLOOKUP(X731,Week1,2,FALSE)+VLOOKUP(W731,Week1,2,FALSE)))*100)</f>
        <v/>
      </c>
      <c r="Z731" s="4"/>
      <c r="AA731" s="3"/>
      <c r="AB731" s="4" t="str">
        <f t="shared" si="20"/>
        <v/>
      </c>
      <c r="AC731" s="3"/>
      <c r="AD731" s="3"/>
      <c r="AE731" s="3" t="str">
        <f t="shared" si="13"/>
        <v/>
      </c>
      <c r="AF731" s="3"/>
      <c r="AG731" s="3" t="str">
        <f t="shared" si="133"/>
        <v/>
      </c>
      <c r="AH731" s="3"/>
      <c r="AI731" s="7"/>
      <c r="AJ731" s="4"/>
      <c r="AK731" s="7"/>
      <c r="AL731" s="7"/>
      <c r="AM731" s="7"/>
      <c r="AN731" s="7"/>
      <c r="AO731" s="7"/>
      <c r="AP731" s="7"/>
      <c r="AQ731" s="7"/>
      <c r="AR731" s="7"/>
      <c r="AS731" s="7"/>
      <c r="AT731" s="7"/>
      <c r="AU731" s="7"/>
      <c r="AV731" s="7"/>
      <c r="AW731" s="7"/>
      <c r="AX731" s="7"/>
    </row>
    <row r="732" ht="12.75" customHeight="1">
      <c r="A732" s="4"/>
      <c r="B732" s="4"/>
      <c r="C732" s="4"/>
      <c r="D732" s="4"/>
      <c r="E732" s="4" t="str">
        <f>IF(ISBLANK(B732),,IFERROR(VLOOKUP(B732,CurrentRank!$B$2:$C$132,2,FALSE),0))</f>
        <v/>
      </c>
      <c r="F732" s="4"/>
      <c r="G732" s="4" t="str">
        <f>IF(ISBLANK(B732),,IFERROR(VLOOKUP(B732,CurrentRank!$B$2:$D$132,3,FALSE),130))</f>
        <v/>
      </c>
      <c r="H732" s="4"/>
      <c r="I732" s="4" t="str">
        <f>IF(ISBLANK(B732),,IFERROR(VLOOKUP(C732,CurrentRank!$B$2:$C$132,2,FALSE),0))</f>
        <v/>
      </c>
      <c r="J732" s="4"/>
      <c r="K732" s="4" t="str">
        <f>IF(ISBLANK(C732),,IFERROR(VLOOKUP(C732,CurrentRank!$B$2:$D$132,3,FALSE),130))</f>
        <v/>
      </c>
      <c r="L732" s="19" t="str">
        <f t="shared" si="279"/>
        <v/>
      </c>
      <c r="M732" s="19" t="str">
        <f t="shared" si="280"/>
        <v/>
      </c>
      <c r="N732" s="24" t="str">
        <f t="shared" si="276"/>
        <v/>
      </c>
      <c r="O732" s="21" t="str">
        <f t="shared" si="4"/>
        <v/>
      </c>
      <c r="P732" s="21" t="str">
        <f t="shared" si="282"/>
        <v/>
      </c>
      <c r="Q732" s="22" t="str">
        <f t="shared" si="6"/>
        <v/>
      </c>
      <c r="R732" s="25" t="str">
        <f t="shared" si="7"/>
        <v/>
      </c>
      <c r="S732" s="19" t="str">
        <f t="shared" si="8"/>
        <v/>
      </c>
      <c r="T732" s="19" t="str">
        <f t="shared" si="9"/>
        <v/>
      </c>
      <c r="U732" s="3"/>
      <c r="V732" s="4" t="str">
        <f>IF(ISBLANK(C732),,IFERROR(IF(VLOOKUP(B732,Standings!$A:$F, 6, 0)=VLOOKUP(C732,Standings!$A:$F, 6, 0), VLOOKUP(B732,Standings!$A:$F, 6, 0), "Non-con"), "FCS"))</f>
        <v/>
      </c>
      <c r="W732" s="3" t="str">
        <f t="shared" si="10"/>
        <v/>
      </c>
      <c r="X732" s="3" t="str">
        <f t="shared" si="11"/>
        <v/>
      </c>
      <c r="Y732" s="30" t="str">
        <f>IF(D732=0,,IF(ISBLANK(Q732),,VLOOKUP(X732,Week1,2,FALSE)/(VLOOKUP(X732,Week1,2,FALSE)+VLOOKUP(W732,Week1,2,FALSE)))*100)</f>
        <v/>
      </c>
      <c r="Z732" s="4"/>
      <c r="AA732" s="3"/>
      <c r="AB732" s="4" t="str">
        <f t="shared" si="20"/>
        <v/>
      </c>
      <c r="AC732" s="3"/>
      <c r="AD732" s="3"/>
      <c r="AE732" s="3" t="str">
        <f t="shared" si="13"/>
        <v/>
      </c>
      <c r="AF732" s="3"/>
      <c r="AG732" s="3" t="str">
        <f t="shared" si="133"/>
        <v/>
      </c>
      <c r="AH732" s="3"/>
      <c r="AI732" s="7"/>
      <c r="AJ732" s="4"/>
      <c r="AK732" s="7"/>
      <c r="AL732" s="7"/>
      <c r="AM732" s="7"/>
      <c r="AN732" s="7"/>
      <c r="AO732" s="7"/>
      <c r="AP732" s="7"/>
      <c r="AQ732" s="7"/>
      <c r="AR732" s="7"/>
      <c r="AS732" s="7"/>
      <c r="AT732" s="7"/>
      <c r="AU732" s="7"/>
      <c r="AV732" s="7"/>
      <c r="AW732" s="7"/>
      <c r="AX732" s="7"/>
    </row>
    <row r="733" ht="12.75" customHeight="1">
      <c r="A733" s="4"/>
      <c r="B733" s="4"/>
      <c r="C733" s="4"/>
      <c r="D733" s="4"/>
      <c r="E733" s="4" t="str">
        <f>IF(ISBLANK(B733),,IFERROR(VLOOKUP(B733,CurrentRank!$B$2:$C$132,2,FALSE),0))</f>
        <v/>
      </c>
      <c r="F733" s="4"/>
      <c r="G733" s="4" t="str">
        <f>IF(ISBLANK(B733),,IFERROR(VLOOKUP(B733,CurrentRank!$B$2:$D$132,3,FALSE),130))</f>
        <v/>
      </c>
      <c r="H733" s="4"/>
      <c r="I733" s="4" t="str">
        <f>IF(ISBLANK(B733),,IFERROR(VLOOKUP(C733,CurrentRank!$B$2:$C$132,2,FALSE),0))</f>
        <v/>
      </c>
      <c r="J733" s="4"/>
      <c r="K733" s="4" t="str">
        <f>IF(ISBLANK(C733),,IFERROR(VLOOKUP(C733,CurrentRank!$B$2:$D$132,3,FALSE),130))</f>
        <v/>
      </c>
      <c r="L733" s="19" t="str">
        <f t="shared" si="279"/>
        <v/>
      </c>
      <c r="M733" s="19" t="str">
        <f t="shared" si="280"/>
        <v/>
      </c>
      <c r="N733" s="24" t="str">
        <f t="shared" si="276"/>
        <v/>
      </c>
      <c r="O733" s="21" t="str">
        <f t="shared" si="4"/>
        <v/>
      </c>
      <c r="P733" s="21" t="str">
        <f t="shared" si="282"/>
        <v/>
      </c>
      <c r="Q733" s="22" t="str">
        <f t="shared" si="6"/>
        <v/>
      </c>
      <c r="R733" s="25" t="str">
        <f t="shared" si="7"/>
        <v/>
      </c>
      <c r="S733" s="19" t="str">
        <f t="shared" si="8"/>
        <v/>
      </c>
      <c r="T733" s="19" t="str">
        <f t="shared" si="9"/>
        <v/>
      </c>
      <c r="U733" s="3"/>
      <c r="V733" s="4" t="str">
        <f>IF(ISBLANK(C733),,IFERROR(IF(VLOOKUP(B733,Standings!$A:$F, 6, 0)=VLOOKUP(C733,Standings!$A:$F, 6, 0), VLOOKUP(B733,Standings!$A:$F, 6, 0), "Non-con"), "FCS"))</f>
        <v/>
      </c>
      <c r="W733" s="3" t="str">
        <f t="shared" si="10"/>
        <v/>
      </c>
      <c r="X733" s="3" t="str">
        <f t="shared" si="11"/>
        <v/>
      </c>
      <c r="Y733" s="30" t="str">
        <f>IF(D733=0,,IF(ISBLANK(Q733),,VLOOKUP(X733,Week1,2,FALSE)/(VLOOKUP(X733,Week1,2,FALSE)+VLOOKUP(W733,Week1,2,FALSE)))*100)</f>
        <v/>
      </c>
      <c r="Z733" s="4"/>
      <c r="AA733" s="3"/>
      <c r="AB733" s="4" t="str">
        <f t="shared" si="20"/>
        <v/>
      </c>
      <c r="AC733" s="3"/>
      <c r="AD733" s="3"/>
      <c r="AE733" s="3" t="str">
        <f t="shared" si="13"/>
        <v/>
      </c>
      <c r="AF733" s="3"/>
      <c r="AG733" s="3" t="str">
        <f t="shared" si="133"/>
        <v/>
      </c>
      <c r="AH733" s="3"/>
      <c r="AI733" s="7"/>
      <c r="AJ733" s="4"/>
      <c r="AK733" s="7"/>
      <c r="AL733" s="7"/>
      <c r="AM733" s="7"/>
      <c r="AN733" s="7"/>
      <c r="AO733" s="7"/>
      <c r="AP733" s="7"/>
      <c r="AQ733" s="7"/>
      <c r="AR733" s="7"/>
      <c r="AS733" s="7"/>
      <c r="AT733" s="7"/>
      <c r="AU733" s="7"/>
      <c r="AV733" s="7"/>
      <c r="AW733" s="7"/>
      <c r="AX733" s="7"/>
    </row>
    <row r="734" ht="12.75" customHeight="1">
      <c r="A734" s="4"/>
      <c r="B734" s="4"/>
      <c r="C734" s="4"/>
      <c r="D734" s="4"/>
      <c r="E734" s="4" t="str">
        <f>IF(ISBLANK(B734),,IFERROR(VLOOKUP(B734,CurrentRank!$B$2:$C$132,2,FALSE),0))</f>
        <v/>
      </c>
      <c r="F734" s="4"/>
      <c r="G734" s="4" t="str">
        <f>IF(ISBLANK(B734),,IFERROR(VLOOKUP(B734,CurrentRank!$B$2:$D$132,3,FALSE),130))</f>
        <v/>
      </c>
      <c r="H734" s="4"/>
      <c r="I734" s="4" t="str">
        <f>IF(ISBLANK(B734),,IFERROR(VLOOKUP(C734,CurrentRank!$B$2:$C$132,2,FALSE),0))</f>
        <v/>
      </c>
      <c r="J734" s="4"/>
      <c r="K734" s="4" t="str">
        <f>IF(ISBLANK(C734),,IFERROR(VLOOKUP(C734,CurrentRank!$B$2:$D$132,3,FALSE),130))</f>
        <v/>
      </c>
      <c r="L734" s="19" t="str">
        <f t="shared" si="279"/>
        <v/>
      </c>
      <c r="M734" s="19" t="str">
        <f t="shared" si="280"/>
        <v/>
      </c>
      <c r="N734" s="24" t="str">
        <f t="shared" si="276"/>
        <v/>
      </c>
      <c r="O734" s="21" t="str">
        <f t="shared" si="4"/>
        <v/>
      </c>
      <c r="P734" s="21" t="str">
        <f t="shared" si="282"/>
        <v/>
      </c>
      <c r="Q734" s="22" t="str">
        <f t="shared" si="6"/>
        <v/>
      </c>
      <c r="R734" s="25" t="str">
        <f t="shared" si="7"/>
        <v/>
      </c>
      <c r="S734" s="19" t="str">
        <f t="shared" si="8"/>
        <v/>
      </c>
      <c r="T734" s="19" t="str">
        <f t="shared" si="9"/>
        <v/>
      </c>
      <c r="U734" s="3"/>
      <c r="V734" s="4" t="str">
        <f>IF(ISBLANK(C734),,IFERROR(IF(VLOOKUP(B734,Standings!$A:$F, 6, 0)=VLOOKUP(C734,Standings!$A:$F, 6, 0), VLOOKUP(B734,Standings!$A:$F, 6, 0), "Non-con"), "FCS"))</f>
        <v/>
      </c>
      <c r="W734" s="3" t="str">
        <f t="shared" si="10"/>
        <v/>
      </c>
      <c r="X734" s="3" t="str">
        <f t="shared" si="11"/>
        <v/>
      </c>
      <c r="Y734" s="30" t="str">
        <f>IF(D734=0,,IF(ISBLANK(Q734),,VLOOKUP(X734,Week1,2,FALSE)/(VLOOKUP(X734,Week1,2,FALSE)+VLOOKUP(W734,Week1,2,FALSE)))*100)</f>
        <v/>
      </c>
      <c r="Z734" s="4"/>
      <c r="AA734" s="3"/>
      <c r="AB734" s="4" t="str">
        <f t="shared" si="20"/>
        <v/>
      </c>
      <c r="AC734" s="3"/>
      <c r="AD734" s="3"/>
      <c r="AE734" s="3" t="str">
        <f t="shared" si="13"/>
        <v/>
      </c>
      <c r="AF734" s="3"/>
      <c r="AG734" s="3" t="str">
        <f t="shared" si="133"/>
        <v/>
      </c>
      <c r="AH734" s="3"/>
      <c r="AI734" s="7"/>
      <c r="AJ734" s="4"/>
      <c r="AK734" s="7"/>
      <c r="AL734" s="7"/>
      <c r="AM734" s="7"/>
      <c r="AN734" s="7"/>
      <c r="AO734" s="7"/>
      <c r="AP734" s="7"/>
      <c r="AQ734" s="7"/>
      <c r="AR734" s="7"/>
      <c r="AS734" s="7"/>
      <c r="AT734" s="7"/>
      <c r="AU734" s="7"/>
      <c r="AV734" s="7"/>
      <c r="AW734" s="7"/>
      <c r="AX734" s="7"/>
    </row>
    <row r="735" ht="12.75" customHeight="1">
      <c r="A735" s="4"/>
      <c r="B735" s="4"/>
      <c r="C735" s="4"/>
      <c r="D735" s="4"/>
      <c r="E735" s="4" t="str">
        <f>IF(ISBLANK(B735),,IFERROR(VLOOKUP(B735,CurrentRank!$B$2:$C$132,2,FALSE),0))</f>
        <v/>
      </c>
      <c r="F735" s="4"/>
      <c r="G735" s="4" t="str">
        <f>IF(ISBLANK(B735),,IFERROR(VLOOKUP(B735,CurrentRank!$B$2:$D$132,3,FALSE),130))</f>
        <v/>
      </c>
      <c r="H735" s="4"/>
      <c r="I735" s="4" t="str">
        <f>IF(ISBLANK(B735),,IFERROR(VLOOKUP(C735,CurrentRank!$B$2:$C$132,2,FALSE),0))</f>
        <v/>
      </c>
      <c r="J735" s="4"/>
      <c r="K735" s="4" t="str">
        <f>IF(ISBLANK(C735),,IFERROR(VLOOKUP(C735,CurrentRank!$B$2:$D$132,3,FALSE),130))</f>
        <v/>
      </c>
      <c r="L735" s="19" t="str">
        <f t="shared" si="279"/>
        <v/>
      </c>
      <c r="M735" s="19" t="str">
        <f t="shared" si="280"/>
        <v/>
      </c>
      <c r="N735" s="24" t="str">
        <f t="shared" si="276"/>
        <v/>
      </c>
      <c r="O735" s="21" t="str">
        <f t="shared" si="4"/>
        <v/>
      </c>
      <c r="P735" s="21" t="str">
        <f t="shared" si="282"/>
        <v/>
      </c>
      <c r="Q735" s="22" t="str">
        <f t="shared" si="6"/>
        <v/>
      </c>
      <c r="R735" s="25" t="str">
        <f t="shared" si="7"/>
        <v/>
      </c>
      <c r="S735" s="19" t="str">
        <f t="shared" si="8"/>
        <v/>
      </c>
      <c r="T735" s="19" t="str">
        <f t="shared" si="9"/>
        <v/>
      </c>
      <c r="U735" s="3"/>
      <c r="V735" s="4" t="str">
        <f>IF(ISBLANK(C735),,IFERROR(IF(VLOOKUP(B735,Standings!$A:$F, 6, 0)=VLOOKUP(C735,Standings!$A:$F, 6, 0), VLOOKUP(B735,Standings!$A:$F, 6, 0), "Non-con"), "FCS"))</f>
        <v/>
      </c>
      <c r="W735" s="3" t="str">
        <f t="shared" si="10"/>
        <v/>
      </c>
      <c r="X735" s="3" t="str">
        <f t="shared" si="11"/>
        <v/>
      </c>
      <c r="Y735" s="30" t="str">
        <f>IF(D735=0,,IF(ISBLANK(Q735),,VLOOKUP(X735,Week1,2,FALSE)/(VLOOKUP(X735,Week1,2,FALSE)+VLOOKUP(W735,Week1,2,FALSE)))*100)</f>
        <v/>
      </c>
      <c r="Z735" s="4"/>
      <c r="AA735" s="3"/>
      <c r="AB735" s="4" t="str">
        <f t="shared" si="20"/>
        <v/>
      </c>
      <c r="AC735" s="3"/>
      <c r="AD735" s="3"/>
      <c r="AE735" s="3" t="str">
        <f t="shared" si="13"/>
        <v/>
      </c>
      <c r="AF735" s="3"/>
      <c r="AG735" s="3" t="str">
        <f t="shared" si="133"/>
        <v/>
      </c>
      <c r="AH735" s="3"/>
      <c r="AI735" s="7"/>
      <c r="AJ735" s="4"/>
      <c r="AK735" s="7"/>
      <c r="AL735" s="7"/>
      <c r="AM735" s="7"/>
      <c r="AN735" s="7"/>
      <c r="AO735" s="7"/>
      <c r="AP735" s="7"/>
      <c r="AQ735" s="7"/>
      <c r="AR735" s="7"/>
      <c r="AS735" s="7"/>
      <c r="AT735" s="7"/>
      <c r="AU735" s="7"/>
      <c r="AV735" s="7"/>
      <c r="AW735" s="7"/>
      <c r="AX735" s="7"/>
    </row>
    <row r="736" ht="12.75" customHeight="1">
      <c r="A736" s="4"/>
      <c r="B736" s="4"/>
      <c r="C736" s="4"/>
      <c r="D736" s="4"/>
      <c r="E736" s="4" t="str">
        <f>IF(ISBLANK(B736),,IFERROR(VLOOKUP(B736,CurrentRank!$B$2:$C$132,2,FALSE),0))</f>
        <v/>
      </c>
      <c r="F736" s="4"/>
      <c r="G736" s="4" t="str">
        <f>IF(ISBLANK(B736),,IFERROR(VLOOKUP(B736,CurrentRank!$B$2:$D$132,3,FALSE),130))</f>
        <v/>
      </c>
      <c r="H736" s="4"/>
      <c r="I736" s="4" t="str">
        <f>IF(ISBLANK(B736),,IFERROR(VLOOKUP(C736,CurrentRank!$B$2:$C$132,2,FALSE),0))</f>
        <v/>
      </c>
      <c r="J736" s="4"/>
      <c r="K736" s="4" t="str">
        <f>IF(ISBLANK(C736),,IFERROR(VLOOKUP(C736,CurrentRank!$B$2:$D$132,3,FALSE),130))</f>
        <v/>
      </c>
      <c r="L736" s="19" t="str">
        <f t="shared" si="279"/>
        <v/>
      </c>
      <c r="M736" s="19" t="str">
        <f t="shared" si="280"/>
        <v/>
      </c>
      <c r="N736" s="24" t="str">
        <f t="shared" si="276"/>
        <v/>
      </c>
      <c r="O736" s="21" t="str">
        <f t="shared" si="4"/>
        <v/>
      </c>
      <c r="P736" s="21" t="str">
        <f t="shared" si="282"/>
        <v/>
      </c>
      <c r="Q736" s="22" t="str">
        <f t="shared" si="6"/>
        <v/>
      </c>
      <c r="R736" s="25" t="str">
        <f t="shared" si="7"/>
        <v/>
      </c>
      <c r="S736" s="19" t="str">
        <f t="shared" si="8"/>
        <v/>
      </c>
      <c r="T736" s="19" t="str">
        <f t="shared" si="9"/>
        <v/>
      </c>
      <c r="U736" s="3"/>
      <c r="V736" s="4" t="str">
        <f>IF(ISBLANK(C736),,IFERROR(IF(VLOOKUP(B736,Standings!$A:$F, 6, 0)=VLOOKUP(C736,Standings!$A:$F, 6, 0), VLOOKUP(B736,Standings!$A:$F, 6, 0), "Non-con"), "FCS"))</f>
        <v/>
      </c>
      <c r="W736" s="3" t="str">
        <f t="shared" si="10"/>
        <v/>
      </c>
      <c r="X736" s="3" t="str">
        <f t="shared" si="11"/>
        <v/>
      </c>
      <c r="Y736" s="30" t="str">
        <f>IF(D736=0,,IF(ISBLANK(Q736),,VLOOKUP(X736,Week1,2,FALSE)/(VLOOKUP(X736,Week1,2,FALSE)+VLOOKUP(W736,Week1,2,FALSE)))*100)</f>
        <v/>
      </c>
      <c r="Z736" s="4"/>
      <c r="AA736" s="3"/>
      <c r="AB736" s="4" t="str">
        <f t="shared" si="20"/>
        <v/>
      </c>
      <c r="AC736" s="3"/>
      <c r="AD736" s="3"/>
      <c r="AE736" s="3" t="str">
        <f t="shared" si="13"/>
        <v/>
      </c>
      <c r="AF736" s="3"/>
      <c r="AG736" s="3" t="str">
        <f t="shared" si="133"/>
        <v/>
      </c>
      <c r="AH736" s="3"/>
      <c r="AI736" s="7"/>
      <c r="AJ736" s="4"/>
      <c r="AK736" s="7"/>
      <c r="AL736" s="7"/>
      <c r="AM736" s="7"/>
      <c r="AN736" s="7"/>
      <c r="AO736" s="7"/>
      <c r="AP736" s="7"/>
      <c r="AQ736" s="7"/>
      <c r="AR736" s="7"/>
      <c r="AS736" s="7"/>
      <c r="AT736" s="7"/>
      <c r="AU736" s="7"/>
      <c r="AV736" s="7"/>
      <c r="AW736" s="7"/>
      <c r="AX736" s="7"/>
    </row>
    <row r="737" ht="12.75" customHeight="1">
      <c r="A737" s="4"/>
      <c r="B737" s="4"/>
      <c r="C737" s="4"/>
      <c r="D737" s="4"/>
      <c r="E737" s="4" t="str">
        <f>IF(ISBLANK(B737),,IFERROR(VLOOKUP(B737,CurrentRank!$B$2:$C$132,2,FALSE),0))</f>
        <v/>
      </c>
      <c r="F737" s="4"/>
      <c r="G737" s="4" t="str">
        <f>IF(ISBLANK(B737),,IFERROR(VLOOKUP(B737,CurrentRank!$B$2:$D$132,3,FALSE),130))</f>
        <v/>
      </c>
      <c r="H737" s="4"/>
      <c r="I737" s="4" t="str">
        <f>IF(ISBLANK(B737),,IFERROR(VLOOKUP(C737,CurrentRank!$B$2:$C$132,2,FALSE),0))</f>
        <v/>
      </c>
      <c r="J737" s="4"/>
      <c r="K737" s="4" t="str">
        <f>IF(ISBLANK(C737),,IFERROR(VLOOKUP(C737,CurrentRank!$B$2:$D$132,3,FALSE),130))</f>
        <v/>
      </c>
      <c r="L737" s="19" t="str">
        <f t="shared" si="279"/>
        <v/>
      </c>
      <c r="M737" s="19" t="str">
        <f t="shared" si="280"/>
        <v/>
      </c>
      <c r="N737" s="24" t="str">
        <f t="shared" si="276"/>
        <v/>
      </c>
      <c r="O737" s="21" t="str">
        <f t="shared" si="4"/>
        <v/>
      </c>
      <c r="P737" s="21" t="str">
        <f t="shared" si="282"/>
        <v/>
      </c>
      <c r="Q737" s="22" t="str">
        <f t="shared" si="6"/>
        <v/>
      </c>
      <c r="R737" s="25" t="str">
        <f t="shared" si="7"/>
        <v/>
      </c>
      <c r="S737" s="19" t="str">
        <f t="shared" si="8"/>
        <v/>
      </c>
      <c r="T737" s="19" t="str">
        <f t="shared" si="9"/>
        <v/>
      </c>
      <c r="U737" s="3"/>
      <c r="V737" s="4" t="str">
        <f>IF(ISBLANK(C737),,IFERROR(IF(VLOOKUP(B737,Standings!$A:$F, 6, 0)=VLOOKUP(C737,Standings!$A:$F, 6, 0), VLOOKUP(B737,Standings!$A:$F, 6, 0), "Non-con"), "FCS"))</f>
        <v/>
      </c>
      <c r="W737" s="3" t="str">
        <f t="shared" si="10"/>
        <v/>
      </c>
      <c r="X737" s="3" t="str">
        <f t="shared" si="11"/>
        <v/>
      </c>
      <c r="Y737" s="30" t="str">
        <f>IF(D737=0,,IF(ISBLANK(Q737),,VLOOKUP(X737,Week1,2,FALSE)/(VLOOKUP(X737,Week1,2,FALSE)+VLOOKUP(W737,Week1,2,FALSE)))*100)</f>
        <v/>
      </c>
      <c r="Z737" s="4"/>
      <c r="AA737" s="3"/>
      <c r="AB737" s="4" t="str">
        <f t="shared" si="20"/>
        <v/>
      </c>
      <c r="AC737" s="3"/>
      <c r="AD737" s="3"/>
      <c r="AE737" s="3" t="str">
        <f t="shared" si="13"/>
        <v/>
      </c>
      <c r="AF737" s="3"/>
      <c r="AG737" s="3" t="str">
        <f t="shared" si="133"/>
        <v/>
      </c>
      <c r="AH737" s="3"/>
      <c r="AI737" s="7"/>
      <c r="AJ737" s="4"/>
      <c r="AK737" s="7"/>
      <c r="AL737" s="7"/>
      <c r="AM737" s="7"/>
      <c r="AN737" s="7"/>
      <c r="AO737" s="7"/>
      <c r="AP737" s="7"/>
      <c r="AQ737" s="7"/>
      <c r="AR737" s="7"/>
      <c r="AS737" s="7"/>
      <c r="AT737" s="7"/>
      <c r="AU737" s="7"/>
      <c r="AV737" s="7"/>
      <c r="AW737" s="7"/>
      <c r="AX737" s="7"/>
    </row>
    <row r="738" ht="12.75" customHeight="1">
      <c r="A738" s="4"/>
      <c r="B738" s="4"/>
      <c r="C738" s="4"/>
      <c r="D738" s="4"/>
      <c r="E738" s="4" t="str">
        <f>IF(ISBLANK(B738),,IFERROR(VLOOKUP(B738,CurrentRank!$B$2:$C$132,2,FALSE),0))</f>
        <v/>
      </c>
      <c r="F738" s="4"/>
      <c r="G738" s="4" t="str">
        <f>IF(ISBLANK(B738),,IFERROR(VLOOKUP(B738,CurrentRank!$B$2:$D$132,3,FALSE),130))</f>
        <v/>
      </c>
      <c r="H738" s="4"/>
      <c r="I738" s="4" t="str">
        <f>IF(ISBLANK(B738),,IFERROR(VLOOKUP(C738,CurrentRank!$B$2:$C$132,2,FALSE),0))</f>
        <v/>
      </c>
      <c r="J738" s="4"/>
      <c r="K738" s="4" t="str">
        <f>IF(ISBLANK(C738),,IFERROR(VLOOKUP(C738,CurrentRank!$B$2:$D$132,3,FALSE),130))</f>
        <v/>
      </c>
      <c r="L738" s="19" t="str">
        <f t="shared" si="279"/>
        <v/>
      </c>
      <c r="M738" s="19" t="str">
        <f t="shared" si="280"/>
        <v/>
      </c>
      <c r="N738" s="24" t="str">
        <f t="shared" si="276"/>
        <v/>
      </c>
      <c r="O738" s="21" t="str">
        <f t="shared" si="4"/>
        <v/>
      </c>
      <c r="P738" s="21" t="str">
        <f t="shared" si="282"/>
        <v/>
      </c>
      <c r="Q738" s="22" t="str">
        <f t="shared" si="6"/>
        <v/>
      </c>
      <c r="R738" s="25" t="str">
        <f t="shared" si="7"/>
        <v/>
      </c>
      <c r="S738" s="19" t="str">
        <f t="shared" si="8"/>
        <v/>
      </c>
      <c r="T738" s="19" t="str">
        <f t="shared" si="9"/>
        <v/>
      </c>
      <c r="U738" s="3"/>
      <c r="V738" s="4" t="str">
        <f>IF(ISBLANK(C738),,IFERROR(IF(VLOOKUP(B738,Standings!$A:$F, 6, 0)=VLOOKUP(C738,Standings!$A:$F, 6, 0), VLOOKUP(B738,Standings!$A:$F, 6, 0), "Non-con"), "FCS"))</f>
        <v/>
      </c>
      <c r="W738" s="3" t="str">
        <f t="shared" si="10"/>
        <v/>
      </c>
      <c r="X738" s="3" t="str">
        <f t="shared" si="11"/>
        <v/>
      </c>
      <c r="Y738" s="30" t="str">
        <f>IF(D738=0,,IF(ISBLANK(Q738),,VLOOKUP(X738,Week1,2,FALSE)/(VLOOKUP(X738,Week1,2,FALSE)+VLOOKUP(W738,Week1,2,FALSE)))*100)</f>
        <v/>
      </c>
      <c r="Z738" s="4"/>
      <c r="AA738" s="3"/>
      <c r="AB738" s="4" t="str">
        <f t="shared" si="20"/>
        <v/>
      </c>
      <c r="AC738" s="3"/>
      <c r="AD738" s="3"/>
      <c r="AE738" s="3" t="str">
        <f t="shared" si="13"/>
        <v/>
      </c>
      <c r="AF738" s="3"/>
      <c r="AG738" s="3" t="str">
        <f t="shared" si="133"/>
        <v/>
      </c>
      <c r="AH738" s="3"/>
      <c r="AI738" s="7"/>
      <c r="AJ738" s="4"/>
      <c r="AK738" s="7"/>
      <c r="AL738" s="7"/>
      <c r="AM738" s="7"/>
      <c r="AN738" s="7"/>
      <c r="AO738" s="7"/>
      <c r="AP738" s="7"/>
      <c r="AQ738" s="7"/>
      <c r="AR738" s="7"/>
      <c r="AS738" s="7"/>
      <c r="AT738" s="7"/>
      <c r="AU738" s="7"/>
      <c r="AV738" s="7"/>
      <c r="AW738" s="7"/>
      <c r="AX738" s="7"/>
    </row>
    <row r="739" ht="12.75" customHeight="1">
      <c r="A739" s="4"/>
      <c r="B739" s="4"/>
      <c r="C739" s="4"/>
      <c r="D739" s="4"/>
      <c r="E739" s="4" t="str">
        <f>IF(ISBLANK(B739),,IFERROR(VLOOKUP(B739,CurrentRank!$B$2:$C$132,2,FALSE),0))</f>
        <v/>
      </c>
      <c r="F739" s="4"/>
      <c r="G739" s="4" t="str">
        <f>IF(ISBLANK(B739),,IFERROR(VLOOKUP(B739,CurrentRank!$B$2:$D$132,3,FALSE),130))</f>
        <v/>
      </c>
      <c r="H739" s="4"/>
      <c r="I739" s="4" t="str">
        <f>IF(ISBLANK(B739),,IFERROR(VLOOKUP(C739,CurrentRank!$B$2:$C$132,2,FALSE),0))</f>
        <v/>
      </c>
      <c r="J739" s="4"/>
      <c r="K739" s="4" t="str">
        <f>IF(ISBLANK(C739),,IFERROR(VLOOKUP(C739,CurrentRank!$B$2:$D$132,3,FALSE),130))</f>
        <v/>
      </c>
      <c r="L739" s="19" t="str">
        <f t="shared" si="279"/>
        <v/>
      </c>
      <c r="M739" s="19" t="str">
        <f t="shared" si="280"/>
        <v/>
      </c>
      <c r="N739" s="24" t="str">
        <f t="shared" si="276"/>
        <v/>
      </c>
      <c r="O739" s="21" t="str">
        <f t="shared" si="4"/>
        <v/>
      </c>
      <c r="P739" s="21" t="str">
        <f t="shared" si="282"/>
        <v/>
      </c>
      <c r="Q739" s="22" t="str">
        <f t="shared" si="6"/>
        <v/>
      </c>
      <c r="R739" s="25" t="str">
        <f t="shared" si="7"/>
        <v/>
      </c>
      <c r="S739" s="19" t="str">
        <f t="shared" si="8"/>
        <v/>
      </c>
      <c r="T739" s="19" t="str">
        <f t="shared" si="9"/>
        <v/>
      </c>
      <c r="U739" s="3"/>
      <c r="V739" s="4" t="str">
        <f>IF(ISBLANK(C739),,IFERROR(IF(VLOOKUP(B739,Standings!$A:$F, 6, 0)=VLOOKUP(C739,Standings!$A:$F, 6, 0), VLOOKUP(B739,Standings!$A:$F, 6, 0), "Non-con"), "FCS"))</f>
        <v/>
      </c>
      <c r="W739" s="3" t="str">
        <f t="shared" si="10"/>
        <v/>
      </c>
      <c r="X739" s="3" t="str">
        <f t="shared" si="11"/>
        <v/>
      </c>
      <c r="Y739" s="30" t="str">
        <f>IF(D739=0,,IF(ISBLANK(Q739),,VLOOKUP(X739,Week1,2,FALSE)/(VLOOKUP(X739,Week1,2,FALSE)+VLOOKUP(W739,Week1,2,FALSE)))*100)</f>
        <v/>
      </c>
      <c r="Z739" s="4"/>
      <c r="AA739" s="3"/>
      <c r="AB739" s="4" t="str">
        <f t="shared" si="20"/>
        <v/>
      </c>
      <c r="AC739" s="3"/>
      <c r="AD739" s="3"/>
      <c r="AE739" s="3" t="str">
        <f t="shared" si="13"/>
        <v/>
      </c>
      <c r="AF739" s="3"/>
      <c r="AG739" s="3" t="str">
        <f t="shared" si="133"/>
        <v/>
      </c>
      <c r="AH739" s="3"/>
      <c r="AI739" s="7"/>
      <c r="AJ739" s="4"/>
      <c r="AK739" s="7"/>
      <c r="AL739" s="7"/>
      <c r="AM739" s="7"/>
      <c r="AN739" s="7"/>
      <c r="AO739" s="7"/>
      <c r="AP739" s="7"/>
      <c r="AQ739" s="7"/>
      <c r="AR739" s="7"/>
      <c r="AS739" s="7"/>
      <c r="AT739" s="7"/>
      <c r="AU739" s="7"/>
      <c r="AV739" s="7"/>
      <c r="AW739" s="7"/>
      <c r="AX739" s="7"/>
    </row>
    <row r="740" ht="12.75" customHeight="1">
      <c r="A740" s="4"/>
      <c r="B740" s="4"/>
      <c r="C740" s="4"/>
      <c r="D740" s="4"/>
      <c r="E740" s="4" t="str">
        <f>IF(ISBLANK(B740),,IFERROR(VLOOKUP(B740,CurrentRank!$B$2:$C$132,2,FALSE),0))</f>
        <v/>
      </c>
      <c r="F740" s="4"/>
      <c r="G740" s="4" t="str">
        <f>IF(ISBLANK(B740),,IFERROR(VLOOKUP(B740,CurrentRank!$B$2:$D$132,3,FALSE),130))</f>
        <v/>
      </c>
      <c r="H740" s="4"/>
      <c r="I740" s="4" t="str">
        <f>IF(ISBLANK(B740),,IFERROR(VLOOKUP(C740,CurrentRank!$B$2:$C$132,2,FALSE),0))</f>
        <v/>
      </c>
      <c r="J740" s="4"/>
      <c r="K740" s="4" t="str">
        <f>IF(ISBLANK(C740),,IFERROR(VLOOKUP(C740,CurrentRank!$B$2:$D$132,3,FALSE),130))</f>
        <v/>
      </c>
      <c r="L740" s="19" t="str">
        <f t="shared" si="279"/>
        <v/>
      </c>
      <c r="M740" s="19" t="str">
        <f t="shared" si="280"/>
        <v/>
      </c>
      <c r="N740" s="24" t="str">
        <f t="shared" si="276"/>
        <v/>
      </c>
      <c r="O740" s="21" t="str">
        <f t="shared" si="4"/>
        <v/>
      </c>
      <c r="P740" s="21" t="str">
        <f t="shared" si="282"/>
        <v/>
      </c>
      <c r="Q740" s="22" t="str">
        <f t="shared" si="6"/>
        <v/>
      </c>
      <c r="R740" s="25" t="str">
        <f t="shared" si="7"/>
        <v/>
      </c>
      <c r="S740" s="19" t="str">
        <f t="shared" si="8"/>
        <v/>
      </c>
      <c r="T740" s="19" t="str">
        <f t="shared" si="9"/>
        <v/>
      </c>
      <c r="U740" s="3"/>
      <c r="V740" s="4" t="str">
        <f>IF(ISBLANK(C740),,IFERROR(IF(VLOOKUP(B740,Standings!$A:$F, 6, 0)=VLOOKUP(C740,Standings!$A:$F, 6, 0), VLOOKUP(B740,Standings!$A:$F, 6, 0), "Non-con"), "FCS"))</f>
        <v/>
      </c>
      <c r="W740" s="3" t="str">
        <f t="shared" si="10"/>
        <v/>
      </c>
      <c r="X740" s="3" t="str">
        <f t="shared" si="11"/>
        <v/>
      </c>
      <c r="Y740" s="30" t="str">
        <f>IF(D740=0,,IF(ISBLANK(Q740),,VLOOKUP(X740,Week1,2,FALSE)/(VLOOKUP(X740,Week1,2,FALSE)+VLOOKUP(W740,Week1,2,FALSE)))*100)</f>
        <v/>
      </c>
      <c r="Z740" s="4"/>
      <c r="AA740" s="3"/>
      <c r="AB740" s="4" t="str">
        <f t="shared" si="20"/>
        <v/>
      </c>
      <c r="AC740" s="3"/>
      <c r="AD740" s="3"/>
      <c r="AE740" s="3" t="str">
        <f t="shared" si="13"/>
        <v/>
      </c>
      <c r="AF740" s="3"/>
      <c r="AG740" s="3" t="str">
        <f t="shared" si="133"/>
        <v/>
      </c>
      <c r="AH740" s="3"/>
      <c r="AI740" s="7"/>
      <c r="AJ740" s="4"/>
      <c r="AK740" s="7"/>
      <c r="AL740" s="7"/>
      <c r="AM740" s="7"/>
      <c r="AN740" s="7"/>
      <c r="AO740" s="7"/>
      <c r="AP740" s="7"/>
      <c r="AQ740" s="7"/>
      <c r="AR740" s="7"/>
      <c r="AS740" s="7"/>
      <c r="AT740" s="7"/>
      <c r="AU740" s="7"/>
      <c r="AV740" s="7"/>
      <c r="AW740" s="7"/>
      <c r="AX740" s="7"/>
    </row>
    <row r="741" ht="12.75" customHeight="1">
      <c r="A741" s="4"/>
      <c r="B741" s="4"/>
      <c r="C741" s="4"/>
      <c r="D741" s="4"/>
      <c r="E741" s="4" t="str">
        <f>IF(ISBLANK(B741),,IFERROR(VLOOKUP(B741,CurrentRank!$B$2:$C$132,2,FALSE),0))</f>
        <v/>
      </c>
      <c r="F741" s="4"/>
      <c r="G741" s="4" t="str">
        <f>IF(ISBLANK(B741),,IFERROR(VLOOKUP(B741,CurrentRank!$B$2:$D$132,3,FALSE),130))</f>
        <v/>
      </c>
      <c r="H741" s="4"/>
      <c r="I741" s="4" t="str">
        <f>IF(ISBLANK(B741),,IFERROR(VLOOKUP(C741,CurrentRank!$B$2:$C$132,2,FALSE),0))</f>
        <v/>
      </c>
      <c r="J741" s="4"/>
      <c r="K741" s="4" t="str">
        <f>IF(ISBLANK(C741),,IFERROR(VLOOKUP(C741,CurrentRank!$B$2:$D$132,3,FALSE),130))</f>
        <v/>
      </c>
      <c r="L741" s="19" t="str">
        <f t="shared" si="279"/>
        <v/>
      </c>
      <c r="M741" s="19" t="str">
        <f t="shared" si="280"/>
        <v/>
      </c>
      <c r="N741" s="24" t="str">
        <f t="shared" si="276"/>
        <v/>
      </c>
      <c r="O741" s="21" t="str">
        <f t="shared" si="4"/>
        <v/>
      </c>
      <c r="P741" s="21" t="str">
        <f t="shared" si="282"/>
        <v/>
      </c>
      <c r="Q741" s="22" t="str">
        <f t="shared" si="6"/>
        <v/>
      </c>
      <c r="R741" s="25" t="str">
        <f t="shared" si="7"/>
        <v/>
      </c>
      <c r="S741" s="19" t="str">
        <f t="shared" si="8"/>
        <v/>
      </c>
      <c r="T741" s="19" t="str">
        <f t="shared" si="9"/>
        <v/>
      </c>
      <c r="U741" s="3"/>
      <c r="V741" s="4" t="str">
        <f>IF(ISBLANK(C741),,IFERROR(IF(VLOOKUP(B741,Standings!$A:$F, 6, 0)=VLOOKUP(C741,Standings!$A:$F, 6, 0), VLOOKUP(B741,Standings!$A:$F, 6, 0), "Non-con"), "FCS"))</f>
        <v/>
      </c>
      <c r="W741" s="3" t="str">
        <f t="shared" si="10"/>
        <v/>
      </c>
      <c r="X741" s="3" t="str">
        <f t="shared" si="11"/>
        <v/>
      </c>
      <c r="Y741" s="30" t="str">
        <f>IF(D741=0,,IF(ISBLANK(Q741),,VLOOKUP(X741,Week1,2,FALSE)/(VLOOKUP(X741,Week1,2,FALSE)+VLOOKUP(W741,Week1,2,FALSE)))*100)</f>
        <v/>
      </c>
      <c r="Z741" s="4"/>
      <c r="AA741" s="3"/>
      <c r="AB741" s="4" t="str">
        <f t="shared" si="20"/>
        <v/>
      </c>
      <c r="AC741" s="3"/>
      <c r="AD741" s="3"/>
      <c r="AE741" s="3" t="str">
        <f t="shared" si="13"/>
        <v/>
      </c>
      <c r="AF741" s="3"/>
      <c r="AG741" s="3" t="str">
        <f t="shared" si="133"/>
        <v/>
      </c>
      <c r="AH741" s="3"/>
      <c r="AI741" s="7"/>
      <c r="AJ741" s="4"/>
      <c r="AK741" s="7"/>
      <c r="AL741" s="7"/>
      <c r="AM741" s="7"/>
      <c r="AN741" s="7"/>
      <c r="AO741" s="7"/>
      <c r="AP741" s="7"/>
      <c r="AQ741" s="7"/>
      <c r="AR741" s="7"/>
      <c r="AS741" s="7"/>
      <c r="AT741" s="7"/>
      <c r="AU741" s="7"/>
      <c r="AV741" s="7"/>
      <c r="AW741" s="7"/>
      <c r="AX741" s="7"/>
    </row>
    <row r="742" ht="12.75" customHeight="1">
      <c r="A742" s="4"/>
      <c r="B742" s="4"/>
      <c r="C742" s="4"/>
      <c r="D742" s="4"/>
      <c r="E742" s="4" t="str">
        <f>IF(ISBLANK(B742),,IFERROR(VLOOKUP(B742,CurrentRank!$B$2:$C$132,2,FALSE),0))</f>
        <v/>
      </c>
      <c r="F742" s="4"/>
      <c r="G742" s="4" t="str">
        <f>IF(ISBLANK(B742),,IFERROR(VLOOKUP(B742,CurrentRank!$B$2:$D$132,3,FALSE),130))</f>
        <v/>
      </c>
      <c r="H742" s="4"/>
      <c r="I742" s="4" t="str">
        <f>IF(ISBLANK(B742),,IFERROR(VLOOKUP(C742,CurrentRank!$B$2:$C$132,2,FALSE),0))</f>
        <v/>
      </c>
      <c r="J742" s="4"/>
      <c r="K742" s="4" t="str">
        <f>IF(ISBLANK(C742),,IFERROR(VLOOKUP(C742,CurrentRank!$B$2:$D$132,3,FALSE),130))</f>
        <v/>
      </c>
      <c r="L742" s="19" t="str">
        <f t="shared" si="279"/>
        <v/>
      </c>
      <c r="M742" s="19" t="str">
        <f t="shared" si="280"/>
        <v/>
      </c>
      <c r="N742" s="24" t="str">
        <f t="shared" si="276"/>
        <v/>
      </c>
      <c r="O742" s="21" t="str">
        <f t="shared" si="4"/>
        <v/>
      </c>
      <c r="P742" s="21" t="str">
        <f t="shared" si="282"/>
        <v/>
      </c>
      <c r="Q742" s="22" t="str">
        <f t="shared" si="6"/>
        <v/>
      </c>
      <c r="R742" s="25" t="str">
        <f t="shared" si="7"/>
        <v/>
      </c>
      <c r="S742" s="19" t="str">
        <f t="shared" si="8"/>
        <v/>
      </c>
      <c r="T742" s="19" t="str">
        <f t="shared" si="9"/>
        <v/>
      </c>
      <c r="U742" s="3"/>
      <c r="V742" s="4" t="str">
        <f>IF(ISBLANK(C742),,IFERROR(IF(VLOOKUP(B742,Standings!$A:$F, 6, 0)=VLOOKUP(C742,Standings!$A:$F, 6, 0), VLOOKUP(B742,Standings!$A:$F, 6, 0), "Non-con"), "FCS"))</f>
        <v/>
      </c>
      <c r="W742" s="3" t="str">
        <f t="shared" si="10"/>
        <v/>
      </c>
      <c r="X742" s="3" t="str">
        <f t="shared" si="11"/>
        <v/>
      </c>
      <c r="Y742" s="30" t="str">
        <f>IF(D742=0,,IF(ISBLANK(Q742),,VLOOKUP(X742,Week1,2,FALSE)/(VLOOKUP(X742,Week1,2,FALSE)+VLOOKUP(W742,Week1,2,FALSE)))*100)</f>
        <v/>
      </c>
      <c r="Z742" s="4"/>
      <c r="AA742" s="3"/>
      <c r="AB742" s="4" t="str">
        <f t="shared" si="20"/>
        <v/>
      </c>
      <c r="AC742" s="3"/>
      <c r="AD742" s="3"/>
      <c r="AE742" s="3" t="str">
        <f t="shared" si="13"/>
        <v/>
      </c>
      <c r="AF742" s="3"/>
      <c r="AG742" s="3" t="str">
        <f t="shared" si="133"/>
        <v/>
      </c>
      <c r="AH742" s="3"/>
      <c r="AI742" s="7"/>
      <c r="AJ742" s="4"/>
      <c r="AK742" s="7"/>
      <c r="AL742" s="7"/>
      <c r="AM742" s="7"/>
      <c r="AN742" s="7"/>
      <c r="AO742" s="7"/>
      <c r="AP742" s="7"/>
      <c r="AQ742" s="7"/>
      <c r="AR742" s="7"/>
      <c r="AS742" s="7"/>
      <c r="AT742" s="7"/>
      <c r="AU742" s="7"/>
      <c r="AV742" s="7"/>
      <c r="AW742" s="7"/>
      <c r="AX742" s="7"/>
    </row>
    <row r="743" ht="12.75" customHeight="1">
      <c r="A743" s="4"/>
      <c r="B743" s="4"/>
      <c r="C743" s="4"/>
      <c r="D743" s="4"/>
      <c r="E743" s="4" t="str">
        <f>IF(ISBLANK(B743),,IFERROR(VLOOKUP(B743,CurrentRank!$B$2:$C$132,2,FALSE),0))</f>
        <v/>
      </c>
      <c r="F743" s="4"/>
      <c r="G743" s="4" t="str">
        <f>IF(ISBLANK(B743),,IFERROR(VLOOKUP(B743,CurrentRank!$B$2:$D$132,3,FALSE),130))</f>
        <v/>
      </c>
      <c r="H743" s="4"/>
      <c r="I743" s="4" t="str">
        <f>IF(ISBLANK(B743),,IFERROR(VLOOKUP(C743,CurrentRank!$B$2:$C$132,2,FALSE),0))</f>
        <v/>
      </c>
      <c r="J743" s="4"/>
      <c r="K743" s="4" t="str">
        <f>IF(ISBLANK(C743),,IFERROR(VLOOKUP(C743,CurrentRank!$B$2:$D$132,3,FALSE),130))</f>
        <v/>
      </c>
      <c r="L743" s="19" t="str">
        <f t="shared" si="279"/>
        <v/>
      </c>
      <c r="M743" s="19" t="str">
        <f t="shared" si="280"/>
        <v/>
      </c>
      <c r="N743" s="24" t="str">
        <f t="shared" si="276"/>
        <v/>
      </c>
      <c r="O743" s="21" t="str">
        <f t="shared" si="4"/>
        <v/>
      </c>
      <c r="P743" s="21" t="str">
        <f t="shared" si="282"/>
        <v/>
      </c>
      <c r="Q743" s="22" t="str">
        <f t="shared" si="6"/>
        <v/>
      </c>
      <c r="R743" s="25" t="str">
        <f t="shared" si="7"/>
        <v/>
      </c>
      <c r="S743" s="19" t="str">
        <f t="shared" si="8"/>
        <v/>
      </c>
      <c r="T743" s="19" t="str">
        <f t="shared" si="9"/>
        <v/>
      </c>
      <c r="U743" s="3"/>
      <c r="V743" s="4" t="str">
        <f>IF(ISBLANK(C743),,IFERROR(IF(VLOOKUP(B743,Standings!$A:$F, 6, 0)=VLOOKUP(C743,Standings!$A:$F, 6, 0), VLOOKUP(B743,Standings!$A:$F, 6, 0), "Non-con"), "FCS"))</f>
        <v/>
      </c>
      <c r="W743" s="3" t="str">
        <f t="shared" si="10"/>
        <v/>
      </c>
      <c r="X743" s="3" t="str">
        <f t="shared" si="11"/>
        <v/>
      </c>
      <c r="Y743" s="30" t="str">
        <f>IF(D743=0,,IF(ISBLANK(Q743),,VLOOKUP(X743,Week1,2,FALSE)/(VLOOKUP(X743,Week1,2,FALSE)+VLOOKUP(W743,Week1,2,FALSE)))*100)</f>
        <v/>
      </c>
      <c r="Z743" s="4"/>
      <c r="AA743" s="3"/>
      <c r="AB743" s="4" t="str">
        <f t="shared" si="20"/>
        <v/>
      </c>
      <c r="AC743" s="3"/>
      <c r="AD743" s="3"/>
      <c r="AE743" s="3" t="str">
        <f t="shared" si="13"/>
        <v/>
      </c>
      <c r="AF743" s="3"/>
      <c r="AG743" s="3" t="str">
        <f t="shared" si="133"/>
        <v/>
      </c>
      <c r="AH743" s="3"/>
      <c r="AI743" s="7"/>
      <c r="AJ743" s="4"/>
      <c r="AK743" s="7"/>
      <c r="AL743" s="7"/>
      <c r="AM743" s="7"/>
      <c r="AN743" s="7"/>
      <c r="AO743" s="7"/>
      <c r="AP743" s="7"/>
      <c r="AQ743" s="7"/>
      <c r="AR743" s="7"/>
      <c r="AS743" s="7"/>
      <c r="AT743" s="7"/>
      <c r="AU743" s="7"/>
      <c r="AV743" s="7"/>
      <c r="AW743" s="7"/>
      <c r="AX743" s="7"/>
    </row>
    <row r="744" ht="12.75" customHeight="1">
      <c r="A744" s="4"/>
      <c r="B744" s="4"/>
      <c r="C744" s="4"/>
      <c r="D744" s="4"/>
      <c r="E744" s="4" t="str">
        <f>IF(ISBLANK(B744),,IFERROR(VLOOKUP(B744,CurrentRank!$B$2:$C$132,2,FALSE),0))</f>
        <v/>
      </c>
      <c r="F744" s="4"/>
      <c r="G744" s="4" t="str">
        <f>IF(ISBLANK(B744),,IFERROR(VLOOKUP(B744,CurrentRank!$B$2:$D$132,3,FALSE),130))</f>
        <v/>
      </c>
      <c r="H744" s="4"/>
      <c r="I744" s="4" t="str">
        <f>IF(ISBLANK(B744),,IFERROR(VLOOKUP(C744,CurrentRank!$B$2:$C$132,2,FALSE),0))</f>
        <v/>
      </c>
      <c r="J744" s="4"/>
      <c r="K744" s="4" t="str">
        <f>IF(ISBLANK(C744),,IFERROR(VLOOKUP(C744,CurrentRank!$B$2:$D$132,3,FALSE),130))</f>
        <v/>
      </c>
      <c r="L744" s="19" t="str">
        <f t="shared" si="279"/>
        <v/>
      </c>
      <c r="M744" s="19" t="str">
        <f t="shared" si="280"/>
        <v/>
      </c>
      <c r="N744" s="24" t="str">
        <f t="shared" si="276"/>
        <v/>
      </c>
      <c r="O744" s="21" t="str">
        <f t="shared" si="4"/>
        <v/>
      </c>
      <c r="P744" s="21" t="str">
        <f t="shared" si="282"/>
        <v/>
      </c>
      <c r="Q744" s="22" t="str">
        <f t="shared" si="6"/>
        <v/>
      </c>
      <c r="R744" s="25" t="str">
        <f t="shared" si="7"/>
        <v/>
      </c>
      <c r="S744" s="19" t="str">
        <f t="shared" si="8"/>
        <v/>
      </c>
      <c r="T744" s="19" t="str">
        <f t="shared" si="9"/>
        <v/>
      </c>
      <c r="U744" s="3"/>
      <c r="V744" s="4" t="str">
        <f>IF(ISBLANK(C744),,IFERROR(IF(VLOOKUP(B744,Standings!$A:$F, 6, 0)=VLOOKUP(C744,Standings!$A:$F, 6, 0), VLOOKUP(B744,Standings!$A:$F, 6, 0), "Non-con"), "FCS"))</f>
        <v/>
      </c>
      <c r="W744" s="3" t="str">
        <f t="shared" si="10"/>
        <v/>
      </c>
      <c r="X744" s="3" t="str">
        <f t="shared" si="11"/>
        <v/>
      </c>
      <c r="Y744" s="30" t="str">
        <f>IF(D744=0,,IF(ISBLANK(Q744),,VLOOKUP(X744,Week1,2,FALSE)/(VLOOKUP(X744,Week1,2,FALSE)+VLOOKUP(W744,Week1,2,FALSE)))*100)</f>
        <v/>
      </c>
      <c r="Z744" s="4"/>
      <c r="AA744" s="3"/>
      <c r="AB744" s="4" t="str">
        <f t="shared" si="20"/>
        <v/>
      </c>
      <c r="AC744" s="3"/>
      <c r="AD744" s="3"/>
      <c r="AE744" s="3" t="str">
        <f t="shared" si="13"/>
        <v/>
      </c>
      <c r="AF744" s="3"/>
      <c r="AG744" s="3" t="str">
        <f t="shared" si="133"/>
        <v/>
      </c>
      <c r="AH744" s="3"/>
      <c r="AI744" s="7"/>
      <c r="AJ744" s="4"/>
      <c r="AK744" s="7"/>
      <c r="AL744" s="7"/>
      <c r="AM744" s="7"/>
      <c r="AN744" s="7"/>
      <c r="AO744" s="7"/>
      <c r="AP744" s="7"/>
      <c r="AQ744" s="7"/>
      <c r="AR744" s="7"/>
      <c r="AS744" s="7"/>
      <c r="AT744" s="7"/>
      <c r="AU744" s="7"/>
      <c r="AV744" s="7"/>
      <c r="AW744" s="7"/>
      <c r="AX744" s="7"/>
    </row>
    <row r="745" ht="12.75" customHeight="1">
      <c r="A745" s="4"/>
      <c r="B745" s="4"/>
      <c r="C745" s="4"/>
      <c r="D745" s="4"/>
      <c r="E745" s="4" t="str">
        <f>IF(ISBLANK(B745),,IFERROR(VLOOKUP(B745,CurrentRank!$B$2:$C$132,2,FALSE),0))</f>
        <v/>
      </c>
      <c r="F745" s="4"/>
      <c r="G745" s="4" t="str">
        <f>IF(ISBLANK(B745),,IFERROR(VLOOKUP(B745,CurrentRank!$B$2:$D$132,3,FALSE),130))</f>
        <v/>
      </c>
      <c r="H745" s="4"/>
      <c r="I745" s="4" t="str">
        <f>IF(ISBLANK(B745),,IFERROR(VLOOKUP(C745,CurrentRank!$B$2:$C$132,2,FALSE),0))</f>
        <v/>
      </c>
      <c r="J745" s="4"/>
      <c r="K745" s="4" t="str">
        <f>IF(ISBLANK(C745),,IFERROR(VLOOKUP(C745,CurrentRank!$B$2:$D$132,3,FALSE),130))</f>
        <v/>
      </c>
      <c r="L745" s="19" t="str">
        <f t="shared" si="279"/>
        <v/>
      </c>
      <c r="M745" s="19" t="str">
        <f t="shared" si="280"/>
        <v/>
      </c>
      <c r="N745" s="24" t="str">
        <f t="shared" si="276"/>
        <v/>
      </c>
      <c r="O745" s="21" t="str">
        <f t="shared" si="4"/>
        <v/>
      </c>
      <c r="P745" s="21" t="str">
        <f t="shared" si="282"/>
        <v/>
      </c>
      <c r="Q745" s="22" t="str">
        <f t="shared" si="6"/>
        <v/>
      </c>
      <c r="R745" s="25" t="str">
        <f t="shared" si="7"/>
        <v/>
      </c>
      <c r="S745" s="19" t="str">
        <f t="shared" si="8"/>
        <v/>
      </c>
      <c r="T745" s="19" t="str">
        <f t="shared" si="9"/>
        <v/>
      </c>
      <c r="U745" s="3"/>
      <c r="V745" s="4" t="str">
        <f>IF(ISBLANK(C745),,IFERROR(IF(VLOOKUP(B745,Standings!$A:$F, 6, 0)=VLOOKUP(C745,Standings!$A:$F, 6, 0), VLOOKUP(B745,Standings!$A:$F, 6, 0), "Non-con"), "FCS"))</f>
        <v/>
      </c>
      <c r="W745" s="3" t="str">
        <f t="shared" si="10"/>
        <v/>
      </c>
      <c r="X745" s="3" t="str">
        <f t="shared" si="11"/>
        <v/>
      </c>
      <c r="Y745" s="30" t="str">
        <f>IF(D745=0,,IF(ISBLANK(Q745),,VLOOKUP(X745,Week1,2,FALSE)/(VLOOKUP(X745,Week1,2,FALSE)+VLOOKUP(W745,Week1,2,FALSE)))*100)</f>
        <v/>
      </c>
      <c r="Z745" s="4"/>
      <c r="AA745" s="3"/>
      <c r="AB745" s="4" t="str">
        <f t="shared" si="20"/>
        <v/>
      </c>
      <c r="AC745" s="3"/>
      <c r="AD745" s="3"/>
      <c r="AE745" s="3" t="str">
        <f t="shared" si="13"/>
        <v/>
      </c>
      <c r="AF745" s="3"/>
      <c r="AG745" s="3" t="str">
        <f t="shared" si="133"/>
        <v/>
      </c>
      <c r="AH745" s="3"/>
      <c r="AI745" s="7"/>
      <c r="AJ745" s="4"/>
      <c r="AK745" s="7"/>
      <c r="AL745" s="7"/>
      <c r="AM745" s="7"/>
      <c r="AN745" s="7"/>
      <c r="AO745" s="7"/>
      <c r="AP745" s="7"/>
      <c r="AQ745" s="7"/>
      <c r="AR745" s="7"/>
      <c r="AS745" s="7"/>
      <c r="AT745" s="7"/>
      <c r="AU745" s="7"/>
      <c r="AV745" s="7"/>
      <c r="AW745" s="7"/>
      <c r="AX745" s="7"/>
    </row>
    <row r="746" ht="12.75" customHeight="1">
      <c r="A746" s="4"/>
      <c r="B746" s="4"/>
      <c r="C746" s="4"/>
      <c r="D746" s="4"/>
      <c r="E746" s="4" t="str">
        <f>IF(ISBLANK(B746),,IFERROR(VLOOKUP(B746,CurrentRank!$B$2:$C$132,2,FALSE),0))</f>
        <v/>
      </c>
      <c r="F746" s="4"/>
      <c r="G746" s="4" t="str">
        <f>IF(ISBLANK(B746),,IFERROR(VLOOKUP(B746,CurrentRank!$B$2:$D$132,3,FALSE),130))</f>
        <v/>
      </c>
      <c r="H746" s="4"/>
      <c r="I746" s="4" t="str">
        <f>IF(ISBLANK(B746),,IFERROR(VLOOKUP(C746,CurrentRank!$B$2:$C$132,2,FALSE),0))</f>
        <v/>
      </c>
      <c r="J746" s="4"/>
      <c r="K746" s="4" t="str">
        <f>IF(ISBLANK(C746),,IFERROR(VLOOKUP(C746,CurrentRank!$B$2:$D$132,3,FALSE),130))</f>
        <v/>
      </c>
      <c r="L746" s="19" t="str">
        <f t="shared" si="279"/>
        <v/>
      </c>
      <c r="M746" s="19" t="str">
        <f t="shared" si="280"/>
        <v/>
      </c>
      <c r="N746" s="24" t="str">
        <f t="shared" si="276"/>
        <v/>
      </c>
      <c r="O746" s="21" t="str">
        <f t="shared" si="4"/>
        <v/>
      </c>
      <c r="P746" s="21" t="str">
        <f t="shared" si="282"/>
        <v/>
      </c>
      <c r="Q746" s="22" t="str">
        <f t="shared" si="6"/>
        <v/>
      </c>
      <c r="R746" s="25" t="str">
        <f t="shared" si="7"/>
        <v/>
      </c>
      <c r="S746" s="19" t="str">
        <f t="shared" si="8"/>
        <v/>
      </c>
      <c r="T746" s="19" t="str">
        <f t="shared" si="9"/>
        <v/>
      </c>
      <c r="U746" s="3"/>
      <c r="V746" s="4" t="str">
        <f>IF(ISBLANK(C746),,IFERROR(IF(VLOOKUP(B746,Standings!$A:$F, 6, 0)=VLOOKUP(C746,Standings!$A:$F, 6, 0), VLOOKUP(B746,Standings!$A:$F, 6, 0), "Non-con"), "FCS"))</f>
        <v/>
      </c>
      <c r="W746" s="3" t="str">
        <f t="shared" si="10"/>
        <v/>
      </c>
      <c r="X746" s="3" t="str">
        <f t="shared" si="11"/>
        <v/>
      </c>
      <c r="Y746" s="30" t="str">
        <f>IF(D746=0,,IF(ISBLANK(Q746),,VLOOKUP(X746,Week1,2,FALSE)/(VLOOKUP(X746,Week1,2,FALSE)+VLOOKUP(W746,Week1,2,FALSE)))*100)</f>
        <v/>
      </c>
      <c r="Z746" s="4"/>
      <c r="AA746" s="3"/>
      <c r="AB746" s="4" t="str">
        <f t="shared" si="20"/>
        <v/>
      </c>
      <c r="AC746" s="3"/>
      <c r="AD746" s="3"/>
      <c r="AE746" s="3" t="str">
        <f t="shared" si="13"/>
        <v/>
      </c>
      <c r="AF746" s="3"/>
      <c r="AG746" s="3" t="str">
        <f t="shared" si="133"/>
        <v/>
      </c>
      <c r="AH746" s="3"/>
      <c r="AI746" s="7"/>
      <c r="AJ746" s="4"/>
      <c r="AK746" s="7"/>
      <c r="AL746" s="7"/>
      <c r="AM746" s="7"/>
      <c r="AN746" s="7"/>
      <c r="AO746" s="7"/>
      <c r="AP746" s="7"/>
      <c r="AQ746" s="7"/>
      <c r="AR746" s="7"/>
      <c r="AS746" s="7"/>
      <c r="AT746" s="7"/>
      <c r="AU746" s="7"/>
      <c r="AV746" s="7"/>
      <c r="AW746" s="7"/>
      <c r="AX746" s="7"/>
    </row>
    <row r="747" ht="12.75" customHeight="1">
      <c r="A747" s="4"/>
      <c r="B747" s="4"/>
      <c r="C747" s="4"/>
      <c r="D747" s="4"/>
      <c r="E747" s="4" t="str">
        <f>IF(ISBLANK(B747),,IFERROR(VLOOKUP(B747,CurrentRank!$B$2:$C$132,2,FALSE),0))</f>
        <v/>
      </c>
      <c r="F747" s="4"/>
      <c r="G747" s="4" t="str">
        <f>IF(ISBLANK(B747),,IFERROR(VLOOKUP(B747,CurrentRank!$B$2:$D$132,3,FALSE),130))</f>
        <v/>
      </c>
      <c r="H747" s="4"/>
      <c r="I747" s="4" t="str">
        <f>IF(ISBLANK(B747),,IFERROR(VLOOKUP(C747,CurrentRank!$B$2:$C$132,2,FALSE),0))</f>
        <v/>
      </c>
      <c r="J747" s="4"/>
      <c r="K747" s="4" t="str">
        <f>IF(ISBLANK(C747),,IFERROR(VLOOKUP(C747,CurrentRank!$B$2:$D$132,3,FALSE),130))</f>
        <v/>
      </c>
      <c r="L747" s="19" t="str">
        <f t="shared" si="279"/>
        <v/>
      </c>
      <c r="M747" s="19" t="str">
        <f t="shared" si="280"/>
        <v/>
      </c>
      <c r="N747" s="24" t="str">
        <f t="shared" si="276"/>
        <v/>
      </c>
      <c r="O747" s="21" t="str">
        <f t="shared" si="4"/>
        <v/>
      </c>
      <c r="P747" s="21" t="str">
        <f t="shared" si="282"/>
        <v/>
      </c>
      <c r="Q747" s="22" t="str">
        <f t="shared" si="6"/>
        <v/>
      </c>
      <c r="R747" s="25" t="str">
        <f t="shared" si="7"/>
        <v/>
      </c>
      <c r="S747" s="19" t="str">
        <f t="shared" si="8"/>
        <v/>
      </c>
      <c r="T747" s="19" t="str">
        <f t="shared" si="9"/>
        <v/>
      </c>
      <c r="U747" s="3"/>
      <c r="V747" s="4" t="str">
        <f>IF(ISBLANK(C747),,IFERROR(IF(VLOOKUP(B747,Standings!$A:$F, 6, 0)=VLOOKUP(C747,Standings!$A:$F, 6, 0), VLOOKUP(B747,Standings!$A:$F, 6, 0), "Non-con"), "FCS"))</f>
        <v/>
      </c>
      <c r="W747" s="3" t="str">
        <f t="shared" si="10"/>
        <v/>
      </c>
      <c r="X747" s="3" t="str">
        <f t="shared" si="11"/>
        <v/>
      </c>
      <c r="Y747" s="30" t="str">
        <f>IF(D747=0,,IF(ISBLANK(Q747),,VLOOKUP(X747,Week1,2,FALSE)/(VLOOKUP(X747,Week1,2,FALSE)+VLOOKUP(W747,Week1,2,FALSE)))*100)</f>
        <v/>
      </c>
      <c r="Z747" s="4"/>
      <c r="AA747" s="3"/>
      <c r="AB747" s="4" t="str">
        <f t="shared" si="20"/>
        <v/>
      </c>
      <c r="AC747" s="3"/>
      <c r="AD747" s="3"/>
      <c r="AE747" s="3" t="str">
        <f t="shared" si="13"/>
        <v/>
      </c>
      <c r="AF747" s="3"/>
      <c r="AG747" s="3" t="str">
        <f t="shared" si="133"/>
        <v/>
      </c>
      <c r="AH747" s="3"/>
      <c r="AI747" s="7"/>
      <c r="AJ747" s="4"/>
      <c r="AK747" s="7"/>
      <c r="AL747" s="7"/>
      <c r="AM747" s="7"/>
      <c r="AN747" s="7"/>
      <c r="AO747" s="7"/>
      <c r="AP747" s="7"/>
      <c r="AQ747" s="7"/>
      <c r="AR747" s="7"/>
      <c r="AS747" s="7"/>
      <c r="AT747" s="7"/>
      <c r="AU747" s="7"/>
      <c r="AV747" s="7"/>
      <c r="AW747" s="7"/>
      <c r="AX747" s="7"/>
    </row>
    <row r="748" ht="12.75" customHeight="1">
      <c r="A748" s="4"/>
      <c r="B748" s="4"/>
      <c r="C748" s="4"/>
      <c r="D748" s="4"/>
      <c r="E748" s="4" t="str">
        <f>IF(ISBLANK(B748),,IFERROR(VLOOKUP(B748,CurrentRank!$B$2:$C$132,2,FALSE),0))</f>
        <v/>
      </c>
      <c r="F748" s="4"/>
      <c r="G748" s="4" t="str">
        <f>IF(ISBLANK(B748),,IFERROR(VLOOKUP(B748,CurrentRank!$B$2:$D$132,3,FALSE),130))</f>
        <v/>
      </c>
      <c r="H748" s="4"/>
      <c r="I748" s="4" t="str">
        <f>IF(ISBLANK(B748),,IFERROR(VLOOKUP(C748,CurrentRank!$B$2:$C$132,2,FALSE),0))</f>
        <v/>
      </c>
      <c r="J748" s="4"/>
      <c r="K748" s="4" t="str">
        <f>IF(ISBLANK(C748),,IFERROR(VLOOKUP(C748,CurrentRank!$B$2:$D$132,3,FALSE),130))</f>
        <v/>
      </c>
      <c r="L748" s="19" t="str">
        <f t="shared" si="279"/>
        <v/>
      </c>
      <c r="M748" s="19" t="str">
        <f t="shared" si="280"/>
        <v/>
      </c>
      <c r="N748" s="24" t="str">
        <f t="shared" si="276"/>
        <v/>
      </c>
      <c r="O748" s="21" t="str">
        <f t="shared" si="4"/>
        <v/>
      </c>
      <c r="P748" s="21" t="str">
        <f t="shared" si="282"/>
        <v/>
      </c>
      <c r="Q748" s="22" t="str">
        <f t="shared" si="6"/>
        <v/>
      </c>
      <c r="R748" s="25" t="str">
        <f t="shared" si="7"/>
        <v/>
      </c>
      <c r="S748" s="19" t="str">
        <f t="shared" si="8"/>
        <v/>
      </c>
      <c r="T748" s="19" t="str">
        <f t="shared" si="9"/>
        <v/>
      </c>
      <c r="U748" s="3"/>
      <c r="V748" s="4" t="str">
        <f>IF(ISBLANK(C748),,IFERROR(IF(VLOOKUP(B748,Standings!$A:$F, 6, 0)=VLOOKUP(C748,Standings!$A:$F, 6, 0), VLOOKUP(B748,Standings!$A:$F, 6, 0), "Non-con"), "FCS"))</f>
        <v/>
      </c>
      <c r="W748" s="3" t="str">
        <f t="shared" si="10"/>
        <v/>
      </c>
      <c r="X748" s="3" t="str">
        <f t="shared" si="11"/>
        <v/>
      </c>
      <c r="Y748" s="30" t="str">
        <f>IF(D748=0,,IF(ISBLANK(Q748),,VLOOKUP(X748,Week1,2,FALSE)/(VLOOKUP(X748,Week1,2,FALSE)+VLOOKUP(W748,Week1,2,FALSE)))*100)</f>
        <v/>
      </c>
      <c r="Z748" s="4"/>
      <c r="AA748" s="3"/>
      <c r="AB748" s="4" t="str">
        <f t="shared" si="20"/>
        <v/>
      </c>
      <c r="AC748" s="3"/>
      <c r="AD748" s="3"/>
      <c r="AE748" s="3" t="str">
        <f t="shared" si="13"/>
        <v/>
      </c>
      <c r="AF748" s="3"/>
      <c r="AG748" s="3" t="str">
        <f t="shared" si="133"/>
        <v/>
      </c>
      <c r="AH748" s="3"/>
      <c r="AI748" s="7"/>
      <c r="AJ748" s="4"/>
      <c r="AK748" s="7"/>
      <c r="AL748" s="7"/>
      <c r="AM748" s="7"/>
      <c r="AN748" s="7"/>
      <c r="AO748" s="7"/>
      <c r="AP748" s="7"/>
      <c r="AQ748" s="7"/>
      <c r="AR748" s="7"/>
      <c r="AS748" s="7"/>
      <c r="AT748" s="7"/>
      <c r="AU748" s="7"/>
      <c r="AV748" s="7"/>
      <c r="AW748" s="7"/>
      <c r="AX748" s="7"/>
    </row>
    <row r="749" ht="12.75" customHeight="1">
      <c r="A749" s="4"/>
      <c r="B749" s="4"/>
      <c r="C749" s="4"/>
      <c r="D749" s="4"/>
      <c r="E749" s="4" t="str">
        <f>IF(ISBLANK(B749),,IFERROR(VLOOKUP(B749,CurrentRank!$B$2:$C$132,2,FALSE),0))</f>
        <v/>
      </c>
      <c r="F749" s="4"/>
      <c r="G749" s="4" t="str">
        <f>IF(ISBLANK(B749),,IFERROR(VLOOKUP(B749,CurrentRank!$B$2:$D$132,3,FALSE),130))</f>
        <v/>
      </c>
      <c r="H749" s="4"/>
      <c r="I749" s="4" t="str">
        <f>IF(ISBLANK(B749),,IFERROR(VLOOKUP(C749,CurrentRank!$B$2:$C$132,2,FALSE),0))</f>
        <v/>
      </c>
      <c r="J749" s="4"/>
      <c r="K749" s="4" t="str">
        <f>IF(ISBLANK(C749),,IFERROR(VLOOKUP(C749,CurrentRank!$B$2:$D$132,3,FALSE),130))</f>
        <v/>
      </c>
      <c r="L749" s="19" t="str">
        <f t="shared" si="279"/>
        <v/>
      </c>
      <c r="M749" s="19" t="str">
        <f t="shared" si="280"/>
        <v/>
      </c>
      <c r="N749" s="24" t="str">
        <f t="shared" si="276"/>
        <v/>
      </c>
      <c r="O749" s="21" t="str">
        <f t="shared" si="4"/>
        <v/>
      </c>
      <c r="P749" s="21" t="str">
        <f t="shared" si="282"/>
        <v/>
      </c>
      <c r="Q749" s="22" t="str">
        <f t="shared" si="6"/>
        <v/>
      </c>
      <c r="R749" s="25" t="str">
        <f t="shared" si="7"/>
        <v/>
      </c>
      <c r="S749" s="19" t="str">
        <f t="shared" si="8"/>
        <v/>
      </c>
      <c r="T749" s="19" t="str">
        <f t="shared" si="9"/>
        <v/>
      </c>
      <c r="U749" s="3"/>
      <c r="V749" s="4" t="str">
        <f>IF(ISBLANK(C749),,IFERROR(IF(VLOOKUP(B749,Standings!$A:$F, 6, 0)=VLOOKUP(C749,Standings!$A:$F, 6, 0), VLOOKUP(B749,Standings!$A:$F, 6, 0), "Non-con"), "FCS"))</f>
        <v/>
      </c>
      <c r="W749" s="3" t="str">
        <f t="shared" si="10"/>
        <v/>
      </c>
      <c r="X749" s="3" t="str">
        <f t="shared" si="11"/>
        <v/>
      </c>
      <c r="Y749" s="30" t="str">
        <f>IF(D749=0,,IF(ISBLANK(Q749),,VLOOKUP(X749,Week1,2,FALSE)/(VLOOKUP(X749,Week1,2,FALSE)+VLOOKUP(W749,Week1,2,FALSE)))*100)</f>
        <v/>
      </c>
      <c r="Z749" s="4"/>
      <c r="AA749" s="3"/>
      <c r="AB749" s="4" t="str">
        <f t="shared" si="20"/>
        <v/>
      </c>
      <c r="AC749" s="3"/>
      <c r="AD749" s="3"/>
      <c r="AE749" s="3" t="str">
        <f t="shared" si="13"/>
        <v/>
      </c>
      <c r="AF749" s="3"/>
      <c r="AG749" s="3" t="str">
        <f t="shared" si="133"/>
        <v/>
      </c>
      <c r="AH749" s="3"/>
      <c r="AI749" s="7"/>
      <c r="AJ749" s="4"/>
      <c r="AK749" s="7"/>
      <c r="AL749" s="7"/>
      <c r="AM749" s="7"/>
      <c r="AN749" s="7"/>
      <c r="AO749" s="7"/>
      <c r="AP749" s="7"/>
      <c r="AQ749" s="7"/>
      <c r="AR749" s="7"/>
      <c r="AS749" s="7"/>
      <c r="AT749" s="7"/>
      <c r="AU749" s="7"/>
      <c r="AV749" s="7"/>
      <c r="AW749" s="7"/>
      <c r="AX749" s="7"/>
    </row>
    <row r="750" ht="12.75" customHeight="1">
      <c r="A750" s="4"/>
      <c r="B750" s="4"/>
      <c r="C750" s="4"/>
      <c r="D750" s="4"/>
      <c r="E750" s="4" t="str">
        <f>IF(ISBLANK(B750),,IFERROR(VLOOKUP(B750,CurrentRank!$B$2:$C$132,2,FALSE),0))</f>
        <v/>
      </c>
      <c r="F750" s="4"/>
      <c r="G750" s="4" t="str">
        <f>IF(ISBLANK(B750),,IFERROR(VLOOKUP(B750,CurrentRank!$B$2:$D$132,3,FALSE),130))</f>
        <v/>
      </c>
      <c r="H750" s="4"/>
      <c r="I750" s="4" t="str">
        <f>IF(ISBLANK(B750),,IFERROR(VLOOKUP(C750,CurrentRank!$B$2:$C$132,2,FALSE),0))</f>
        <v/>
      </c>
      <c r="J750" s="4"/>
      <c r="K750" s="4" t="str">
        <f>IF(ISBLANK(C750),,IFERROR(VLOOKUP(C750,CurrentRank!$B$2:$D$132,3,FALSE),130))</f>
        <v/>
      </c>
      <c r="L750" s="19" t="str">
        <f t="shared" si="279"/>
        <v/>
      </c>
      <c r="M750" s="19" t="str">
        <f t="shared" si="280"/>
        <v/>
      </c>
      <c r="N750" s="24" t="str">
        <f t="shared" si="276"/>
        <v/>
      </c>
      <c r="O750" s="21" t="str">
        <f t="shared" si="4"/>
        <v/>
      </c>
      <c r="P750" s="21" t="str">
        <f t="shared" si="282"/>
        <v/>
      </c>
      <c r="Q750" s="22" t="str">
        <f t="shared" si="6"/>
        <v/>
      </c>
      <c r="R750" s="25" t="str">
        <f t="shared" si="7"/>
        <v/>
      </c>
      <c r="S750" s="19" t="str">
        <f t="shared" si="8"/>
        <v/>
      </c>
      <c r="T750" s="19" t="str">
        <f t="shared" si="9"/>
        <v/>
      </c>
      <c r="U750" s="3"/>
      <c r="V750" s="4" t="str">
        <f>IF(ISBLANK(C750),,IFERROR(IF(VLOOKUP(B750,Standings!$A:$F, 6, 0)=VLOOKUP(C750,Standings!$A:$F, 6, 0), VLOOKUP(B750,Standings!$A:$F, 6, 0), "Non-con"), "FCS"))</f>
        <v/>
      </c>
      <c r="W750" s="3" t="str">
        <f t="shared" si="10"/>
        <v/>
      </c>
      <c r="X750" s="3" t="str">
        <f t="shared" si="11"/>
        <v/>
      </c>
      <c r="Y750" s="30" t="str">
        <f>IF(D750=0,,IF(ISBLANK(Q750),,VLOOKUP(X750,Week1,2,FALSE)/(VLOOKUP(X750,Week1,2,FALSE)+VLOOKUP(W750,Week1,2,FALSE)))*100)</f>
        <v/>
      </c>
      <c r="Z750" s="4"/>
      <c r="AA750" s="3"/>
      <c r="AB750" s="4" t="str">
        <f t="shared" si="20"/>
        <v/>
      </c>
      <c r="AC750" s="3"/>
      <c r="AD750" s="3"/>
      <c r="AE750" s="3" t="str">
        <f t="shared" si="13"/>
        <v/>
      </c>
      <c r="AF750" s="3"/>
      <c r="AG750" s="3" t="str">
        <f t="shared" si="133"/>
        <v/>
      </c>
      <c r="AH750" s="3"/>
      <c r="AI750" s="7"/>
      <c r="AJ750" s="4"/>
      <c r="AK750" s="7"/>
      <c r="AL750" s="7"/>
      <c r="AM750" s="7"/>
      <c r="AN750" s="7"/>
      <c r="AO750" s="7"/>
      <c r="AP750" s="7"/>
      <c r="AQ750" s="7"/>
      <c r="AR750" s="7"/>
      <c r="AS750" s="7"/>
      <c r="AT750" s="7"/>
      <c r="AU750" s="7"/>
      <c r="AV750" s="7"/>
      <c r="AW750" s="7"/>
      <c r="AX750" s="7"/>
    </row>
    <row r="751" ht="12.75" customHeight="1">
      <c r="A751" s="4"/>
      <c r="B751" s="4"/>
      <c r="C751" s="4"/>
      <c r="D751" s="4"/>
      <c r="E751" s="4" t="str">
        <f>IF(ISBLANK(B751),,IFERROR(VLOOKUP(B751,CurrentRank!$B$2:$C$132,2,FALSE),0))</f>
        <v/>
      </c>
      <c r="F751" s="4"/>
      <c r="G751" s="4" t="str">
        <f>IF(ISBLANK(B751),,IFERROR(VLOOKUP(B751,CurrentRank!$B$2:$D$132,3,FALSE),130))</f>
        <v/>
      </c>
      <c r="H751" s="4"/>
      <c r="I751" s="4" t="str">
        <f>IF(ISBLANK(B751),,IFERROR(VLOOKUP(C751,CurrentRank!$B$2:$C$132,2,FALSE),0))</f>
        <v/>
      </c>
      <c r="J751" s="4"/>
      <c r="K751" s="4" t="str">
        <f>IF(ISBLANK(C751),,IFERROR(VLOOKUP(C751,CurrentRank!$B$2:$D$132,3,FALSE),130))</f>
        <v/>
      </c>
      <c r="L751" s="19" t="str">
        <f t="shared" si="279"/>
        <v/>
      </c>
      <c r="M751" s="19" t="str">
        <f t="shared" si="280"/>
        <v/>
      </c>
      <c r="N751" s="24" t="str">
        <f t="shared" si="276"/>
        <v/>
      </c>
      <c r="O751" s="21" t="str">
        <f t="shared" si="4"/>
        <v/>
      </c>
      <c r="P751" s="21" t="str">
        <f t="shared" si="282"/>
        <v/>
      </c>
      <c r="Q751" s="22" t="str">
        <f t="shared" si="6"/>
        <v/>
      </c>
      <c r="R751" s="25" t="str">
        <f t="shared" si="7"/>
        <v/>
      </c>
      <c r="S751" s="19" t="str">
        <f t="shared" si="8"/>
        <v/>
      </c>
      <c r="T751" s="19" t="str">
        <f t="shared" si="9"/>
        <v/>
      </c>
      <c r="U751" s="3"/>
      <c r="V751" s="4" t="str">
        <f>IF(ISBLANK(C751),,IFERROR(IF(VLOOKUP(B751,Standings!$A:$F, 6, 0)=VLOOKUP(C751,Standings!$A:$F, 6, 0), VLOOKUP(B751,Standings!$A:$F, 6, 0), "Non-con"), "FCS"))</f>
        <v/>
      </c>
      <c r="W751" s="3" t="str">
        <f t="shared" si="10"/>
        <v/>
      </c>
      <c r="X751" s="3" t="str">
        <f t="shared" si="11"/>
        <v/>
      </c>
      <c r="Y751" s="30" t="str">
        <f>IF(D751=0,,IF(ISBLANK(Q751),,VLOOKUP(X751,Week1,2,FALSE)/(VLOOKUP(X751,Week1,2,FALSE)+VLOOKUP(W751,Week1,2,FALSE)))*100)</f>
        <v/>
      </c>
      <c r="Z751" s="4"/>
      <c r="AA751" s="3"/>
      <c r="AB751" s="4" t="str">
        <f t="shared" si="20"/>
        <v/>
      </c>
      <c r="AC751" s="3"/>
      <c r="AD751" s="3"/>
      <c r="AE751" s="3" t="str">
        <f t="shared" si="13"/>
        <v/>
      </c>
      <c r="AF751" s="3"/>
      <c r="AG751" s="3" t="str">
        <f t="shared" si="133"/>
        <v/>
      </c>
      <c r="AH751" s="3"/>
      <c r="AI751" s="7"/>
      <c r="AJ751" s="4"/>
      <c r="AK751" s="7"/>
      <c r="AL751" s="7"/>
      <c r="AM751" s="7"/>
      <c r="AN751" s="7"/>
      <c r="AO751" s="7"/>
      <c r="AP751" s="7"/>
      <c r="AQ751" s="7"/>
      <c r="AR751" s="7"/>
      <c r="AS751" s="7"/>
      <c r="AT751" s="7"/>
      <c r="AU751" s="7"/>
      <c r="AV751" s="7"/>
      <c r="AW751" s="7"/>
      <c r="AX751" s="7"/>
    </row>
    <row r="752" ht="12.75" customHeight="1">
      <c r="A752" s="4"/>
      <c r="B752" s="4"/>
      <c r="C752" s="4"/>
      <c r="D752" s="4"/>
      <c r="E752" s="4" t="str">
        <f>IF(ISBLANK(B752),,IFERROR(VLOOKUP(B752,CurrentRank!$B$2:$C$132,2,FALSE),0))</f>
        <v/>
      </c>
      <c r="F752" s="4"/>
      <c r="G752" s="4" t="str">
        <f>IF(ISBLANK(B752),,IFERROR(VLOOKUP(B752,CurrentRank!$B$2:$D$132,3,FALSE),130))</f>
        <v/>
      </c>
      <c r="H752" s="4"/>
      <c r="I752" s="4" t="str">
        <f>IF(ISBLANK(B752),,IFERROR(VLOOKUP(C752,CurrentRank!$B$2:$C$132,2,FALSE),0))</f>
        <v/>
      </c>
      <c r="J752" s="4"/>
      <c r="K752" s="4" t="str">
        <f>IF(ISBLANK(C752),,IFERROR(VLOOKUP(C752,CurrentRank!$B$2:$D$132,3,FALSE),130))</f>
        <v/>
      </c>
      <c r="L752" s="19" t="str">
        <f t="shared" si="279"/>
        <v/>
      </c>
      <c r="M752" s="19" t="str">
        <f t="shared" si="280"/>
        <v/>
      </c>
      <c r="N752" s="24" t="str">
        <f t="shared" si="276"/>
        <v/>
      </c>
      <c r="O752" s="21" t="str">
        <f t="shared" si="4"/>
        <v/>
      </c>
      <c r="P752" s="21" t="str">
        <f t="shared" si="282"/>
        <v/>
      </c>
      <c r="Q752" s="22" t="str">
        <f t="shared" si="6"/>
        <v/>
      </c>
      <c r="R752" s="25" t="str">
        <f t="shared" si="7"/>
        <v/>
      </c>
      <c r="S752" s="19" t="str">
        <f t="shared" si="8"/>
        <v/>
      </c>
      <c r="T752" s="19" t="str">
        <f t="shared" si="9"/>
        <v/>
      </c>
      <c r="U752" s="3"/>
      <c r="V752" s="4" t="str">
        <f>IF(ISBLANK(C752),,IFERROR(IF(VLOOKUP(B752,Standings!$A:$F, 6, 0)=VLOOKUP(C752,Standings!$A:$F, 6, 0), VLOOKUP(B752,Standings!$A:$F, 6, 0), "Non-con"), "FCS"))</f>
        <v/>
      </c>
      <c r="W752" s="3" t="str">
        <f t="shared" si="10"/>
        <v/>
      </c>
      <c r="X752" s="3" t="str">
        <f t="shared" si="11"/>
        <v/>
      </c>
      <c r="Y752" s="30" t="str">
        <f>IF(D752=0,,IF(ISBLANK(Q752),,VLOOKUP(X752,Week1,2,FALSE)/(VLOOKUP(X752,Week1,2,FALSE)+VLOOKUP(W752,Week1,2,FALSE)))*100)</f>
        <v/>
      </c>
      <c r="Z752" s="4"/>
      <c r="AA752" s="3"/>
      <c r="AB752" s="4" t="str">
        <f t="shared" si="20"/>
        <v/>
      </c>
      <c r="AC752" s="3"/>
      <c r="AD752" s="3"/>
      <c r="AE752" s="3" t="str">
        <f t="shared" si="13"/>
        <v/>
      </c>
      <c r="AF752" s="3"/>
      <c r="AG752" s="3" t="str">
        <f t="shared" si="133"/>
        <v/>
      </c>
      <c r="AH752" s="3"/>
      <c r="AI752" s="7"/>
      <c r="AJ752" s="4"/>
      <c r="AK752" s="7"/>
      <c r="AL752" s="7"/>
      <c r="AM752" s="7"/>
      <c r="AN752" s="7"/>
      <c r="AO752" s="7"/>
      <c r="AP752" s="7"/>
      <c r="AQ752" s="7"/>
      <c r="AR752" s="7"/>
      <c r="AS752" s="7"/>
      <c r="AT752" s="7"/>
      <c r="AU752" s="7"/>
      <c r="AV752" s="7"/>
      <c r="AW752" s="7"/>
      <c r="AX752" s="7"/>
    </row>
    <row r="753" ht="12.75" customHeight="1">
      <c r="A753" s="4"/>
      <c r="B753" s="4"/>
      <c r="C753" s="4"/>
      <c r="D753" s="4"/>
      <c r="E753" s="4" t="str">
        <f>IF(ISBLANK(B753),,IFERROR(VLOOKUP(B753,CurrentRank!$B$2:$C$132,2,FALSE),0))</f>
        <v/>
      </c>
      <c r="F753" s="4"/>
      <c r="G753" s="4" t="str">
        <f>IF(ISBLANK(B753),,IFERROR(VLOOKUP(B753,CurrentRank!$B$2:$D$132,3,FALSE),130))</f>
        <v/>
      </c>
      <c r="H753" s="4"/>
      <c r="I753" s="4" t="str">
        <f>IF(ISBLANK(B753),,IFERROR(VLOOKUP(C753,CurrentRank!$B$2:$C$132,2,FALSE),0))</f>
        <v/>
      </c>
      <c r="J753" s="4"/>
      <c r="K753" s="4" t="str">
        <f>IF(ISBLANK(C753),,IFERROR(VLOOKUP(C753,CurrentRank!$B$2:$D$132,3,FALSE),130))</f>
        <v/>
      </c>
      <c r="L753" s="19" t="str">
        <f t="shared" si="279"/>
        <v/>
      </c>
      <c r="M753" s="19" t="str">
        <f t="shared" si="280"/>
        <v/>
      </c>
      <c r="N753" s="24" t="str">
        <f t="shared" si="276"/>
        <v/>
      </c>
      <c r="O753" s="21" t="str">
        <f t="shared" si="4"/>
        <v/>
      </c>
      <c r="P753" s="21" t="str">
        <f t="shared" si="282"/>
        <v/>
      </c>
      <c r="Q753" s="22" t="str">
        <f t="shared" si="6"/>
        <v/>
      </c>
      <c r="R753" s="25" t="str">
        <f t="shared" si="7"/>
        <v/>
      </c>
      <c r="S753" s="19" t="str">
        <f t="shared" si="8"/>
        <v/>
      </c>
      <c r="T753" s="19" t="str">
        <f t="shared" si="9"/>
        <v/>
      </c>
      <c r="U753" s="3"/>
      <c r="V753" s="4" t="str">
        <f>IF(ISBLANK(C753),,IFERROR(IF(VLOOKUP(B753,Standings!$A:$F, 6, 0)=VLOOKUP(C753,Standings!$A:$F, 6, 0), VLOOKUP(B753,Standings!$A:$F, 6, 0), "Non-con"), "FCS"))</f>
        <v/>
      </c>
      <c r="W753" s="3" t="str">
        <f t="shared" si="10"/>
        <v/>
      </c>
      <c r="X753" s="3" t="str">
        <f t="shared" si="11"/>
        <v/>
      </c>
      <c r="Y753" s="30" t="str">
        <f>IF(D753=0,,IF(ISBLANK(Q753),,VLOOKUP(X753,Week1,2,FALSE)/(VLOOKUP(X753,Week1,2,FALSE)+VLOOKUP(W753,Week1,2,FALSE)))*100)</f>
        <v/>
      </c>
      <c r="Z753" s="4"/>
      <c r="AA753" s="3"/>
      <c r="AB753" s="4" t="str">
        <f t="shared" si="20"/>
        <v/>
      </c>
      <c r="AC753" s="3"/>
      <c r="AD753" s="3"/>
      <c r="AE753" s="3" t="str">
        <f t="shared" si="13"/>
        <v/>
      </c>
      <c r="AF753" s="3"/>
      <c r="AG753" s="3" t="str">
        <f t="shared" si="133"/>
        <v/>
      </c>
      <c r="AH753" s="3"/>
      <c r="AI753" s="7"/>
      <c r="AJ753" s="4"/>
      <c r="AK753" s="7"/>
      <c r="AL753" s="7"/>
      <c r="AM753" s="7"/>
      <c r="AN753" s="7"/>
      <c r="AO753" s="7"/>
      <c r="AP753" s="7"/>
      <c r="AQ753" s="7"/>
      <c r="AR753" s="7"/>
      <c r="AS753" s="7"/>
      <c r="AT753" s="7"/>
      <c r="AU753" s="7"/>
      <c r="AV753" s="7"/>
      <c r="AW753" s="7"/>
      <c r="AX753" s="7"/>
    </row>
    <row r="754" ht="12.75" customHeight="1">
      <c r="A754" s="4"/>
      <c r="B754" s="4"/>
      <c r="C754" s="4"/>
      <c r="D754" s="4"/>
      <c r="E754" s="4" t="str">
        <f>IF(ISBLANK(B754),,IFERROR(VLOOKUP(B754,CurrentRank!$B$2:$C$132,2,FALSE),0))</f>
        <v/>
      </c>
      <c r="F754" s="4"/>
      <c r="G754" s="4" t="str">
        <f>IF(ISBLANK(B754),,IFERROR(VLOOKUP(B754,CurrentRank!$B$2:$D$132,3,FALSE),130))</f>
        <v/>
      </c>
      <c r="H754" s="4"/>
      <c r="I754" s="4" t="str">
        <f>IF(ISBLANK(B754),,IFERROR(VLOOKUP(C754,CurrentRank!$B$2:$C$132,2,FALSE),0))</f>
        <v/>
      </c>
      <c r="J754" s="4"/>
      <c r="K754" s="4" t="str">
        <f>IF(ISBLANK(C754),,IFERROR(VLOOKUP(C754,CurrentRank!$B$2:$D$132,3,FALSE),130))</f>
        <v/>
      </c>
      <c r="L754" s="19" t="str">
        <f t="shared" si="279"/>
        <v/>
      </c>
      <c r="M754" s="19" t="str">
        <f t="shared" si="280"/>
        <v/>
      </c>
      <c r="N754" s="24" t="str">
        <f t="shared" si="276"/>
        <v/>
      </c>
      <c r="O754" s="21" t="str">
        <f t="shared" si="4"/>
        <v/>
      </c>
      <c r="P754" s="21" t="str">
        <f t="shared" si="282"/>
        <v/>
      </c>
      <c r="Q754" s="22" t="str">
        <f t="shared" si="6"/>
        <v/>
      </c>
      <c r="R754" s="25" t="str">
        <f t="shared" si="7"/>
        <v/>
      </c>
      <c r="S754" s="19" t="str">
        <f t="shared" si="8"/>
        <v/>
      </c>
      <c r="T754" s="19" t="str">
        <f t="shared" si="9"/>
        <v/>
      </c>
      <c r="U754" s="3"/>
      <c r="V754" s="4" t="str">
        <f>IF(ISBLANK(C754),,IFERROR(IF(VLOOKUP(B754,Standings!$A:$F, 6, 0)=VLOOKUP(C754,Standings!$A:$F, 6, 0), VLOOKUP(B754,Standings!$A:$F, 6, 0), "Non-con"), "FCS"))</f>
        <v/>
      </c>
      <c r="W754" s="3" t="str">
        <f t="shared" si="10"/>
        <v/>
      </c>
      <c r="X754" s="3" t="str">
        <f t="shared" si="11"/>
        <v/>
      </c>
      <c r="Y754" s="30" t="str">
        <f>IF(D754=0,,IF(ISBLANK(Q754),,VLOOKUP(X754,Week1,2,FALSE)/(VLOOKUP(X754,Week1,2,FALSE)+VLOOKUP(W754,Week1,2,FALSE)))*100)</f>
        <v/>
      </c>
      <c r="Z754" s="4"/>
      <c r="AA754" s="3"/>
      <c r="AB754" s="4" t="str">
        <f t="shared" si="20"/>
        <v/>
      </c>
      <c r="AC754" s="3"/>
      <c r="AD754" s="3"/>
      <c r="AE754" s="3" t="str">
        <f t="shared" si="13"/>
        <v/>
      </c>
      <c r="AF754" s="3"/>
      <c r="AG754" s="3" t="str">
        <f t="shared" si="133"/>
        <v/>
      </c>
      <c r="AH754" s="3"/>
      <c r="AI754" s="7"/>
      <c r="AJ754" s="4"/>
      <c r="AK754" s="7"/>
      <c r="AL754" s="7"/>
      <c r="AM754" s="7"/>
      <c r="AN754" s="7"/>
      <c r="AO754" s="7"/>
      <c r="AP754" s="7"/>
      <c r="AQ754" s="7"/>
      <c r="AR754" s="7"/>
      <c r="AS754" s="7"/>
      <c r="AT754" s="7"/>
      <c r="AU754" s="7"/>
      <c r="AV754" s="7"/>
      <c r="AW754" s="7"/>
      <c r="AX754" s="7"/>
    </row>
    <row r="755" ht="12.75" customHeight="1">
      <c r="A755" s="4"/>
      <c r="B755" s="4"/>
      <c r="C755" s="4"/>
      <c r="D755" s="4"/>
      <c r="E755" s="4" t="str">
        <f>IF(ISBLANK(B755),,IFERROR(VLOOKUP(B755,CurrentRank!$B$2:$C$132,2,FALSE),0))</f>
        <v/>
      </c>
      <c r="F755" s="4"/>
      <c r="G755" s="4" t="str">
        <f>IF(ISBLANK(B755),,IFERROR(VLOOKUP(B755,CurrentRank!$B$2:$D$132,3,FALSE),130))</f>
        <v/>
      </c>
      <c r="H755" s="4"/>
      <c r="I755" s="4" t="str">
        <f>IF(ISBLANK(B755),,IFERROR(VLOOKUP(C755,CurrentRank!$B$2:$C$132,2,FALSE),0))</f>
        <v/>
      </c>
      <c r="J755" s="4"/>
      <c r="K755" s="4" t="str">
        <f>IF(ISBLANK(C755),,IFERROR(VLOOKUP(C755,CurrentRank!$B$2:$D$132,3,FALSE),130))</f>
        <v/>
      </c>
      <c r="L755" s="19" t="str">
        <f t="shared" si="279"/>
        <v/>
      </c>
      <c r="M755" s="19" t="str">
        <f t="shared" si="280"/>
        <v/>
      </c>
      <c r="N755" s="24" t="str">
        <f t="shared" si="276"/>
        <v/>
      </c>
      <c r="O755" s="21" t="str">
        <f t="shared" si="4"/>
        <v/>
      </c>
      <c r="P755" s="21" t="str">
        <f t="shared" si="282"/>
        <v/>
      </c>
      <c r="Q755" s="22" t="str">
        <f t="shared" si="6"/>
        <v/>
      </c>
      <c r="R755" s="25" t="str">
        <f t="shared" si="7"/>
        <v/>
      </c>
      <c r="S755" s="19" t="str">
        <f t="shared" si="8"/>
        <v/>
      </c>
      <c r="T755" s="19" t="str">
        <f t="shared" si="9"/>
        <v/>
      </c>
      <c r="U755" s="3"/>
      <c r="V755" s="4" t="str">
        <f>IF(ISBLANK(C755),,IFERROR(IF(VLOOKUP(B755,Standings!$A:$F, 6, 0)=VLOOKUP(C755,Standings!$A:$F, 6, 0), VLOOKUP(B755,Standings!$A:$F, 6, 0), "Non-con"), "FCS"))</f>
        <v/>
      </c>
      <c r="W755" s="3" t="str">
        <f t="shared" si="10"/>
        <v/>
      </c>
      <c r="X755" s="3" t="str">
        <f t="shared" si="11"/>
        <v/>
      </c>
      <c r="Y755" s="30" t="str">
        <f>IF(D755=0,,IF(ISBLANK(Q755),,VLOOKUP(X755,Week1,2,FALSE)/(VLOOKUP(X755,Week1,2,FALSE)+VLOOKUP(W755,Week1,2,FALSE)))*100)</f>
        <v/>
      </c>
      <c r="Z755" s="4"/>
      <c r="AA755" s="3"/>
      <c r="AB755" s="4" t="str">
        <f t="shared" si="20"/>
        <v/>
      </c>
      <c r="AC755" s="3"/>
      <c r="AD755" s="3"/>
      <c r="AE755" s="3" t="str">
        <f t="shared" si="13"/>
        <v/>
      </c>
      <c r="AF755" s="3"/>
      <c r="AG755" s="3" t="str">
        <f t="shared" si="133"/>
        <v/>
      </c>
      <c r="AH755" s="3"/>
      <c r="AI755" s="7"/>
      <c r="AJ755" s="4"/>
      <c r="AK755" s="7"/>
      <c r="AL755" s="7"/>
      <c r="AM755" s="7"/>
      <c r="AN755" s="7"/>
      <c r="AO755" s="7"/>
      <c r="AP755" s="7"/>
      <c r="AQ755" s="7"/>
      <c r="AR755" s="7"/>
      <c r="AS755" s="7"/>
      <c r="AT755" s="7"/>
      <c r="AU755" s="7"/>
      <c r="AV755" s="7"/>
      <c r="AW755" s="7"/>
      <c r="AX755" s="7"/>
    </row>
    <row r="756" ht="12.75" customHeight="1">
      <c r="A756" s="4"/>
      <c r="B756" s="4"/>
      <c r="C756" s="4"/>
      <c r="D756" s="4"/>
      <c r="E756" s="4" t="str">
        <f>IF(ISBLANK(B756),,IFERROR(VLOOKUP(B756,CurrentRank!$B$2:$C$132,2,FALSE),0))</f>
        <v/>
      </c>
      <c r="F756" s="4"/>
      <c r="G756" s="4" t="str">
        <f>IF(ISBLANK(B756),,IFERROR(VLOOKUP(B756,CurrentRank!$B$2:$D$132,3,FALSE),130))</f>
        <v/>
      </c>
      <c r="H756" s="4"/>
      <c r="I756" s="4" t="str">
        <f>IF(ISBLANK(B756),,IFERROR(VLOOKUP(C756,CurrentRank!$B$2:$C$132,2,FALSE),0))</f>
        <v/>
      </c>
      <c r="J756" s="4"/>
      <c r="K756" s="4" t="str">
        <f>IF(ISBLANK(C756),,IFERROR(VLOOKUP(C756,CurrentRank!$B$2:$D$132,3,FALSE),130))</f>
        <v/>
      </c>
      <c r="L756" s="19" t="str">
        <f t="shared" si="279"/>
        <v/>
      </c>
      <c r="M756" s="19" t="str">
        <f t="shared" si="280"/>
        <v/>
      </c>
      <c r="N756" s="24" t="str">
        <f t="shared" si="276"/>
        <v/>
      </c>
      <c r="O756" s="21" t="str">
        <f t="shared" si="4"/>
        <v/>
      </c>
      <c r="P756" s="21" t="str">
        <f t="shared" si="282"/>
        <v/>
      </c>
      <c r="Q756" s="22" t="str">
        <f t="shared" si="6"/>
        <v/>
      </c>
      <c r="R756" s="25" t="str">
        <f t="shared" si="7"/>
        <v/>
      </c>
      <c r="S756" s="19" t="str">
        <f t="shared" si="8"/>
        <v/>
      </c>
      <c r="T756" s="19" t="str">
        <f t="shared" si="9"/>
        <v/>
      </c>
      <c r="U756" s="3"/>
      <c r="V756" s="4" t="str">
        <f>IF(ISBLANK(C756),,IFERROR(IF(VLOOKUP(B756,Standings!$A:$F, 6, 0)=VLOOKUP(C756,Standings!$A:$F, 6, 0), VLOOKUP(B756,Standings!$A:$F, 6, 0), "Non-con"), "FCS"))</f>
        <v/>
      </c>
      <c r="W756" s="3" t="str">
        <f t="shared" si="10"/>
        <v/>
      </c>
      <c r="X756" s="3" t="str">
        <f t="shared" si="11"/>
        <v/>
      </c>
      <c r="Y756" s="30" t="str">
        <f>IF(D756=0,,IF(ISBLANK(Q756),,VLOOKUP(X756,Week1,2,FALSE)/(VLOOKUP(X756,Week1,2,FALSE)+VLOOKUP(W756,Week1,2,FALSE)))*100)</f>
        <v/>
      </c>
      <c r="Z756" s="4"/>
      <c r="AA756" s="3"/>
      <c r="AB756" s="4" t="str">
        <f t="shared" si="20"/>
        <v/>
      </c>
      <c r="AC756" s="3"/>
      <c r="AD756" s="3"/>
      <c r="AE756" s="3" t="str">
        <f t="shared" si="13"/>
        <v/>
      </c>
      <c r="AF756" s="3"/>
      <c r="AG756" s="3" t="str">
        <f t="shared" si="133"/>
        <v/>
      </c>
      <c r="AH756" s="3"/>
      <c r="AI756" s="7"/>
      <c r="AJ756" s="4"/>
      <c r="AK756" s="7"/>
      <c r="AL756" s="7"/>
      <c r="AM756" s="7"/>
      <c r="AN756" s="7"/>
      <c r="AO756" s="7"/>
      <c r="AP756" s="7"/>
      <c r="AQ756" s="7"/>
      <c r="AR756" s="7"/>
      <c r="AS756" s="7"/>
      <c r="AT756" s="7"/>
      <c r="AU756" s="7"/>
      <c r="AV756" s="7"/>
      <c r="AW756" s="7"/>
      <c r="AX756" s="7"/>
    </row>
    <row r="757" ht="12.75" customHeight="1">
      <c r="A757" s="4"/>
      <c r="B757" s="4"/>
      <c r="C757" s="4"/>
      <c r="D757" s="4"/>
      <c r="E757" s="4" t="str">
        <f>IF(ISBLANK(B757),,IFERROR(VLOOKUP(B757,CurrentRank!$B$2:$C$132,2,FALSE),0))</f>
        <v/>
      </c>
      <c r="F757" s="4"/>
      <c r="G757" s="4" t="str">
        <f>IF(ISBLANK(B757),,IFERROR(VLOOKUP(B757,CurrentRank!$B$2:$D$132,3,FALSE),130))</f>
        <v/>
      </c>
      <c r="H757" s="4"/>
      <c r="I757" s="4" t="str">
        <f>IF(ISBLANK(B757),,IFERROR(VLOOKUP(C757,CurrentRank!$B$2:$C$132,2,FALSE),0))</f>
        <v/>
      </c>
      <c r="J757" s="4"/>
      <c r="K757" s="4" t="str">
        <f>IF(ISBLANK(C757),,IFERROR(VLOOKUP(C757,CurrentRank!$B$2:$D$132,3,FALSE),130))</f>
        <v/>
      </c>
      <c r="L757" s="19" t="str">
        <f t="shared" si="279"/>
        <v/>
      </c>
      <c r="M757" s="19" t="str">
        <f t="shared" si="280"/>
        <v/>
      </c>
      <c r="N757" s="24" t="str">
        <f t="shared" si="276"/>
        <v/>
      </c>
      <c r="O757" s="21" t="str">
        <f t="shared" si="4"/>
        <v/>
      </c>
      <c r="P757" s="21" t="str">
        <f t="shared" si="282"/>
        <v/>
      </c>
      <c r="Q757" s="22" t="str">
        <f t="shared" si="6"/>
        <v/>
      </c>
      <c r="R757" s="25" t="str">
        <f t="shared" si="7"/>
        <v/>
      </c>
      <c r="S757" s="19" t="str">
        <f t="shared" si="8"/>
        <v/>
      </c>
      <c r="T757" s="19" t="str">
        <f t="shared" si="9"/>
        <v/>
      </c>
      <c r="U757" s="3"/>
      <c r="V757" s="4" t="str">
        <f>IF(ISBLANK(C757),,IFERROR(IF(VLOOKUP(B757,Standings!$A:$F, 6, 0)=VLOOKUP(C757,Standings!$A:$F, 6, 0), VLOOKUP(B757,Standings!$A:$F, 6, 0), "Non-con"), "FCS"))</f>
        <v/>
      </c>
      <c r="W757" s="3" t="str">
        <f t="shared" si="10"/>
        <v/>
      </c>
      <c r="X757" s="3" t="str">
        <f t="shared" si="11"/>
        <v/>
      </c>
      <c r="Y757" s="30" t="str">
        <f>IF(D757=0,,IF(ISBLANK(Q757),,VLOOKUP(X757,Week1,2,FALSE)/(VLOOKUP(X757,Week1,2,FALSE)+VLOOKUP(W757,Week1,2,FALSE)))*100)</f>
        <v/>
      </c>
      <c r="Z757" s="4"/>
      <c r="AA757" s="3"/>
      <c r="AB757" s="4" t="str">
        <f t="shared" si="20"/>
        <v/>
      </c>
      <c r="AC757" s="3"/>
      <c r="AD757" s="3"/>
      <c r="AE757" s="3" t="str">
        <f t="shared" si="13"/>
        <v/>
      </c>
      <c r="AF757" s="3"/>
      <c r="AG757" s="3" t="str">
        <f t="shared" si="133"/>
        <v/>
      </c>
      <c r="AH757" s="3"/>
      <c r="AI757" s="7"/>
      <c r="AJ757" s="4"/>
      <c r="AK757" s="7"/>
      <c r="AL757" s="7"/>
      <c r="AM757" s="7"/>
      <c r="AN757" s="7"/>
      <c r="AO757" s="7"/>
      <c r="AP757" s="7"/>
      <c r="AQ757" s="7"/>
      <c r="AR757" s="7"/>
      <c r="AS757" s="7"/>
      <c r="AT757" s="7"/>
      <c r="AU757" s="7"/>
      <c r="AV757" s="7"/>
      <c r="AW757" s="7"/>
      <c r="AX757" s="7"/>
    </row>
    <row r="758" ht="12.75" customHeight="1">
      <c r="A758" s="4"/>
      <c r="B758" s="4"/>
      <c r="C758" s="4"/>
      <c r="D758" s="4"/>
      <c r="E758" s="4" t="str">
        <f>IF(ISBLANK(B758),,IFERROR(VLOOKUP(B758,CurrentRank!$B$2:$C$132,2,FALSE),0))</f>
        <v/>
      </c>
      <c r="F758" s="4"/>
      <c r="G758" s="4" t="str">
        <f>IF(ISBLANK(B758),,IFERROR(VLOOKUP(B758,CurrentRank!$B$2:$D$132,3,FALSE),130))</f>
        <v/>
      </c>
      <c r="H758" s="4"/>
      <c r="I758" s="4" t="str">
        <f>IF(ISBLANK(B758),,IFERROR(VLOOKUP(C758,CurrentRank!$B$2:$C$132,2,FALSE),0))</f>
        <v/>
      </c>
      <c r="J758" s="4"/>
      <c r="K758" s="4" t="str">
        <f>IF(ISBLANK(C758),,IFERROR(VLOOKUP(C758,CurrentRank!$B$2:$D$132,3,FALSE),130))</f>
        <v/>
      </c>
      <c r="L758" s="19" t="str">
        <f t="shared" si="279"/>
        <v/>
      </c>
      <c r="M758" s="19" t="str">
        <f t="shared" si="280"/>
        <v/>
      </c>
      <c r="N758" s="24" t="str">
        <f t="shared" si="276"/>
        <v/>
      </c>
      <c r="O758" s="21" t="str">
        <f t="shared" si="4"/>
        <v/>
      </c>
      <c r="P758" s="21" t="str">
        <f t="shared" si="282"/>
        <v/>
      </c>
      <c r="Q758" s="22" t="str">
        <f t="shared" si="6"/>
        <v/>
      </c>
      <c r="R758" s="25" t="str">
        <f t="shared" si="7"/>
        <v/>
      </c>
      <c r="S758" s="19" t="str">
        <f t="shared" si="8"/>
        <v/>
      </c>
      <c r="T758" s="19" t="str">
        <f t="shared" si="9"/>
        <v/>
      </c>
      <c r="U758" s="3"/>
      <c r="V758" s="4" t="str">
        <f>IF(ISBLANK(C758),,IFERROR(IF(VLOOKUP(B758,Standings!$A:$F, 6, 0)=VLOOKUP(C758,Standings!$A:$F, 6, 0), VLOOKUP(B758,Standings!$A:$F, 6, 0), "Non-con"), "FCS"))</f>
        <v/>
      </c>
      <c r="W758" s="3" t="str">
        <f t="shared" si="10"/>
        <v/>
      </c>
      <c r="X758" s="3" t="str">
        <f t="shared" si="11"/>
        <v/>
      </c>
      <c r="Y758" s="30" t="str">
        <f>IF(D758=0,,IF(ISBLANK(Q758),,VLOOKUP(X758,Week1,2,FALSE)/(VLOOKUP(X758,Week1,2,FALSE)+VLOOKUP(W758,Week1,2,FALSE)))*100)</f>
        <v/>
      </c>
      <c r="Z758" s="4"/>
      <c r="AA758" s="3"/>
      <c r="AB758" s="4" t="str">
        <f t="shared" si="20"/>
        <v/>
      </c>
      <c r="AC758" s="3"/>
      <c r="AD758" s="3"/>
      <c r="AE758" s="3" t="str">
        <f t="shared" si="13"/>
        <v/>
      </c>
      <c r="AF758" s="3"/>
      <c r="AG758" s="3" t="str">
        <f t="shared" si="133"/>
        <v/>
      </c>
      <c r="AH758" s="3"/>
      <c r="AI758" s="7"/>
      <c r="AJ758" s="4"/>
      <c r="AK758" s="7"/>
      <c r="AL758" s="7"/>
      <c r="AM758" s="7"/>
      <c r="AN758" s="7"/>
      <c r="AO758" s="7"/>
      <c r="AP758" s="7"/>
      <c r="AQ758" s="7"/>
      <c r="AR758" s="7"/>
      <c r="AS758" s="7"/>
      <c r="AT758" s="7"/>
      <c r="AU758" s="7"/>
      <c r="AV758" s="7"/>
      <c r="AW758" s="7"/>
      <c r="AX758" s="7"/>
    </row>
    <row r="759" ht="12.75" customHeight="1">
      <c r="A759" s="4"/>
      <c r="B759" s="4"/>
      <c r="C759" s="4"/>
      <c r="D759" s="4"/>
      <c r="E759" s="4" t="str">
        <f>IF(ISBLANK(B759),,IFERROR(VLOOKUP(B759,CurrentRank!$B$2:$C$132,2,FALSE),0))</f>
        <v/>
      </c>
      <c r="F759" s="4"/>
      <c r="G759" s="4" t="str">
        <f>IF(ISBLANK(B759),,IFERROR(VLOOKUP(B759,CurrentRank!$B$2:$D$132,3,FALSE),130))</f>
        <v/>
      </c>
      <c r="H759" s="4"/>
      <c r="I759" s="4" t="str">
        <f>IF(ISBLANK(B759),,IFERROR(VLOOKUP(C759,CurrentRank!$B$2:$C$132,2,FALSE),0))</f>
        <v/>
      </c>
      <c r="J759" s="4"/>
      <c r="K759" s="4" t="str">
        <f>IF(ISBLANK(C759),,IFERROR(VLOOKUP(C759,CurrentRank!$B$2:$D$132,3,FALSE),130))</f>
        <v/>
      </c>
      <c r="L759" s="19" t="str">
        <f t="shared" si="279"/>
        <v/>
      </c>
      <c r="M759" s="19" t="str">
        <f t="shared" si="280"/>
        <v/>
      </c>
      <c r="N759" s="24" t="str">
        <f t="shared" si="276"/>
        <v/>
      </c>
      <c r="O759" s="21" t="str">
        <f t="shared" si="4"/>
        <v/>
      </c>
      <c r="P759" s="21" t="str">
        <f t="shared" si="282"/>
        <v/>
      </c>
      <c r="Q759" s="22" t="str">
        <f t="shared" si="6"/>
        <v/>
      </c>
      <c r="R759" s="25" t="str">
        <f t="shared" si="7"/>
        <v/>
      </c>
      <c r="S759" s="19" t="str">
        <f t="shared" si="8"/>
        <v/>
      </c>
      <c r="T759" s="19" t="str">
        <f t="shared" si="9"/>
        <v/>
      </c>
      <c r="U759" s="3"/>
      <c r="V759" s="4" t="str">
        <f>IF(ISBLANK(C759),,IFERROR(IF(VLOOKUP(B759,Standings!$A:$F, 6, 0)=VLOOKUP(C759,Standings!$A:$F, 6, 0), VLOOKUP(B759,Standings!$A:$F, 6, 0), "Non-con"), "FCS"))</f>
        <v/>
      </c>
      <c r="W759" s="3" t="str">
        <f t="shared" si="10"/>
        <v/>
      </c>
      <c r="X759" s="3" t="str">
        <f t="shared" si="11"/>
        <v/>
      </c>
      <c r="Y759" s="30" t="str">
        <f>IF(D759=0,,IF(ISBLANK(Q759),,VLOOKUP(X759,Week1,2,FALSE)/(VLOOKUP(X759,Week1,2,FALSE)+VLOOKUP(W759,Week1,2,FALSE)))*100)</f>
        <v/>
      </c>
      <c r="Z759" s="4"/>
      <c r="AA759" s="3"/>
      <c r="AB759" s="4" t="str">
        <f t="shared" si="20"/>
        <v/>
      </c>
      <c r="AC759" s="3"/>
      <c r="AD759" s="3"/>
      <c r="AE759" s="3" t="str">
        <f t="shared" si="13"/>
        <v/>
      </c>
      <c r="AF759" s="3"/>
      <c r="AG759" s="3" t="str">
        <f t="shared" si="133"/>
        <v/>
      </c>
      <c r="AH759" s="3"/>
      <c r="AI759" s="7"/>
      <c r="AJ759" s="4"/>
      <c r="AK759" s="7"/>
      <c r="AL759" s="7"/>
      <c r="AM759" s="7"/>
      <c r="AN759" s="7"/>
      <c r="AO759" s="7"/>
      <c r="AP759" s="7"/>
      <c r="AQ759" s="7"/>
      <c r="AR759" s="7"/>
      <c r="AS759" s="7"/>
      <c r="AT759" s="7"/>
      <c r="AU759" s="7"/>
      <c r="AV759" s="7"/>
      <c r="AW759" s="7"/>
      <c r="AX759" s="7"/>
    </row>
    <row r="760" ht="12.75" customHeight="1">
      <c r="A760" s="4"/>
      <c r="B760" s="4"/>
      <c r="C760" s="4"/>
      <c r="D760" s="4"/>
      <c r="E760" s="4" t="str">
        <f>IF(ISBLANK(B760),,IFERROR(VLOOKUP(B760,CurrentRank!$B$2:$C$132,2,FALSE),0))</f>
        <v/>
      </c>
      <c r="F760" s="4"/>
      <c r="G760" s="4" t="str">
        <f>IF(ISBLANK(B760),,IFERROR(VLOOKUP(B760,CurrentRank!$B$2:$D$132,3,FALSE),130))</f>
        <v/>
      </c>
      <c r="H760" s="4"/>
      <c r="I760" s="4" t="str">
        <f>IF(ISBLANK(B760),,IFERROR(VLOOKUP(C760,CurrentRank!$B$2:$C$132,2,FALSE),0))</f>
        <v/>
      </c>
      <c r="J760" s="4"/>
      <c r="K760" s="4" t="str">
        <f>IF(ISBLANK(C760),,IFERROR(VLOOKUP(C760,CurrentRank!$B$2:$D$132,3,FALSE),130))</f>
        <v/>
      </c>
      <c r="L760" s="19" t="str">
        <f t="shared" si="279"/>
        <v/>
      </c>
      <c r="M760" s="19" t="str">
        <f t="shared" si="280"/>
        <v/>
      </c>
      <c r="N760" s="24" t="str">
        <f t="shared" si="276"/>
        <v/>
      </c>
      <c r="O760" s="21" t="str">
        <f t="shared" si="4"/>
        <v/>
      </c>
      <c r="P760" s="21" t="str">
        <f t="shared" si="282"/>
        <v/>
      </c>
      <c r="Q760" s="22" t="str">
        <f t="shared" si="6"/>
        <v/>
      </c>
      <c r="R760" s="25" t="str">
        <f t="shared" si="7"/>
        <v/>
      </c>
      <c r="S760" s="19" t="str">
        <f t="shared" si="8"/>
        <v/>
      </c>
      <c r="T760" s="19" t="str">
        <f t="shared" si="9"/>
        <v/>
      </c>
      <c r="U760" s="3"/>
      <c r="V760" s="4" t="str">
        <f>IF(ISBLANK(C760),,IFERROR(IF(VLOOKUP(B760,Standings!$A:$F, 6, 0)=VLOOKUP(C760,Standings!$A:$F, 6, 0), VLOOKUP(B760,Standings!$A:$F, 6, 0), "Non-con"), "FCS"))</f>
        <v/>
      </c>
      <c r="W760" s="3" t="str">
        <f t="shared" si="10"/>
        <v/>
      </c>
      <c r="X760" s="3" t="str">
        <f t="shared" si="11"/>
        <v/>
      </c>
      <c r="Y760" s="30" t="str">
        <f>IF(D760=0,,IF(ISBLANK(Q760),,VLOOKUP(X760,Week1,2,FALSE)/(VLOOKUP(X760,Week1,2,FALSE)+VLOOKUP(W760,Week1,2,FALSE)))*100)</f>
        <v/>
      </c>
      <c r="Z760" s="4"/>
      <c r="AA760" s="3"/>
      <c r="AB760" s="4" t="str">
        <f t="shared" si="20"/>
        <v/>
      </c>
      <c r="AC760" s="3"/>
      <c r="AD760" s="3"/>
      <c r="AE760" s="3" t="str">
        <f t="shared" si="13"/>
        <v/>
      </c>
      <c r="AF760" s="3"/>
      <c r="AG760" s="3" t="str">
        <f t="shared" si="133"/>
        <v/>
      </c>
      <c r="AH760" s="3"/>
      <c r="AI760" s="7"/>
      <c r="AJ760" s="4"/>
      <c r="AK760" s="7"/>
      <c r="AL760" s="7"/>
      <c r="AM760" s="7"/>
      <c r="AN760" s="7"/>
      <c r="AO760" s="7"/>
      <c r="AP760" s="7"/>
      <c r="AQ760" s="7"/>
      <c r="AR760" s="7"/>
      <c r="AS760" s="7"/>
      <c r="AT760" s="7"/>
      <c r="AU760" s="7"/>
      <c r="AV760" s="7"/>
      <c r="AW760" s="7"/>
      <c r="AX760" s="7"/>
    </row>
    <row r="761" ht="12.75" customHeight="1">
      <c r="A761" s="4"/>
      <c r="B761" s="4"/>
      <c r="C761" s="4"/>
      <c r="D761" s="4"/>
      <c r="E761" s="4" t="str">
        <f>IF(ISBLANK(B761),,IFERROR(VLOOKUP(B761,CurrentRank!$B$2:$C$132,2,FALSE),0))</f>
        <v/>
      </c>
      <c r="F761" s="4"/>
      <c r="G761" s="4" t="str">
        <f>IF(ISBLANK(B761),,IFERROR(VLOOKUP(B761,CurrentRank!$B$2:$D$132,3,FALSE),130))</f>
        <v/>
      </c>
      <c r="H761" s="4"/>
      <c r="I761" s="4" t="str">
        <f>IF(ISBLANK(B761),,IFERROR(VLOOKUP(C761,CurrentRank!$B$2:$C$132,2,FALSE),0))</f>
        <v/>
      </c>
      <c r="J761" s="4"/>
      <c r="K761" s="4" t="str">
        <f>IF(ISBLANK(C761),,IFERROR(VLOOKUP(C761,CurrentRank!$B$2:$D$132,3,FALSE),130))</f>
        <v/>
      </c>
      <c r="L761" s="19" t="str">
        <f t="shared" si="279"/>
        <v/>
      </c>
      <c r="M761" s="19" t="str">
        <f t="shared" si="280"/>
        <v/>
      </c>
      <c r="N761" s="24" t="str">
        <f t="shared" si="276"/>
        <v/>
      </c>
      <c r="O761" s="21" t="str">
        <f t="shared" si="4"/>
        <v/>
      </c>
      <c r="P761" s="21" t="str">
        <f t="shared" si="282"/>
        <v/>
      </c>
      <c r="Q761" s="22" t="str">
        <f t="shared" si="6"/>
        <v/>
      </c>
      <c r="R761" s="25" t="str">
        <f t="shared" si="7"/>
        <v/>
      </c>
      <c r="S761" s="19" t="str">
        <f t="shared" si="8"/>
        <v/>
      </c>
      <c r="T761" s="19" t="str">
        <f t="shared" si="9"/>
        <v/>
      </c>
      <c r="U761" s="3"/>
      <c r="V761" s="4" t="str">
        <f>IF(ISBLANK(C761),,IFERROR(IF(VLOOKUP(B761,Standings!$A:$F, 6, 0)=VLOOKUP(C761,Standings!$A:$F, 6, 0), VLOOKUP(B761,Standings!$A:$F, 6, 0), "Non-con"), "FCS"))</f>
        <v/>
      </c>
      <c r="W761" s="3" t="str">
        <f t="shared" si="10"/>
        <v/>
      </c>
      <c r="X761" s="3" t="str">
        <f t="shared" si="11"/>
        <v/>
      </c>
      <c r="Y761" s="30" t="str">
        <f>IF(D761=0,,IF(ISBLANK(Q761),,VLOOKUP(X761,Week1,2,FALSE)/(VLOOKUP(X761,Week1,2,FALSE)+VLOOKUP(W761,Week1,2,FALSE)))*100)</f>
        <v/>
      </c>
      <c r="Z761" s="4"/>
      <c r="AA761" s="3"/>
      <c r="AB761" s="4" t="str">
        <f t="shared" si="20"/>
        <v/>
      </c>
      <c r="AC761" s="3"/>
      <c r="AD761" s="3"/>
      <c r="AE761" s="3" t="str">
        <f t="shared" si="13"/>
        <v/>
      </c>
      <c r="AF761" s="3"/>
      <c r="AG761" s="3" t="str">
        <f t="shared" si="133"/>
        <v/>
      </c>
      <c r="AH761" s="3"/>
      <c r="AI761" s="7"/>
      <c r="AJ761" s="4"/>
      <c r="AK761" s="7"/>
      <c r="AL761" s="7"/>
      <c r="AM761" s="7"/>
      <c r="AN761" s="7"/>
      <c r="AO761" s="7"/>
      <c r="AP761" s="7"/>
      <c r="AQ761" s="7"/>
      <c r="AR761" s="7"/>
      <c r="AS761" s="7"/>
      <c r="AT761" s="7"/>
      <c r="AU761" s="7"/>
      <c r="AV761" s="7"/>
      <c r="AW761" s="7"/>
      <c r="AX761" s="7"/>
    </row>
    <row r="762" ht="12.75" customHeight="1">
      <c r="A762" s="4"/>
      <c r="B762" s="4"/>
      <c r="C762" s="4"/>
      <c r="D762" s="4"/>
      <c r="E762" s="4" t="str">
        <f>IF(ISBLANK(B762),,IFERROR(VLOOKUP(B762,CurrentRank!$B$2:$C$132,2,FALSE),0))</f>
        <v/>
      </c>
      <c r="F762" s="4"/>
      <c r="G762" s="4" t="str">
        <f>IF(ISBLANK(B762),,IFERROR(VLOOKUP(B762,CurrentRank!$B$2:$D$132,3,FALSE),130))</f>
        <v/>
      </c>
      <c r="H762" s="4"/>
      <c r="I762" s="4" t="str">
        <f>IF(ISBLANK(B762),,IFERROR(VLOOKUP(C762,CurrentRank!$B$2:$C$132,2,FALSE),0))</f>
        <v/>
      </c>
      <c r="J762" s="4"/>
      <c r="K762" s="4" t="str">
        <f>IF(ISBLANK(C762),,IFERROR(VLOOKUP(C762,CurrentRank!$B$2:$D$132,3,FALSE),130))</f>
        <v/>
      </c>
      <c r="L762" s="19" t="str">
        <f t="shared" si="279"/>
        <v/>
      </c>
      <c r="M762" s="19" t="str">
        <f t="shared" si="280"/>
        <v/>
      </c>
      <c r="N762" s="24" t="str">
        <f t="shared" si="276"/>
        <v/>
      </c>
      <c r="O762" s="21" t="str">
        <f t="shared" si="4"/>
        <v/>
      </c>
      <c r="P762" s="21" t="str">
        <f t="shared" si="282"/>
        <v/>
      </c>
      <c r="Q762" s="22" t="str">
        <f t="shared" si="6"/>
        <v/>
      </c>
      <c r="R762" s="25" t="str">
        <f t="shared" si="7"/>
        <v/>
      </c>
      <c r="S762" s="19" t="str">
        <f t="shared" si="8"/>
        <v/>
      </c>
      <c r="T762" s="19" t="str">
        <f t="shared" si="9"/>
        <v/>
      </c>
      <c r="U762" s="3"/>
      <c r="V762" s="4" t="str">
        <f>IF(ISBLANK(C762),,IFERROR(IF(VLOOKUP(B762,Standings!$A:$F, 6, 0)=VLOOKUP(C762,Standings!$A:$F, 6, 0), VLOOKUP(B762,Standings!$A:$F, 6, 0), "Non-con"), "FCS"))</f>
        <v/>
      </c>
      <c r="W762" s="3" t="str">
        <f t="shared" si="10"/>
        <v/>
      </c>
      <c r="X762" s="3" t="str">
        <f t="shared" si="11"/>
        <v/>
      </c>
      <c r="Y762" s="30" t="str">
        <f>IF(D762=0,,IF(ISBLANK(Q762),,VLOOKUP(X762,Week1,2,FALSE)/(VLOOKUP(X762,Week1,2,FALSE)+VLOOKUP(W762,Week1,2,FALSE)))*100)</f>
        <v/>
      </c>
      <c r="Z762" s="4"/>
      <c r="AA762" s="3"/>
      <c r="AB762" s="4" t="str">
        <f t="shared" si="20"/>
        <v/>
      </c>
      <c r="AC762" s="3"/>
      <c r="AD762" s="3"/>
      <c r="AE762" s="3" t="str">
        <f t="shared" si="13"/>
        <v/>
      </c>
      <c r="AF762" s="3"/>
      <c r="AG762" s="3" t="str">
        <f t="shared" si="133"/>
        <v/>
      </c>
      <c r="AH762" s="3"/>
      <c r="AI762" s="7"/>
      <c r="AJ762" s="4"/>
      <c r="AK762" s="7"/>
      <c r="AL762" s="7"/>
      <c r="AM762" s="7"/>
      <c r="AN762" s="7"/>
      <c r="AO762" s="7"/>
      <c r="AP762" s="7"/>
      <c r="AQ762" s="7"/>
      <c r="AR762" s="7"/>
      <c r="AS762" s="7"/>
      <c r="AT762" s="7"/>
      <c r="AU762" s="7"/>
      <c r="AV762" s="7"/>
      <c r="AW762" s="7"/>
      <c r="AX762" s="7"/>
    </row>
    <row r="763" ht="12.75" customHeight="1">
      <c r="A763" s="4"/>
      <c r="B763" s="4"/>
      <c r="C763" s="4"/>
      <c r="D763" s="4"/>
      <c r="E763" s="4" t="str">
        <f>IF(ISBLANK(B763),,IFERROR(VLOOKUP(B763,CurrentRank!$B$2:$C$132,2,FALSE),0))</f>
        <v/>
      </c>
      <c r="F763" s="4"/>
      <c r="G763" s="4" t="str">
        <f>IF(ISBLANK(B763),,IFERROR(VLOOKUP(B763,CurrentRank!$B$2:$D$132,3,FALSE),130))</f>
        <v/>
      </c>
      <c r="H763" s="4"/>
      <c r="I763" s="4" t="str">
        <f>IF(ISBLANK(B763),,IFERROR(VLOOKUP(C763,CurrentRank!$B$2:$C$132,2,FALSE),0))</f>
        <v/>
      </c>
      <c r="J763" s="4"/>
      <c r="K763" s="4" t="str">
        <f>IF(ISBLANK(C763),,IFERROR(VLOOKUP(C763,CurrentRank!$B$2:$D$132,3,FALSE),130))</f>
        <v/>
      </c>
      <c r="L763" s="19" t="str">
        <f t="shared" si="279"/>
        <v/>
      </c>
      <c r="M763" s="19" t="str">
        <f t="shared" si="280"/>
        <v/>
      </c>
      <c r="N763" s="24" t="str">
        <f t="shared" si="276"/>
        <v/>
      </c>
      <c r="O763" s="21" t="str">
        <f t="shared" si="4"/>
        <v/>
      </c>
      <c r="P763" s="21" t="str">
        <f t="shared" si="282"/>
        <v/>
      </c>
      <c r="Q763" s="22" t="str">
        <f t="shared" si="6"/>
        <v/>
      </c>
      <c r="R763" s="25" t="str">
        <f t="shared" si="7"/>
        <v/>
      </c>
      <c r="S763" s="19" t="str">
        <f t="shared" si="8"/>
        <v/>
      </c>
      <c r="T763" s="19" t="str">
        <f t="shared" si="9"/>
        <v/>
      </c>
      <c r="U763" s="3"/>
      <c r="V763" s="4" t="str">
        <f>IF(ISBLANK(C763),,IFERROR(IF(VLOOKUP(B763,Standings!$A:$F, 6, 0)=VLOOKUP(C763,Standings!$A:$F, 6, 0), VLOOKUP(B763,Standings!$A:$F, 6, 0), "Non-con"), "FCS"))</f>
        <v/>
      </c>
      <c r="W763" s="3" t="str">
        <f t="shared" si="10"/>
        <v/>
      </c>
      <c r="X763" s="3" t="str">
        <f t="shared" si="11"/>
        <v/>
      </c>
      <c r="Y763" s="30" t="str">
        <f>IF(D763=0,,IF(ISBLANK(Q763),,VLOOKUP(X763,Week1,2,FALSE)/(VLOOKUP(X763,Week1,2,FALSE)+VLOOKUP(W763,Week1,2,FALSE)))*100)</f>
        <v/>
      </c>
      <c r="Z763" s="4"/>
      <c r="AA763" s="3"/>
      <c r="AB763" s="4" t="str">
        <f t="shared" si="20"/>
        <v/>
      </c>
      <c r="AC763" s="3"/>
      <c r="AD763" s="3"/>
      <c r="AE763" s="3" t="str">
        <f t="shared" si="13"/>
        <v/>
      </c>
      <c r="AF763" s="3"/>
      <c r="AG763" s="3" t="str">
        <f t="shared" si="133"/>
        <v/>
      </c>
      <c r="AH763" s="3"/>
      <c r="AI763" s="7"/>
      <c r="AJ763" s="4"/>
      <c r="AK763" s="7"/>
      <c r="AL763" s="7"/>
      <c r="AM763" s="7"/>
      <c r="AN763" s="7"/>
      <c r="AO763" s="7"/>
      <c r="AP763" s="7"/>
      <c r="AQ763" s="7"/>
      <c r="AR763" s="7"/>
      <c r="AS763" s="7"/>
      <c r="AT763" s="7"/>
      <c r="AU763" s="7"/>
      <c r="AV763" s="7"/>
      <c r="AW763" s="7"/>
      <c r="AX763" s="7"/>
    </row>
    <row r="764" ht="12.75" customHeight="1">
      <c r="A764" s="4"/>
      <c r="B764" s="4"/>
      <c r="C764" s="4"/>
      <c r="D764" s="4"/>
      <c r="E764" s="4" t="str">
        <f>IF(ISBLANK(B764),,IFERROR(VLOOKUP(B764,CurrentRank!$B$2:$C$132,2,FALSE),0))</f>
        <v/>
      </c>
      <c r="F764" s="4"/>
      <c r="G764" s="4" t="str">
        <f>IF(ISBLANK(B764),,IFERROR(VLOOKUP(B764,CurrentRank!$B$2:$D$132,3,FALSE),130))</f>
        <v/>
      </c>
      <c r="H764" s="4"/>
      <c r="I764" s="4" t="str">
        <f>IF(ISBLANK(B764),,IFERROR(VLOOKUP(C764,CurrentRank!$B$2:$C$132,2,FALSE),0))</f>
        <v/>
      </c>
      <c r="J764" s="4"/>
      <c r="K764" s="4" t="str">
        <f>IF(ISBLANK(C764),,IFERROR(VLOOKUP(C764,CurrentRank!$B$2:$D$132,3,FALSE),130))</f>
        <v/>
      </c>
      <c r="L764" s="19" t="str">
        <f t="shared" si="279"/>
        <v/>
      </c>
      <c r="M764" s="19" t="str">
        <f t="shared" si="280"/>
        <v/>
      </c>
      <c r="N764" s="24" t="str">
        <f t="shared" si="276"/>
        <v/>
      </c>
      <c r="O764" s="21" t="str">
        <f t="shared" si="4"/>
        <v/>
      </c>
      <c r="P764" s="21" t="str">
        <f t="shared" si="282"/>
        <v/>
      </c>
      <c r="Q764" s="22" t="str">
        <f t="shared" si="6"/>
        <v/>
      </c>
      <c r="R764" s="25" t="str">
        <f t="shared" si="7"/>
        <v/>
      </c>
      <c r="S764" s="19" t="str">
        <f t="shared" si="8"/>
        <v/>
      </c>
      <c r="T764" s="19" t="str">
        <f t="shared" si="9"/>
        <v/>
      </c>
      <c r="U764" s="3"/>
      <c r="V764" s="4" t="str">
        <f>IF(ISBLANK(C764),,IFERROR(IF(VLOOKUP(B764,Standings!$A:$F, 6, 0)=VLOOKUP(C764,Standings!$A:$F, 6, 0), VLOOKUP(B764,Standings!$A:$F, 6, 0), "Non-con"), "FCS"))</f>
        <v/>
      </c>
      <c r="W764" s="3" t="str">
        <f t="shared" si="10"/>
        <v/>
      </c>
      <c r="X764" s="3" t="str">
        <f t="shared" si="11"/>
        <v/>
      </c>
      <c r="Y764" s="30" t="str">
        <f>IF(D764=0,,IF(ISBLANK(Q764),,VLOOKUP(X764,Week1,2,FALSE)/(VLOOKUP(X764,Week1,2,FALSE)+VLOOKUP(W764,Week1,2,FALSE)))*100)</f>
        <v/>
      </c>
      <c r="Z764" s="4"/>
      <c r="AA764" s="3"/>
      <c r="AB764" s="4" t="str">
        <f t="shared" si="20"/>
        <v/>
      </c>
      <c r="AC764" s="3"/>
      <c r="AD764" s="3"/>
      <c r="AE764" s="3" t="str">
        <f t="shared" si="13"/>
        <v/>
      </c>
      <c r="AF764" s="3"/>
      <c r="AG764" s="3" t="str">
        <f t="shared" si="133"/>
        <v/>
      </c>
      <c r="AH764" s="3"/>
      <c r="AI764" s="7"/>
      <c r="AJ764" s="4"/>
      <c r="AK764" s="7"/>
      <c r="AL764" s="7"/>
      <c r="AM764" s="7"/>
      <c r="AN764" s="7"/>
      <c r="AO764" s="7"/>
      <c r="AP764" s="7"/>
      <c r="AQ764" s="7"/>
      <c r="AR764" s="7"/>
      <c r="AS764" s="7"/>
      <c r="AT764" s="7"/>
      <c r="AU764" s="7"/>
      <c r="AV764" s="7"/>
      <c r="AW764" s="7"/>
      <c r="AX764" s="7"/>
    </row>
    <row r="765" ht="12.75" customHeight="1">
      <c r="A765" s="4"/>
      <c r="B765" s="4"/>
      <c r="C765" s="4"/>
      <c r="D765" s="4"/>
      <c r="E765" s="4" t="str">
        <f>IF(ISBLANK(B765),,IFERROR(VLOOKUP(B765,CurrentRank!$B$2:$C$132,2,FALSE),0))</f>
        <v/>
      </c>
      <c r="F765" s="4"/>
      <c r="G765" s="4" t="str">
        <f>IF(ISBLANK(B765),,IFERROR(VLOOKUP(B765,CurrentRank!$B$2:$D$132,3,FALSE),130))</f>
        <v/>
      </c>
      <c r="H765" s="4"/>
      <c r="I765" s="4" t="str">
        <f>IF(ISBLANK(B765),,IFERROR(VLOOKUP(C765,CurrentRank!$B$2:$C$132,2,FALSE),0))</f>
        <v/>
      </c>
      <c r="J765" s="4"/>
      <c r="K765" s="4" t="str">
        <f>IF(ISBLANK(C765),,IFERROR(VLOOKUP(C765,CurrentRank!$B$2:$D$132,3,FALSE),130))</f>
        <v/>
      </c>
      <c r="L765" s="19" t="str">
        <f t="shared" si="279"/>
        <v/>
      </c>
      <c r="M765" s="19" t="str">
        <f t="shared" si="280"/>
        <v/>
      </c>
      <c r="N765" s="24" t="str">
        <f t="shared" si="276"/>
        <v/>
      </c>
      <c r="O765" s="21" t="str">
        <f t="shared" si="4"/>
        <v/>
      </c>
      <c r="P765" s="21" t="str">
        <f t="shared" si="282"/>
        <v/>
      </c>
      <c r="Q765" s="22" t="str">
        <f t="shared" si="6"/>
        <v/>
      </c>
      <c r="R765" s="25" t="str">
        <f t="shared" si="7"/>
        <v/>
      </c>
      <c r="S765" s="19" t="str">
        <f t="shared" si="8"/>
        <v/>
      </c>
      <c r="T765" s="19" t="str">
        <f t="shared" si="9"/>
        <v/>
      </c>
      <c r="U765" s="3"/>
      <c r="V765" s="4" t="str">
        <f>IF(ISBLANK(C765),,IFERROR(IF(VLOOKUP(B765,Standings!$A:$F, 6, 0)=VLOOKUP(C765,Standings!$A:$F, 6, 0), VLOOKUP(B765,Standings!$A:$F, 6, 0), "Non-con"), "FCS"))</f>
        <v/>
      </c>
      <c r="W765" s="3" t="str">
        <f t="shared" si="10"/>
        <v/>
      </c>
      <c r="X765" s="3" t="str">
        <f t="shared" si="11"/>
        <v/>
      </c>
      <c r="Y765" s="30" t="str">
        <f>IF(D765=0,,IF(ISBLANK(Q765),,VLOOKUP(X765,Week1,2,FALSE)/(VLOOKUP(X765,Week1,2,FALSE)+VLOOKUP(W765,Week1,2,FALSE)))*100)</f>
        <v/>
      </c>
      <c r="Z765" s="4"/>
      <c r="AA765" s="3"/>
      <c r="AB765" s="4" t="str">
        <f t="shared" si="20"/>
        <v/>
      </c>
      <c r="AC765" s="3"/>
      <c r="AD765" s="3"/>
      <c r="AE765" s="3" t="str">
        <f t="shared" si="13"/>
        <v/>
      </c>
      <c r="AF765" s="3"/>
      <c r="AG765" s="3" t="str">
        <f t="shared" si="133"/>
        <v/>
      </c>
      <c r="AH765" s="3"/>
      <c r="AI765" s="7"/>
      <c r="AJ765" s="4"/>
      <c r="AK765" s="7"/>
      <c r="AL765" s="7"/>
      <c r="AM765" s="7"/>
      <c r="AN765" s="7"/>
      <c r="AO765" s="7"/>
      <c r="AP765" s="7"/>
      <c r="AQ765" s="7"/>
      <c r="AR765" s="7"/>
      <c r="AS765" s="7"/>
      <c r="AT765" s="7"/>
      <c r="AU765" s="7"/>
      <c r="AV765" s="7"/>
      <c r="AW765" s="7"/>
      <c r="AX765" s="7"/>
    </row>
    <row r="766" ht="12.75" customHeight="1">
      <c r="A766" s="4"/>
      <c r="B766" s="4"/>
      <c r="C766" s="4"/>
      <c r="D766" s="4"/>
      <c r="E766" s="4" t="str">
        <f>IF(ISBLANK(B766),,IFERROR(VLOOKUP(B766,CurrentRank!$B$2:$C$132,2,FALSE),0))</f>
        <v/>
      </c>
      <c r="F766" s="4"/>
      <c r="G766" s="4" t="str">
        <f>IF(ISBLANK(B766),,IFERROR(VLOOKUP(B766,CurrentRank!$B$2:$D$132,3,FALSE),130))</f>
        <v/>
      </c>
      <c r="H766" s="4"/>
      <c r="I766" s="4" t="str">
        <f>IF(ISBLANK(B766),,IFERROR(VLOOKUP(C766,CurrentRank!$B$2:$C$132,2,FALSE),0))</f>
        <v/>
      </c>
      <c r="J766" s="4"/>
      <c r="K766" s="4" t="str">
        <f>IF(ISBLANK(C766),,IFERROR(VLOOKUP(C766,CurrentRank!$B$2:$D$132,3,FALSE),130))</f>
        <v/>
      </c>
      <c r="L766" s="19" t="str">
        <f t="shared" si="279"/>
        <v/>
      </c>
      <c r="M766" s="19" t="str">
        <f t="shared" si="280"/>
        <v/>
      </c>
      <c r="N766" s="24" t="str">
        <f t="shared" si="276"/>
        <v/>
      </c>
      <c r="O766" s="21" t="str">
        <f t="shared" si="4"/>
        <v/>
      </c>
      <c r="P766" s="21" t="str">
        <f t="shared" si="282"/>
        <v/>
      </c>
      <c r="Q766" s="22" t="str">
        <f t="shared" si="6"/>
        <v/>
      </c>
      <c r="R766" s="25" t="str">
        <f t="shared" si="7"/>
        <v/>
      </c>
      <c r="S766" s="19" t="str">
        <f t="shared" si="8"/>
        <v/>
      </c>
      <c r="T766" s="19" t="str">
        <f t="shared" si="9"/>
        <v/>
      </c>
      <c r="U766" s="3"/>
      <c r="V766" s="4" t="str">
        <f>IF(ISBLANK(C766),,IFERROR(IF(VLOOKUP(B766,Standings!$A:$F, 6, 0)=VLOOKUP(C766,Standings!$A:$F, 6, 0), VLOOKUP(B766,Standings!$A:$F, 6, 0), "Non-con"), "FCS"))</f>
        <v/>
      </c>
      <c r="W766" s="3" t="str">
        <f t="shared" si="10"/>
        <v/>
      </c>
      <c r="X766" s="3" t="str">
        <f t="shared" si="11"/>
        <v/>
      </c>
      <c r="Y766" s="30" t="str">
        <f>IF(D766=0,,IF(ISBLANK(Q766),,VLOOKUP(X766,Week1,2,FALSE)/(VLOOKUP(X766,Week1,2,FALSE)+VLOOKUP(W766,Week1,2,FALSE)))*100)</f>
        <v/>
      </c>
      <c r="Z766" s="4"/>
      <c r="AA766" s="3"/>
      <c r="AB766" s="4" t="str">
        <f t="shared" si="20"/>
        <v/>
      </c>
      <c r="AC766" s="3"/>
      <c r="AD766" s="3"/>
      <c r="AE766" s="3" t="str">
        <f t="shared" si="13"/>
        <v/>
      </c>
      <c r="AF766" s="3"/>
      <c r="AG766" s="3" t="str">
        <f t="shared" si="133"/>
        <v/>
      </c>
      <c r="AH766" s="3"/>
      <c r="AI766" s="7"/>
      <c r="AJ766" s="4"/>
      <c r="AK766" s="7"/>
      <c r="AL766" s="7"/>
      <c r="AM766" s="7"/>
      <c r="AN766" s="7"/>
      <c r="AO766" s="7"/>
      <c r="AP766" s="7"/>
      <c r="AQ766" s="7"/>
      <c r="AR766" s="7"/>
      <c r="AS766" s="7"/>
      <c r="AT766" s="7"/>
      <c r="AU766" s="7"/>
      <c r="AV766" s="7"/>
      <c r="AW766" s="7"/>
      <c r="AX766" s="7"/>
    </row>
    <row r="767" ht="12.75" customHeight="1">
      <c r="A767" s="4"/>
      <c r="B767" s="4"/>
      <c r="C767" s="4"/>
      <c r="D767" s="4"/>
      <c r="E767" s="4" t="str">
        <f>IF(ISBLANK(B767),,IFERROR(VLOOKUP(B767,CurrentRank!$B$2:$C$132,2,FALSE),0))</f>
        <v/>
      </c>
      <c r="F767" s="4"/>
      <c r="G767" s="4" t="str">
        <f>IF(ISBLANK(B767),,IFERROR(VLOOKUP(B767,CurrentRank!$B$2:$D$132,3,FALSE),130))</f>
        <v/>
      </c>
      <c r="H767" s="4"/>
      <c r="I767" s="4" t="str">
        <f>IF(ISBLANK(B767),,IFERROR(VLOOKUP(C767,CurrentRank!$B$2:$C$132,2,FALSE),0))</f>
        <v/>
      </c>
      <c r="J767" s="4"/>
      <c r="K767" s="4" t="str">
        <f>IF(ISBLANK(C767),,IFERROR(VLOOKUP(C767,CurrentRank!$B$2:$D$132,3,FALSE),130))</f>
        <v/>
      </c>
      <c r="L767" s="19" t="str">
        <f t="shared" si="279"/>
        <v/>
      </c>
      <c r="M767" s="19" t="str">
        <f t="shared" si="280"/>
        <v/>
      </c>
      <c r="N767" s="24" t="str">
        <f t="shared" si="276"/>
        <v/>
      </c>
      <c r="O767" s="21" t="str">
        <f t="shared" si="4"/>
        <v/>
      </c>
      <c r="P767" s="21" t="str">
        <f t="shared" si="282"/>
        <v/>
      </c>
      <c r="Q767" s="22" t="str">
        <f t="shared" si="6"/>
        <v/>
      </c>
      <c r="R767" s="25" t="str">
        <f t="shared" si="7"/>
        <v/>
      </c>
      <c r="S767" s="19" t="str">
        <f t="shared" si="8"/>
        <v/>
      </c>
      <c r="T767" s="19" t="str">
        <f t="shared" si="9"/>
        <v/>
      </c>
      <c r="U767" s="3"/>
      <c r="V767" s="4" t="str">
        <f>IF(ISBLANK(C767),,IFERROR(IF(VLOOKUP(B767,Standings!$A:$F, 6, 0)=VLOOKUP(C767,Standings!$A:$F, 6, 0), VLOOKUP(B767,Standings!$A:$F, 6, 0), "Non-con"), "FCS"))</f>
        <v/>
      </c>
      <c r="W767" s="3" t="str">
        <f t="shared" si="10"/>
        <v/>
      </c>
      <c r="X767" s="3" t="str">
        <f t="shared" si="11"/>
        <v/>
      </c>
      <c r="Y767" s="30" t="str">
        <f>IF(D767=0,,IF(ISBLANK(Q767),,VLOOKUP(X767,Week1,2,FALSE)/(VLOOKUP(X767,Week1,2,FALSE)+VLOOKUP(W767,Week1,2,FALSE)))*100)</f>
        <v/>
      </c>
      <c r="Z767" s="4"/>
      <c r="AA767" s="3"/>
      <c r="AB767" s="4" t="str">
        <f t="shared" si="20"/>
        <v/>
      </c>
      <c r="AC767" s="3"/>
      <c r="AD767" s="3"/>
      <c r="AE767" s="3" t="str">
        <f t="shared" si="13"/>
        <v/>
      </c>
      <c r="AF767" s="3"/>
      <c r="AG767" s="3" t="str">
        <f t="shared" si="133"/>
        <v/>
      </c>
      <c r="AH767" s="3"/>
      <c r="AI767" s="7"/>
      <c r="AJ767" s="4"/>
      <c r="AK767" s="7"/>
      <c r="AL767" s="7"/>
      <c r="AM767" s="7"/>
      <c r="AN767" s="7"/>
      <c r="AO767" s="7"/>
      <c r="AP767" s="7"/>
      <c r="AQ767" s="7"/>
      <c r="AR767" s="7"/>
      <c r="AS767" s="7"/>
      <c r="AT767" s="7"/>
      <c r="AU767" s="7"/>
      <c r="AV767" s="7"/>
      <c r="AW767" s="7"/>
      <c r="AX767" s="7"/>
    </row>
    <row r="768" ht="12.75" customHeight="1">
      <c r="A768" s="4"/>
      <c r="B768" s="4"/>
      <c r="C768" s="4"/>
      <c r="D768" s="4"/>
      <c r="E768" s="4" t="str">
        <f>IF(ISBLANK(B768),,IFERROR(VLOOKUP(B768,CurrentRank!$B$2:$C$132,2,FALSE),0))</f>
        <v/>
      </c>
      <c r="F768" s="4"/>
      <c r="G768" s="4" t="str">
        <f>IF(ISBLANK(B768),,IFERROR(VLOOKUP(B768,CurrentRank!$B$2:$D$132,3,FALSE),130))</f>
        <v/>
      </c>
      <c r="H768" s="4"/>
      <c r="I768" s="4" t="str">
        <f>IF(ISBLANK(B768),,IFERROR(VLOOKUP(C768,CurrentRank!$B$2:$C$132,2,FALSE),0))</f>
        <v/>
      </c>
      <c r="J768" s="4"/>
      <c r="K768" s="4" t="str">
        <f>IF(ISBLANK(C768),,IFERROR(VLOOKUP(C768,CurrentRank!$B$2:$D$132,3,FALSE),130))</f>
        <v/>
      </c>
      <c r="L768" s="19" t="str">
        <f t="shared" si="279"/>
        <v/>
      </c>
      <c r="M768" s="19" t="str">
        <f t="shared" si="280"/>
        <v/>
      </c>
      <c r="N768" s="24" t="str">
        <f t="shared" si="276"/>
        <v/>
      </c>
      <c r="O768" s="21" t="str">
        <f t="shared" si="4"/>
        <v/>
      </c>
      <c r="P768" s="21" t="str">
        <f t="shared" si="282"/>
        <v/>
      </c>
      <c r="Q768" s="22" t="str">
        <f t="shared" si="6"/>
        <v/>
      </c>
      <c r="R768" s="25" t="str">
        <f t="shared" si="7"/>
        <v/>
      </c>
      <c r="S768" s="19" t="str">
        <f t="shared" si="8"/>
        <v/>
      </c>
      <c r="T768" s="19" t="str">
        <f t="shared" si="9"/>
        <v/>
      </c>
      <c r="U768" s="3"/>
      <c r="V768" s="4" t="str">
        <f>IF(ISBLANK(C768),,IFERROR(IF(VLOOKUP(B768,Standings!$A:$F, 6, 0)=VLOOKUP(C768,Standings!$A:$F, 6, 0), VLOOKUP(B768,Standings!$A:$F, 6, 0), "Non-con"), "FCS"))</f>
        <v/>
      </c>
      <c r="W768" s="3" t="str">
        <f t="shared" si="10"/>
        <v/>
      </c>
      <c r="X768" s="3" t="str">
        <f t="shared" si="11"/>
        <v/>
      </c>
      <c r="Y768" s="30" t="str">
        <f>IF(D768=0,,IF(ISBLANK(Q768),,VLOOKUP(X768,Week1,2,FALSE)/(VLOOKUP(X768,Week1,2,FALSE)+VLOOKUP(W768,Week1,2,FALSE)))*100)</f>
        <v/>
      </c>
      <c r="Z768" s="4"/>
      <c r="AA768" s="3"/>
      <c r="AB768" s="4" t="str">
        <f t="shared" si="20"/>
        <v/>
      </c>
      <c r="AC768" s="3"/>
      <c r="AD768" s="3"/>
      <c r="AE768" s="3" t="str">
        <f t="shared" si="13"/>
        <v/>
      </c>
      <c r="AF768" s="3"/>
      <c r="AG768" s="3" t="str">
        <f t="shared" si="133"/>
        <v/>
      </c>
      <c r="AH768" s="3"/>
      <c r="AI768" s="7"/>
      <c r="AJ768" s="4"/>
      <c r="AK768" s="7"/>
      <c r="AL768" s="7"/>
      <c r="AM768" s="7"/>
      <c r="AN768" s="7"/>
      <c r="AO768" s="7"/>
      <c r="AP768" s="7"/>
      <c r="AQ768" s="7"/>
      <c r="AR768" s="7"/>
      <c r="AS768" s="7"/>
      <c r="AT768" s="7"/>
      <c r="AU768" s="7"/>
      <c r="AV768" s="7"/>
      <c r="AW768" s="7"/>
      <c r="AX768" s="7"/>
    </row>
    <row r="769" ht="12.75" customHeight="1">
      <c r="A769" s="4"/>
      <c r="B769" s="4"/>
      <c r="C769" s="4"/>
      <c r="D769" s="4"/>
      <c r="E769" s="4" t="str">
        <f>IF(ISBLANK(B769),,IFERROR(VLOOKUP(B769,CurrentRank!$B$2:$C$132,2,FALSE),0))</f>
        <v/>
      </c>
      <c r="F769" s="4"/>
      <c r="G769" s="4" t="str">
        <f>IF(ISBLANK(B769),,IFERROR(VLOOKUP(B769,CurrentRank!$B$2:$D$132,3,FALSE),130))</f>
        <v/>
      </c>
      <c r="H769" s="4"/>
      <c r="I769" s="4" t="str">
        <f>IF(ISBLANK(B769),,IFERROR(VLOOKUP(C769,CurrentRank!$B$2:$C$132,2,FALSE),0))</f>
        <v/>
      </c>
      <c r="J769" s="4"/>
      <c r="K769" s="4" t="str">
        <f>IF(ISBLANK(C769),,IFERROR(VLOOKUP(C769,CurrentRank!$B$2:$D$132,3,FALSE),130))</f>
        <v/>
      </c>
      <c r="L769" s="19" t="str">
        <f t="shared" si="279"/>
        <v/>
      </c>
      <c r="M769" s="19" t="str">
        <f t="shared" si="280"/>
        <v/>
      </c>
      <c r="N769" s="24" t="str">
        <f t="shared" si="276"/>
        <v/>
      </c>
      <c r="O769" s="21" t="str">
        <f t="shared" si="4"/>
        <v/>
      </c>
      <c r="P769" s="21" t="str">
        <f t="shared" si="282"/>
        <v/>
      </c>
      <c r="Q769" s="22" t="str">
        <f t="shared" si="6"/>
        <v/>
      </c>
      <c r="R769" s="25" t="str">
        <f t="shared" si="7"/>
        <v/>
      </c>
      <c r="S769" s="19" t="str">
        <f t="shared" si="8"/>
        <v/>
      </c>
      <c r="T769" s="19" t="str">
        <f t="shared" si="9"/>
        <v/>
      </c>
      <c r="U769" s="3"/>
      <c r="V769" s="4" t="str">
        <f>IF(ISBLANK(C769),,IFERROR(IF(VLOOKUP(B769,Standings!$A:$F, 6, 0)=VLOOKUP(C769,Standings!$A:$F, 6, 0), VLOOKUP(B769,Standings!$A:$F, 6, 0), "Non-con"), "FCS"))</f>
        <v/>
      </c>
      <c r="W769" s="3" t="str">
        <f t="shared" si="10"/>
        <v/>
      </c>
      <c r="X769" s="3" t="str">
        <f t="shared" si="11"/>
        <v/>
      </c>
      <c r="Y769" s="30" t="str">
        <f>IF(D769=0,,IF(ISBLANK(Q769),,VLOOKUP(X769,Week1,2,FALSE)/(VLOOKUP(X769,Week1,2,FALSE)+VLOOKUP(W769,Week1,2,FALSE)))*100)</f>
        <v/>
      </c>
      <c r="Z769" s="4"/>
      <c r="AA769" s="3"/>
      <c r="AB769" s="4" t="str">
        <f t="shared" si="20"/>
        <v/>
      </c>
      <c r="AC769" s="3"/>
      <c r="AD769" s="3"/>
      <c r="AE769" s="3" t="str">
        <f t="shared" si="13"/>
        <v/>
      </c>
      <c r="AF769" s="3"/>
      <c r="AG769" s="3" t="str">
        <f t="shared" si="133"/>
        <v/>
      </c>
      <c r="AH769" s="3"/>
      <c r="AI769" s="7"/>
      <c r="AJ769" s="4"/>
      <c r="AK769" s="7"/>
      <c r="AL769" s="7"/>
      <c r="AM769" s="7"/>
      <c r="AN769" s="7"/>
      <c r="AO769" s="7"/>
      <c r="AP769" s="7"/>
      <c r="AQ769" s="7"/>
      <c r="AR769" s="7"/>
      <c r="AS769" s="7"/>
      <c r="AT769" s="7"/>
      <c r="AU769" s="7"/>
      <c r="AV769" s="7"/>
      <c r="AW769" s="7"/>
      <c r="AX769" s="7"/>
    </row>
    <row r="770" ht="12.75" customHeight="1">
      <c r="A770" s="4"/>
      <c r="B770" s="4"/>
      <c r="C770" s="4"/>
      <c r="D770" s="4"/>
      <c r="E770" s="4" t="str">
        <f>IF(ISBLANK(B770),,IFERROR(VLOOKUP(B770,CurrentRank!$B$2:$C$132,2,FALSE),0))</f>
        <v/>
      </c>
      <c r="F770" s="4"/>
      <c r="G770" s="4" t="str">
        <f>IF(ISBLANK(B770),,IFERROR(VLOOKUP(B770,CurrentRank!$B$2:$D$132,3,FALSE),130))</f>
        <v/>
      </c>
      <c r="H770" s="4"/>
      <c r="I770" s="4" t="str">
        <f>IF(ISBLANK(B770),,IFERROR(VLOOKUP(C770,CurrentRank!$B$2:$C$132,2,FALSE),0))</f>
        <v/>
      </c>
      <c r="J770" s="4"/>
      <c r="K770" s="4" t="str">
        <f>IF(ISBLANK(C770),,IFERROR(VLOOKUP(C770,CurrentRank!$B$2:$D$132,3,FALSE),130))</f>
        <v/>
      </c>
      <c r="L770" s="19" t="str">
        <f t="shared" si="279"/>
        <v/>
      </c>
      <c r="M770" s="19" t="str">
        <f t="shared" si="280"/>
        <v/>
      </c>
      <c r="N770" s="24" t="str">
        <f t="shared" si="276"/>
        <v/>
      </c>
      <c r="O770" s="21" t="str">
        <f t="shared" si="4"/>
        <v/>
      </c>
      <c r="P770" s="21" t="str">
        <f t="shared" si="282"/>
        <v/>
      </c>
      <c r="Q770" s="22" t="str">
        <f t="shared" si="6"/>
        <v/>
      </c>
      <c r="R770" s="25" t="str">
        <f t="shared" si="7"/>
        <v/>
      </c>
      <c r="S770" s="19" t="str">
        <f t="shared" si="8"/>
        <v/>
      </c>
      <c r="T770" s="19" t="str">
        <f t="shared" si="9"/>
        <v/>
      </c>
      <c r="U770" s="3"/>
      <c r="V770" s="4" t="str">
        <f>IF(ISBLANK(C770),,IFERROR(IF(VLOOKUP(B770,Standings!$A:$F, 6, 0)=VLOOKUP(C770,Standings!$A:$F, 6, 0), VLOOKUP(B770,Standings!$A:$F, 6, 0), "Non-con"), "FCS"))</f>
        <v/>
      </c>
      <c r="W770" s="3" t="str">
        <f t="shared" si="10"/>
        <v/>
      </c>
      <c r="X770" s="3" t="str">
        <f t="shared" si="11"/>
        <v/>
      </c>
      <c r="Y770" s="30" t="str">
        <f>IF(D770=0,,IF(ISBLANK(Q770),,VLOOKUP(X770,Week1,2,FALSE)/(VLOOKUP(X770,Week1,2,FALSE)+VLOOKUP(W770,Week1,2,FALSE)))*100)</f>
        <v/>
      </c>
      <c r="Z770" s="4"/>
      <c r="AA770" s="3"/>
      <c r="AB770" s="4" t="str">
        <f t="shared" si="20"/>
        <v/>
      </c>
      <c r="AC770" s="3"/>
      <c r="AD770" s="3"/>
      <c r="AE770" s="3" t="str">
        <f t="shared" si="13"/>
        <v/>
      </c>
      <c r="AF770" s="3"/>
      <c r="AG770" s="3" t="str">
        <f t="shared" si="133"/>
        <v/>
      </c>
      <c r="AH770" s="3"/>
      <c r="AI770" s="7"/>
      <c r="AJ770" s="4"/>
      <c r="AK770" s="7"/>
      <c r="AL770" s="7"/>
      <c r="AM770" s="7"/>
      <c r="AN770" s="7"/>
      <c r="AO770" s="7"/>
      <c r="AP770" s="7"/>
      <c r="AQ770" s="7"/>
      <c r="AR770" s="7"/>
      <c r="AS770" s="7"/>
      <c r="AT770" s="7"/>
      <c r="AU770" s="7"/>
      <c r="AV770" s="7"/>
      <c r="AW770" s="7"/>
      <c r="AX770" s="7"/>
    </row>
    <row r="771" ht="12.75" customHeight="1">
      <c r="A771" s="4"/>
      <c r="B771" s="4"/>
      <c r="C771" s="4"/>
      <c r="D771" s="4"/>
      <c r="E771" s="4" t="str">
        <f>IF(ISBLANK(B771),,IFERROR(VLOOKUP(B771,CurrentRank!$B$2:$C$132,2,FALSE),0))</f>
        <v/>
      </c>
      <c r="F771" s="4"/>
      <c r="G771" s="4" t="str">
        <f>IF(ISBLANK(B771),,IFERROR(VLOOKUP(B771,CurrentRank!$B$2:$D$132,3,FALSE),130))</f>
        <v/>
      </c>
      <c r="H771" s="4"/>
      <c r="I771" s="4" t="str">
        <f>IF(ISBLANK(B771),,IFERROR(VLOOKUP(C771,CurrentRank!$B$2:$C$132,2,FALSE),0))</f>
        <v/>
      </c>
      <c r="J771" s="4"/>
      <c r="K771" s="4" t="str">
        <f>IF(ISBLANK(C771),,IFERROR(VLOOKUP(C771,CurrentRank!$B$2:$D$132,3,FALSE),130))</f>
        <v/>
      </c>
      <c r="L771" s="19" t="str">
        <f t="shared" si="279"/>
        <v/>
      </c>
      <c r="M771" s="19" t="str">
        <f t="shared" si="280"/>
        <v/>
      </c>
      <c r="N771" s="24" t="str">
        <f t="shared" si="276"/>
        <v/>
      </c>
      <c r="O771" s="21" t="str">
        <f t="shared" si="4"/>
        <v/>
      </c>
      <c r="P771" s="21" t="str">
        <f t="shared" si="282"/>
        <v/>
      </c>
      <c r="Q771" s="22" t="str">
        <f t="shared" si="6"/>
        <v/>
      </c>
      <c r="R771" s="25" t="str">
        <f t="shared" si="7"/>
        <v/>
      </c>
      <c r="S771" s="19" t="str">
        <f t="shared" si="8"/>
        <v/>
      </c>
      <c r="T771" s="19" t="str">
        <f t="shared" si="9"/>
        <v/>
      </c>
      <c r="U771" s="3"/>
      <c r="V771" s="4" t="str">
        <f>IF(ISBLANK(C771),,IFERROR(IF(VLOOKUP(B771,Standings!$A:$F, 6, 0)=VLOOKUP(C771,Standings!$A:$F, 6, 0), VLOOKUP(B771,Standings!$A:$F, 6, 0), "Non-con"), "FCS"))</f>
        <v/>
      </c>
      <c r="W771" s="3" t="str">
        <f t="shared" si="10"/>
        <v/>
      </c>
      <c r="X771" s="3" t="str">
        <f t="shared" si="11"/>
        <v/>
      </c>
      <c r="Y771" s="30" t="str">
        <f>IF(D771=0,,IF(ISBLANK(Q771),,VLOOKUP(X771,Week1,2,FALSE)/(VLOOKUP(X771,Week1,2,FALSE)+VLOOKUP(W771,Week1,2,FALSE)))*100)</f>
        <v/>
      </c>
      <c r="Z771" s="4"/>
      <c r="AA771" s="3"/>
      <c r="AB771" s="4" t="str">
        <f t="shared" si="20"/>
        <v/>
      </c>
      <c r="AC771" s="3"/>
      <c r="AD771" s="3"/>
      <c r="AE771" s="3" t="str">
        <f t="shared" si="13"/>
        <v/>
      </c>
      <c r="AF771" s="3"/>
      <c r="AG771" s="3" t="str">
        <f t="shared" si="133"/>
        <v/>
      </c>
      <c r="AH771" s="3"/>
      <c r="AI771" s="7"/>
      <c r="AJ771" s="4"/>
      <c r="AK771" s="7"/>
      <c r="AL771" s="7"/>
      <c r="AM771" s="7"/>
      <c r="AN771" s="7"/>
      <c r="AO771" s="7"/>
      <c r="AP771" s="7"/>
      <c r="AQ771" s="7"/>
      <c r="AR771" s="7"/>
      <c r="AS771" s="7"/>
      <c r="AT771" s="7"/>
      <c r="AU771" s="7"/>
      <c r="AV771" s="7"/>
      <c r="AW771" s="7"/>
      <c r="AX771" s="7"/>
    </row>
    <row r="772" ht="12.75" customHeight="1">
      <c r="A772" s="4"/>
      <c r="B772" s="4"/>
      <c r="C772" s="4"/>
      <c r="D772" s="4"/>
      <c r="E772" s="4" t="str">
        <f>IF(ISBLANK(B772),,IFERROR(VLOOKUP(B772,CurrentRank!$B$2:$C$132,2,FALSE),0))</f>
        <v/>
      </c>
      <c r="F772" s="4"/>
      <c r="G772" s="4" t="str">
        <f>IF(ISBLANK(B772),,IFERROR(VLOOKUP(B772,CurrentRank!$B$2:$D$132,3,FALSE),130))</f>
        <v/>
      </c>
      <c r="H772" s="4"/>
      <c r="I772" s="4" t="str">
        <f>IF(ISBLANK(B772),,IFERROR(VLOOKUP(C772,CurrentRank!$B$2:$C$132,2,FALSE),0))</f>
        <v/>
      </c>
      <c r="J772" s="4"/>
      <c r="K772" s="4" t="str">
        <f>IF(ISBLANK(C772),,IFERROR(VLOOKUP(C772,CurrentRank!$B$2:$D$132,3,FALSE),130))</f>
        <v/>
      </c>
      <c r="L772" s="19" t="str">
        <f t="shared" si="279"/>
        <v/>
      </c>
      <c r="M772" s="19" t="str">
        <f t="shared" si="280"/>
        <v/>
      </c>
      <c r="N772" s="24" t="str">
        <f t="shared" si="276"/>
        <v/>
      </c>
      <c r="O772" s="21" t="str">
        <f t="shared" si="4"/>
        <v/>
      </c>
      <c r="P772" s="21" t="str">
        <f t="shared" si="282"/>
        <v/>
      </c>
      <c r="Q772" s="22" t="str">
        <f t="shared" si="6"/>
        <v/>
      </c>
      <c r="R772" s="25" t="str">
        <f t="shared" si="7"/>
        <v/>
      </c>
      <c r="S772" s="19" t="str">
        <f t="shared" si="8"/>
        <v/>
      </c>
      <c r="T772" s="19" t="str">
        <f t="shared" si="9"/>
        <v/>
      </c>
      <c r="U772" s="3"/>
      <c r="V772" s="4" t="str">
        <f>IF(ISBLANK(C772),,IFERROR(IF(VLOOKUP(B772,Standings!$A:$F, 6, 0)=VLOOKUP(C772,Standings!$A:$F, 6, 0), VLOOKUP(B772,Standings!$A:$F, 6, 0), "Non-con"), "FCS"))</f>
        <v/>
      </c>
      <c r="W772" s="3" t="str">
        <f t="shared" si="10"/>
        <v/>
      </c>
      <c r="X772" s="3" t="str">
        <f t="shared" si="11"/>
        <v/>
      </c>
      <c r="Y772" s="30" t="str">
        <f>IF(D772=0,,IF(ISBLANK(Q772),,VLOOKUP(X772,Week1,2,FALSE)/(VLOOKUP(X772,Week1,2,FALSE)+VLOOKUP(W772,Week1,2,FALSE)))*100)</f>
        <v/>
      </c>
      <c r="Z772" s="4"/>
      <c r="AA772" s="3"/>
      <c r="AB772" s="4" t="str">
        <f t="shared" si="20"/>
        <v/>
      </c>
      <c r="AC772" s="3"/>
      <c r="AD772" s="3"/>
      <c r="AE772" s="3" t="str">
        <f t="shared" si="13"/>
        <v/>
      </c>
      <c r="AF772" s="3"/>
      <c r="AG772" s="3" t="str">
        <f t="shared" si="133"/>
        <v/>
      </c>
      <c r="AH772" s="3"/>
      <c r="AI772" s="7"/>
      <c r="AJ772" s="4"/>
      <c r="AK772" s="7"/>
      <c r="AL772" s="7"/>
      <c r="AM772" s="7"/>
      <c r="AN772" s="7"/>
      <c r="AO772" s="7"/>
      <c r="AP772" s="7"/>
      <c r="AQ772" s="7"/>
      <c r="AR772" s="7"/>
      <c r="AS772" s="7"/>
      <c r="AT772" s="7"/>
      <c r="AU772" s="7"/>
      <c r="AV772" s="7"/>
      <c r="AW772" s="7"/>
      <c r="AX772" s="7"/>
    </row>
    <row r="773" ht="12.75" customHeight="1">
      <c r="A773" s="4"/>
      <c r="B773" s="4"/>
      <c r="C773" s="4"/>
      <c r="D773" s="4"/>
      <c r="E773" s="4" t="str">
        <f>IF(ISBLANK(B773),,IFERROR(VLOOKUP(B773,CurrentRank!$B$2:$C$132,2,FALSE),0))</f>
        <v/>
      </c>
      <c r="F773" s="4"/>
      <c r="G773" s="4" t="str">
        <f>IF(ISBLANK(B773),,IFERROR(VLOOKUP(B773,CurrentRank!$B$2:$D$132,3,FALSE),130))</f>
        <v/>
      </c>
      <c r="H773" s="4"/>
      <c r="I773" s="4" t="str">
        <f>IF(ISBLANK(B773),,IFERROR(VLOOKUP(C773,CurrentRank!$B$2:$C$132,2,FALSE),0))</f>
        <v/>
      </c>
      <c r="J773" s="4"/>
      <c r="K773" s="4" t="str">
        <f>IF(ISBLANK(C773),,IFERROR(VLOOKUP(C773,CurrentRank!$B$2:$D$132,3,FALSE),130))</f>
        <v/>
      </c>
      <c r="L773" s="19" t="str">
        <f t="shared" si="279"/>
        <v/>
      </c>
      <c r="M773" s="19" t="str">
        <f t="shared" si="280"/>
        <v/>
      </c>
      <c r="N773" s="24" t="str">
        <f t="shared" si="276"/>
        <v/>
      </c>
      <c r="O773" s="21" t="str">
        <f t="shared" si="4"/>
        <v/>
      </c>
      <c r="P773" s="21" t="str">
        <f t="shared" si="282"/>
        <v/>
      </c>
      <c r="Q773" s="22" t="str">
        <f t="shared" si="6"/>
        <v/>
      </c>
      <c r="R773" s="25" t="str">
        <f t="shared" si="7"/>
        <v/>
      </c>
      <c r="S773" s="19" t="str">
        <f t="shared" si="8"/>
        <v/>
      </c>
      <c r="T773" s="19" t="str">
        <f t="shared" si="9"/>
        <v/>
      </c>
      <c r="U773" s="3"/>
      <c r="V773" s="4" t="str">
        <f>IF(ISBLANK(C773),,IFERROR(IF(VLOOKUP(B773,Standings!$A:$F, 6, 0)=VLOOKUP(C773,Standings!$A:$F, 6, 0), VLOOKUP(B773,Standings!$A:$F, 6, 0), "Non-con"), "FCS"))</f>
        <v/>
      </c>
      <c r="W773" s="3" t="str">
        <f t="shared" si="10"/>
        <v/>
      </c>
      <c r="X773" s="3" t="str">
        <f t="shared" si="11"/>
        <v/>
      </c>
      <c r="Y773" s="30" t="str">
        <f>IF(D773=0,,IF(ISBLANK(Q773),,VLOOKUP(X773,Week1,2,FALSE)/(VLOOKUP(X773,Week1,2,FALSE)+VLOOKUP(W773,Week1,2,FALSE)))*100)</f>
        <v/>
      </c>
      <c r="Z773" s="4"/>
      <c r="AA773" s="3"/>
      <c r="AB773" s="4" t="str">
        <f t="shared" si="20"/>
        <v/>
      </c>
      <c r="AC773" s="3"/>
      <c r="AD773" s="3"/>
      <c r="AE773" s="3" t="str">
        <f t="shared" si="13"/>
        <v/>
      </c>
      <c r="AF773" s="3"/>
      <c r="AG773" s="3" t="str">
        <f t="shared" si="133"/>
        <v/>
      </c>
      <c r="AH773" s="3"/>
      <c r="AI773" s="7"/>
      <c r="AJ773" s="4"/>
      <c r="AK773" s="7"/>
      <c r="AL773" s="7"/>
      <c r="AM773" s="7"/>
      <c r="AN773" s="7"/>
      <c r="AO773" s="7"/>
      <c r="AP773" s="7"/>
      <c r="AQ773" s="7"/>
      <c r="AR773" s="7"/>
      <c r="AS773" s="7"/>
      <c r="AT773" s="7"/>
      <c r="AU773" s="7"/>
      <c r="AV773" s="7"/>
      <c r="AW773" s="7"/>
      <c r="AX773" s="7"/>
    </row>
    <row r="774" ht="12.75" customHeight="1">
      <c r="A774" s="4"/>
      <c r="B774" s="4"/>
      <c r="C774" s="4"/>
      <c r="D774" s="4"/>
      <c r="E774" s="4" t="str">
        <f>IF(ISBLANK(B774),,IFERROR(VLOOKUP(B774,CurrentRank!$B$2:$C$132,2,FALSE),0))</f>
        <v/>
      </c>
      <c r="F774" s="4"/>
      <c r="G774" s="4" t="str">
        <f>IF(ISBLANK(B774),,IFERROR(VLOOKUP(B774,CurrentRank!$B$2:$D$132,3,FALSE),130))</f>
        <v/>
      </c>
      <c r="H774" s="4"/>
      <c r="I774" s="4" t="str">
        <f>IF(ISBLANK(B774),,IFERROR(VLOOKUP(C774,CurrentRank!$B$2:$C$132,2,FALSE),0))</f>
        <v/>
      </c>
      <c r="J774" s="4"/>
      <c r="K774" s="4" t="str">
        <f>IF(ISBLANK(C774),,IFERROR(VLOOKUP(C774,CurrentRank!$B$2:$D$132,3,FALSE),130))</f>
        <v/>
      </c>
      <c r="L774" s="19" t="str">
        <f t="shared" si="279"/>
        <v/>
      </c>
      <c r="M774" s="19" t="str">
        <f t="shared" si="280"/>
        <v/>
      </c>
      <c r="N774" s="24" t="str">
        <f t="shared" si="276"/>
        <v/>
      </c>
      <c r="O774" s="21" t="str">
        <f t="shared" si="4"/>
        <v/>
      </c>
      <c r="P774" s="21" t="str">
        <f t="shared" si="282"/>
        <v/>
      </c>
      <c r="Q774" s="22" t="str">
        <f t="shared" si="6"/>
        <v/>
      </c>
      <c r="R774" s="25" t="str">
        <f t="shared" si="7"/>
        <v/>
      </c>
      <c r="S774" s="19" t="str">
        <f t="shared" si="8"/>
        <v/>
      </c>
      <c r="T774" s="19" t="str">
        <f t="shared" si="9"/>
        <v/>
      </c>
      <c r="U774" s="3"/>
      <c r="V774" s="4" t="str">
        <f>IF(ISBLANK(C774),,IFERROR(IF(VLOOKUP(B774,Standings!$A:$F, 6, 0)=VLOOKUP(C774,Standings!$A:$F, 6, 0), VLOOKUP(B774,Standings!$A:$F, 6, 0), "Non-con"), "FCS"))</f>
        <v/>
      </c>
      <c r="W774" s="3" t="str">
        <f t="shared" si="10"/>
        <v/>
      </c>
      <c r="X774" s="3" t="str">
        <f t="shared" si="11"/>
        <v/>
      </c>
      <c r="Y774" s="30" t="str">
        <f>IF(D774=0,,IF(ISBLANK(Q774),,VLOOKUP(X774,Week1,2,FALSE)/(VLOOKUP(X774,Week1,2,FALSE)+VLOOKUP(W774,Week1,2,FALSE)))*100)</f>
        <v/>
      </c>
      <c r="Z774" s="4"/>
      <c r="AA774" s="3"/>
      <c r="AB774" s="4" t="str">
        <f t="shared" si="20"/>
        <v/>
      </c>
      <c r="AC774" s="3"/>
      <c r="AD774" s="3"/>
      <c r="AE774" s="3" t="str">
        <f t="shared" si="13"/>
        <v/>
      </c>
      <c r="AF774" s="3"/>
      <c r="AG774" s="3" t="str">
        <f t="shared" si="133"/>
        <v/>
      </c>
      <c r="AH774" s="3"/>
      <c r="AI774" s="7"/>
      <c r="AJ774" s="4"/>
      <c r="AK774" s="7"/>
      <c r="AL774" s="7"/>
      <c r="AM774" s="7"/>
      <c r="AN774" s="7"/>
      <c r="AO774" s="7"/>
      <c r="AP774" s="7"/>
      <c r="AQ774" s="7"/>
      <c r="AR774" s="7"/>
      <c r="AS774" s="7"/>
      <c r="AT774" s="7"/>
      <c r="AU774" s="7"/>
      <c r="AV774" s="7"/>
      <c r="AW774" s="7"/>
      <c r="AX774" s="7"/>
    </row>
    <row r="775" ht="12.75" customHeight="1">
      <c r="A775" s="4"/>
      <c r="B775" s="4"/>
      <c r="C775" s="4"/>
      <c r="D775" s="4"/>
      <c r="E775" s="4" t="str">
        <f>IF(ISBLANK(B775),,IFERROR(VLOOKUP(B775,CurrentRank!$B$2:$C$132,2,FALSE),0))</f>
        <v/>
      </c>
      <c r="F775" s="4"/>
      <c r="G775" s="4" t="str">
        <f>IF(ISBLANK(B775),,IFERROR(VLOOKUP(B775,CurrentRank!$B$2:$D$132,3,FALSE),130))</f>
        <v/>
      </c>
      <c r="H775" s="4"/>
      <c r="I775" s="4" t="str">
        <f>IF(ISBLANK(B775),,IFERROR(VLOOKUP(C775,CurrentRank!$B$2:$C$132,2,FALSE),0))</f>
        <v/>
      </c>
      <c r="J775" s="4"/>
      <c r="K775" s="4" t="str">
        <f>IF(ISBLANK(C775),,IFERROR(VLOOKUP(C775,CurrentRank!$B$2:$D$132,3,FALSE),130))</f>
        <v/>
      </c>
      <c r="L775" s="19" t="str">
        <f t="shared" si="279"/>
        <v/>
      </c>
      <c r="M775" s="19" t="str">
        <f t="shared" si="280"/>
        <v/>
      </c>
      <c r="N775" s="24" t="str">
        <f t="shared" si="276"/>
        <v/>
      </c>
      <c r="O775" s="21" t="str">
        <f t="shared" si="4"/>
        <v/>
      </c>
      <c r="P775" s="21" t="str">
        <f t="shared" si="282"/>
        <v/>
      </c>
      <c r="Q775" s="22" t="str">
        <f t="shared" si="6"/>
        <v/>
      </c>
      <c r="R775" s="25" t="str">
        <f t="shared" si="7"/>
        <v/>
      </c>
      <c r="S775" s="19" t="str">
        <f t="shared" si="8"/>
        <v/>
      </c>
      <c r="T775" s="19" t="str">
        <f t="shared" si="9"/>
        <v/>
      </c>
      <c r="U775" s="3"/>
      <c r="V775" s="4" t="str">
        <f>IF(ISBLANK(C775),,IFERROR(IF(VLOOKUP(B775,Standings!$A:$F, 6, 0)=VLOOKUP(C775,Standings!$A:$F, 6, 0), VLOOKUP(B775,Standings!$A:$F, 6, 0), "Non-con"), "FCS"))</f>
        <v/>
      </c>
      <c r="W775" s="3" t="str">
        <f t="shared" si="10"/>
        <v/>
      </c>
      <c r="X775" s="3" t="str">
        <f t="shared" si="11"/>
        <v/>
      </c>
      <c r="Y775" s="30" t="str">
        <f>IF(D775=0,,IF(ISBLANK(Q775),,VLOOKUP(X775,Week1,2,FALSE)/(VLOOKUP(X775,Week1,2,FALSE)+VLOOKUP(W775,Week1,2,FALSE)))*100)</f>
        <v/>
      </c>
      <c r="Z775" s="4"/>
      <c r="AA775" s="3"/>
      <c r="AB775" s="4" t="str">
        <f t="shared" si="20"/>
        <v/>
      </c>
      <c r="AC775" s="3"/>
      <c r="AD775" s="3"/>
      <c r="AE775" s="3" t="str">
        <f t="shared" si="13"/>
        <v/>
      </c>
      <c r="AF775" s="3"/>
      <c r="AG775" s="3" t="str">
        <f t="shared" si="133"/>
        <v/>
      </c>
      <c r="AH775" s="3"/>
      <c r="AI775" s="7"/>
      <c r="AJ775" s="4"/>
      <c r="AK775" s="7"/>
      <c r="AL775" s="7"/>
      <c r="AM775" s="7"/>
      <c r="AN775" s="7"/>
      <c r="AO775" s="7"/>
      <c r="AP775" s="7"/>
      <c r="AQ775" s="7"/>
      <c r="AR775" s="7"/>
      <c r="AS775" s="7"/>
      <c r="AT775" s="7"/>
      <c r="AU775" s="7"/>
      <c r="AV775" s="7"/>
      <c r="AW775" s="7"/>
      <c r="AX775" s="7"/>
    </row>
    <row r="776" ht="12.75" customHeight="1">
      <c r="A776" s="4"/>
      <c r="B776" s="4"/>
      <c r="C776" s="4"/>
      <c r="D776" s="4"/>
      <c r="E776" s="4" t="str">
        <f>IF(ISBLANK(B776),,IFERROR(VLOOKUP(B776,CurrentRank!$B$2:$C$132,2,FALSE),0))</f>
        <v/>
      </c>
      <c r="F776" s="4"/>
      <c r="G776" s="4" t="str">
        <f>IF(ISBLANK(B776),,IFERROR(VLOOKUP(B776,CurrentRank!$B$2:$D$132,3,FALSE),130))</f>
        <v/>
      </c>
      <c r="H776" s="4"/>
      <c r="I776" s="4" t="str">
        <f>IF(ISBLANK(B776),,IFERROR(VLOOKUP(C776,CurrentRank!$B$2:$C$132,2,FALSE),0))</f>
        <v/>
      </c>
      <c r="J776" s="4"/>
      <c r="K776" s="4" t="str">
        <f>IF(ISBLANK(C776),,IFERROR(VLOOKUP(C776,CurrentRank!$B$2:$D$132,3,FALSE),130))</f>
        <v/>
      </c>
      <c r="L776" s="19" t="str">
        <f t="shared" si="279"/>
        <v/>
      </c>
      <c r="M776" s="19" t="str">
        <f t="shared" si="280"/>
        <v/>
      </c>
      <c r="N776" s="24" t="str">
        <f t="shared" si="276"/>
        <v/>
      </c>
      <c r="O776" s="21" t="str">
        <f t="shared" si="4"/>
        <v/>
      </c>
      <c r="P776" s="21" t="str">
        <f t="shared" si="282"/>
        <v/>
      </c>
      <c r="Q776" s="22" t="str">
        <f t="shared" si="6"/>
        <v/>
      </c>
      <c r="R776" s="25" t="str">
        <f t="shared" si="7"/>
        <v/>
      </c>
      <c r="S776" s="19" t="str">
        <f t="shared" si="8"/>
        <v/>
      </c>
      <c r="T776" s="19" t="str">
        <f t="shared" si="9"/>
        <v/>
      </c>
      <c r="U776" s="3"/>
      <c r="V776" s="4" t="str">
        <f>IF(ISBLANK(C776),,IFERROR(IF(VLOOKUP(B776,Standings!$A:$F, 6, 0)=VLOOKUP(C776,Standings!$A:$F, 6, 0), VLOOKUP(B776,Standings!$A:$F, 6, 0), "Non-con"), "FCS"))</f>
        <v/>
      </c>
      <c r="W776" s="3" t="str">
        <f t="shared" si="10"/>
        <v/>
      </c>
      <c r="X776" s="3" t="str">
        <f t="shared" si="11"/>
        <v/>
      </c>
      <c r="Y776" s="30" t="str">
        <f>IF(D776=0,,IF(ISBLANK(Q776),,VLOOKUP(X776,Week1,2,FALSE)/(VLOOKUP(X776,Week1,2,FALSE)+VLOOKUP(W776,Week1,2,FALSE)))*100)</f>
        <v/>
      </c>
      <c r="Z776" s="4"/>
      <c r="AA776" s="3"/>
      <c r="AB776" s="4" t="str">
        <f t="shared" si="20"/>
        <v/>
      </c>
      <c r="AC776" s="3"/>
      <c r="AD776" s="3"/>
      <c r="AE776" s="3" t="str">
        <f t="shared" si="13"/>
        <v/>
      </c>
      <c r="AF776" s="3"/>
      <c r="AG776" s="3" t="str">
        <f t="shared" si="133"/>
        <v/>
      </c>
      <c r="AH776" s="3"/>
      <c r="AI776" s="7"/>
      <c r="AJ776" s="4"/>
      <c r="AK776" s="7"/>
      <c r="AL776" s="7"/>
      <c r="AM776" s="7"/>
      <c r="AN776" s="7"/>
      <c r="AO776" s="7"/>
      <c r="AP776" s="7"/>
      <c r="AQ776" s="7"/>
      <c r="AR776" s="7"/>
      <c r="AS776" s="7"/>
      <c r="AT776" s="7"/>
      <c r="AU776" s="7"/>
      <c r="AV776" s="7"/>
      <c r="AW776" s="7"/>
      <c r="AX776" s="7"/>
    </row>
    <row r="777" ht="12.75" customHeight="1">
      <c r="A777" s="4"/>
      <c r="B777" s="4"/>
      <c r="C777" s="4"/>
      <c r="D777" s="4"/>
      <c r="E777" s="4" t="str">
        <f>IF(ISBLANK(B777),,IFERROR(VLOOKUP(B777,CurrentRank!$B$2:$C$132,2,FALSE),0))</f>
        <v/>
      </c>
      <c r="F777" s="4"/>
      <c r="G777" s="4" t="str">
        <f>IF(ISBLANK(B777),,IFERROR(VLOOKUP(B777,CurrentRank!$B$2:$D$132,3,FALSE),130))</f>
        <v/>
      </c>
      <c r="H777" s="4"/>
      <c r="I777" s="4" t="str">
        <f>IF(ISBLANK(B777),,IFERROR(VLOOKUP(C777,CurrentRank!$B$2:$C$132,2,FALSE),0))</f>
        <v/>
      </c>
      <c r="J777" s="4"/>
      <c r="K777" s="4" t="str">
        <f>IF(ISBLANK(C777),,IFERROR(VLOOKUP(C777,CurrentRank!$B$2:$D$132,3,FALSE),130))</f>
        <v/>
      </c>
      <c r="L777" s="19" t="str">
        <f t="shared" si="279"/>
        <v/>
      </c>
      <c r="M777" s="19" t="str">
        <f t="shared" si="280"/>
        <v/>
      </c>
      <c r="N777" s="24" t="str">
        <f t="shared" si="276"/>
        <v/>
      </c>
      <c r="O777" s="21" t="str">
        <f t="shared" si="4"/>
        <v/>
      </c>
      <c r="P777" s="21" t="str">
        <f t="shared" si="282"/>
        <v/>
      </c>
      <c r="Q777" s="22" t="str">
        <f t="shared" si="6"/>
        <v/>
      </c>
      <c r="R777" s="25" t="str">
        <f t="shared" si="7"/>
        <v/>
      </c>
      <c r="S777" s="19" t="str">
        <f t="shared" si="8"/>
        <v/>
      </c>
      <c r="T777" s="19" t="str">
        <f t="shared" si="9"/>
        <v/>
      </c>
      <c r="U777" s="3"/>
      <c r="V777" s="4" t="str">
        <f>IF(ISBLANK(C777),,IFERROR(IF(VLOOKUP(B777,Standings!$A:$F, 6, 0)=VLOOKUP(C777,Standings!$A:$F, 6, 0), VLOOKUP(B777,Standings!$A:$F, 6, 0), "Non-con"), "FCS"))</f>
        <v/>
      </c>
      <c r="W777" s="3" t="str">
        <f t="shared" si="10"/>
        <v/>
      </c>
      <c r="X777" s="3" t="str">
        <f t="shared" si="11"/>
        <v/>
      </c>
      <c r="Y777" s="30" t="str">
        <f>IF(D777=0,,IF(ISBLANK(Q777),,VLOOKUP(X777,Week1,2,FALSE)/(VLOOKUP(X777,Week1,2,FALSE)+VLOOKUP(W777,Week1,2,FALSE)))*100)</f>
        <v/>
      </c>
      <c r="Z777" s="4"/>
      <c r="AA777" s="3"/>
      <c r="AB777" s="4" t="str">
        <f t="shared" si="20"/>
        <v/>
      </c>
      <c r="AC777" s="3"/>
      <c r="AD777" s="3"/>
      <c r="AE777" s="3" t="str">
        <f t="shared" si="13"/>
        <v/>
      </c>
      <c r="AF777" s="3"/>
      <c r="AG777" s="3" t="str">
        <f t="shared" si="133"/>
        <v/>
      </c>
      <c r="AH777" s="3"/>
      <c r="AI777" s="7"/>
      <c r="AJ777" s="4"/>
      <c r="AK777" s="7"/>
      <c r="AL777" s="7"/>
      <c r="AM777" s="7"/>
      <c r="AN777" s="7"/>
      <c r="AO777" s="7"/>
      <c r="AP777" s="7"/>
      <c r="AQ777" s="7"/>
      <c r="AR777" s="7"/>
      <c r="AS777" s="7"/>
      <c r="AT777" s="7"/>
      <c r="AU777" s="7"/>
      <c r="AV777" s="7"/>
      <c r="AW777" s="7"/>
      <c r="AX777" s="7"/>
    </row>
    <row r="778" ht="12.75" customHeight="1">
      <c r="A778" s="4"/>
      <c r="B778" s="4"/>
      <c r="C778" s="4"/>
      <c r="D778" s="4"/>
      <c r="E778" s="4" t="str">
        <f>IF(ISBLANK(B778),,IFERROR(VLOOKUP(B778,CurrentRank!$B$2:$C$132,2,FALSE),0))</f>
        <v/>
      </c>
      <c r="F778" s="4"/>
      <c r="G778" s="4" t="str">
        <f>IF(ISBLANK(B778),,IFERROR(VLOOKUP(B778,CurrentRank!$B$2:$D$132,3,FALSE),130))</f>
        <v/>
      </c>
      <c r="H778" s="4"/>
      <c r="I778" s="4" t="str">
        <f>IF(ISBLANK(B778),,IFERROR(VLOOKUP(C778,CurrentRank!$B$2:$C$132,2,FALSE),0))</f>
        <v/>
      </c>
      <c r="J778" s="4"/>
      <c r="K778" s="4" t="str">
        <f>IF(ISBLANK(C778),,IFERROR(VLOOKUP(C778,CurrentRank!$B$2:$D$132,3,FALSE),130))</f>
        <v/>
      </c>
      <c r="L778" s="19" t="str">
        <f t="shared" si="279"/>
        <v/>
      </c>
      <c r="M778" s="19" t="str">
        <f t="shared" si="280"/>
        <v/>
      </c>
      <c r="N778" s="24" t="str">
        <f t="shared" si="276"/>
        <v/>
      </c>
      <c r="O778" s="21" t="str">
        <f t="shared" si="4"/>
        <v/>
      </c>
      <c r="P778" s="21" t="str">
        <f t="shared" si="282"/>
        <v/>
      </c>
      <c r="Q778" s="22" t="str">
        <f t="shared" si="6"/>
        <v/>
      </c>
      <c r="R778" s="25" t="str">
        <f t="shared" si="7"/>
        <v/>
      </c>
      <c r="S778" s="19" t="str">
        <f t="shared" si="8"/>
        <v/>
      </c>
      <c r="T778" s="19" t="str">
        <f t="shared" si="9"/>
        <v/>
      </c>
      <c r="U778" s="3"/>
      <c r="V778" s="4" t="str">
        <f>IF(ISBLANK(C778),,IFERROR(IF(VLOOKUP(B778,Standings!$A:$F, 6, 0)=VLOOKUP(C778,Standings!$A:$F, 6, 0), VLOOKUP(B778,Standings!$A:$F, 6, 0), "Non-con"), "FCS"))</f>
        <v/>
      </c>
      <c r="W778" s="3" t="str">
        <f t="shared" si="10"/>
        <v/>
      </c>
      <c r="X778" s="3" t="str">
        <f t="shared" si="11"/>
        <v/>
      </c>
      <c r="Y778" s="30" t="str">
        <f>IF(D778=0,,IF(ISBLANK(Q778),,VLOOKUP(X778,Week1,2,FALSE)/(VLOOKUP(X778,Week1,2,FALSE)+VLOOKUP(W778,Week1,2,FALSE)))*100)</f>
        <v/>
      </c>
      <c r="Z778" s="4"/>
      <c r="AA778" s="3"/>
      <c r="AB778" s="4" t="str">
        <f t="shared" si="20"/>
        <v/>
      </c>
      <c r="AC778" s="3"/>
      <c r="AD778" s="3"/>
      <c r="AE778" s="3" t="str">
        <f t="shared" si="13"/>
        <v/>
      </c>
      <c r="AF778" s="3"/>
      <c r="AG778" s="3" t="str">
        <f t="shared" si="133"/>
        <v/>
      </c>
      <c r="AH778" s="3"/>
      <c r="AI778" s="7"/>
      <c r="AJ778" s="4"/>
      <c r="AK778" s="7"/>
      <c r="AL778" s="7"/>
      <c r="AM778" s="7"/>
      <c r="AN778" s="7"/>
      <c r="AO778" s="7"/>
      <c r="AP778" s="7"/>
      <c r="AQ778" s="7"/>
      <c r="AR778" s="7"/>
      <c r="AS778" s="7"/>
      <c r="AT778" s="7"/>
      <c r="AU778" s="7"/>
      <c r="AV778" s="7"/>
      <c r="AW778" s="7"/>
      <c r="AX778" s="7"/>
    </row>
    <row r="779" ht="12.75" customHeight="1">
      <c r="A779" s="4"/>
      <c r="B779" s="4"/>
      <c r="C779" s="4"/>
      <c r="D779" s="4"/>
      <c r="E779" s="4" t="str">
        <f>IF(ISBLANK(B779),,IFERROR(VLOOKUP(B779,CurrentRank!$B$2:$C$132,2,FALSE),0))</f>
        <v/>
      </c>
      <c r="F779" s="4"/>
      <c r="G779" s="4" t="str">
        <f>IF(ISBLANK(B779),,IFERROR(VLOOKUP(B779,CurrentRank!$B$2:$D$132,3,FALSE),130))</f>
        <v/>
      </c>
      <c r="H779" s="4"/>
      <c r="I779" s="4" t="str">
        <f>IF(ISBLANK(B779),,IFERROR(VLOOKUP(C779,CurrentRank!$B$2:$C$132,2,FALSE),0))</f>
        <v/>
      </c>
      <c r="J779" s="4"/>
      <c r="K779" s="4" t="str">
        <f>IF(ISBLANK(C779),,IFERROR(VLOOKUP(C779,CurrentRank!$B$2:$D$132,3,FALSE),130))</f>
        <v/>
      </c>
      <c r="L779" s="19" t="str">
        <f t="shared" si="279"/>
        <v/>
      </c>
      <c r="M779" s="19" t="str">
        <f t="shared" si="280"/>
        <v/>
      </c>
      <c r="N779" s="24" t="str">
        <f t="shared" si="276"/>
        <v/>
      </c>
      <c r="O779" s="21" t="str">
        <f t="shared" si="4"/>
        <v/>
      </c>
      <c r="P779" s="21" t="str">
        <f t="shared" si="282"/>
        <v/>
      </c>
      <c r="Q779" s="22" t="str">
        <f t="shared" si="6"/>
        <v/>
      </c>
      <c r="R779" s="25" t="str">
        <f t="shared" si="7"/>
        <v/>
      </c>
      <c r="S779" s="19" t="str">
        <f t="shared" si="8"/>
        <v/>
      </c>
      <c r="T779" s="19" t="str">
        <f t="shared" si="9"/>
        <v/>
      </c>
      <c r="U779" s="3"/>
      <c r="V779" s="4" t="str">
        <f>IF(ISBLANK(C779),,IFERROR(IF(VLOOKUP(B779,Standings!$A:$F, 6, 0)=VLOOKUP(C779,Standings!$A:$F, 6, 0), VLOOKUP(B779,Standings!$A:$F, 6, 0), "Non-con"), "FCS"))</f>
        <v/>
      </c>
      <c r="W779" s="3" t="str">
        <f t="shared" si="10"/>
        <v/>
      </c>
      <c r="X779" s="3" t="str">
        <f t="shared" si="11"/>
        <v/>
      </c>
      <c r="Y779" s="30" t="str">
        <f>IF(D779=0,,IF(ISBLANK(Q779),,VLOOKUP(X779,Week1,2,FALSE)/(VLOOKUP(X779,Week1,2,FALSE)+VLOOKUP(W779,Week1,2,FALSE)))*100)</f>
        <v/>
      </c>
      <c r="Z779" s="4"/>
      <c r="AA779" s="3"/>
      <c r="AB779" s="4" t="str">
        <f t="shared" si="20"/>
        <v/>
      </c>
      <c r="AC779" s="3"/>
      <c r="AD779" s="3"/>
      <c r="AE779" s="3" t="str">
        <f t="shared" si="13"/>
        <v/>
      </c>
      <c r="AF779" s="3"/>
      <c r="AG779" s="3" t="str">
        <f t="shared" si="133"/>
        <v/>
      </c>
      <c r="AH779" s="3"/>
      <c r="AI779" s="7"/>
      <c r="AJ779" s="4"/>
      <c r="AK779" s="7"/>
      <c r="AL779" s="7"/>
      <c r="AM779" s="7"/>
      <c r="AN779" s="7"/>
      <c r="AO779" s="7"/>
      <c r="AP779" s="7"/>
      <c r="AQ779" s="7"/>
      <c r="AR779" s="7"/>
      <c r="AS779" s="7"/>
      <c r="AT779" s="7"/>
      <c r="AU779" s="7"/>
      <c r="AV779" s="7"/>
      <c r="AW779" s="7"/>
      <c r="AX779" s="7"/>
    </row>
    <row r="780" ht="12.75" customHeight="1">
      <c r="A780" s="4"/>
      <c r="B780" s="4"/>
      <c r="C780" s="4"/>
      <c r="D780" s="4"/>
      <c r="E780" s="4" t="str">
        <f>IF(ISBLANK(B780),,IFERROR(VLOOKUP(B780,CurrentRank!$B$2:$C$132,2,FALSE),0))</f>
        <v/>
      </c>
      <c r="F780" s="4"/>
      <c r="G780" s="4" t="str">
        <f>IF(ISBLANK(B780),,IFERROR(VLOOKUP(B780,CurrentRank!$B$2:$D$132,3,FALSE),130))</f>
        <v/>
      </c>
      <c r="H780" s="4"/>
      <c r="I780" s="4" t="str">
        <f>IF(ISBLANK(B780),,IFERROR(VLOOKUP(C780,CurrentRank!$B$2:$C$132,2,FALSE),0))</f>
        <v/>
      </c>
      <c r="J780" s="4"/>
      <c r="K780" s="4" t="str">
        <f>IF(ISBLANK(C780),,IFERROR(VLOOKUP(C780,CurrentRank!$B$2:$D$132,3,FALSE),130))</f>
        <v/>
      </c>
      <c r="L780" s="19" t="str">
        <f t="shared" si="279"/>
        <v/>
      </c>
      <c r="M780" s="19" t="str">
        <f t="shared" si="280"/>
        <v/>
      </c>
      <c r="N780" s="24" t="str">
        <f t="shared" si="276"/>
        <v/>
      </c>
      <c r="O780" s="21" t="str">
        <f t="shared" si="4"/>
        <v/>
      </c>
      <c r="P780" s="21" t="str">
        <f t="shared" si="282"/>
        <v/>
      </c>
      <c r="Q780" s="22" t="str">
        <f t="shared" si="6"/>
        <v/>
      </c>
      <c r="R780" s="25" t="str">
        <f t="shared" si="7"/>
        <v/>
      </c>
      <c r="S780" s="19" t="str">
        <f t="shared" si="8"/>
        <v/>
      </c>
      <c r="T780" s="19" t="str">
        <f t="shared" si="9"/>
        <v/>
      </c>
      <c r="U780" s="3"/>
      <c r="V780" s="4" t="str">
        <f>IF(ISBLANK(C780),,IFERROR(IF(VLOOKUP(B780,Standings!$A:$F, 6, 0)=VLOOKUP(C780,Standings!$A:$F, 6, 0), VLOOKUP(B780,Standings!$A:$F, 6, 0), "Non-con"), "FCS"))</f>
        <v/>
      </c>
      <c r="W780" s="3" t="str">
        <f t="shared" si="10"/>
        <v/>
      </c>
      <c r="X780" s="3" t="str">
        <f t="shared" si="11"/>
        <v/>
      </c>
      <c r="Y780" s="30" t="str">
        <f>IF(D780=0,,IF(ISBLANK(Q780),,VLOOKUP(X780,Week1,2,FALSE)/(VLOOKUP(X780,Week1,2,FALSE)+VLOOKUP(W780,Week1,2,FALSE)))*100)</f>
        <v/>
      </c>
      <c r="Z780" s="4"/>
      <c r="AA780" s="3"/>
      <c r="AB780" s="4" t="str">
        <f t="shared" si="20"/>
        <v/>
      </c>
      <c r="AC780" s="3"/>
      <c r="AD780" s="3"/>
      <c r="AE780" s="3" t="str">
        <f t="shared" si="13"/>
        <v/>
      </c>
      <c r="AF780" s="3"/>
      <c r="AG780" s="3" t="str">
        <f t="shared" si="133"/>
        <v/>
      </c>
      <c r="AH780" s="3"/>
      <c r="AI780" s="7"/>
      <c r="AJ780" s="4"/>
      <c r="AK780" s="7"/>
      <c r="AL780" s="7"/>
      <c r="AM780" s="7"/>
      <c r="AN780" s="7"/>
      <c r="AO780" s="7"/>
      <c r="AP780" s="7"/>
      <c r="AQ780" s="7"/>
      <c r="AR780" s="7"/>
      <c r="AS780" s="7"/>
      <c r="AT780" s="7"/>
      <c r="AU780" s="7"/>
      <c r="AV780" s="7"/>
      <c r="AW780" s="7"/>
      <c r="AX780" s="7"/>
    </row>
    <row r="781" ht="12.75" customHeight="1">
      <c r="A781" s="4"/>
      <c r="B781" s="4"/>
      <c r="C781" s="4"/>
      <c r="D781" s="4"/>
      <c r="E781" s="4" t="str">
        <f>IF(ISBLANK(B781),,IFERROR(VLOOKUP(B781,CurrentRank!$B$2:$C$132,2,FALSE),0))</f>
        <v/>
      </c>
      <c r="F781" s="4"/>
      <c r="G781" s="4" t="str">
        <f>IF(ISBLANK(B781),,IFERROR(VLOOKUP(B781,CurrentRank!$B$2:$D$132,3,FALSE),130))</f>
        <v/>
      </c>
      <c r="H781" s="4"/>
      <c r="I781" s="4" t="str">
        <f>IF(ISBLANK(B781),,IFERROR(VLOOKUP(C781,CurrentRank!$B$2:$C$132,2,FALSE),0))</f>
        <v/>
      </c>
      <c r="J781" s="4"/>
      <c r="K781" s="4" t="str">
        <f>IF(ISBLANK(C781),,IFERROR(VLOOKUP(C781,CurrentRank!$B$2:$D$132,3,FALSE),130))</f>
        <v/>
      </c>
      <c r="L781" s="19" t="str">
        <f t="shared" si="279"/>
        <v/>
      </c>
      <c r="M781" s="19" t="str">
        <f t="shared" si="280"/>
        <v/>
      </c>
      <c r="N781" s="24" t="str">
        <f t="shared" si="276"/>
        <v/>
      </c>
      <c r="O781" s="21" t="str">
        <f t="shared" si="4"/>
        <v/>
      </c>
      <c r="P781" s="21" t="str">
        <f t="shared" si="282"/>
        <v/>
      </c>
      <c r="Q781" s="22" t="str">
        <f t="shared" si="6"/>
        <v/>
      </c>
      <c r="R781" s="25" t="str">
        <f t="shared" si="7"/>
        <v/>
      </c>
      <c r="S781" s="19" t="str">
        <f t="shared" si="8"/>
        <v/>
      </c>
      <c r="T781" s="19" t="str">
        <f t="shared" si="9"/>
        <v/>
      </c>
      <c r="U781" s="3"/>
      <c r="V781" s="4" t="str">
        <f>IF(ISBLANK(C781),,IFERROR(IF(VLOOKUP(B781,Standings!$A:$F, 6, 0)=VLOOKUP(C781,Standings!$A:$F, 6, 0), VLOOKUP(B781,Standings!$A:$F, 6, 0), "Non-con"), "FCS"))</f>
        <v/>
      </c>
      <c r="W781" s="3" t="str">
        <f t="shared" si="10"/>
        <v/>
      </c>
      <c r="X781" s="3" t="str">
        <f t="shared" si="11"/>
        <v/>
      </c>
      <c r="Y781" s="30" t="str">
        <f>IF(D781=0,,IF(ISBLANK(Q781),,VLOOKUP(X781,Week1,2,FALSE)/(VLOOKUP(X781,Week1,2,FALSE)+VLOOKUP(W781,Week1,2,FALSE)))*100)</f>
        <v/>
      </c>
      <c r="Z781" s="4"/>
      <c r="AA781" s="3"/>
      <c r="AB781" s="4" t="str">
        <f t="shared" si="20"/>
        <v/>
      </c>
      <c r="AC781" s="3"/>
      <c r="AD781" s="3"/>
      <c r="AE781" s="3" t="str">
        <f t="shared" si="13"/>
        <v/>
      </c>
      <c r="AF781" s="3"/>
      <c r="AG781" s="3" t="str">
        <f t="shared" si="133"/>
        <v/>
      </c>
      <c r="AH781" s="3"/>
      <c r="AI781" s="7"/>
      <c r="AJ781" s="4"/>
      <c r="AK781" s="7"/>
      <c r="AL781" s="7"/>
      <c r="AM781" s="7"/>
      <c r="AN781" s="7"/>
      <c r="AO781" s="7"/>
      <c r="AP781" s="7"/>
      <c r="AQ781" s="7"/>
      <c r="AR781" s="7"/>
      <c r="AS781" s="7"/>
      <c r="AT781" s="7"/>
      <c r="AU781" s="7"/>
      <c r="AV781" s="7"/>
      <c r="AW781" s="7"/>
      <c r="AX781" s="7"/>
    </row>
    <row r="782" ht="12.75" customHeight="1">
      <c r="A782" s="4"/>
      <c r="B782" s="4"/>
      <c r="C782" s="4"/>
      <c r="D782" s="4"/>
      <c r="E782" s="4" t="str">
        <f>IF(ISBLANK(B782),,IFERROR(VLOOKUP(B782,CurrentRank!$B$2:$C$132,2,FALSE),0))</f>
        <v/>
      </c>
      <c r="F782" s="4"/>
      <c r="G782" s="4" t="str">
        <f>IF(ISBLANK(B782),,IFERROR(VLOOKUP(B782,CurrentRank!$B$2:$D$132,3,FALSE),130))</f>
        <v/>
      </c>
      <c r="H782" s="4"/>
      <c r="I782" s="4" t="str">
        <f>IF(ISBLANK(B782),,IFERROR(VLOOKUP(C782,CurrentRank!$B$2:$C$132,2,FALSE),0))</f>
        <v/>
      </c>
      <c r="J782" s="4"/>
      <c r="K782" s="4" t="str">
        <f>IF(ISBLANK(C782),,IFERROR(VLOOKUP(C782,CurrentRank!$B$2:$D$132,3,FALSE),130))</f>
        <v/>
      </c>
      <c r="L782" s="19" t="str">
        <f t="shared" si="279"/>
        <v/>
      </c>
      <c r="M782" s="19" t="str">
        <f t="shared" si="280"/>
        <v/>
      </c>
      <c r="N782" s="24" t="str">
        <f t="shared" si="276"/>
        <v/>
      </c>
      <c r="O782" s="21" t="str">
        <f t="shared" si="4"/>
        <v/>
      </c>
      <c r="P782" s="21" t="str">
        <f t="shared" si="282"/>
        <v/>
      </c>
      <c r="Q782" s="22" t="str">
        <f t="shared" si="6"/>
        <v/>
      </c>
      <c r="R782" s="25" t="str">
        <f t="shared" si="7"/>
        <v/>
      </c>
      <c r="S782" s="19" t="str">
        <f t="shared" si="8"/>
        <v/>
      </c>
      <c r="T782" s="19" t="str">
        <f t="shared" si="9"/>
        <v/>
      </c>
      <c r="U782" s="3"/>
      <c r="V782" s="4" t="str">
        <f>IF(ISBLANK(C782),,IFERROR(IF(VLOOKUP(B782,Standings!$A:$F, 6, 0)=VLOOKUP(C782,Standings!$A:$F, 6, 0), VLOOKUP(B782,Standings!$A:$F, 6, 0), "Non-con"), "FCS"))</f>
        <v/>
      </c>
      <c r="W782" s="3" t="str">
        <f t="shared" si="10"/>
        <v/>
      </c>
      <c r="X782" s="3" t="str">
        <f t="shared" si="11"/>
        <v/>
      </c>
      <c r="Y782" s="30" t="str">
        <f>IF(D782=0,,IF(ISBLANK(Q782),,VLOOKUP(X782,Week1,2,FALSE)/(VLOOKUP(X782,Week1,2,FALSE)+VLOOKUP(W782,Week1,2,FALSE)))*100)</f>
        <v/>
      </c>
      <c r="Z782" s="4"/>
      <c r="AA782" s="3"/>
      <c r="AB782" s="4" t="str">
        <f t="shared" si="20"/>
        <v/>
      </c>
      <c r="AC782" s="3"/>
      <c r="AD782" s="3"/>
      <c r="AE782" s="3" t="str">
        <f t="shared" si="13"/>
        <v/>
      </c>
      <c r="AF782" s="3"/>
      <c r="AG782" s="3" t="str">
        <f t="shared" si="133"/>
        <v/>
      </c>
      <c r="AH782" s="3"/>
      <c r="AI782" s="7"/>
      <c r="AJ782" s="4"/>
      <c r="AK782" s="7"/>
      <c r="AL782" s="7"/>
      <c r="AM782" s="7"/>
      <c r="AN782" s="7"/>
      <c r="AO782" s="7"/>
      <c r="AP782" s="7"/>
      <c r="AQ782" s="7"/>
      <c r="AR782" s="7"/>
      <c r="AS782" s="7"/>
      <c r="AT782" s="7"/>
      <c r="AU782" s="7"/>
      <c r="AV782" s="7"/>
      <c r="AW782" s="7"/>
      <c r="AX782" s="7"/>
    </row>
    <row r="783" ht="12.75" customHeight="1">
      <c r="A783" s="4"/>
      <c r="B783" s="4"/>
      <c r="C783" s="4"/>
      <c r="D783" s="4"/>
      <c r="E783" s="4" t="str">
        <f>IF(ISBLANK(B783),,IFERROR(VLOOKUP(B783,CurrentRank!$B$2:$C$132,2,FALSE),0))</f>
        <v/>
      </c>
      <c r="F783" s="4"/>
      <c r="G783" s="4" t="str">
        <f>IF(ISBLANK(B783),,IFERROR(VLOOKUP(B783,CurrentRank!$B$2:$D$132,3,FALSE),130))</f>
        <v/>
      </c>
      <c r="H783" s="4"/>
      <c r="I783" s="4" t="str">
        <f>IF(ISBLANK(B783),,IFERROR(VLOOKUP(C783,CurrentRank!$B$2:$C$132,2,FALSE),0))</f>
        <v/>
      </c>
      <c r="J783" s="4"/>
      <c r="K783" s="4" t="str">
        <f>IF(ISBLANK(C783),,IFERROR(VLOOKUP(C783,CurrentRank!$B$2:$D$132,3,FALSE),130))</f>
        <v/>
      </c>
      <c r="L783" s="19" t="str">
        <f t="shared" si="279"/>
        <v/>
      </c>
      <c r="M783" s="19" t="str">
        <f t="shared" si="280"/>
        <v/>
      </c>
      <c r="N783" s="24" t="str">
        <f t="shared" si="276"/>
        <v/>
      </c>
      <c r="O783" s="21" t="str">
        <f t="shared" si="4"/>
        <v/>
      </c>
      <c r="P783" s="21" t="str">
        <f t="shared" si="282"/>
        <v/>
      </c>
      <c r="Q783" s="22" t="str">
        <f t="shared" si="6"/>
        <v/>
      </c>
      <c r="R783" s="25" t="str">
        <f t="shared" si="7"/>
        <v/>
      </c>
      <c r="S783" s="19" t="str">
        <f t="shared" si="8"/>
        <v/>
      </c>
      <c r="T783" s="19" t="str">
        <f t="shared" si="9"/>
        <v/>
      </c>
      <c r="U783" s="3"/>
      <c r="V783" s="4" t="str">
        <f>IF(ISBLANK(C783),,IFERROR(IF(VLOOKUP(B783,Standings!$A:$F, 6, 0)=VLOOKUP(C783,Standings!$A:$F, 6, 0), VLOOKUP(B783,Standings!$A:$F, 6, 0), "Non-con"), "FCS"))</f>
        <v/>
      </c>
      <c r="W783" s="3" t="str">
        <f t="shared" si="10"/>
        <v/>
      </c>
      <c r="X783" s="3" t="str">
        <f t="shared" si="11"/>
        <v/>
      </c>
      <c r="Y783" s="30" t="str">
        <f>IF(D783=0,,IF(ISBLANK(Q783),,VLOOKUP(X783,Week1,2,FALSE)/(VLOOKUP(X783,Week1,2,FALSE)+VLOOKUP(W783,Week1,2,FALSE)))*100)</f>
        <v/>
      </c>
      <c r="Z783" s="4"/>
      <c r="AA783" s="3"/>
      <c r="AB783" s="4" t="str">
        <f t="shared" si="20"/>
        <v/>
      </c>
      <c r="AC783" s="3"/>
      <c r="AD783" s="3"/>
      <c r="AE783" s="3" t="str">
        <f t="shared" si="13"/>
        <v/>
      </c>
      <c r="AF783" s="3"/>
      <c r="AG783" s="3" t="str">
        <f t="shared" si="133"/>
        <v/>
      </c>
      <c r="AH783" s="3"/>
      <c r="AI783" s="7"/>
      <c r="AJ783" s="4"/>
      <c r="AK783" s="7"/>
      <c r="AL783" s="7"/>
      <c r="AM783" s="7"/>
      <c r="AN783" s="7"/>
      <c r="AO783" s="7"/>
      <c r="AP783" s="7"/>
      <c r="AQ783" s="7"/>
      <c r="AR783" s="7"/>
      <c r="AS783" s="7"/>
      <c r="AT783" s="7"/>
      <c r="AU783" s="7"/>
      <c r="AV783" s="7"/>
      <c r="AW783" s="7"/>
      <c r="AX783" s="7"/>
    </row>
    <row r="784" ht="12.75" customHeight="1">
      <c r="A784" s="4"/>
      <c r="B784" s="4"/>
      <c r="C784" s="4"/>
      <c r="D784" s="4"/>
      <c r="E784" s="4" t="str">
        <f>IF(ISBLANK(B784),,IFERROR(VLOOKUP(B784,CurrentRank!$B$2:$C$132,2,FALSE),0))</f>
        <v/>
      </c>
      <c r="F784" s="4"/>
      <c r="G784" s="4" t="str">
        <f>IF(ISBLANK(B784),,IFERROR(VLOOKUP(B784,CurrentRank!$B$2:$D$132,3,FALSE),130))</f>
        <v/>
      </c>
      <c r="H784" s="4"/>
      <c r="I784" s="4" t="str">
        <f>IF(ISBLANK(B784),,IFERROR(VLOOKUP(C784,CurrentRank!$B$2:$C$132,2,FALSE),0))</f>
        <v/>
      </c>
      <c r="J784" s="4"/>
      <c r="K784" s="4" t="str">
        <f>IF(ISBLANK(C784),,IFERROR(VLOOKUP(C784,CurrentRank!$B$2:$D$132,3,FALSE),130))</f>
        <v/>
      </c>
      <c r="L784" s="19" t="str">
        <f t="shared" si="279"/>
        <v/>
      </c>
      <c r="M784" s="19" t="str">
        <f t="shared" si="280"/>
        <v/>
      </c>
      <c r="N784" s="24" t="str">
        <f t="shared" si="276"/>
        <v/>
      </c>
      <c r="O784" s="21" t="str">
        <f t="shared" si="4"/>
        <v/>
      </c>
      <c r="P784" s="21" t="str">
        <f t="shared" si="282"/>
        <v/>
      </c>
      <c r="Q784" s="22" t="str">
        <f t="shared" si="6"/>
        <v/>
      </c>
      <c r="R784" s="25" t="str">
        <f t="shared" si="7"/>
        <v/>
      </c>
      <c r="S784" s="19" t="str">
        <f t="shared" si="8"/>
        <v/>
      </c>
      <c r="T784" s="19" t="str">
        <f t="shared" si="9"/>
        <v/>
      </c>
      <c r="U784" s="3"/>
      <c r="V784" s="4" t="str">
        <f>IF(ISBLANK(C784),,IFERROR(IF(VLOOKUP(B784,Standings!$A:$F, 6, 0)=VLOOKUP(C784,Standings!$A:$F, 6, 0), VLOOKUP(B784,Standings!$A:$F, 6, 0), "Non-con"), "FCS"))</f>
        <v/>
      </c>
      <c r="W784" s="3" t="str">
        <f t="shared" si="10"/>
        <v/>
      </c>
      <c r="X784" s="3" t="str">
        <f t="shared" si="11"/>
        <v/>
      </c>
      <c r="Y784" s="30" t="str">
        <f>IF(D784=0,,IF(ISBLANK(Q784),,VLOOKUP(X784,Week1,2,FALSE)/(VLOOKUP(X784,Week1,2,FALSE)+VLOOKUP(W784,Week1,2,FALSE)))*100)</f>
        <v/>
      </c>
      <c r="Z784" s="4"/>
      <c r="AA784" s="3"/>
      <c r="AB784" s="4" t="str">
        <f t="shared" si="20"/>
        <v/>
      </c>
      <c r="AC784" s="3"/>
      <c r="AD784" s="3"/>
      <c r="AE784" s="3" t="str">
        <f t="shared" si="13"/>
        <v/>
      </c>
      <c r="AF784" s="3"/>
      <c r="AG784" s="3" t="str">
        <f t="shared" si="133"/>
        <v/>
      </c>
      <c r="AH784" s="3"/>
      <c r="AI784" s="7"/>
      <c r="AJ784" s="4"/>
      <c r="AK784" s="7"/>
      <c r="AL784" s="7"/>
      <c r="AM784" s="7"/>
      <c r="AN784" s="7"/>
      <c r="AO784" s="7"/>
      <c r="AP784" s="7"/>
      <c r="AQ784" s="7"/>
      <c r="AR784" s="7"/>
      <c r="AS784" s="7"/>
      <c r="AT784" s="7"/>
      <c r="AU784" s="7"/>
      <c r="AV784" s="7"/>
      <c r="AW784" s="7"/>
      <c r="AX784" s="7"/>
    </row>
    <row r="785" ht="12.75" customHeight="1">
      <c r="A785" s="4"/>
      <c r="B785" s="4"/>
      <c r="C785" s="4"/>
      <c r="D785" s="4"/>
      <c r="E785" s="4" t="str">
        <f>IF(ISBLANK(B785),,IFERROR(VLOOKUP(B785,CurrentRank!$B$2:$C$132,2,FALSE),0))</f>
        <v/>
      </c>
      <c r="F785" s="4"/>
      <c r="G785" s="4" t="str">
        <f>IF(ISBLANK(B785),,IFERROR(VLOOKUP(B785,CurrentRank!$B$2:$D$132,3,FALSE),130))</f>
        <v/>
      </c>
      <c r="H785" s="4"/>
      <c r="I785" s="4" t="str">
        <f>IF(ISBLANK(B785),,IFERROR(VLOOKUP(C785,CurrentRank!$B$2:$C$132,2,FALSE),0))</f>
        <v/>
      </c>
      <c r="J785" s="4"/>
      <c r="K785" s="4" t="str">
        <f>IF(ISBLANK(C785),,IFERROR(VLOOKUP(C785,CurrentRank!$B$2:$D$132,3,FALSE),130))</f>
        <v/>
      </c>
      <c r="L785" s="19" t="str">
        <f t="shared" si="279"/>
        <v/>
      </c>
      <c r="M785" s="19" t="str">
        <f t="shared" si="280"/>
        <v/>
      </c>
      <c r="N785" s="24" t="str">
        <f t="shared" si="276"/>
        <v/>
      </c>
      <c r="O785" s="21" t="str">
        <f t="shared" si="4"/>
        <v/>
      </c>
      <c r="P785" s="21" t="str">
        <f t="shared" si="282"/>
        <v/>
      </c>
      <c r="Q785" s="22" t="str">
        <f t="shared" si="6"/>
        <v/>
      </c>
      <c r="R785" s="25" t="str">
        <f t="shared" si="7"/>
        <v/>
      </c>
      <c r="S785" s="19" t="str">
        <f t="shared" si="8"/>
        <v/>
      </c>
      <c r="T785" s="19" t="str">
        <f t="shared" si="9"/>
        <v/>
      </c>
      <c r="U785" s="3"/>
      <c r="V785" s="4" t="str">
        <f>IF(ISBLANK(C785),,IFERROR(IF(VLOOKUP(B785,Standings!$A:$F, 6, 0)=VLOOKUP(C785,Standings!$A:$F, 6, 0), VLOOKUP(B785,Standings!$A:$F, 6, 0), "Non-con"), "FCS"))</f>
        <v/>
      </c>
      <c r="W785" s="3" t="str">
        <f t="shared" si="10"/>
        <v/>
      </c>
      <c r="X785" s="3" t="str">
        <f t="shared" si="11"/>
        <v/>
      </c>
      <c r="Y785" s="30" t="str">
        <f>IF(D785=0,,IF(ISBLANK(Q785),,VLOOKUP(X785,Week1,2,FALSE)/(VLOOKUP(X785,Week1,2,FALSE)+VLOOKUP(W785,Week1,2,FALSE)))*100)</f>
        <v/>
      </c>
      <c r="Z785" s="4"/>
      <c r="AA785" s="3"/>
      <c r="AB785" s="4" t="str">
        <f t="shared" si="20"/>
        <v/>
      </c>
      <c r="AC785" s="3"/>
      <c r="AD785" s="3"/>
      <c r="AE785" s="3" t="str">
        <f t="shared" si="13"/>
        <v/>
      </c>
      <c r="AF785" s="3"/>
      <c r="AG785" s="3" t="str">
        <f t="shared" si="133"/>
        <v/>
      </c>
      <c r="AH785" s="3"/>
      <c r="AI785" s="7"/>
      <c r="AJ785" s="4"/>
      <c r="AK785" s="7"/>
      <c r="AL785" s="7"/>
      <c r="AM785" s="7"/>
      <c r="AN785" s="7"/>
      <c r="AO785" s="7"/>
      <c r="AP785" s="7"/>
      <c r="AQ785" s="7"/>
      <c r="AR785" s="7"/>
      <c r="AS785" s="7"/>
      <c r="AT785" s="7"/>
      <c r="AU785" s="7"/>
      <c r="AV785" s="7"/>
      <c r="AW785" s="7"/>
      <c r="AX785" s="7"/>
    </row>
    <row r="786" ht="12.75" customHeight="1">
      <c r="A786" s="4"/>
      <c r="B786" s="4"/>
      <c r="C786" s="4"/>
      <c r="D786" s="4"/>
      <c r="E786" s="4" t="str">
        <f>IF(ISBLANK(B786),,IFERROR(VLOOKUP(B786,CurrentRank!$B$2:$C$132,2,FALSE),0))</f>
        <v/>
      </c>
      <c r="F786" s="4"/>
      <c r="G786" s="4" t="str">
        <f>IF(ISBLANK(B786),,IFERROR(VLOOKUP(B786,CurrentRank!$B$2:$D$132,3,FALSE),130))</f>
        <v/>
      </c>
      <c r="H786" s="4"/>
      <c r="I786" s="4" t="str">
        <f>IF(ISBLANK(B786),,IFERROR(VLOOKUP(C786,CurrentRank!$B$2:$C$132,2,FALSE),0))</f>
        <v/>
      </c>
      <c r="J786" s="4"/>
      <c r="K786" s="4" t="str">
        <f>IF(ISBLANK(C786),,IFERROR(VLOOKUP(C786,CurrentRank!$B$2:$D$132,3,FALSE),130))</f>
        <v/>
      </c>
      <c r="L786" s="19" t="str">
        <f t="shared" si="279"/>
        <v/>
      </c>
      <c r="M786" s="19" t="str">
        <f t="shared" si="280"/>
        <v/>
      </c>
      <c r="N786" s="24" t="str">
        <f t="shared" si="276"/>
        <v/>
      </c>
      <c r="O786" s="21" t="str">
        <f t="shared" si="4"/>
        <v/>
      </c>
      <c r="P786" s="21" t="str">
        <f t="shared" si="282"/>
        <v/>
      </c>
      <c r="Q786" s="22" t="str">
        <f t="shared" si="6"/>
        <v/>
      </c>
      <c r="R786" s="25" t="str">
        <f t="shared" si="7"/>
        <v/>
      </c>
      <c r="S786" s="19" t="str">
        <f t="shared" si="8"/>
        <v/>
      </c>
      <c r="T786" s="19" t="str">
        <f t="shared" si="9"/>
        <v/>
      </c>
      <c r="U786" s="3"/>
      <c r="V786" s="4" t="str">
        <f>IF(ISBLANK(C786),,IFERROR(IF(VLOOKUP(B786,Standings!$A:$F, 6, 0)=VLOOKUP(C786,Standings!$A:$F, 6, 0), VLOOKUP(B786,Standings!$A:$F, 6, 0), "Non-con"), "FCS"))</f>
        <v/>
      </c>
      <c r="W786" s="3" t="str">
        <f t="shared" si="10"/>
        <v/>
      </c>
      <c r="X786" s="3" t="str">
        <f t="shared" si="11"/>
        <v/>
      </c>
      <c r="Y786" s="30" t="str">
        <f>IF(D786=0,,IF(ISBLANK(Q786),,VLOOKUP(X786,Week1,2,FALSE)/(VLOOKUP(X786,Week1,2,FALSE)+VLOOKUP(W786,Week1,2,FALSE)))*100)</f>
        <v/>
      </c>
      <c r="Z786" s="4"/>
      <c r="AA786" s="3"/>
      <c r="AB786" s="4" t="str">
        <f t="shared" si="20"/>
        <v/>
      </c>
      <c r="AC786" s="3"/>
      <c r="AD786" s="3"/>
      <c r="AE786" s="3" t="str">
        <f t="shared" si="13"/>
        <v/>
      </c>
      <c r="AF786" s="3"/>
      <c r="AG786" s="3" t="str">
        <f t="shared" si="133"/>
        <v/>
      </c>
      <c r="AH786" s="3"/>
      <c r="AI786" s="7"/>
      <c r="AJ786" s="4"/>
      <c r="AK786" s="7"/>
      <c r="AL786" s="7"/>
      <c r="AM786" s="7"/>
      <c r="AN786" s="7"/>
      <c r="AO786" s="7"/>
      <c r="AP786" s="7"/>
      <c r="AQ786" s="7"/>
      <c r="AR786" s="7"/>
      <c r="AS786" s="7"/>
      <c r="AT786" s="7"/>
      <c r="AU786" s="7"/>
      <c r="AV786" s="7"/>
      <c r="AW786" s="7"/>
      <c r="AX786" s="7"/>
    </row>
    <row r="787" ht="12.75" customHeight="1">
      <c r="A787" s="4"/>
      <c r="B787" s="4"/>
      <c r="C787" s="4"/>
      <c r="D787" s="4"/>
      <c r="E787" s="4" t="str">
        <f>IF(ISBLANK(B787),,IFERROR(VLOOKUP(B787,CurrentRank!$B$2:$C$132,2,FALSE),0))</f>
        <v/>
      </c>
      <c r="F787" s="4"/>
      <c r="G787" s="4" t="str">
        <f>IF(ISBLANK(B787),,IFERROR(VLOOKUP(B787,CurrentRank!$B$2:$D$132,3,FALSE),130))</f>
        <v/>
      </c>
      <c r="H787" s="4"/>
      <c r="I787" s="4" t="str">
        <f>IF(ISBLANK(B787),,IFERROR(VLOOKUP(C787,CurrentRank!$B$2:$C$132,2,FALSE),0))</f>
        <v/>
      </c>
      <c r="J787" s="4"/>
      <c r="K787" s="4" t="str">
        <f>IF(ISBLANK(C787),,IFERROR(VLOOKUP(C787,CurrentRank!$B$2:$D$132,3,FALSE),130))</f>
        <v/>
      </c>
      <c r="L787" s="19" t="str">
        <f t="shared" si="279"/>
        <v/>
      </c>
      <c r="M787" s="19" t="str">
        <f t="shared" si="280"/>
        <v/>
      </c>
      <c r="N787" s="24" t="str">
        <f t="shared" si="276"/>
        <v/>
      </c>
      <c r="O787" s="21" t="str">
        <f t="shared" si="4"/>
        <v/>
      </c>
      <c r="P787" s="21" t="str">
        <f t="shared" si="282"/>
        <v/>
      </c>
      <c r="Q787" s="22" t="str">
        <f t="shared" si="6"/>
        <v/>
      </c>
      <c r="R787" s="25" t="str">
        <f t="shared" si="7"/>
        <v/>
      </c>
      <c r="S787" s="19" t="str">
        <f t="shared" si="8"/>
        <v/>
      </c>
      <c r="T787" s="19" t="str">
        <f t="shared" si="9"/>
        <v/>
      </c>
      <c r="U787" s="3"/>
      <c r="V787" s="4" t="str">
        <f>IF(ISBLANK(C787),,IFERROR(IF(VLOOKUP(B787,Standings!$A:$F, 6, 0)=VLOOKUP(C787,Standings!$A:$F, 6, 0), VLOOKUP(B787,Standings!$A:$F, 6, 0), "Non-con"), "FCS"))</f>
        <v/>
      </c>
      <c r="W787" s="3" t="str">
        <f t="shared" si="10"/>
        <v/>
      </c>
      <c r="X787" s="3" t="str">
        <f t="shared" si="11"/>
        <v/>
      </c>
      <c r="Y787" s="30" t="str">
        <f>IF(D787=0,,IF(ISBLANK(Q787),,VLOOKUP(X787,Week1,2,FALSE)/(VLOOKUP(X787,Week1,2,FALSE)+VLOOKUP(W787,Week1,2,FALSE)))*100)</f>
        <v/>
      </c>
      <c r="Z787" s="4"/>
      <c r="AA787" s="3"/>
      <c r="AB787" s="4" t="str">
        <f t="shared" si="20"/>
        <v/>
      </c>
      <c r="AC787" s="3"/>
      <c r="AD787" s="3"/>
      <c r="AE787" s="3" t="str">
        <f t="shared" si="13"/>
        <v/>
      </c>
      <c r="AF787" s="3"/>
      <c r="AG787" s="3" t="str">
        <f t="shared" si="133"/>
        <v/>
      </c>
      <c r="AH787" s="3"/>
      <c r="AI787" s="7"/>
      <c r="AJ787" s="4"/>
      <c r="AK787" s="7"/>
      <c r="AL787" s="7"/>
      <c r="AM787" s="7"/>
      <c r="AN787" s="7"/>
      <c r="AO787" s="7"/>
      <c r="AP787" s="7"/>
      <c r="AQ787" s="7"/>
      <c r="AR787" s="7"/>
      <c r="AS787" s="7"/>
      <c r="AT787" s="7"/>
      <c r="AU787" s="7"/>
      <c r="AV787" s="7"/>
      <c r="AW787" s="7"/>
      <c r="AX787" s="7"/>
    </row>
    <row r="788" ht="12.75" customHeight="1">
      <c r="A788" s="4"/>
      <c r="B788" s="4"/>
      <c r="C788" s="4"/>
      <c r="D788" s="4"/>
      <c r="E788" s="4" t="str">
        <f>IF(ISBLANK(B788),,IFERROR(VLOOKUP(B788,CurrentRank!$B$2:$C$132,2,FALSE),0))</f>
        <v/>
      </c>
      <c r="F788" s="4"/>
      <c r="G788" s="4" t="str">
        <f>IF(ISBLANK(B788),,IFERROR(VLOOKUP(B788,CurrentRank!$B$2:$D$132,3,FALSE),130))</f>
        <v/>
      </c>
      <c r="H788" s="4"/>
      <c r="I788" s="4" t="str">
        <f>IF(ISBLANK(B788),,IFERROR(VLOOKUP(C788,CurrentRank!$B$2:$C$132,2,FALSE),0))</f>
        <v/>
      </c>
      <c r="J788" s="4"/>
      <c r="K788" s="4" t="str">
        <f>IF(ISBLANK(C788),,IFERROR(VLOOKUP(C788,CurrentRank!$B$2:$D$132,3,FALSE),130))</f>
        <v/>
      </c>
      <c r="L788" s="19" t="str">
        <f t="shared" si="279"/>
        <v/>
      </c>
      <c r="M788" s="19" t="str">
        <f t="shared" si="280"/>
        <v/>
      </c>
      <c r="N788" s="24" t="str">
        <f t="shared" si="276"/>
        <v/>
      </c>
      <c r="O788" s="21" t="str">
        <f t="shared" si="4"/>
        <v/>
      </c>
      <c r="P788" s="21" t="str">
        <f t="shared" si="282"/>
        <v/>
      </c>
      <c r="Q788" s="22" t="str">
        <f t="shared" si="6"/>
        <v/>
      </c>
      <c r="R788" s="25" t="str">
        <f t="shared" si="7"/>
        <v/>
      </c>
      <c r="S788" s="19" t="str">
        <f t="shared" si="8"/>
        <v/>
      </c>
      <c r="T788" s="19" t="str">
        <f t="shared" si="9"/>
        <v/>
      </c>
      <c r="U788" s="3"/>
      <c r="V788" s="4" t="str">
        <f>IF(ISBLANK(C788),,IFERROR(IF(VLOOKUP(B788,Standings!$A:$F, 6, 0)=VLOOKUP(C788,Standings!$A:$F, 6, 0), VLOOKUP(B788,Standings!$A:$F, 6, 0), "Non-con"), "FCS"))</f>
        <v/>
      </c>
      <c r="W788" s="3" t="str">
        <f t="shared" si="10"/>
        <v/>
      </c>
      <c r="X788" s="3" t="str">
        <f t="shared" si="11"/>
        <v/>
      </c>
      <c r="Y788" s="30" t="str">
        <f>IF(D788=0,,IF(ISBLANK(Q788),,VLOOKUP(X788,Week1,2,FALSE)/(VLOOKUP(X788,Week1,2,FALSE)+VLOOKUP(W788,Week1,2,FALSE)))*100)</f>
        <v/>
      </c>
      <c r="Z788" s="4"/>
      <c r="AA788" s="3"/>
      <c r="AB788" s="4" t="str">
        <f t="shared" si="20"/>
        <v/>
      </c>
      <c r="AC788" s="3"/>
      <c r="AD788" s="3"/>
      <c r="AE788" s="3" t="str">
        <f t="shared" si="13"/>
        <v/>
      </c>
      <c r="AF788" s="3"/>
      <c r="AG788" s="3" t="str">
        <f t="shared" si="133"/>
        <v/>
      </c>
      <c r="AH788" s="3"/>
      <c r="AI788" s="7"/>
      <c r="AJ788" s="4"/>
      <c r="AK788" s="7"/>
      <c r="AL788" s="7"/>
      <c r="AM788" s="7"/>
      <c r="AN788" s="7"/>
      <c r="AO788" s="7"/>
      <c r="AP788" s="7"/>
      <c r="AQ788" s="7"/>
      <c r="AR788" s="7"/>
      <c r="AS788" s="7"/>
      <c r="AT788" s="7"/>
      <c r="AU788" s="7"/>
      <c r="AV788" s="7"/>
      <c r="AW788" s="7"/>
      <c r="AX788" s="7"/>
    </row>
    <row r="789" ht="12.75" customHeight="1">
      <c r="A789" s="4"/>
      <c r="B789" s="4"/>
      <c r="C789" s="4"/>
      <c r="D789" s="4"/>
      <c r="E789" s="4" t="str">
        <f>IF(ISBLANK(B789),,IFERROR(VLOOKUP(B789,CurrentRank!$B$2:$C$132,2,FALSE),0))</f>
        <v/>
      </c>
      <c r="F789" s="4"/>
      <c r="G789" s="4" t="str">
        <f>IF(ISBLANK(B789),,IFERROR(VLOOKUP(B789,CurrentRank!$B$2:$D$132,3,FALSE),130))</f>
        <v/>
      </c>
      <c r="H789" s="4"/>
      <c r="I789" s="4" t="str">
        <f>IF(ISBLANK(B789),,IFERROR(VLOOKUP(C789,CurrentRank!$B$2:$C$132,2,FALSE),0))</f>
        <v/>
      </c>
      <c r="J789" s="4"/>
      <c r="K789" s="4" t="str">
        <f>IF(ISBLANK(C789),,IFERROR(VLOOKUP(C789,CurrentRank!$B$2:$D$132,3,FALSE),130))</f>
        <v/>
      </c>
      <c r="L789" s="19" t="str">
        <f t="shared" si="279"/>
        <v/>
      </c>
      <c r="M789" s="19" t="str">
        <f t="shared" si="280"/>
        <v/>
      </c>
      <c r="N789" s="24" t="str">
        <f t="shared" si="276"/>
        <v/>
      </c>
      <c r="O789" s="21" t="str">
        <f t="shared" si="4"/>
        <v/>
      </c>
      <c r="P789" s="21" t="str">
        <f t="shared" si="282"/>
        <v/>
      </c>
      <c r="Q789" s="22" t="str">
        <f t="shared" si="6"/>
        <v/>
      </c>
      <c r="R789" s="25" t="str">
        <f t="shared" si="7"/>
        <v/>
      </c>
      <c r="S789" s="19" t="str">
        <f t="shared" si="8"/>
        <v/>
      </c>
      <c r="T789" s="19" t="str">
        <f t="shared" si="9"/>
        <v/>
      </c>
      <c r="U789" s="3"/>
      <c r="V789" s="4" t="str">
        <f>IF(ISBLANK(C789),,IFERROR(IF(VLOOKUP(B789,Standings!$A:$F, 6, 0)=VLOOKUP(C789,Standings!$A:$F, 6, 0), VLOOKUP(B789,Standings!$A:$F, 6, 0), "Non-con"), "FCS"))</f>
        <v/>
      </c>
      <c r="W789" s="3" t="str">
        <f t="shared" si="10"/>
        <v/>
      </c>
      <c r="X789" s="3" t="str">
        <f t="shared" si="11"/>
        <v/>
      </c>
      <c r="Y789" s="30" t="str">
        <f>IF(D789=0,,IF(ISBLANK(Q789),,VLOOKUP(X789,Week1,2,FALSE)/(VLOOKUP(X789,Week1,2,FALSE)+VLOOKUP(W789,Week1,2,FALSE)))*100)</f>
        <v/>
      </c>
      <c r="Z789" s="4"/>
      <c r="AA789" s="3"/>
      <c r="AB789" s="4" t="str">
        <f t="shared" si="20"/>
        <v/>
      </c>
      <c r="AC789" s="3"/>
      <c r="AD789" s="3"/>
      <c r="AE789" s="3" t="str">
        <f t="shared" si="13"/>
        <v/>
      </c>
      <c r="AF789" s="3"/>
      <c r="AG789" s="3" t="str">
        <f t="shared" si="133"/>
        <v/>
      </c>
      <c r="AH789" s="3"/>
      <c r="AI789" s="7"/>
      <c r="AJ789" s="4"/>
      <c r="AK789" s="7"/>
      <c r="AL789" s="7"/>
      <c r="AM789" s="7"/>
      <c r="AN789" s="7"/>
      <c r="AO789" s="7"/>
      <c r="AP789" s="7"/>
      <c r="AQ789" s="7"/>
      <c r="AR789" s="7"/>
      <c r="AS789" s="7"/>
      <c r="AT789" s="7"/>
      <c r="AU789" s="7"/>
      <c r="AV789" s="7"/>
      <c r="AW789" s="7"/>
      <c r="AX789" s="7"/>
    </row>
    <row r="790" ht="12.75" customHeight="1">
      <c r="A790" s="4"/>
      <c r="B790" s="4"/>
      <c r="C790" s="4"/>
      <c r="D790" s="4"/>
      <c r="E790" s="4" t="str">
        <f>IF(ISBLANK(B790),,IFERROR(VLOOKUP(B790,CurrentRank!$B$2:$C$132,2,FALSE),0))</f>
        <v/>
      </c>
      <c r="F790" s="4"/>
      <c r="G790" s="4" t="str">
        <f>IF(ISBLANK(B790),,IFERROR(VLOOKUP(B790,CurrentRank!$B$2:$D$132,3,FALSE),130))</f>
        <v/>
      </c>
      <c r="H790" s="4"/>
      <c r="I790" s="4" t="str">
        <f>IF(ISBLANK(B790),,IFERROR(VLOOKUP(C790,CurrentRank!$B$2:$C$132,2,FALSE),0))</f>
        <v/>
      </c>
      <c r="J790" s="4"/>
      <c r="K790" s="4" t="str">
        <f>IF(ISBLANK(C790),,IFERROR(VLOOKUP(C790,CurrentRank!$B$2:$D$132,3,FALSE),130))</f>
        <v/>
      </c>
      <c r="L790" s="19" t="str">
        <f t="shared" si="279"/>
        <v/>
      </c>
      <c r="M790" s="19" t="str">
        <f t="shared" si="280"/>
        <v/>
      </c>
      <c r="N790" s="24" t="str">
        <f t="shared" si="276"/>
        <v/>
      </c>
      <c r="O790" s="21" t="str">
        <f t="shared" si="4"/>
        <v/>
      </c>
      <c r="P790" s="21" t="str">
        <f t="shared" si="282"/>
        <v/>
      </c>
      <c r="Q790" s="22" t="str">
        <f t="shared" si="6"/>
        <v/>
      </c>
      <c r="R790" s="25" t="str">
        <f t="shared" si="7"/>
        <v/>
      </c>
      <c r="S790" s="19" t="str">
        <f t="shared" si="8"/>
        <v/>
      </c>
      <c r="T790" s="19" t="str">
        <f t="shared" si="9"/>
        <v/>
      </c>
      <c r="U790" s="3"/>
      <c r="V790" s="4" t="str">
        <f>IF(ISBLANK(C790),,IFERROR(IF(VLOOKUP(B790,Standings!$A:$F, 6, 0)=VLOOKUP(C790,Standings!$A:$F, 6, 0), VLOOKUP(B790,Standings!$A:$F, 6, 0), "Non-con"), "FCS"))</f>
        <v/>
      </c>
      <c r="W790" s="3" t="str">
        <f t="shared" si="10"/>
        <v/>
      </c>
      <c r="X790" s="3" t="str">
        <f t="shared" si="11"/>
        <v/>
      </c>
      <c r="Y790" s="30" t="str">
        <f>IF(D790=0,,IF(ISBLANK(Q790),,VLOOKUP(X790,Week1,2,FALSE)/(VLOOKUP(X790,Week1,2,FALSE)+VLOOKUP(W790,Week1,2,FALSE)))*100)</f>
        <v/>
      </c>
      <c r="Z790" s="4"/>
      <c r="AA790" s="3"/>
      <c r="AB790" s="4" t="str">
        <f t="shared" si="20"/>
        <v/>
      </c>
      <c r="AC790" s="3"/>
      <c r="AD790" s="3"/>
      <c r="AE790" s="3" t="str">
        <f t="shared" si="13"/>
        <v/>
      </c>
      <c r="AF790" s="3"/>
      <c r="AG790" s="3" t="str">
        <f t="shared" si="133"/>
        <v/>
      </c>
      <c r="AH790" s="3"/>
      <c r="AI790" s="7"/>
      <c r="AJ790" s="4"/>
      <c r="AK790" s="7"/>
      <c r="AL790" s="7"/>
      <c r="AM790" s="7"/>
      <c r="AN790" s="7"/>
      <c r="AO790" s="7"/>
      <c r="AP790" s="7"/>
      <c r="AQ790" s="7"/>
      <c r="AR790" s="7"/>
      <c r="AS790" s="7"/>
      <c r="AT790" s="7"/>
      <c r="AU790" s="7"/>
      <c r="AV790" s="7"/>
      <c r="AW790" s="7"/>
      <c r="AX790" s="7"/>
    </row>
    <row r="791" ht="12.75" customHeight="1">
      <c r="A791" s="4"/>
      <c r="B791" s="4"/>
      <c r="C791" s="4"/>
      <c r="D791" s="4"/>
      <c r="E791" s="4" t="str">
        <f>IF(ISBLANK(B791),,IFERROR(VLOOKUP(B791,CurrentRank!$B$2:$C$132,2,FALSE),0))</f>
        <v/>
      </c>
      <c r="F791" s="4"/>
      <c r="G791" s="4" t="str">
        <f>IF(ISBLANK(B791),,IFERROR(VLOOKUP(B791,CurrentRank!$B$2:$D$132,3,FALSE),130))</f>
        <v/>
      </c>
      <c r="H791" s="4"/>
      <c r="I791" s="4" t="str">
        <f>IF(ISBLANK(B791),,IFERROR(VLOOKUP(C791,CurrentRank!$B$2:$C$132,2,FALSE),0))</f>
        <v/>
      </c>
      <c r="J791" s="4"/>
      <c r="K791" s="4" t="str">
        <f>IF(ISBLANK(C791),,IFERROR(VLOOKUP(C791,CurrentRank!$B$2:$D$132,3,FALSE),130))</f>
        <v/>
      </c>
      <c r="L791" s="19" t="str">
        <f t="shared" si="279"/>
        <v/>
      </c>
      <c r="M791" s="19" t="str">
        <f t="shared" si="280"/>
        <v/>
      </c>
      <c r="N791" s="24" t="str">
        <f t="shared" si="276"/>
        <v/>
      </c>
      <c r="O791" s="21" t="str">
        <f t="shared" si="4"/>
        <v/>
      </c>
      <c r="P791" s="21" t="str">
        <f t="shared" si="282"/>
        <v/>
      </c>
      <c r="Q791" s="22" t="str">
        <f t="shared" si="6"/>
        <v/>
      </c>
      <c r="R791" s="25" t="str">
        <f t="shared" si="7"/>
        <v/>
      </c>
      <c r="S791" s="19" t="str">
        <f t="shared" si="8"/>
        <v/>
      </c>
      <c r="T791" s="19" t="str">
        <f t="shared" si="9"/>
        <v/>
      </c>
      <c r="U791" s="3"/>
      <c r="V791" s="4" t="str">
        <f>IF(ISBLANK(C791),,IFERROR(IF(VLOOKUP(B791,Standings!$A:$F, 6, 0)=VLOOKUP(C791,Standings!$A:$F, 6, 0), VLOOKUP(B791,Standings!$A:$F, 6, 0), "Non-con"), "FCS"))</f>
        <v/>
      </c>
      <c r="W791" s="3" t="str">
        <f t="shared" si="10"/>
        <v/>
      </c>
      <c r="X791" s="3" t="str">
        <f t="shared" si="11"/>
        <v/>
      </c>
      <c r="Y791" s="30" t="str">
        <f>IF(D791=0,,IF(ISBLANK(Q791),,VLOOKUP(X791,Week1,2,FALSE)/(VLOOKUP(X791,Week1,2,FALSE)+VLOOKUP(W791,Week1,2,FALSE)))*100)</f>
        <v/>
      </c>
      <c r="Z791" s="4"/>
      <c r="AA791" s="3"/>
      <c r="AB791" s="4" t="str">
        <f t="shared" si="20"/>
        <v/>
      </c>
      <c r="AC791" s="3"/>
      <c r="AD791" s="3"/>
      <c r="AE791" s="3" t="str">
        <f t="shared" si="13"/>
        <v/>
      </c>
      <c r="AF791" s="3"/>
      <c r="AG791" s="3" t="str">
        <f t="shared" si="133"/>
        <v/>
      </c>
      <c r="AH791" s="3"/>
      <c r="AI791" s="7"/>
      <c r="AJ791" s="4"/>
      <c r="AK791" s="7"/>
      <c r="AL791" s="7"/>
      <c r="AM791" s="7"/>
      <c r="AN791" s="7"/>
      <c r="AO791" s="7"/>
      <c r="AP791" s="7"/>
      <c r="AQ791" s="7"/>
      <c r="AR791" s="7"/>
      <c r="AS791" s="7"/>
      <c r="AT791" s="7"/>
      <c r="AU791" s="7"/>
      <c r="AV791" s="7"/>
      <c r="AW791" s="7"/>
      <c r="AX791" s="7"/>
    </row>
    <row r="792" ht="12.75" customHeight="1">
      <c r="A792" s="4"/>
      <c r="B792" s="4"/>
      <c r="C792" s="4"/>
      <c r="D792" s="4"/>
      <c r="E792" s="4" t="str">
        <f>IF(ISBLANK(B792),,IFERROR(VLOOKUP(B792,CurrentRank!$B$2:$C$132,2,FALSE),0))</f>
        <v/>
      </c>
      <c r="F792" s="4"/>
      <c r="G792" s="4" t="str">
        <f>IF(ISBLANK(B792),,IFERROR(VLOOKUP(B792,CurrentRank!$B$2:$D$132,3,FALSE),130))</f>
        <v/>
      </c>
      <c r="H792" s="4"/>
      <c r="I792" s="4" t="str">
        <f>IF(ISBLANK(B792),,IFERROR(VLOOKUP(C792,CurrentRank!$B$2:$C$132,2,FALSE),0))</f>
        <v/>
      </c>
      <c r="J792" s="4"/>
      <c r="K792" s="4" t="str">
        <f>IF(ISBLANK(C792),,IFERROR(VLOOKUP(C792,CurrentRank!$B$2:$D$132,3,FALSE),130))</f>
        <v/>
      </c>
      <c r="L792" s="19" t="str">
        <f t="shared" si="279"/>
        <v/>
      </c>
      <c r="M792" s="19" t="str">
        <f t="shared" si="280"/>
        <v/>
      </c>
      <c r="N792" s="24" t="str">
        <f t="shared" si="276"/>
        <v/>
      </c>
      <c r="O792" s="21" t="str">
        <f t="shared" si="4"/>
        <v/>
      </c>
      <c r="P792" s="21" t="str">
        <f t="shared" si="282"/>
        <v/>
      </c>
      <c r="Q792" s="22" t="str">
        <f t="shared" si="6"/>
        <v/>
      </c>
      <c r="R792" s="25" t="str">
        <f t="shared" si="7"/>
        <v/>
      </c>
      <c r="S792" s="19" t="str">
        <f t="shared" si="8"/>
        <v/>
      </c>
      <c r="T792" s="19" t="str">
        <f t="shared" si="9"/>
        <v/>
      </c>
      <c r="U792" s="3"/>
      <c r="V792" s="4" t="str">
        <f>IF(ISBLANK(C792),,IFERROR(IF(VLOOKUP(B792,Standings!$A:$F, 6, 0)=VLOOKUP(C792,Standings!$A:$F, 6, 0), VLOOKUP(B792,Standings!$A:$F, 6, 0), "Non-con"), "FCS"))</f>
        <v/>
      </c>
      <c r="W792" s="3" t="str">
        <f t="shared" si="10"/>
        <v/>
      </c>
      <c r="X792" s="3" t="str">
        <f t="shared" si="11"/>
        <v/>
      </c>
      <c r="Y792" s="30" t="str">
        <f>IF(D792=0,,IF(ISBLANK(Q792),,VLOOKUP(X792,Week1,2,FALSE)/(VLOOKUP(X792,Week1,2,FALSE)+VLOOKUP(W792,Week1,2,FALSE)))*100)</f>
        <v/>
      </c>
      <c r="Z792" s="4"/>
      <c r="AA792" s="3"/>
      <c r="AB792" s="4" t="str">
        <f t="shared" si="20"/>
        <v/>
      </c>
      <c r="AC792" s="3"/>
      <c r="AD792" s="3"/>
      <c r="AE792" s="3" t="str">
        <f t="shared" si="13"/>
        <v/>
      </c>
      <c r="AF792" s="3"/>
      <c r="AG792" s="3" t="str">
        <f t="shared" si="133"/>
        <v/>
      </c>
      <c r="AH792" s="3"/>
      <c r="AI792" s="7"/>
      <c r="AJ792" s="4"/>
      <c r="AK792" s="7"/>
      <c r="AL792" s="7"/>
      <c r="AM792" s="7"/>
      <c r="AN792" s="7"/>
      <c r="AO792" s="7"/>
      <c r="AP792" s="7"/>
      <c r="AQ792" s="7"/>
      <c r="AR792" s="7"/>
      <c r="AS792" s="7"/>
      <c r="AT792" s="7"/>
      <c r="AU792" s="7"/>
      <c r="AV792" s="7"/>
      <c r="AW792" s="7"/>
      <c r="AX792" s="7"/>
    </row>
    <row r="793" ht="12.75" customHeight="1">
      <c r="A793" s="4"/>
      <c r="B793" s="4"/>
      <c r="C793" s="4"/>
      <c r="D793" s="4"/>
      <c r="E793" s="4" t="str">
        <f>IF(ISBLANK(B793),,IFERROR(VLOOKUP(B793,CurrentRank!$B$2:$C$132,2,FALSE),0))</f>
        <v/>
      </c>
      <c r="F793" s="4"/>
      <c r="G793" s="4" t="str">
        <f>IF(ISBLANK(B793),,IFERROR(VLOOKUP(B793,CurrentRank!$B$2:$D$132,3,FALSE),130))</f>
        <v/>
      </c>
      <c r="H793" s="4"/>
      <c r="I793" s="4" t="str">
        <f>IF(ISBLANK(B793),,IFERROR(VLOOKUP(C793,CurrentRank!$B$2:$C$132,2,FALSE),0))</f>
        <v/>
      </c>
      <c r="J793" s="4"/>
      <c r="K793" s="4" t="str">
        <f>IF(ISBLANK(C793),,IFERROR(VLOOKUP(C793,CurrentRank!$B$2:$D$132,3,FALSE),130))</f>
        <v/>
      </c>
      <c r="L793" s="19" t="str">
        <f t="shared" si="279"/>
        <v/>
      </c>
      <c r="M793" s="19" t="str">
        <f t="shared" si="280"/>
        <v/>
      </c>
      <c r="N793" s="24" t="str">
        <f t="shared" si="276"/>
        <v/>
      </c>
      <c r="O793" s="21" t="str">
        <f t="shared" si="4"/>
        <v/>
      </c>
      <c r="P793" s="21" t="str">
        <f t="shared" si="282"/>
        <v/>
      </c>
      <c r="Q793" s="22" t="str">
        <f t="shared" si="6"/>
        <v/>
      </c>
      <c r="R793" s="25" t="str">
        <f t="shared" si="7"/>
        <v/>
      </c>
      <c r="S793" s="19" t="str">
        <f t="shared" si="8"/>
        <v/>
      </c>
      <c r="T793" s="19" t="str">
        <f t="shared" si="9"/>
        <v/>
      </c>
      <c r="U793" s="3"/>
      <c r="V793" s="4" t="str">
        <f>IF(ISBLANK(C793),,IFERROR(IF(VLOOKUP(B793,Standings!$A:$F, 6, 0)=VLOOKUP(C793,Standings!$A:$F, 6, 0), VLOOKUP(B793,Standings!$A:$F, 6, 0), "Non-con"), "FCS"))</f>
        <v/>
      </c>
      <c r="W793" s="3" t="str">
        <f t="shared" si="10"/>
        <v/>
      </c>
      <c r="X793" s="3" t="str">
        <f t="shared" si="11"/>
        <v/>
      </c>
      <c r="Y793" s="30" t="str">
        <f>IF(D793=0,,IF(ISBLANK(Q793),,VLOOKUP(X793,Week1,2,FALSE)/(VLOOKUP(X793,Week1,2,FALSE)+VLOOKUP(W793,Week1,2,FALSE)))*100)</f>
        <v/>
      </c>
      <c r="Z793" s="4"/>
      <c r="AA793" s="3"/>
      <c r="AB793" s="4" t="str">
        <f t="shared" si="20"/>
        <v/>
      </c>
      <c r="AC793" s="3"/>
      <c r="AD793" s="3"/>
      <c r="AE793" s="3" t="str">
        <f t="shared" si="13"/>
        <v/>
      </c>
      <c r="AF793" s="3"/>
      <c r="AG793" s="3" t="str">
        <f t="shared" si="133"/>
        <v/>
      </c>
      <c r="AH793" s="3"/>
      <c r="AI793" s="7"/>
      <c r="AJ793" s="4"/>
      <c r="AK793" s="7"/>
      <c r="AL793" s="7"/>
      <c r="AM793" s="7"/>
      <c r="AN793" s="7"/>
      <c r="AO793" s="7"/>
      <c r="AP793" s="7"/>
      <c r="AQ793" s="7"/>
      <c r="AR793" s="7"/>
      <c r="AS793" s="7"/>
      <c r="AT793" s="7"/>
      <c r="AU793" s="7"/>
      <c r="AV793" s="7"/>
      <c r="AW793" s="7"/>
      <c r="AX793" s="7"/>
    </row>
    <row r="794" ht="12.75" customHeight="1">
      <c r="A794" s="4"/>
      <c r="B794" s="4"/>
      <c r="C794" s="4"/>
      <c r="D794" s="4"/>
      <c r="E794" s="4" t="str">
        <f>IF(ISBLANK(B794),,IFERROR(VLOOKUP(B794,CurrentRank!$B$2:$C$132,2,FALSE),0))</f>
        <v/>
      </c>
      <c r="F794" s="4"/>
      <c r="G794" s="4" t="str">
        <f>IF(ISBLANK(B794),,IFERROR(VLOOKUP(B794,CurrentRank!$B$2:$D$132,3,FALSE),130))</f>
        <v/>
      </c>
      <c r="H794" s="4"/>
      <c r="I794" s="4" t="str">
        <f>IF(ISBLANK(B794),,IFERROR(VLOOKUP(C794,CurrentRank!$B$2:$C$132,2,FALSE),0))</f>
        <v/>
      </c>
      <c r="J794" s="4"/>
      <c r="K794" s="4" t="str">
        <f>IF(ISBLANK(C794),,IFERROR(VLOOKUP(C794,CurrentRank!$B$2:$D$132,3,FALSE),130))</f>
        <v/>
      </c>
      <c r="L794" s="19" t="str">
        <f t="shared" si="279"/>
        <v/>
      </c>
      <c r="M794" s="19" t="str">
        <f t="shared" si="280"/>
        <v/>
      </c>
      <c r="N794" s="24" t="str">
        <f t="shared" si="276"/>
        <v/>
      </c>
      <c r="O794" s="21" t="str">
        <f t="shared" si="4"/>
        <v/>
      </c>
      <c r="P794" s="21" t="str">
        <f t="shared" si="282"/>
        <v/>
      </c>
      <c r="Q794" s="22" t="str">
        <f t="shared" si="6"/>
        <v/>
      </c>
      <c r="R794" s="25" t="str">
        <f t="shared" si="7"/>
        <v/>
      </c>
      <c r="S794" s="19" t="str">
        <f t="shared" si="8"/>
        <v/>
      </c>
      <c r="T794" s="19" t="str">
        <f t="shared" si="9"/>
        <v/>
      </c>
      <c r="U794" s="3"/>
      <c r="V794" s="4" t="str">
        <f>IF(ISBLANK(C794),,IFERROR(IF(VLOOKUP(B794,Standings!$A:$F, 6, 0)=VLOOKUP(C794,Standings!$A:$F, 6, 0), VLOOKUP(B794,Standings!$A:$F, 6, 0), "Non-con"), "FCS"))</f>
        <v/>
      </c>
      <c r="W794" s="3" t="str">
        <f t="shared" si="10"/>
        <v/>
      </c>
      <c r="X794" s="3" t="str">
        <f t="shared" si="11"/>
        <v/>
      </c>
      <c r="Y794" s="30" t="str">
        <f>IF(D794=0,,IF(ISBLANK(Q794),,VLOOKUP(X794,Week1,2,FALSE)/(VLOOKUP(X794,Week1,2,FALSE)+VLOOKUP(W794,Week1,2,FALSE)))*100)</f>
        <v/>
      </c>
      <c r="Z794" s="4"/>
      <c r="AA794" s="3"/>
      <c r="AB794" s="4" t="str">
        <f t="shared" si="20"/>
        <v/>
      </c>
      <c r="AC794" s="3"/>
      <c r="AD794" s="3"/>
      <c r="AE794" s="3" t="str">
        <f t="shared" si="13"/>
        <v/>
      </c>
      <c r="AF794" s="3"/>
      <c r="AG794" s="3" t="str">
        <f t="shared" si="133"/>
        <v/>
      </c>
      <c r="AH794" s="3"/>
      <c r="AI794" s="7"/>
      <c r="AJ794" s="4"/>
      <c r="AK794" s="7"/>
      <c r="AL794" s="7"/>
      <c r="AM794" s="7"/>
      <c r="AN794" s="7"/>
      <c r="AO794" s="7"/>
      <c r="AP794" s="7"/>
      <c r="AQ794" s="7"/>
      <c r="AR794" s="7"/>
      <c r="AS794" s="7"/>
      <c r="AT794" s="7"/>
      <c r="AU794" s="7"/>
      <c r="AV794" s="7"/>
      <c r="AW794" s="7"/>
      <c r="AX794" s="7"/>
    </row>
    <row r="795" ht="12.75" customHeight="1">
      <c r="A795" s="4"/>
      <c r="B795" s="4"/>
      <c r="C795" s="4"/>
      <c r="D795" s="4"/>
      <c r="E795" s="4" t="str">
        <f>IF(ISBLANK(B795),,IFERROR(VLOOKUP(B795,CurrentRank!$B$2:$C$132,2,FALSE),0))</f>
        <v/>
      </c>
      <c r="F795" s="4"/>
      <c r="G795" s="4" t="str">
        <f>IF(ISBLANK(B795),,IFERROR(VLOOKUP(B795,CurrentRank!$B$2:$D$132,3,FALSE),130))</f>
        <v/>
      </c>
      <c r="H795" s="4"/>
      <c r="I795" s="4" t="str">
        <f>IF(ISBLANK(B795),,IFERROR(VLOOKUP(C795,CurrentRank!$B$2:$C$132,2,FALSE),0))</f>
        <v/>
      </c>
      <c r="J795" s="4"/>
      <c r="K795" s="4" t="str">
        <f>IF(ISBLANK(C795),,IFERROR(VLOOKUP(C795,CurrentRank!$B$2:$D$132,3,FALSE),130))</f>
        <v/>
      </c>
      <c r="L795" s="19" t="str">
        <f t="shared" si="279"/>
        <v/>
      </c>
      <c r="M795" s="19" t="str">
        <f t="shared" si="280"/>
        <v/>
      </c>
      <c r="N795" s="24" t="str">
        <f t="shared" si="276"/>
        <v/>
      </c>
      <c r="O795" s="21" t="str">
        <f t="shared" si="4"/>
        <v/>
      </c>
      <c r="P795" s="21" t="str">
        <f t="shared" si="282"/>
        <v/>
      </c>
      <c r="Q795" s="22" t="str">
        <f t="shared" si="6"/>
        <v/>
      </c>
      <c r="R795" s="25" t="str">
        <f t="shared" si="7"/>
        <v/>
      </c>
      <c r="S795" s="19" t="str">
        <f t="shared" si="8"/>
        <v/>
      </c>
      <c r="T795" s="19" t="str">
        <f t="shared" si="9"/>
        <v/>
      </c>
      <c r="U795" s="3"/>
      <c r="V795" s="4" t="str">
        <f>IF(ISBLANK(C795),,IFERROR(IF(VLOOKUP(B795,Standings!$A:$F, 6, 0)=VLOOKUP(C795,Standings!$A:$F, 6, 0), VLOOKUP(B795,Standings!$A:$F, 6, 0), "Non-con"), "FCS"))</f>
        <v/>
      </c>
      <c r="W795" s="3" t="str">
        <f t="shared" si="10"/>
        <v/>
      </c>
      <c r="X795" s="3" t="str">
        <f t="shared" si="11"/>
        <v/>
      </c>
      <c r="Y795" s="30" t="str">
        <f>IF(D795=0,,IF(ISBLANK(Q795),,VLOOKUP(X795,Week1,2,FALSE)/(VLOOKUP(X795,Week1,2,FALSE)+VLOOKUP(W795,Week1,2,FALSE)))*100)</f>
        <v/>
      </c>
      <c r="Z795" s="4"/>
      <c r="AA795" s="3"/>
      <c r="AB795" s="4" t="str">
        <f t="shared" si="20"/>
        <v/>
      </c>
      <c r="AC795" s="3"/>
      <c r="AD795" s="3"/>
      <c r="AE795" s="3" t="str">
        <f t="shared" si="13"/>
        <v/>
      </c>
      <c r="AF795" s="3"/>
      <c r="AG795" s="3" t="str">
        <f t="shared" si="133"/>
        <v/>
      </c>
      <c r="AH795" s="3"/>
      <c r="AI795" s="7"/>
      <c r="AJ795" s="4"/>
      <c r="AK795" s="7"/>
      <c r="AL795" s="7"/>
      <c r="AM795" s="7"/>
      <c r="AN795" s="7"/>
      <c r="AO795" s="7"/>
      <c r="AP795" s="7"/>
      <c r="AQ795" s="7"/>
      <c r="AR795" s="7"/>
      <c r="AS795" s="7"/>
      <c r="AT795" s="7"/>
      <c r="AU795" s="7"/>
      <c r="AV795" s="7"/>
      <c r="AW795" s="7"/>
      <c r="AX795" s="7"/>
    </row>
    <row r="796" ht="12.75" customHeight="1">
      <c r="A796" s="4"/>
      <c r="B796" s="4"/>
      <c r="C796" s="4"/>
      <c r="D796" s="4"/>
      <c r="E796" s="4" t="str">
        <f>IF(ISBLANK(B796),,IFERROR(VLOOKUP(B796,CurrentRank!$B$2:$C$132,2,FALSE),0))</f>
        <v/>
      </c>
      <c r="F796" s="4"/>
      <c r="G796" s="4" t="str">
        <f>IF(ISBLANK(B796),,IFERROR(VLOOKUP(B796,CurrentRank!$B$2:$D$132,3,FALSE),130))</f>
        <v/>
      </c>
      <c r="H796" s="4"/>
      <c r="I796" s="4" t="str">
        <f>IF(ISBLANK(B796),,IFERROR(VLOOKUP(C796,CurrentRank!$B$2:$C$132,2,FALSE),0))</f>
        <v/>
      </c>
      <c r="J796" s="4"/>
      <c r="K796" s="4" t="str">
        <f>IF(ISBLANK(C796),,IFERROR(VLOOKUP(C796,CurrentRank!$B$2:$D$132,3,FALSE),130))</f>
        <v/>
      </c>
      <c r="L796" s="19" t="str">
        <f t="shared" si="279"/>
        <v/>
      </c>
      <c r="M796" s="19" t="str">
        <f t="shared" si="280"/>
        <v/>
      </c>
      <c r="N796" s="24" t="str">
        <f t="shared" si="276"/>
        <v/>
      </c>
      <c r="O796" s="21" t="str">
        <f t="shared" si="4"/>
        <v/>
      </c>
      <c r="P796" s="21" t="str">
        <f t="shared" si="282"/>
        <v/>
      </c>
      <c r="Q796" s="22" t="str">
        <f t="shared" si="6"/>
        <v/>
      </c>
      <c r="R796" s="25" t="str">
        <f t="shared" si="7"/>
        <v/>
      </c>
      <c r="S796" s="19" t="str">
        <f t="shared" si="8"/>
        <v/>
      </c>
      <c r="T796" s="19" t="str">
        <f t="shared" si="9"/>
        <v/>
      </c>
      <c r="U796" s="3"/>
      <c r="V796" s="4" t="str">
        <f>IF(ISBLANK(C796),,IFERROR(IF(VLOOKUP(B796,Standings!$A:$F, 6, 0)=VLOOKUP(C796,Standings!$A:$F, 6, 0), VLOOKUP(B796,Standings!$A:$F, 6, 0), "Non-con"), "FCS"))</f>
        <v/>
      </c>
      <c r="W796" s="3" t="str">
        <f t="shared" si="10"/>
        <v/>
      </c>
      <c r="X796" s="3" t="str">
        <f t="shared" si="11"/>
        <v/>
      </c>
      <c r="Y796" s="30" t="str">
        <f>IF(D796=0,,IF(ISBLANK(Q796),,VLOOKUP(X796,Week1,2,FALSE)/(VLOOKUP(X796,Week1,2,FALSE)+VLOOKUP(W796,Week1,2,FALSE)))*100)</f>
        <v/>
      </c>
      <c r="Z796" s="4"/>
      <c r="AA796" s="3"/>
      <c r="AB796" s="4" t="str">
        <f t="shared" si="20"/>
        <v/>
      </c>
      <c r="AC796" s="3"/>
      <c r="AD796" s="3"/>
      <c r="AE796" s="3" t="str">
        <f t="shared" si="13"/>
        <v/>
      </c>
      <c r="AF796" s="3"/>
      <c r="AG796" s="3" t="str">
        <f t="shared" si="133"/>
        <v/>
      </c>
      <c r="AH796" s="3"/>
      <c r="AI796" s="7"/>
      <c r="AJ796" s="4"/>
      <c r="AK796" s="7"/>
      <c r="AL796" s="7"/>
      <c r="AM796" s="7"/>
      <c r="AN796" s="7"/>
      <c r="AO796" s="7"/>
      <c r="AP796" s="7"/>
      <c r="AQ796" s="7"/>
      <c r="AR796" s="7"/>
      <c r="AS796" s="7"/>
      <c r="AT796" s="7"/>
      <c r="AU796" s="7"/>
      <c r="AV796" s="7"/>
      <c r="AW796" s="7"/>
      <c r="AX796" s="7"/>
    </row>
    <row r="797" ht="12.75" customHeight="1">
      <c r="A797" s="4"/>
      <c r="B797" s="4"/>
      <c r="C797" s="4"/>
      <c r="D797" s="4"/>
      <c r="E797" s="4" t="str">
        <f>IF(ISBLANK(B797),,IFERROR(VLOOKUP(B797,CurrentRank!$B$2:$C$132,2,FALSE),0))</f>
        <v/>
      </c>
      <c r="F797" s="4"/>
      <c r="G797" s="4" t="str">
        <f>IF(ISBLANK(B797),,IFERROR(VLOOKUP(B797,CurrentRank!$B$2:$D$132,3,FALSE),130))</f>
        <v/>
      </c>
      <c r="H797" s="4"/>
      <c r="I797" s="4" t="str">
        <f>IF(ISBLANK(B797),,IFERROR(VLOOKUP(C797,CurrentRank!$B$2:$C$132,2,FALSE),0))</f>
        <v/>
      </c>
      <c r="J797" s="4"/>
      <c r="K797" s="4" t="str">
        <f>IF(ISBLANK(C797),,IFERROR(VLOOKUP(C797,CurrentRank!$B$2:$D$132,3,FALSE),130))</f>
        <v/>
      </c>
      <c r="L797" s="19" t="str">
        <f t="shared" si="279"/>
        <v/>
      </c>
      <c r="M797" s="19" t="str">
        <f t="shared" si="280"/>
        <v/>
      </c>
      <c r="N797" s="24" t="str">
        <f t="shared" si="276"/>
        <v/>
      </c>
      <c r="O797" s="21" t="str">
        <f t="shared" si="4"/>
        <v/>
      </c>
      <c r="P797" s="21" t="str">
        <f t="shared" si="282"/>
        <v/>
      </c>
      <c r="Q797" s="22" t="str">
        <f t="shared" si="6"/>
        <v/>
      </c>
      <c r="R797" s="25" t="str">
        <f t="shared" si="7"/>
        <v/>
      </c>
      <c r="S797" s="19" t="str">
        <f t="shared" si="8"/>
        <v/>
      </c>
      <c r="T797" s="19" t="str">
        <f t="shared" si="9"/>
        <v/>
      </c>
      <c r="U797" s="3"/>
      <c r="V797" s="4" t="str">
        <f>IF(ISBLANK(C797),,IFERROR(IF(VLOOKUP(B797,Standings!$A:$F, 6, 0)=VLOOKUP(C797,Standings!$A:$F, 6, 0), VLOOKUP(B797,Standings!$A:$F, 6, 0), "Non-con"), "FCS"))</f>
        <v/>
      </c>
      <c r="W797" s="3" t="str">
        <f t="shared" si="10"/>
        <v/>
      </c>
      <c r="X797" s="3" t="str">
        <f t="shared" si="11"/>
        <v/>
      </c>
      <c r="Y797" s="30" t="str">
        <f>IF(D797=0,,IF(ISBLANK(Q797),,VLOOKUP(X797,Week1,2,FALSE)/(VLOOKUP(X797,Week1,2,FALSE)+VLOOKUP(W797,Week1,2,FALSE)))*100)</f>
        <v/>
      </c>
      <c r="Z797" s="4"/>
      <c r="AA797" s="3"/>
      <c r="AB797" s="4" t="str">
        <f t="shared" si="20"/>
        <v/>
      </c>
      <c r="AC797" s="3"/>
      <c r="AD797" s="3"/>
      <c r="AE797" s="3" t="str">
        <f t="shared" si="13"/>
        <v/>
      </c>
      <c r="AF797" s="3"/>
      <c r="AG797" s="3" t="str">
        <f t="shared" si="133"/>
        <v/>
      </c>
      <c r="AH797" s="3"/>
      <c r="AI797" s="7"/>
      <c r="AJ797" s="4"/>
      <c r="AK797" s="7"/>
      <c r="AL797" s="7"/>
      <c r="AM797" s="7"/>
      <c r="AN797" s="7"/>
      <c r="AO797" s="7"/>
      <c r="AP797" s="7"/>
      <c r="AQ797" s="7"/>
      <c r="AR797" s="7"/>
      <c r="AS797" s="7"/>
      <c r="AT797" s="7"/>
      <c r="AU797" s="7"/>
      <c r="AV797" s="7"/>
      <c r="AW797" s="7"/>
      <c r="AX797" s="7"/>
    </row>
    <row r="798" ht="12.75" customHeight="1">
      <c r="A798" s="4"/>
      <c r="B798" s="4"/>
      <c r="C798" s="4"/>
      <c r="D798" s="4"/>
      <c r="E798" s="4" t="str">
        <f>IF(ISBLANK(B798),,IFERROR(VLOOKUP(B798,CurrentRank!$B$2:$C$132,2,FALSE),0))</f>
        <v/>
      </c>
      <c r="F798" s="4"/>
      <c r="G798" s="4" t="str">
        <f>IF(ISBLANK(B798),,IFERROR(VLOOKUP(B798,CurrentRank!$B$2:$D$132,3,FALSE),130))</f>
        <v/>
      </c>
      <c r="H798" s="4"/>
      <c r="I798" s="4" t="str">
        <f>IF(ISBLANK(B798),,IFERROR(VLOOKUP(C798,CurrentRank!$B$2:$C$132,2,FALSE),0))</f>
        <v/>
      </c>
      <c r="J798" s="4"/>
      <c r="K798" s="4" t="str">
        <f>IF(ISBLANK(C798),,IFERROR(VLOOKUP(C798,CurrentRank!$B$2:$D$132,3,FALSE),130))</f>
        <v/>
      </c>
      <c r="L798" s="19" t="str">
        <f t="shared" si="279"/>
        <v/>
      </c>
      <c r="M798" s="19" t="str">
        <f t="shared" si="280"/>
        <v/>
      </c>
      <c r="N798" s="24" t="str">
        <f t="shared" si="276"/>
        <v/>
      </c>
      <c r="O798" s="21" t="str">
        <f t="shared" si="4"/>
        <v/>
      </c>
      <c r="P798" s="21" t="str">
        <f t="shared" si="282"/>
        <v/>
      </c>
      <c r="Q798" s="22" t="str">
        <f t="shared" si="6"/>
        <v/>
      </c>
      <c r="R798" s="25" t="str">
        <f t="shared" si="7"/>
        <v/>
      </c>
      <c r="S798" s="19" t="str">
        <f t="shared" si="8"/>
        <v/>
      </c>
      <c r="T798" s="19" t="str">
        <f t="shared" si="9"/>
        <v/>
      </c>
      <c r="U798" s="3"/>
      <c r="V798" s="4" t="str">
        <f>IF(ISBLANK(C798),,IFERROR(IF(VLOOKUP(B798,Standings!$A:$F, 6, 0)=VLOOKUP(C798,Standings!$A:$F, 6, 0), VLOOKUP(B798,Standings!$A:$F, 6, 0), "Non-con"), "FCS"))</f>
        <v/>
      </c>
      <c r="W798" s="3" t="str">
        <f t="shared" si="10"/>
        <v/>
      </c>
      <c r="X798" s="3" t="str">
        <f t="shared" si="11"/>
        <v/>
      </c>
      <c r="Y798" s="30" t="str">
        <f>IF(D798=0,,IF(ISBLANK(Q798),,VLOOKUP(X798,Week1,2,FALSE)/(VLOOKUP(X798,Week1,2,FALSE)+VLOOKUP(W798,Week1,2,FALSE)))*100)</f>
        <v/>
      </c>
      <c r="Z798" s="4"/>
      <c r="AA798" s="3"/>
      <c r="AB798" s="4" t="str">
        <f t="shared" si="20"/>
        <v/>
      </c>
      <c r="AC798" s="3"/>
      <c r="AD798" s="3"/>
      <c r="AE798" s="3" t="str">
        <f t="shared" si="13"/>
        <v/>
      </c>
      <c r="AF798" s="3"/>
      <c r="AG798" s="3" t="str">
        <f t="shared" si="133"/>
        <v/>
      </c>
      <c r="AH798" s="3"/>
      <c r="AI798" s="7"/>
      <c r="AJ798" s="4"/>
      <c r="AK798" s="7"/>
      <c r="AL798" s="7"/>
      <c r="AM798" s="7"/>
      <c r="AN798" s="7"/>
      <c r="AO798" s="7"/>
      <c r="AP798" s="7"/>
      <c r="AQ798" s="7"/>
      <c r="AR798" s="7"/>
      <c r="AS798" s="7"/>
      <c r="AT798" s="7"/>
      <c r="AU798" s="7"/>
      <c r="AV798" s="7"/>
      <c r="AW798" s="7"/>
      <c r="AX798" s="7"/>
    </row>
    <row r="799" ht="12.75" customHeight="1">
      <c r="A799" s="4"/>
      <c r="B799" s="4"/>
      <c r="C799" s="4"/>
      <c r="D799" s="4"/>
      <c r="E799" s="4" t="str">
        <f>IF(ISBLANK(B799),,IFERROR(VLOOKUP(B799,CurrentRank!$B$2:$C$132,2,FALSE),0))</f>
        <v/>
      </c>
      <c r="F799" s="4"/>
      <c r="G799" s="4" t="str">
        <f>IF(ISBLANK(B799),,IFERROR(VLOOKUP(B799,CurrentRank!$B$2:$D$132,3,FALSE),130))</f>
        <v/>
      </c>
      <c r="H799" s="4"/>
      <c r="I799" s="4" t="str">
        <f>IF(ISBLANK(B799),,IFERROR(VLOOKUP(C799,CurrentRank!$B$2:$C$132,2,FALSE),0))</f>
        <v/>
      </c>
      <c r="J799" s="4"/>
      <c r="K799" s="4" t="str">
        <f>IF(ISBLANK(C799),,IFERROR(VLOOKUP(C799,CurrentRank!$B$2:$D$132,3,FALSE),130))</f>
        <v/>
      </c>
      <c r="L799" s="19" t="str">
        <f t="shared" si="279"/>
        <v/>
      </c>
      <c r="M799" s="19" t="str">
        <f t="shared" si="280"/>
        <v/>
      </c>
      <c r="N799" s="24" t="str">
        <f t="shared" si="276"/>
        <v/>
      </c>
      <c r="O799" s="21" t="str">
        <f t="shared" si="4"/>
        <v/>
      </c>
      <c r="P799" s="21" t="str">
        <f t="shared" si="282"/>
        <v/>
      </c>
      <c r="Q799" s="22" t="str">
        <f t="shared" si="6"/>
        <v/>
      </c>
      <c r="R799" s="25" t="str">
        <f t="shared" si="7"/>
        <v/>
      </c>
      <c r="S799" s="19" t="str">
        <f t="shared" si="8"/>
        <v/>
      </c>
      <c r="T799" s="19" t="str">
        <f t="shared" si="9"/>
        <v/>
      </c>
      <c r="U799" s="3"/>
      <c r="V799" s="4" t="str">
        <f>IF(ISBLANK(C799),,IFERROR(IF(VLOOKUP(B799,Standings!$A:$F, 6, 0)=VLOOKUP(C799,Standings!$A:$F, 6, 0), VLOOKUP(B799,Standings!$A:$F, 6, 0), "Non-con"), "FCS"))</f>
        <v/>
      </c>
      <c r="W799" s="3" t="str">
        <f t="shared" si="10"/>
        <v/>
      </c>
      <c r="X799" s="3" t="str">
        <f t="shared" si="11"/>
        <v/>
      </c>
      <c r="Y799" s="30" t="str">
        <f>IF(D799=0,,IF(ISBLANK(Q799),,VLOOKUP(X799,Week1,2,FALSE)/(VLOOKUP(X799,Week1,2,FALSE)+VLOOKUP(W799,Week1,2,FALSE)))*100)</f>
        <v/>
      </c>
      <c r="Z799" s="4"/>
      <c r="AA799" s="3"/>
      <c r="AB799" s="4" t="str">
        <f t="shared" si="20"/>
        <v/>
      </c>
      <c r="AC799" s="3"/>
      <c r="AD799" s="3"/>
      <c r="AE799" s="3" t="str">
        <f t="shared" si="13"/>
        <v/>
      </c>
      <c r="AF799" s="3"/>
      <c r="AG799" s="3" t="str">
        <f t="shared" si="133"/>
        <v/>
      </c>
      <c r="AH799" s="3"/>
      <c r="AI799" s="7"/>
      <c r="AJ799" s="4"/>
      <c r="AK799" s="7"/>
      <c r="AL799" s="7"/>
      <c r="AM799" s="7"/>
      <c r="AN799" s="7"/>
      <c r="AO799" s="7"/>
      <c r="AP799" s="7"/>
      <c r="AQ799" s="7"/>
      <c r="AR799" s="7"/>
      <c r="AS799" s="7"/>
      <c r="AT799" s="7"/>
      <c r="AU799" s="7"/>
      <c r="AV799" s="7"/>
      <c r="AW799" s="7"/>
      <c r="AX799" s="7"/>
    </row>
    <row r="800" ht="12.75" customHeight="1">
      <c r="A800" s="4"/>
      <c r="B800" s="4"/>
      <c r="C800" s="4"/>
      <c r="D800" s="4"/>
      <c r="E800" s="4" t="str">
        <f>IF(ISBLANK(B800),,IFERROR(VLOOKUP(B800,CurrentRank!$B$2:$C$132,2,FALSE),0))</f>
        <v/>
      </c>
      <c r="F800" s="4"/>
      <c r="G800" s="4" t="str">
        <f>IF(ISBLANK(B800),,IFERROR(VLOOKUP(B800,CurrentRank!$B$2:$D$132,3,FALSE),130))</f>
        <v/>
      </c>
      <c r="H800" s="4"/>
      <c r="I800" s="4" t="str">
        <f>IF(ISBLANK(B800),,IFERROR(VLOOKUP(C800,CurrentRank!$B$2:$C$132,2,FALSE),0))</f>
        <v/>
      </c>
      <c r="J800" s="4"/>
      <c r="K800" s="4" t="str">
        <f>IF(ISBLANK(C800),,IFERROR(VLOOKUP(C800,CurrentRank!$B$2:$D$132,3,FALSE),130))</f>
        <v/>
      </c>
      <c r="L800" s="19" t="str">
        <f t="shared" si="279"/>
        <v/>
      </c>
      <c r="M800" s="19" t="str">
        <f t="shared" si="280"/>
        <v/>
      </c>
      <c r="N800" s="24" t="str">
        <f t="shared" si="276"/>
        <v/>
      </c>
      <c r="O800" s="21" t="str">
        <f t="shared" si="4"/>
        <v/>
      </c>
      <c r="P800" s="21" t="str">
        <f t="shared" si="282"/>
        <v/>
      </c>
      <c r="Q800" s="22" t="str">
        <f t="shared" si="6"/>
        <v/>
      </c>
      <c r="R800" s="25" t="str">
        <f t="shared" si="7"/>
        <v/>
      </c>
      <c r="S800" s="19" t="str">
        <f t="shared" si="8"/>
        <v/>
      </c>
      <c r="T800" s="19" t="str">
        <f t="shared" si="9"/>
        <v/>
      </c>
      <c r="U800" s="3"/>
      <c r="V800" s="4" t="str">
        <f>IF(ISBLANK(C800),,IFERROR(IF(VLOOKUP(B800,Standings!$A:$F, 6, 0)=VLOOKUP(C800,Standings!$A:$F, 6, 0), VLOOKUP(B800,Standings!$A:$F, 6, 0), "Non-con"), "FCS"))</f>
        <v/>
      </c>
      <c r="W800" s="3" t="str">
        <f t="shared" si="10"/>
        <v/>
      </c>
      <c r="X800" s="3" t="str">
        <f t="shared" si="11"/>
        <v/>
      </c>
      <c r="Y800" s="30" t="str">
        <f>IF(D800=0,,IF(ISBLANK(Q800),,VLOOKUP(X800,Week1,2,FALSE)/(VLOOKUP(X800,Week1,2,FALSE)+VLOOKUP(W800,Week1,2,FALSE)))*100)</f>
        <v/>
      </c>
      <c r="Z800" s="4"/>
      <c r="AA800" s="3"/>
      <c r="AB800" s="4" t="str">
        <f t="shared" si="20"/>
        <v/>
      </c>
      <c r="AC800" s="3"/>
      <c r="AD800" s="3"/>
      <c r="AE800" s="3" t="str">
        <f t="shared" si="13"/>
        <v/>
      </c>
      <c r="AF800" s="3"/>
      <c r="AG800" s="3" t="str">
        <f t="shared" si="133"/>
        <v/>
      </c>
      <c r="AH800" s="3"/>
      <c r="AI800" s="7"/>
      <c r="AJ800" s="4"/>
      <c r="AK800" s="7"/>
      <c r="AL800" s="7"/>
      <c r="AM800" s="7"/>
      <c r="AN800" s="7"/>
      <c r="AO800" s="7"/>
      <c r="AP800" s="7"/>
      <c r="AQ800" s="7"/>
      <c r="AR800" s="7"/>
      <c r="AS800" s="7"/>
      <c r="AT800" s="7"/>
      <c r="AU800" s="7"/>
      <c r="AV800" s="7"/>
      <c r="AW800" s="7"/>
      <c r="AX800" s="7"/>
    </row>
    <row r="801" ht="12.75" customHeight="1">
      <c r="A801" s="4"/>
      <c r="B801" s="4"/>
      <c r="C801" s="3"/>
      <c r="D801" s="4"/>
      <c r="E801" s="4" t="str">
        <f>IF(ISBLANK(B801),,IFERROR(VLOOKUP(B801,CurrentRank!$B$2:$C$132,2,FALSE),0))</f>
        <v/>
      </c>
      <c r="F801" s="4"/>
      <c r="G801" s="4" t="str">
        <f>IF(ISBLANK(B801),,IFERROR(VLOOKUP(B801,CurrentRank!$B$2:$D$132,3,FALSE),130))</f>
        <v/>
      </c>
      <c r="H801" s="4"/>
      <c r="I801" s="4" t="str">
        <f>IF(ISBLANK(B801),,IFERROR(VLOOKUP(C801,CurrentRank!$B$2:$C$132,2,FALSE),0))</f>
        <v/>
      </c>
      <c r="J801" s="4"/>
      <c r="K801" s="4" t="str">
        <f>IF(ISBLANK(C801),,IFERROR(VLOOKUP(C801,CurrentRank!$B$2:$D$132,3,FALSE),130))</f>
        <v/>
      </c>
      <c r="L801" s="19" t="str">
        <f t="shared" si="279"/>
        <v/>
      </c>
      <c r="M801" s="19" t="str">
        <f t="shared" si="280"/>
        <v/>
      </c>
      <c r="N801" s="24" t="str">
        <f t="shared" si="276"/>
        <v/>
      </c>
      <c r="O801" s="21" t="str">
        <f t="shared" si="4"/>
        <v/>
      </c>
      <c r="P801" s="21" t="str">
        <f t="shared" si="282"/>
        <v/>
      </c>
      <c r="Q801" s="22" t="str">
        <f t="shared" si="6"/>
        <v/>
      </c>
      <c r="R801" s="25" t="str">
        <f t="shared" si="7"/>
        <v/>
      </c>
      <c r="S801" s="19" t="str">
        <f t="shared" si="8"/>
        <v/>
      </c>
      <c r="T801" s="19" t="str">
        <f t="shared" si="9"/>
        <v/>
      </c>
      <c r="U801" s="3"/>
      <c r="V801" s="4" t="str">
        <f>IF(ISBLANK(C801),,IFERROR(IF(VLOOKUP(B801,Standings!$A:$F, 6, 0)=VLOOKUP(C801,Standings!$A:$F, 6, 0), VLOOKUP(B801,Standings!$A:$F, 6, 0), "Non-con"), "FCS"))</f>
        <v/>
      </c>
      <c r="W801" s="3" t="str">
        <f t="shared" si="10"/>
        <v/>
      </c>
      <c r="X801" s="3" t="str">
        <f t="shared" si="11"/>
        <v/>
      </c>
      <c r="Y801" s="30" t="str">
        <f>IF(D801=0,,IF(ISBLANK(Q801),,VLOOKUP(X801,Week1,2,FALSE)/(VLOOKUP(X801,Week1,2,FALSE)+VLOOKUP(W801,Week1,2,FALSE)))*100)</f>
        <v/>
      </c>
      <c r="Z801" s="4"/>
      <c r="AA801" s="3"/>
      <c r="AB801" s="4" t="str">
        <f t="shared" si="20"/>
        <v/>
      </c>
      <c r="AC801" s="3"/>
      <c r="AD801" s="3"/>
      <c r="AE801" s="3" t="str">
        <f t="shared" si="13"/>
        <v/>
      </c>
      <c r="AF801" s="3"/>
      <c r="AG801" s="3" t="str">
        <f t="shared" si="133"/>
        <v/>
      </c>
      <c r="AH801" s="3"/>
      <c r="AI801" s="7"/>
      <c r="AJ801" s="4"/>
      <c r="AK801" s="7"/>
      <c r="AL801" s="7"/>
      <c r="AM801" s="7"/>
      <c r="AN801" s="7"/>
      <c r="AO801" s="7"/>
      <c r="AP801" s="7"/>
      <c r="AQ801" s="7"/>
      <c r="AR801" s="7"/>
      <c r="AS801" s="7"/>
      <c r="AT801" s="7"/>
      <c r="AU801" s="7"/>
      <c r="AV801" s="7"/>
      <c r="AW801" s="7"/>
      <c r="AX801" s="7"/>
    </row>
    <row r="802" ht="12.75" customHeight="1">
      <c r="A802" s="4"/>
      <c r="B802" s="4"/>
      <c r="C802" s="4"/>
      <c r="D802" s="4"/>
      <c r="E802" s="4" t="str">
        <f>IF(ISBLANK(B802),,IFERROR(VLOOKUP(B802,CurrentRank!$B$2:$C$132,2,FALSE),0))</f>
        <v/>
      </c>
      <c r="F802" s="4"/>
      <c r="G802" s="4" t="str">
        <f>IF(ISBLANK(B802),,IFERROR(VLOOKUP(B802,CurrentRank!$B$2:$D$132,3,FALSE),130))</f>
        <v/>
      </c>
      <c r="H802" s="4"/>
      <c r="I802" s="4" t="str">
        <f>IF(ISBLANK(B802),,IFERROR(VLOOKUP(C802,CurrentRank!$B$2:$C$132,2,FALSE),0))</f>
        <v/>
      </c>
      <c r="J802" s="4"/>
      <c r="K802" s="4" t="str">
        <f>IF(ISBLANK(C802),,IFERROR(VLOOKUP(C802,CurrentRank!$B$2:$D$132,3,FALSE),130))</f>
        <v/>
      </c>
      <c r="L802" s="19" t="str">
        <f t="shared" si="279"/>
        <v/>
      </c>
      <c r="M802" s="19" t="str">
        <f t="shared" si="280"/>
        <v/>
      </c>
      <c r="N802" s="24" t="str">
        <f t="shared" si="276"/>
        <v/>
      </c>
      <c r="O802" s="21" t="str">
        <f t="shared" si="4"/>
        <v/>
      </c>
      <c r="P802" s="21" t="str">
        <f t="shared" si="282"/>
        <v/>
      </c>
      <c r="Q802" s="22" t="str">
        <f t="shared" si="6"/>
        <v/>
      </c>
      <c r="R802" s="25" t="str">
        <f t="shared" si="7"/>
        <v/>
      </c>
      <c r="S802" s="19" t="str">
        <f t="shared" si="8"/>
        <v/>
      </c>
      <c r="T802" s="19" t="str">
        <f t="shared" si="9"/>
        <v/>
      </c>
      <c r="U802" s="3"/>
      <c r="V802" s="4" t="str">
        <f>IF(ISBLANK(C802),,IFERROR(IF(VLOOKUP(B802,Standings!$A:$F, 6, 0)=VLOOKUP(C802,Standings!$A:$F, 6, 0), VLOOKUP(B802,Standings!$A:$F, 6, 0), "Non-con"), "FCS"))</f>
        <v/>
      </c>
      <c r="W802" s="3" t="str">
        <f t="shared" si="10"/>
        <v/>
      </c>
      <c r="X802" s="3" t="str">
        <f t="shared" si="11"/>
        <v/>
      </c>
      <c r="Y802" s="30" t="str">
        <f>IF(D802=0,,IF(ISBLANK(Q802),,VLOOKUP(X802,Week1,2,FALSE)/(VLOOKUP(X802,Week1,2,FALSE)+VLOOKUP(W802,Week1,2,FALSE)))*100)</f>
        <v/>
      </c>
      <c r="Z802" s="4"/>
      <c r="AA802" s="3"/>
      <c r="AB802" s="4" t="str">
        <f t="shared" si="20"/>
        <v/>
      </c>
      <c r="AC802" s="3"/>
      <c r="AD802" s="3"/>
      <c r="AE802" s="3" t="str">
        <f t="shared" si="13"/>
        <v/>
      </c>
      <c r="AF802" s="3"/>
      <c r="AG802" s="3" t="str">
        <f t="shared" si="133"/>
        <v/>
      </c>
      <c r="AH802" s="3"/>
      <c r="AI802" s="7"/>
      <c r="AJ802" s="4"/>
      <c r="AK802" s="7"/>
      <c r="AL802" s="7"/>
      <c r="AM802" s="7"/>
      <c r="AN802" s="7"/>
      <c r="AO802" s="7"/>
      <c r="AP802" s="7"/>
      <c r="AQ802" s="7"/>
      <c r="AR802" s="7"/>
      <c r="AS802" s="7"/>
      <c r="AT802" s="7"/>
      <c r="AU802" s="7"/>
      <c r="AV802" s="7"/>
      <c r="AW802" s="7"/>
      <c r="AX802" s="7"/>
    </row>
    <row r="803" ht="12.75" customHeight="1">
      <c r="A803" s="4"/>
      <c r="B803" s="4"/>
      <c r="C803" s="4"/>
      <c r="D803" s="4"/>
      <c r="E803" s="4" t="str">
        <f>IF(ISBLANK(B803),,IFERROR(VLOOKUP(B803,CurrentRank!$B$2:$C$132,2,FALSE),0))</f>
        <v/>
      </c>
      <c r="F803" s="4"/>
      <c r="G803" s="4" t="str">
        <f>IF(ISBLANK(B803),,IFERROR(VLOOKUP(B803,CurrentRank!$B$2:$D$132,3,FALSE),130))</f>
        <v/>
      </c>
      <c r="H803" s="4"/>
      <c r="I803" s="4" t="str">
        <f>IF(ISBLANK(B803),,IFERROR(VLOOKUP(C803,CurrentRank!$B$2:$C$132,2,FALSE),0))</f>
        <v/>
      </c>
      <c r="J803" s="4"/>
      <c r="K803" s="4" t="str">
        <f>IF(ISBLANK(C803),,IFERROR(VLOOKUP(C803,CurrentRank!$B$2:$D$132,3,FALSE),130))</f>
        <v/>
      </c>
      <c r="L803" s="19" t="str">
        <f t="shared" si="279"/>
        <v/>
      </c>
      <c r="M803" s="19" t="str">
        <f t="shared" si="280"/>
        <v/>
      </c>
      <c r="N803" s="24" t="str">
        <f t="shared" si="276"/>
        <v/>
      </c>
      <c r="O803" s="21" t="str">
        <f t="shared" si="4"/>
        <v/>
      </c>
      <c r="P803" s="21" t="str">
        <f t="shared" si="282"/>
        <v/>
      </c>
      <c r="Q803" s="22" t="str">
        <f t="shared" si="6"/>
        <v/>
      </c>
      <c r="R803" s="25" t="str">
        <f t="shared" si="7"/>
        <v/>
      </c>
      <c r="S803" s="19" t="str">
        <f t="shared" si="8"/>
        <v/>
      </c>
      <c r="T803" s="19" t="str">
        <f t="shared" si="9"/>
        <v/>
      </c>
      <c r="U803" s="3"/>
      <c r="V803" s="4" t="str">
        <f>IF(ISBLANK(C803),,IFERROR(IF(VLOOKUP(B803,Standings!$A:$F, 6, 0)=VLOOKUP(C803,Standings!$A:$F, 6, 0), VLOOKUP(B803,Standings!$A:$F, 6, 0), "Non-con"), "FCS"))</f>
        <v/>
      </c>
      <c r="W803" s="3" t="str">
        <f t="shared" si="10"/>
        <v/>
      </c>
      <c r="X803" s="3" t="str">
        <f t="shared" si="11"/>
        <v/>
      </c>
      <c r="Y803" s="30" t="str">
        <f>IF(D803=0,,IF(ISBLANK(Q803),,VLOOKUP(X803,Week1,2,FALSE)/(VLOOKUP(X803,Week1,2,FALSE)+VLOOKUP(W803,Week1,2,FALSE)))*100)</f>
        <v/>
      </c>
      <c r="Z803" s="4"/>
      <c r="AA803" s="3"/>
      <c r="AB803" s="4" t="str">
        <f t="shared" si="20"/>
        <v/>
      </c>
      <c r="AC803" s="3"/>
      <c r="AD803" s="3"/>
      <c r="AE803" s="3" t="str">
        <f t="shared" si="13"/>
        <v/>
      </c>
      <c r="AF803" s="3"/>
      <c r="AG803" s="3" t="str">
        <f t="shared" si="133"/>
        <v/>
      </c>
      <c r="AH803" s="3"/>
      <c r="AI803" s="7"/>
      <c r="AJ803" s="4"/>
      <c r="AK803" s="7"/>
      <c r="AL803" s="7"/>
      <c r="AM803" s="7"/>
      <c r="AN803" s="7"/>
      <c r="AO803" s="7"/>
      <c r="AP803" s="7"/>
      <c r="AQ803" s="7"/>
      <c r="AR803" s="7"/>
      <c r="AS803" s="7"/>
      <c r="AT803" s="7"/>
      <c r="AU803" s="7"/>
      <c r="AV803" s="7"/>
      <c r="AW803" s="7"/>
      <c r="AX803" s="7"/>
    </row>
    <row r="804" ht="12.75" customHeight="1">
      <c r="A804" s="4"/>
      <c r="B804" s="4"/>
      <c r="C804" s="4"/>
      <c r="D804" s="4"/>
      <c r="E804" s="4" t="str">
        <f>IF(ISBLANK(B804),,IFERROR(VLOOKUP(B804,CurrentRank!$B$2:$C$132,2,FALSE),0))</f>
        <v/>
      </c>
      <c r="F804" s="4"/>
      <c r="G804" s="4" t="str">
        <f>IF(ISBLANK(B804),,IFERROR(VLOOKUP(B804,CurrentRank!$B$2:$D$132,3,FALSE),130))</f>
        <v/>
      </c>
      <c r="H804" s="4"/>
      <c r="I804" s="4" t="str">
        <f>IF(ISBLANK(B804),,IFERROR(VLOOKUP(C804,CurrentRank!$B$2:$C$132,2,FALSE),0))</f>
        <v/>
      </c>
      <c r="J804" s="4"/>
      <c r="K804" s="4" t="str">
        <f>IF(ISBLANK(C804),,IFERROR(VLOOKUP(C804,CurrentRank!$B$2:$D$132,3,FALSE),130))</f>
        <v/>
      </c>
      <c r="L804" s="19" t="str">
        <f t="shared" si="279"/>
        <v/>
      </c>
      <c r="M804" s="19" t="str">
        <f t="shared" si="280"/>
        <v/>
      </c>
      <c r="N804" s="24" t="str">
        <f t="shared" si="276"/>
        <v/>
      </c>
      <c r="O804" s="21" t="str">
        <f t="shared" si="4"/>
        <v/>
      </c>
      <c r="P804" s="21" t="str">
        <f t="shared" si="282"/>
        <v/>
      </c>
      <c r="Q804" s="22" t="str">
        <f t="shared" si="6"/>
        <v/>
      </c>
      <c r="R804" s="25" t="str">
        <f t="shared" si="7"/>
        <v/>
      </c>
      <c r="S804" s="19" t="str">
        <f t="shared" si="8"/>
        <v/>
      </c>
      <c r="T804" s="19" t="str">
        <f t="shared" si="9"/>
        <v/>
      </c>
      <c r="U804" s="3"/>
      <c r="V804" s="4" t="str">
        <f>IF(ISBLANK(C804),,IFERROR(IF(VLOOKUP(B804,Standings!$A:$F, 6, 0)=VLOOKUP(C804,Standings!$A:$F, 6, 0), VLOOKUP(B804,Standings!$A:$F, 6, 0), "Non-con"), "FCS"))</f>
        <v/>
      </c>
      <c r="W804" s="3" t="str">
        <f t="shared" si="10"/>
        <v/>
      </c>
      <c r="X804" s="3" t="str">
        <f t="shared" si="11"/>
        <v/>
      </c>
      <c r="Y804" s="30" t="str">
        <f>IF(D804=0,,IF(ISBLANK(Q804),,VLOOKUP(X804,Week1,2,FALSE)/(VLOOKUP(X804,Week1,2,FALSE)+VLOOKUP(W804,Week1,2,FALSE)))*100)</f>
        <v/>
      </c>
      <c r="Z804" s="4"/>
      <c r="AA804" s="3"/>
      <c r="AB804" s="4" t="str">
        <f t="shared" si="20"/>
        <v/>
      </c>
      <c r="AC804" s="3"/>
      <c r="AD804" s="3"/>
      <c r="AE804" s="3" t="str">
        <f t="shared" si="13"/>
        <v/>
      </c>
      <c r="AF804" s="3"/>
      <c r="AG804" s="3" t="str">
        <f t="shared" si="133"/>
        <v/>
      </c>
      <c r="AH804" s="3"/>
      <c r="AI804" s="7"/>
      <c r="AJ804" s="4"/>
      <c r="AK804" s="7"/>
      <c r="AL804" s="7"/>
      <c r="AM804" s="7"/>
      <c r="AN804" s="7"/>
      <c r="AO804" s="7"/>
      <c r="AP804" s="7"/>
      <c r="AQ804" s="7"/>
      <c r="AR804" s="7"/>
      <c r="AS804" s="7"/>
      <c r="AT804" s="7"/>
      <c r="AU804" s="7"/>
      <c r="AV804" s="7"/>
      <c r="AW804" s="7"/>
      <c r="AX804" s="7"/>
    </row>
    <row r="805" ht="12.75" customHeight="1">
      <c r="A805" s="4"/>
      <c r="B805" s="4"/>
      <c r="C805" s="4"/>
      <c r="D805" s="4"/>
      <c r="E805" s="4" t="str">
        <f>IF(ISBLANK(B805),,IFERROR(VLOOKUP(B805,CurrentRank!$B$2:$C$132,2,FALSE),0))</f>
        <v/>
      </c>
      <c r="F805" s="4"/>
      <c r="G805" s="4" t="str">
        <f>IF(ISBLANK(B805),,IFERROR(VLOOKUP(B805,CurrentRank!$B$2:$D$132,3,FALSE),130))</f>
        <v/>
      </c>
      <c r="H805" s="4"/>
      <c r="I805" s="4" t="str">
        <f>IF(ISBLANK(B805),,IFERROR(VLOOKUP(C805,CurrentRank!$B$2:$C$132,2,FALSE),0))</f>
        <v/>
      </c>
      <c r="J805" s="4"/>
      <c r="K805" s="4" t="str">
        <f>IF(ISBLANK(C805),,IFERROR(VLOOKUP(C805,CurrentRank!$B$2:$D$132,3,FALSE),130))</f>
        <v/>
      </c>
      <c r="L805" s="19" t="str">
        <f t="shared" si="279"/>
        <v/>
      </c>
      <c r="M805" s="19" t="str">
        <f t="shared" si="280"/>
        <v/>
      </c>
      <c r="N805" s="24" t="str">
        <f t="shared" si="276"/>
        <v/>
      </c>
      <c r="O805" s="21" t="str">
        <f t="shared" si="4"/>
        <v/>
      </c>
      <c r="P805" s="21" t="str">
        <f t="shared" si="282"/>
        <v/>
      </c>
      <c r="Q805" s="22" t="str">
        <f t="shared" si="6"/>
        <v/>
      </c>
      <c r="R805" s="25" t="str">
        <f t="shared" si="7"/>
        <v/>
      </c>
      <c r="S805" s="19" t="str">
        <f t="shared" si="8"/>
        <v/>
      </c>
      <c r="T805" s="19" t="str">
        <f t="shared" si="9"/>
        <v/>
      </c>
      <c r="U805" s="3"/>
      <c r="V805" s="4" t="str">
        <f>IF(ISBLANK(C805),,IFERROR(IF(VLOOKUP(B805,Standings!$A:$F, 6, 0)=VLOOKUP(C805,Standings!$A:$F, 6, 0), VLOOKUP(B805,Standings!$A:$F, 6, 0), "Non-con"), "FCS"))</f>
        <v/>
      </c>
      <c r="W805" s="3" t="str">
        <f t="shared" si="10"/>
        <v/>
      </c>
      <c r="X805" s="3" t="str">
        <f t="shared" si="11"/>
        <v/>
      </c>
      <c r="Y805" s="30" t="str">
        <f>IF(D805=0,,IF(ISBLANK(Q805),,VLOOKUP(X805,Week1,2,FALSE)/(VLOOKUP(X805,Week1,2,FALSE)+VLOOKUP(W805,Week1,2,FALSE)))*100)</f>
        <v/>
      </c>
      <c r="Z805" s="4"/>
      <c r="AA805" s="3"/>
      <c r="AB805" s="4" t="str">
        <f t="shared" si="20"/>
        <v/>
      </c>
      <c r="AC805" s="3"/>
      <c r="AD805" s="3"/>
      <c r="AE805" s="3" t="str">
        <f t="shared" si="13"/>
        <v/>
      </c>
      <c r="AF805" s="3"/>
      <c r="AG805" s="3" t="str">
        <f t="shared" si="133"/>
        <v/>
      </c>
      <c r="AH805" s="3"/>
      <c r="AI805" s="7"/>
      <c r="AJ805" s="4"/>
      <c r="AK805" s="7"/>
      <c r="AL805" s="7"/>
      <c r="AM805" s="7"/>
      <c r="AN805" s="7"/>
      <c r="AO805" s="7"/>
      <c r="AP805" s="7"/>
      <c r="AQ805" s="7"/>
      <c r="AR805" s="7"/>
      <c r="AS805" s="7"/>
      <c r="AT805" s="7"/>
      <c r="AU805" s="7"/>
      <c r="AV805" s="7"/>
      <c r="AW805" s="7"/>
      <c r="AX805" s="7"/>
    </row>
    <row r="806" ht="12.75" customHeight="1">
      <c r="A806" s="4"/>
      <c r="B806" s="4"/>
      <c r="C806" s="4"/>
      <c r="D806" s="4"/>
      <c r="E806" s="4" t="str">
        <f>IF(ISBLANK(B806),,IFERROR(VLOOKUP(B806,CurrentRank!$B$2:$C$132,2,FALSE),0))</f>
        <v/>
      </c>
      <c r="F806" s="4"/>
      <c r="G806" s="4" t="str">
        <f>IF(ISBLANK(B806),,IFERROR(VLOOKUP(B806,CurrentRank!$B$2:$D$132,3,FALSE),130))</f>
        <v/>
      </c>
      <c r="H806" s="4"/>
      <c r="I806" s="4" t="str">
        <f>IF(ISBLANK(B806),,IFERROR(VLOOKUP(C806,CurrentRank!$B$2:$C$132,2,FALSE),0))</f>
        <v/>
      </c>
      <c r="J806" s="4"/>
      <c r="K806" s="4" t="str">
        <f>IF(ISBLANK(C806),,IFERROR(VLOOKUP(C806,CurrentRank!$B$2:$D$132,3,FALSE),130))</f>
        <v/>
      </c>
      <c r="L806" s="19" t="str">
        <f t="shared" si="279"/>
        <v/>
      </c>
      <c r="M806" s="19" t="str">
        <f t="shared" si="280"/>
        <v/>
      </c>
      <c r="N806" s="24" t="str">
        <f t="shared" si="276"/>
        <v/>
      </c>
      <c r="O806" s="21" t="str">
        <f t="shared" si="4"/>
        <v/>
      </c>
      <c r="P806" s="21" t="str">
        <f t="shared" si="282"/>
        <v/>
      </c>
      <c r="Q806" s="22" t="str">
        <f t="shared" si="6"/>
        <v/>
      </c>
      <c r="R806" s="25" t="str">
        <f t="shared" si="7"/>
        <v/>
      </c>
      <c r="S806" s="19" t="str">
        <f t="shared" si="8"/>
        <v/>
      </c>
      <c r="T806" s="19" t="str">
        <f t="shared" si="9"/>
        <v/>
      </c>
      <c r="U806" s="3"/>
      <c r="V806" s="4" t="str">
        <f>IF(ISBLANK(C806),,IFERROR(IF(VLOOKUP(B806,Standings!$A:$F, 6, 0)=VLOOKUP(C806,Standings!$A:$F, 6, 0), VLOOKUP(B806,Standings!$A:$F, 6, 0), "Non-con"), "FCS"))</f>
        <v/>
      </c>
      <c r="W806" s="3" t="str">
        <f t="shared" si="10"/>
        <v/>
      </c>
      <c r="X806" s="3" t="str">
        <f t="shared" si="11"/>
        <v/>
      </c>
      <c r="Y806" s="30" t="str">
        <f>IF(D806=0,,IF(ISBLANK(Q806),,VLOOKUP(X806,Week1,2,FALSE)/(VLOOKUP(X806,Week1,2,FALSE)+VLOOKUP(W806,Week1,2,FALSE)))*100)</f>
        <v/>
      </c>
      <c r="Z806" s="4"/>
      <c r="AA806" s="3"/>
      <c r="AB806" s="4" t="str">
        <f t="shared" si="20"/>
        <v/>
      </c>
      <c r="AC806" s="3"/>
      <c r="AD806" s="3"/>
      <c r="AE806" s="3" t="str">
        <f t="shared" si="13"/>
        <v/>
      </c>
      <c r="AF806" s="3"/>
      <c r="AG806" s="3" t="str">
        <f t="shared" si="133"/>
        <v/>
      </c>
      <c r="AH806" s="3"/>
      <c r="AI806" s="7"/>
      <c r="AJ806" s="4"/>
      <c r="AK806" s="7"/>
      <c r="AL806" s="7"/>
      <c r="AM806" s="7"/>
      <c r="AN806" s="7"/>
      <c r="AO806" s="7"/>
      <c r="AP806" s="7"/>
      <c r="AQ806" s="7"/>
      <c r="AR806" s="7"/>
      <c r="AS806" s="7"/>
      <c r="AT806" s="7"/>
      <c r="AU806" s="7"/>
      <c r="AV806" s="7"/>
      <c r="AW806" s="7"/>
      <c r="AX806" s="7"/>
    </row>
    <row r="807" ht="12.75" customHeight="1">
      <c r="A807" s="4"/>
      <c r="B807" s="4"/>
      <c r="C807" s="4"/>
      <c r="D807" s="4"/>
      <c r="E807" s="4" t="str">
        <f>IF(ISBLANK(B807),,IFERROR(VLOOKUP(B807,CurrentRank!$B$2:$C$132,2,FALSE),0))</f>
        <v/>
      </c>
      <c r="F807" s="4"/>
      <c r="G807" s="4" t="str">
        <f>IF(ISBLANK(B807),,IFERROR(VLOOKUP(B807,CurrentRank!$B$2:$D$132,3,FALSE),130))</f>
        <v/>
      </c>
      <c r="H807" s="4"/>
      <c r="I807" s="4" t="str">
        <f>IF(ISBLANK(B807),,IFERROR(VLOOKUP(C807,CurrentRank!$B$2:$C$132,2,FALSE),0))</f>
        <v/>
      </c>
      <c r="J807" s="4"/>
      <c r="K807" s="4" t="str">
        <f>IF(ISBLANK(C807),,IFERROR(VLOOKUP(C807,CurrentRank!$B$2:$D$132,3,FALSE),130))</f>
        <v/>
      </c>
      <c r="L807" s="19" t="str">
        <f t="shared" si="279"/>
        <v/>
      </c>
      <c r="M807" s="19" t="str">
        <f t="shared" si="280"/>
        <v/>
      </c>
      <c r="N807" s="24" t="str">
        <f t="shared" si="276"/>
        <v/>
      </c>
      <c r="O807" s="21" t="str">
        <f t="shared" si="4"/>
        <v/>
      </c>
      <c r="P807" s="21" t="str">
        <f t="shared" si="282"/>
        <v/>
      </c>
      <c r="Q807" s="22" t="str">
        <f t="shared" si="6"/>
        <v/>
      </c>
      <c r="R807" s="25" t="str">
        <f t="shared" si="7"/>
        <v/>
      </c>
      <c r="S807" s="19" t="str">
        <f t="shared" si="8"/>
        <v/>
      </c>
      <c r="T807" s="19" t="str">
        <f t="shared" si="9"/>
        <v/>
      </c>
      <c r="U807" s="3"/>
      <c r="V807" s="4" t="str">
        <f>IF(ISBLANK(C807),,IFERROR(IF(VLOOKUP(B807,Standings!$A:$F, 6, 0)=VLOOKUP(C807,Standings!$A:$F, 6, 0), VLOOKUP(B807,Standings!$A:$F, 6, 0), "Non-con"), "FCS"))</f>
        <v/>
      </c>
      <c r="W807" s="3" t="str">
        <f t="shared" si="10"/>
        <v/>
      </c>
      <c r="X807" s="3" t="str">
        <f t="shared" si="11"/>
        <v/>
      </c>
      <c r="Y807" s="30" t="str">
        <f>IF(D807=0,,IF(ISBLANK(Q807),,VLOOKUP(X807,Week1,2,FALSE)/(VLOOKUP(X807,Week1,2,FALSE)+VLOOKUP(W807,Week1,2,FALSE)))*100)</f>
        <v/>
      </c>
      <c r="Z807" s="4"/>
      <c r="AA807" s="3"/>
      <c r="AB807" s="4" t="str">
        <f t="shared" si="20"/>
        <v/>
      </c>
      <c r="AC807" s="3"/>
      <c r="AD807" s="3"/>
      <c r="AE807" s="3" t="str">
        <f t="shared" si="13"/>
        <v/>
      </c>
      <c r="AF807" s="3"/>
      <c r="AG807" s="3" t="str">
        <f t="shared" si="133"/>
        <v/>
      </c>
      <c r="AH807" s="3"/>
      <c r="AI807" s="7"/>
      <c r="AJ807" s="4"/>
      <c r="AK807" s="7"/>
      <c r="AL807" s="7"/>
      <c r="AM807" s="7"/>
      <c r="AN807" s="7"/>
      <c r="AO807" s="7"/>
      <c r="AP807" s="7"/>
      <c r="AQ807" s="7"/>
      <c r="AR807" s="7"/>
      <c r="AS807" s="7"/>
      <c r="AT807" s="7"/>
      <c r="AU807" s="7"/>
      <c r="AV807" s="7"/>
      <c r="AW807" s="7"/>
      <c r="AX807" s="7"/>
    </row>
    <row r="808" ht="12.75" customHeight="1">
      <c r="A808" s="4"/>
      <c r="B808" s="4"/>
      <c r="C808" s="4"/>
      <c r="D808" s="4"/>
      <c r="E808" s="4" t="str">
        <f>IF(ISBLANK(B808),,IFERROR(VLOOKUP(B808,CurrentRank!$B$2:$C$132,2,FALSE),0))</f>
        <v/>
      </c>
      <c r="F808" s="4"/>
      <c r="G808" s="4" t="str">
        <f>IF(ISBLANK(B808),,IFERROR(VLOOKUP(B808,CurrentRank!$B$2:$D$132,3,FALSE),130))</f>
        <v/>
      </c>
      <c r="H808" s="4"/>
      <c r="I808" s="4" t="str">
        <f>IF(ISBLANK(B808),,IFERROR(VLOOKUP(C808,CurrentRank!$B$2:$C$132,2,FALSE),0))</f>
        <v/>
      </c>
      <c r="J808" s="4"/>
      <c r="K808" s="4" t="str">
        <f>IF(ISBLANK(C808),,IFERROR(VLOOKUP(C808,CurrentRank!$B$2:$D$132,3,FALSE),130))</f>
        <v/>
      </c>
      <c r="L808" s="19" t="str">
        <f t="shared" si="279"/>
        <v/>
      </c>
      <c r="M808" s="19" t="str">
        <f t="shared" si="280"/>
        <v/>
      </c>
      <c r="N808" s="24" t="str">
        <f t="shared" si="276"/>
        <v/>
      </c>
      <c r="O808" s="21" t="str">
        <f t="shared" si="4"/>
        <v/>
      </c>
      <c r="P808" s="21" t="str">
        <f t="shared" si="282"/>
        <v/>
      </c>
      <c r="Q808" s="22" t="str">
        <f t="shared" si="6"/>
        <v/>
      </c>
      <c r="R808" s="25" t="str">
        <f t="shared" si="7"/>
        <v/>
      </c>
      <c r="S808" s="19" t="str">
        <f t="shared" si="8"/>
        <v/>
      </c>
      <c r="T808" s="19" t="str">
        <f t="shared" si="9"/>
        <v/>
      </c>
      <c r="U808" s="3"/>
      <c r="V808" s="4" t="str">
        <f>IF(ISBLANK(C808),,IFERROR(IF(VLOOKUP(B808,Standings!$A:$F, 6, 0)=VLOOKUP(C808,Standings!$A:$F, 6, 0), VLOOKUP(B808,Standings!$A:$F, 6, 0), "Non-con"), "FCS"))</f>
        <v/>
      </c>
      <c r="W808" s="3" t="str">
        <f t="shared" si="10"/>
        <v/>
      </c>
      <c r="X808" s="3" t="str">
        <f t="shared" si="11"/>
        <v/>
      </c>
      <c r="Y808" s="30" t="str">
        <f>IF(D808=0,,IF(ISBLANK(Q808),,VLOOKUP(X808,Week1,2,FALSE)/(VLOOKUP(X808,Week1,2,FALSE)+VLOOKUP(W808,Week1,2,FALSE)))*100)</f>
        <v/>
      </c>
      <c r="Z808" s="4"/>
      <c r="AA808" s="3"/>
      <c r="AB808" s="4" t="str">
        <f t="shared" si="20"/>
        <v/>
      </c>
      <c r="AC808" s="3"/>
      <c r="AD808" s="3"/>
      <c r="AE808" s="3" t="str">
        <f t="shared" si="13"/>
        <v/>
      </c>
      <c r="AF808" s="3"/>
      <c r="AG808" s="3" t="str">
        <f t="shared" si="133"/>
        <v/>
      </c>
      <c r="AH808" s="3"/>
      <c r="AI808" s="7"/>
      <c r="AJ808" s="4"/>
      <c r="AK808" s="7"/>
      <c r="AL808" s="7"/>
      <c r="AM808" s="7"/>
      <c r="AN808" s="7"/>
      <c r="AO808" s="7"/>
      <c r="AP808" s="7"/>
      <c r="AQ808" s="7"/>
      <c r="AR808" s="7"/>
      <c r="AS808" s="7"/>
      <c r="AT808" s="7"/>
      <c r="AU808" s="7"/>
      <c r="AV808" s="7"/>
      <c r="AW808" s="7"/>
      <c r="AX808" s="7"/>
    </row>
    <row r="809" ht="12.75" customHeight="1">
      <c r="A809" s="4"/>
      <c r="B809" s="4"/>
      <c r="C809" s="4"/>
      <c r="D809" s="4"/>
      <c r="E809" s="4" t="str">
        <f>IF(ISBLANK(B809),,IFERROR(VLOOKUP(B809,CurrentRank!$B$2:$C$132,2,FALSE),0))</f>
        <v/>
      </c>
      <c r="F809" s="4"/>
      <c r="G809" s="4" t="str">
        <f>IF(ISBLANK(B809),,IFERROR(VLOOKUP(B809,CurrentRank!$B$2:$D$132,3,FALSE),130))</f>
        <v/>
      </c>
      <c r="H809" s="4"/>
      <c r="I809" s="4" t="str">
        <f>IF(ISBLANK(B809),,IFERROR(VLOOKUP(C809,CurrentRank!$B$2:$C$132,2,FALSE),0))</f>
        <v/>
      </c>
      <c r="J809" s="4"/>
      <c r="K809" s="4" t="str">
        <f>IF(ISBLANK(C809),,IFERROR(VLOOKUP(C809,CurrentRank!$B$2:$D$132,3,FALSE),130))</f>
        <v/>
      </c>
      <c r="L809" s="19" t="str">
        <f t="shared" si="279"/>
        <v/>
      </c>
      <c r="M809" s="19" t="str">
        <f t="shared" si="280"/>
        <v/>
      </c>
      <c r="N809" s="24" t="str">
        <f t="shared" si="276"/>
        <v/>
      </c>
      <c r="O809" s="21" t="str">
        <f t="shared" si="4"/>
        <v/>
      </c>
      <c r="P809" s="21" t="str">
        <f t="shared" si="282"/>
        <v/>
      </c>
      <c r="Q809" s="22" t="str">
        <f t="shared" si="6"/>
        <v/>
      </c>
      <c r="R809" s="25" t="str">
        <f t="shared" si="7"/>
        <v/>
      </c>
      <c r="S809" s="19" t="str">
        <f t="shared" si="8"/>
        <v/>
      </c>
      <c r="T809" s="19" t="str">
        <f t="shared" si="9"/>
        <v/>
      </c>
      <c r="U809" s="3"/>
      <c r="V809" s="4" t="str">
        <f>IF(ISBLANK(C809),,IFERROR(IF(VLOOKUP(B809,Standings!$A:$F, 6, 0)=VLOOKUP(C809,Standings!$A:$F, 6, 0), VLOOKUP(B809,Standings!$A:$F, 6, 0), "Non-con"), "FCS"))</f>
        <v/>
      </c>
      <c r="W809" s="3" t="str">
        <f t="shared" si="10"/>
        <v/>
      </c>
      <c r="X809" s="3" t="str">
        <f t="shared" si="11"/>
        <v/>
      </c>
      <c r="Y809" s="30" t="str">
        <f>IF(D809=0,,IF(ISBLANK(Q809),,VLOOKUP(X809,Week1,2,FALSE)/(VLOOKUP(X809,Week1,2,FALSE)+VLOOKUP(W809,Week1,2,FALSE)))*100)</f>
        <v/>
      </c>
      <c r="Z809" s="4"/>
      <c r="AA809" s="3"/>
      <c r="AB809" s="4" t="str">
        <f t="shared" si="20"/>
        <v/>
      </c>
      <c r="AC809" s="3"/>
      <c r="AD809" s="3"/>
      <c r="AE809" s="3" t="str">
        <f t="shared" si="13"/>
        <v/>
      </c>
      <c r="AF809" s="3"/>
      <c r="AG809" s="3" t="str">
        <f t="shared" si="133"/>
        <v/>
      </c>
      <c r="AH809" s="3"/>
      <c r="AI809" s="7"/>
      <c r="AJ809" s="4"/>
      <c r="AK809" s="7"/>
      <c r="AL809" s="7"/>
      <c r="AM809" s="7"/>
      <c r="AN809" s="7"/>
      <c r="AO809" s="7"/>
      <c r="AP809" s="7"/>
      <c r="AQ809" s="7"/>
      <c r="AR809" s="7"/>
      <c r="AS809" s="7"/>
      <c r="AT809" s="7"/>
      <c r="AU809" s="7"/>
      <c r="AV809" s="7"/>
      <c r="AW809" s="7"/>
      <c r="AX809" s="7"/>
    </row>
    <row r="810" ht="12.75" customHeight="1">
      <c r="A810" s="4"/>
      <c r="B810" s="4"/>
      <c r="C810" s="4"/>
      <c r="D810" s="4"/>
      <c r="E810" s="4" t="str">
        <f>IF(ISBLANK(B810),,IFERROR(VLOOKUP(B810,CurrentRank!$B$2:$C$132,2,FALSE),0))</f>
        <v/>
      </c>
      <c r="F810" s="4"/>
      <c r="G810" s="4" t="str">
        <f>IF(ISBLANK(B810),,IFERROR(VLOOKUP(B810,CurrentRank!$B$2:$D$132,3,FALSE),130))</f>
        <v/>
      </c>
      <c r="H810" s="4"/>
      <c r="I810" s="4" t="str">
        <f>IF(ISBLANK(B810),,IFERROR(VLOOKUP(C810,CurrentRank!$B$2:$C$132,2,FALSE),0))</f>
        <v/>
      </c>
      <c r="J810" s="4"/>
      <c r="K810" s="4" t="str">
        <f>IF(ISBLANK(C810),,IFERROR(VLOOKUP(C810,CurrentRank!$B$2:$D$132,3,FALSE),130))</f>
        <v/>
      </c>
      <c r="L810" s="19" t="str">
        <f t="shared" si="279"/>
        <v/>
      </c>
      <c r="M810" s="19" t="str">
        <f t="shared" si="280"/>
        <v/>
      </c>
      <c r="N810" s="24" t="str">
        <f t="shared" si="276"/>
        <v/>
      </c>
      <c r="O810" s="21" t="str">
        <f t="shared" si="4"/>
        <v/>
      </c>
      <c r="P810" s="21" t="str">
        <f t="shared" si="282"/>
        <v/>
      </c>
      <c r="Q810" s="22" t="str">
        <f t="shared" si="6"/>
        <v/>
      </c>
      <c r="R810" s="25" t="str">
        <f t="shared" si="7"/>
        <v/>
      </c>
      <c r="S810" s="19" t="str">
        <f t="shared" si="8"/>
        <v/>
      </c>
      <c r="T810" s="19" t="str">
        <f t="shared" si="9"/>
        <v/>
      </c>
      <c r="U810" s="3"/>
      <c r="V810" s="4" t="str">
        <f>IF(ISBLANK(C810),,IFERROR(IF(VLOOKUP(B810,Standings!$A:$F, 6, 0)=VLOOKUP(C810,Standings!$A:$F, 6, 0), VLOOKUP(B810,Standings!$A:$F, 6, 0), "Non-con"), "FCS"))</f>
        <v/>
      </c>
      <c r="W810" s="3" t="str">
        <f t="shared" si="10"/>
        <v/>
      </c>
      <c r="X810" s="3" t="str">
        <f t="shared" si="11"/>
        <v/>
      </c>
      <c r="Y810" s="30" t="str">
        <f>IF(D810=0,,IF(ISBLANK(Q810),,VLOOKUP(X810,Week1,2,FALSE)/(VLOOKUP(X810,Week1,2,FALSE)+VLOOKUP(W810,Week1,2,FALSE)))*100)</f>
        <v/>
      </c>
      <c r="Z810" s="4"/>
      <c r="AA810" s="3"/>
      <c r="AB810" s="4" t="str">
        <f t="shared" si="20"/>
        <v/>
      </c>
      <c r="AC810" s="3"/>
      <c r="AD810" s="3"/>
      <c r="AE810" s="3" t="str">
        <f t="shared" si="13"/>
        <v/>
      </c>
      <c r="AF810" s="3"/>
      <c r="AG810" s="3" t="str">
        <f t="shared" si="133"/>
        <v/>
      </c>
      <c r="AH810" s="3"/>
      <c r="AI810" s="7"/>
      <c r="AJ810" s="4"/>
      <c r="AK810" s="7"/>
      <c r="AL810" s="7"/>
      <c r="AM810" s="7"/>
      <c r="AN810" s="7"/>
      <c r="AO810" s="7"/>
      <c r="AP810" s="7"/>
      <c r="AQ810" s="7"/>
      <c r="AR810" s="7"/>
      <c r="AS810" s="7"/>
      <c r="AT810" s="7"/>
      <c r="AU810" s="7"/>
      <c r="AV810" s="7"/>
      <c r="AW810" s="7"/>
      <c r="AX810" s="7"/>
    </row>
    <row r="811" ht="12.75" customHeight="1">
      <c r="A811" s="4"/>
      <c r="B811" s="4"/>
      <c r="C811" s="4"/>
      <c r="D811" s="4"/>
      <c r="E811" s="4" t="str">
        <f>IF(ISBLANK(B811),,IFERROR(VLOOKUP(B811,CurrentRank!$B$2:$C$132,2,FALSE),0))</f>
        <v/>
      </c>
      <c r="F811" s="4"/>
      <c r="G811" s="4" t="str">
        <f>IF(ISBLANK(B811),,IFERROR(VLOOKUP(B811,CurrentRank!$B$2:$D$132,3,FALSE),130))</f>
        <v/>
      </c>
      <c r="H811" s="4"/>
      <c r="I811" s="4" t="str">
        <f>IF(ISBLANK(B811),,IFERROR(VLOOKUP(C811,CurrentRank!$B$2:$C$132,2,FALSE),0))</f>
        <v/>
      </c>
      <c r="J811" s="4"/>
      <c r="K811" s="4" t="str">
        <f>IF(ISBLANK(C811),,IFERROR(VLOOKUP(C811,CurrentRank!$B$2:$D$132,3,FALSE),130))</f>
        <v/>
      </c>
      <c r="L811" s="19" t="str">
        <f t="shared" si="279"/>
        <v/>
      </c>
      <c r="M811" s="19" t="str">
        <f t="shared" si="280"/>
        <v/>
      </c>
      <c r="N811" s="24" t="str">
        <f t="shared" si="276"/>
        <v/>
      </c>
      <c r="O811" s="21" t="str">
        <f t="shared" si="4"/>
        <v/>
      </c>
      <c r="P811" s="21" t="str">
        <f t="shared" si="282"/>
        <v/>
      </c>
      <c r="Q811" s="22" t="str">
        <f t="shared" si="6"/>
        <v/>
      </c>
      <c r="R811" s="25" t="str">
        <f t="shared" si="7"/>
        <v/>
      </c>
      <c r="S811" s="19" t="str">
        <f t="shared" si="8"/>
        <v/>
      </c>
      <c r="T811" s="19" t="str">
        <f t="shared" si="9"/>
        <v/>
      </c>
      <c r="U811" s="3"/>
      <c r="V811" s="4" t="str">
        <f>IF(ISBLANK(C811),,IFERROR(IF(VLOOKUP(B811,Standings!$A:$F, 6, 0)=VLOOKUP(C811,Standings!$A:$F, 6, 0), VLOOKUP(B811,Standings!$A:$F, 6, 0), "Non-con"), "FCS"))</f>
        <v/>
      </c>
      <c r="W811" s="3" t="str">
        <f t="shared" si="10"/>
        <v/>
      </c>
      <c r="X811" s="3" t="str">
        <f t="shared" si="11"/>
        <v/>
      </c>
      <c r="Y811" s="30" t="str">
        <f>IF(D811=0,,IF(ISBLANK(Q811),,VLOOKUP(X811,Week1,2,FALSE)/(VLOOKUP(X811,Week1,2,FALSE)+VLOOKUP(W811,Week1,2,FALSE)))*100)</f>
        <v/>
      </c>
      <c r="Z811" s="4"/>
      <c r="AA811" s="3"/>
      <c r="AB811" s="4" t="str">
        <f t="shared" si="20"/>
        <v/>
      </c>
      <c r="AC811" s="3"/>
      <c r="AD811" s="3"/>
      <c r="AE811" s="3" t="str">
        <f t="shared" si="13"/>
        <v/>
      </c>
      <c r="AF811" s="3"/>
      <c r="AG811" s="3" t="str">
        <f t="shared" si="133"/>
        <v/>
      </c>
      <c r="AH811" s="3"/>
      <c r="AI811" s="7"/>
      <c r="AJ811" s="4"/>
      <c r="AK811" s="7"/>
      <c r="AL811" s="7"/>
      <c r="AM811" s="7"/>
      <c r="AN811" s="7"/>
      <c r="AO811" s="7"/>
      <c r="AP811" s="7"/>
      <c r="AQ811" s="7"/>
      <c r="AR811" s="7"/>
      <c r="AS811" s="7"/>
      <c r="AT811" s="7"/>
      <c r="AU811" s="7"/>
      <c r="AV811" s="7"/>
      <c r="AW811" s="7"/>
      <c r="AX811" s="7"/>
    </row>
    <row r="812" ht="12.75" customHeight="1">
      <c r="A812" s="4"/>
      <c r="B812" s="4"/>
      <c r="C812" s="4"/>
      <c r="D812" s="4"/>
      <c r="E812" s="4" t="str">
        <f>IF(ISBLANK(B812),,IFERROR(VLOOKUP(B812,CurrentRank!$B$2:$C$132,2,FALSE),0))</f>
        <v/>
      </c>
      <c r="F812" s="4"/>
      <c r="G812" s="4" t="str">
        <f>IF(ISBLANK(B812),,IFERROR(VLOOKUP(B812,CurrentRank!$B$2:$D$132,3,FALSE),130))</f>
        <v/>
      </c>
      <c r="H812" s="4"/>
      <c r="I812" s="4" t="str">
        <f>IF(ISBLANK(B812),,IFERROR(VLOOKUP(C812,CurrentRank!$B$2:$C$132,2,FALSE),0))</f>
        <v/>
      </c>
      <c r="J812" s="4"/>
      <c r="K812" s="4" t="str">
        <f>IF(ISBLANK(C812),,IFERROR(VLOOKUP(C812,CurrentRank!$B$2:$D$132,3,FALSE),130))</f>
        <v/>
      </c>
      <c r="L812" s="19" t="str">
        <f t="shared" si="279"/>
        <v/>
      </c>
      <c r="M812" s="19" t="str">
        <f t="shared" si="280"/>
        <v/>
      </c>
      <c r="N812" s="24" t="str">
        <f t="shared" si="276"/>
        <v/>
      </c>
      <c r="O812" s="21" t="str">
        <f t="shared" si="4"/>
        <v/>
      </c>
      <c r="P812" s="21" t="str">
        <f t="shared" si="282"/>
        <v/>
      </c>
      <c r="Q812" s="22" t="str">
        <f t="shared" si="6"/>
        <v/>
      </c>
      <c r="R812" s="25" t="str">
        <f t="shared" si="7"/>
        <v/>
      </c>
      <c r="S812" s="19" t="str">
        <f t="shared" si="8"/>
        <v/>
      </c>
      <c r="T812" s="19" t="str">
        <f t="shared" si="9"/>
        <v/>
      </c>
      <c r="U812" s="3"/>
      <c r="V812" s="4" t="str">
        <f>IF(ISBLANK(C812),,IFERROR(IF(VLOOKUP(B812,Standings!$A:$F, 6, 0)=VLOOKUP(C812,Standings!$A:$F, 6, 0), VLOOKUP(B812,Standings!$A:$F, 6, 0), "Non-con"), "FCS"))</f>
        <v/>
      </c>
      <c r="W812" s="3" t="str">
        <f t="shared" si="10"/>
        <v/>
      </c>
      <c r="X812" s="3" t="str">
        <f t="shared" si="11"/>
        <v/>
      </c>
      <c r="Y812" s="30" t="str">
        <f>IF(D812=0,,IF(ISBLANK(Q812),,VLOOKUP(X812,Week1,2,FALSE)/(VLOOKUP(X812,Week1,2,FALSE)+VLOOKUP(W812,Week1,2,FALSE)))*100)</f>
        <v/>
      </c>
      <c r="Z812" s="4"/>
      <c r="AA812" s="3"/>
      <c r="AB812" s="4" t="str">
        <f t="shared" si="20"/>
        <v/>
      </c>
      <c r="AC812" s="3"/>
      <c r="AD812" s="3"/>
      <c r="AE812" s="3" t="str">
        <f t="shared" si="13"/>
        <v/>
      </c>
      <c r="AF812" s="3"/>
      <c r="AG812" s="3" t="str">
        <f t="shared" si="133"/>
        <v/>
      </c>
      <c r="AH812" s="3"/>
      <c r="AI812" s="7"/>
      <c r="AJ812" s="4"/>
      <c r="AK812" s="7"/>
      <c r="AL812" s="7"/>
      <c r="AM812" s="7"/>
      <c r="AN812" s="7"/>
      <c r="AO812" s="7"/>
      <c r="AP812" s="7"/>
      <c r="AQ812" s="7"/>
      <c r="AR812" s="7"/>
      <c r="AS812" s="7"/>
      <c r="AT812" s="7"/>
      <c r="AU812" s="7"/>
      <c r="AV812" s="7"/>
      <c r="AW812" s="7"/>
      <c r="AX812" s="7"/>
    </row>
    <row r="813" ht="12.75" customHeight="1">
      <c r="A813" s="4"/>
      <c r="B813" s="4"/>
      <c r="C813" s="4"/>
      <c r="D813" s="4"/>
      <c r="E813" s="4" t="str">
        <f>IF(ISBLANK(B813),,IFERROR(VLOOKUP(B813,CurrentRank!$B$2:$C$132,2,FALSE),0))</f>
        <v/>
      </c>
      <c r="F813" s="4"/>
      <c r="G813" s="4" t="str">
        <f>IF(ISBLANK(B813),,IFERROR(VLOOKUP(B813,CurrentRank!$B$2:$D$132,3,FALSE),130))</f>
        <v/>
      </c>
      <c r="H813" s="4"/>
      <c r="I813" s="4" t="str">
        <f>IF(ISBLANK(B813),,IFERROR(VLOOKUP(C813,CurrentRank!$B$2:$C$132,2,FALSE),0))</f>
        <v/>
      </c>
      <c r="J813" s="4"/>
      <c r="K813" s="4" t="str">
        <f>IF(ISBLANK(C813),,IFERROR(VLOOKUP(C813,CurrentRank!$B$2:$D$132,3,FALSE),130))</f>
        <v/>
      </c>
      <c r="L813" s="19" t="str">
        <f t="shared" si="279"/>
        <v/>
      </c>
      <c r="M813" s="19" t="str">
        <f t="shared" si="280"/>
        <v/>
      </c>
      <c r="N813" s="24" t="str">
        <f t="shared" si="276"/>
        <v/>
      </c>
      <c r="O813" s="21" t="str">
        <f t="shared" si="4"/>
        <v/>
      </c>
      <c r="P813" s="21" t="str">
        <f t="shared" si="282"/>
        <v/>
      </c>
      <c r="Q813" s="22" t="str">
        <f t="shared" si="6"/>
        <v/>
      </c>
      <c r="R813" s="25" t="str">
        <f t="shared" si="7"/>
        <v/>
      </c>
      <c r="S813" s="19" t="str">
        <f t="shared" si="8"/>
        <v/>
      </c>
      <c r="T813" s="19" t="str">
        <f t="shared" si="9"/>
        <v/>
      </c>
      <c r="U813" s="3"/>
      <c r="V813" s="4" t="str">
        <f>IF(ISBLANK(C813),,IFERROR(IF(VLOOKUP(B813,Standings!$A:$F, 6, 0)=VLOOKUP(C813,Standings!$A:$F, 6, 0), VLOOKUP(B813,Standings!$A:$F, 6, 0), "Non-con"), "FCS"))</f>
        <v/>
      </c>
      <c r="W813" s="3" t="str">
        <f t="shared" si="10"/>
        <v/>
      </c>
      <c r="X813" s="3" t="str">
        <f t="shared" si="11"/>
        <v/>
      </c>
      <c r="Y813" s="30" t="str">
        <f>IF(D813=0,,IF(ISBLANK(Q813),,VLOOKUP(X813,Week1,2,FALSE)/(VLOOKUP(X813,Week1,2,FALSE)+VLOOKUP(W813,Week1,2,FALSE)))*100)</f>
        <v/>
      </c>
      <c r="Z813" s="4"/>
      <c r="AA813" s="3"/>
      <c r="AB813" s="4" t="str">
        <f t="shared" si="20"/>
        <v/>
      </c>
      <c r="AC813" s="3"/>
      <c r="AD813" s="3"/>
      <c r="AE813" s="3" t="str">
        <f t="shared" si="13"/>
        <v/>
      </c>
      <c r="AF813" s="3"/>
      <c r="AG813" s="3" t="str">
        <f t="shared" si="133"/>
        <v/>
      </c>
      <c r="AH813" s="3"/>
      <c r="AI813" s="7"/>
      <c r="AJ813" s="4"/>
      <c r="AK813" s="7"/>
      <c r="AL813" s="7"/>
      <c r="AM813" s="7"/>
      <c r="AN813" s="7"/>
      <c r="AO813" s="7"/>
      <c r="AP813" s="7"/>
      <c r="AQ813" s="7"/>
      <c r="AR813" s="7"/>
      <c r="AS813" s="7"/>
      <c r="AT813" s="7"/>
      <c r="AU813" s="7"/>
      <c r="AV813" s="7"/>
      <c r="AW813" s="7"/>
      <c r="AX813" s="7"/>
    </row>
    <row r="814" ht="12.75" customHeight="1">
      <c r="A814" s="4"/>
      <c r="B814" s="4"/>
      <c r="C814" s="4"/>
      <c r="D814" s="4"/>
      <c r="E814" s="4" t="str">
        <f>IF(ISBLANK(B814),,IFERROR(VLOOKUP(B814,CurrentRank!$B$2:$C$132,2,FALSE),0))</f>
        <v/>
      </c>
      <c r="F814" s="4"/>
      <c r="G814" s="4" t="str">
        <f>IF(ISBLANK(B814),,IFERROR(VLOOKUP(B814,CurrentRank!$B$2:$D$132,3,FALSE),130))</f>
        <v/>
      </c>
      <c r="H814" s="4"/>
      <c r="I814" s="4" t="str">
        <f>IF(ISBLANK(B814),,IFERROR(VLOOKUP(C814,CurrentRank!$B$2:$C$132,2,FALSE),0))</f>
        <v/>
      </c>
      <c r="J814" s="4"/>
      <c r="K814" s="4" t="str">
        <f>IF(ISBLANK(C814),,IFERROR(VLOOKUP(C814,CurrentRank!$B$2:$D$132,3,FALSE),130))</f>
        <v/>
      </c>
      <c r="L814" s="19" t="str">
        <f t="shared" si="279"/>
        <v/>
      </c>
      <c r="M814" s="19" t="str">
        <f t="shared" si="280"/>
        <v/>
      </c>
      <c r="N814" s="24" t="str">
        <f t="shared" si="276"/>
        <v/>
      </c>
      <c r="O814" s="21" t="str">
        <f t="shared" si="4"/>
        <v/>
      </c>
      <c r="P814" s="21" t="str">
        <f t="shared" si="282"/>
        <v/>
      </c>
      <c r="Q814" s="22" t="str">
        <f t="shared" si="6"/>
        <v/>
      </c>
      <c r="R814" s="25" t="str">
        <f t="shared" si="7"/>
        <v/>
      </c>
      <c r="S814" s="19" t="str">
        <f t="shared" si="8"/>
        <v/>
      </c>
      <c r="T814" s="19" t="str">
        <f t="shared" si="9"/>
        <v/>
      </c>
      <c r="U814" s="3"/>
      <c r="V814" s="4" t="str">
        <f>IF(ISBLANK(C814),,IFERROR(IF(VLOOKUP(B814,Standings!$A:$F, 6, 0)=VLOOKUP(C814,Standings!$A:$F, 6, 0), VLOOKUP(B814,Standings!$A:$F, 6, 0), "Non-con"), "FCS"))</f>
        <v/>
      </c>
      <c r="W814" s="3" t="str">
        <f t="shared" si="10"/>
        <v/>
      </c>
      <c r="X814" s="3" t="str">
        <f t="shared" si="11"/>
        <v/>
      </c>
      <c r="Y814" s="30" t="str">
        <f>IF(D814=0,,IF(ISBLANK(Q814),,VLOOKUP(X814,Week1,2,FALSE)/(VLOOKUP(X814,Week1,2,FALSE)+VLOOKUP(W814,Week1,2,FALSE)))*100)</f>
        <v/>
      </c>
      <c r="Z814" s="4"/>
      <c r="AA814" s="3"/>
      <c r="AB814" s="4" t="str">
        <f t="shared" si="20"/>
        <v/>
      </c>
      <c r="AC814" s="3"/>
      <c r="AD814" s="3"/>
      <c r="AE814" s="3" t="str">
        <f t="shared" si="13"/>
        <v/>
      </c>
      <c r="AF814" s="3"/>
      <c r="AG814" s="3" t="str">
        <f t="shared" si="133"/>
        <v/>
      </c>
      <c r="AH814" s="3"/>
      <c r="AI814" s="7"/>
      <c r="AJ814" s="4"/>
      <c r="AK814" s="7"/>
      <c r="AL814" s="7"/>
      <c r="AM814" s="7"/>
      <c r="AN814" s="7"/>
      <c r="AO814" s="7"/>
      <c r="AP814" s="7"/>
      <c r="AQ814" s="7"/>
      <c r="AR814" s="7"/>
      <c r="AS814" s="7"/>
      <c r="AT814" s="7"/>
      <c r="AU814" s="7"/>
      <c r="AV814" s="7"/>
      <c r="AW814" s="7"/>
      <c r="AX814" s="7"/>
    </row>
    <row r="815" ht="12.75" customHeight="1">
      <c r="A815" s="4"/>
      <c r="B815" s="4"/>
      <c r="C815" s="4"/>
      <c r="D815" s="4"/>
      <c r="E815" s="4" t="str">
        <f>IF(ISBLANK(B815),,IFERROR(VLOOKUP(B815,CurrentRank!$B$2:$C$132,2,FALSE),0))</f>
        <v/>
      </c>
      <c r="F815" s="4"/>
      <c r="G815" s="4" t="str">
        <f>IF(ISBLANK(B815),,IFERROR(VLOOKUP(B815,CurrentRank!$B$2:$D$132,3,FALSE),130))</f>
        <v/>
      </c>
      <c r="H815" s="4"/>
      <c r="I815" s="4" t="str">
        <f>IF(ISBLANK(B815),,IFERROR(VLOOKUP(C815,CurrentRank!$B$2:$C$132,2,FALSE),0))</f>
        <v/>
      </c>
      <c r="J815" s="4"/>
      <c r="K815" s="4" t="str">
        <f>IF(ISBLANK(C815),,IFERROR(VLOOKUP(C815,CurrentRank!$B$2:$D$132,3,FALSE),130))</f>
        <v/>
      </c>
      <c r="L815" s="19" t="str">
        <f t="shared" si="279"/>
        <v/>
      </c>
      <c r="M815" s="19" t="str">
        <f t="shared" si="280"/>
        <v/>
      </c>
      <c r="N815" s="24" t="str">
        <f t="shared" si="276"/>
        <v/>
      </c>
      <c r="O815" s="21" t="str">
        <f t="shared" si="4"/>
        <v/>
      </c>
      <c r="P815" s="21" t="str">
        <f t="shared" si="282"/>
        <v/>
      </c>
      <c r="Q815" s="22" t="str">
        <f t="shared" si="6"/>
        <v/>
      </c>
      <c r="R815" s="25" t="str">
        <f t="shared" si="7"/>
        <v/>
      </c>
      <c r="S815" s="19" t="str">
        <f t="shared" si="8"/>
        <v/>
      </c>
      <c r="T815" s="19" t="str">
        <f t="shared" si="9"/>
        <v/>
      </c>
      <c r="U815" s="3"/>
      <c r="V815" s="4" t="str">
        <f>IF(ISBLANK(C815),,IFERROR(IF(VLOOKUP(B815,Standings!$A:$F, 6, 0)=VLOOKUP(C815,Standings!$A:$F, 6, 0), VLOOKUP(B815,Standings!$A:$F, 6, 0), "Non-con"), "FCS"))</f>
        <v/>
      </c>
      <c r="W815" s="3" t="str">
        <f t="shared" si="10"/>
        <v/>
      </c>
      <c r="X815" s="3" t="str">
        <f t="shared" si="11"/>
        <v/>
      </c>
      <c r="Y815" s="30" t="str">
        <f>IF(D815=0,,IF(ISBLANK(Q815),,VLOOKUP(X815,Week1,2,FALSE)/(VLOOKUP(X815,Week1,2,FALSE)+VLOOKUP(W815,Week1,2,FALSE)))*100)</f>
        <v/>
      </c>
      <c r="Z815" s="4"/>
      <c r="AA815" s="3"/>
      <c r="AB815" s="4" t="str">
        <f t="shared" si="20"/>
        <v/>
      </c>
      <c r="AC815" s="3"/>
      <c r="AD815" s="3"/>
      <c r="AE815" s="3" t="str">
        <f t="shared" si="13"/>
        <v/>
      </c>
      <c r="AF815" s="3"/>
      <c r="AG815" s="3" t="str">
        <f t="shared" si="133"/>
        <v/>
      </c>
      <c r="AH815" s="3"/>
      <c r="AI815" s="7"/>
      <c r="AJ815" s="4"/>
      <c r="AK815" s="7"/>
      <c r="AL815" s="7"/>
      <c r="AM815" s="7"/>
      <c r="AN815" s="7"/>
      <c r="AO815" s="7"/>
      <c r="AP815" s="7"/>
      <c r="AQ815" s="7"/>
      <c r="AR815" s="7"/>
      <c r="AS815" s="7"/>
      <c r="AT815" s="7"/>
      <c r="AU815" s="7"/>
      <c r="AV815" s="7"/>
      <c r="AW815" s="7"/>
      <c r="AX815" s="7"/>
    </row>
    <row r="816" ht="12.75" customHeight="1">
      <c r="A816" s="4"/>
      <c r="B816" s="4"/>
      <c r="C816" s="4"/>
      <c r="D816" s="4"/>
      <c r="E816" s="4" t="str">
        <f>IF(ISBLANK(B816),,IFERROR(VLOOKUP(B816,CurrentRank!$B$2:$C$132,2,FALSE),0))</f>
        <v/>
      </c>
      <c r="F816" s="4"/>
      <c r="G816" s="4" t="str">
        <f>IF(ISBLANK(B816),,IFERROR(VLOOKUP(B816,CurrentRank!$B$2:$D$132,3,FALSE),130))</f>
        <v/>
      </c>
      <c r="H816" s="4"/>
      <c r="I816" s="4" t="str">
        <f>IF(ISBLANK(B816),,IFERROR(VLOOKUP(C816,CurrentRank!$B$2:$C$132,2,FALSE),0))</f>
        <v/>
      </c>
      <c r="J816" s="4"/>
      <c r="K816" s="4" t="str">
        <f>IF(ISBLANK(C816),,IFERROR(VLOOKUP(C816,CurrentRank!$B$2:$D$132,3,FALSE),130))</f>
        <v/>
      </c>
      <c r="L816" s="19" t="str">
        <f t="shared" si="279"/>
        <v/>
      </c>
      <c r="M816" s="19" t="str">
        <f t="shared" si="280"/>
        <v/>
      </c>
      <c r="N816" s="24" t="str">
        <f t="shared" si="276"/>
        <v/>
      </c>
      <c r="O816" s="21" t="str">
        <f t="shared" si="4"/>
        <v/>
      </c>
      <c r="P816" s="21" t="str">
        <f t="shared" si="282"/>
        <v/>
      </c>
      <c r="Q816" s="22" t="str">
        <f t="shared" si="6"/>
        <v/>
      </c>
      <c r="R816" s="25" t="str">
        <f t="shared" si="7"/>
        <v/>
      </c>
      <c r="S816" s="19" t="str">
        <f t="shared" si="8"/>
        <v/>
      </c>
      <c r="T816" s="19" t="str">
        <f t="shared" si="9"/>
        <v/>
      </c>
      <c r="U816" s="3"/>
      <c r="V816" s="4" t="str">
        <f>IF(ISBLANK(C816),,IFERROR(IF(VLOOKUP(B816,Standings!$A:$F, 6, 0)=VLOOKUP(C816,Standings!$A:$F, 6, 0), VLOOKUP(B816,Standings!$A:$F, 6, 0), "Non-con"), "FCS"))</f>
        <v/>
      </c>
      <c r="W816" s="3" t="str">
        <f t="shared" si="10"/>
        <v/>
      </c>
      <c r="X816" s="3" t="str">
        <f t="shared" si="11"/>
        <v/>
      </c>
      <c r="Y816" s="30" t="str">
        <f>IF(D816=0,,IF(ISBLANK(Q816),,VLOOKUP(X816,Week1,2,FALSE)/(VLOOKUP(X816,Week1,2,FALSE)+VLOOKUP(W816,Week1,2,FALSE)))*100)</f>
        <v/>
      </c>
      <c r="Z816" s="4"/>
      <c r="AA816" s="3"/>
      <c r="AB816" s="4" t="str">
        <f t="shared" si="20"/>
        <v/>
      </c>
      <c r="AC816" s="3"/>
      <c r="AD816" s="3"/>
      <c r="AE816" s="3" t="str">
        <f t="shared" si="13"/>
        <v/>
      </c>
      <c r="AF816" s="3"/>
      <c r="AG816" s="3" t="str">
        <f t="shared" si="133"/>
        <v/>
      </c>
      <c r="AH816" s="3"/>
      <c r="AI816" s="7"/>
      <c r="AJ816" s="4"/>
      <c r="AK816" s="7"/>
      <c r="AL816" s="7"/>
      <c r="AM816" s="7"/>
      <c r="AN816" s="7"/>
      <c r="AO816" s="7"/>
      <c r="AP816" s="7"/>
      <c r="AQ816" s="7"/>
      <c r="AR816" s="7"/>
      <c r="AS816" s="7"/>
      <c r="AT816" s="7"/>
      <c r="AU816" s="7"/>
      <c r="AV816" s="7"/>
      <c r="AW816" s="7"/>
      <c r="AX816" s="7"/>
    </row>
    <row r="817" ht="12.75" customHeight="1">
      <c r="A817" s="4"/>
      <c r="B817" s="4"/>
      <c r="C817" s="4"/>
      <c r="D817" s="4"/>
      <c r="E817" s="4" t="str">
        <f>IF(ISBLANK(B817),,IFERROR(VLOOKUP(B817,CurrentRank!$B$2:$C$132,2,FALSE),0))</f>
        <v/>
      </c>
      <c r="F817" s="4"/>
      <c r="G817" s="4" t="str">
        <f>IF(ISBLANK(B817),,IFERROR(VLOOKUP(B817,CurrentRank!$B$2:$D$132,3,FALSE),130))</f>
        <v/>
      </c>
      <c r="H817" s="4"/>
      <c r="I817" s="4" t="str">
        <f>IF(ISBLANK(B817),,IFERROR(VLOOKUP(C817,CurrentRank!$B$2:$C$132,2,FALSE),0))</f>
        <v/>
      </c>
      <c r="J817" s="4"/>
      <c r="K817" s="4" t="str">
        <f>IF(ISBLANK(C817),,IFERROR(VLOOKUP(C817,CurrentRank!$B$2:$D$132,3,FALSE),130))</f>
        <v/>
      </c>
      <c r="L817" s="19" t="str">
        <f t="shared" si="279"/>
        <v/>
      </c>
      <c r="M817" s="19" t="str">
        <f t="shared" si="280"/>
        <v/>
      </c>
      <c r="N817" s="24" t="str">
        <f t="shared" si="276"/>
        <v/>
      </c>
      <c r="O817" s="21" t="str">
        <f t="shared" si="4"/>
        <v/>
      </c>
      <c r="P817" s="21" t="str">
        <f t="shared" si="282"/>
        <v/>
      </c>
      <c r="Q817" s="22" t="str">
        <f t="shared" si="6"/>
        <v/>
      </c>
      <c r="R817" s="25" t="str">
        <f t="shared" si="7"/>
        <v/>
      </c>
      <c r="S817" s="19" t="str">
        <f t="shared" si="8"/>
        <v/>
      </c>
      <c r="T817" s="19" t="str">
        <f t="shared" si="9"/>
        <v/>
      </c>
      <c r="U817" s="3"/>
      <c r="V817" s="4" t="str">
        <f>IF(ISBLANK(C817),,IFERROR(IF(VLOOKUP(B817,Standings!$A:$F, 6, 0)=VLOOKUP(C817,Standings!$A:$F, 6, 0), VLOOKUP(B817,Standings!$A:$F, 6, 0), "Non-con"), "FCS"))</f>
        <v/>
      </c>
      <c r="W817" s="3" t="str">
        <f t="shared" si="10"/>
        <v/>
      </c>
      <c r="X817" s="3" t="str">
        <f t="shared" si="11"/>
        <v/>
      </c>
      <c r="Y817" s="30" t="str">
        <f>IF(D817=0,,IF(ISBLANK(Q817),,VLOOKUP(X817,Week1,2,FALSE)/(VLOOKUP(X817,Week1,2,FALSE)+VLOOKUP(W817,Week1,2,FALSE)))*100)</f>
        <v/>
      </c>
      <c r="Z817" s="4"/>
      <c r="AA817" s="3"/>
      <c r="AB817" s="4" t="str">
        <f t="shared" si="20"/>
        <v/>
      </c>
      <c r="AC817" s="3"/>
      <c r="AD817" s="3"/>
      <c r="AE817" s="3" t="str">
        <f t="shared" si="13"/>
        <v/>
      </c>
      <c r="AF817" s="3"/>
      <c r="AG817" s="3" t="str">
        <f t="shared" si="133"/>
        <v/>
      </c>
      <c r="AH817" s="3"/>
      <c r="AI817" s="7"/>
      <c r="AJ817" s="4"/>
      <c r="AK817" s="7"/>
      <c r="AL817" s="7"/>
      <c r="AM817" s="7"/>
      <c r="AN817" s="7"/>
      <c r="AO817" s="7"/>
      <c r="AP817" s="7"/>
      <c r="AQ817" s="7"/>
      <c r="AR817" s="7"/>
      <c r="AS817" s="7"/>
      <c r="AT817" s="7"/>
      <c r="AU817" s="7"/>
      <c r="AV817" s="7"/>
      <c r="AW817" s="7"/>
      <c r="AX817" s="7"/>
    </row>
    <row r="818" ht="12.75" customHeight="1">
      <c r="A818" s="4"/>
      <c r="B818" s="4"/>
      <c r="C818" s="4"/>
      <c r="D818" s="4"/>
      <c r="E818" s="4" t="str">
        <f>IF(ISBLANK(B818),,IFERROR(VLOOKUP(B818,CurrentRank!$B$2:$C$132,2,FALSE),0))</f>
        <v/>
      </c>
      <c r="F818" s="4"/>
      <c r="G818" s="4" t="str">
        <f>IF(ISBLANK(B818),,IFERROR(VLOOKUP(B818,CurrentRank!$B$2:$D$132,3,FALSE),130))</f>
        <v/>
      </c>
      <c r="H818" s="4"/>
      <c r="I818" s="4" t="str">
        <f>IF(ISBLANK(B818),,IFERROR(VLOOKUP(C818,CurrentRank!$B$2:$C$132,2,FALSE),0))</f>
        <v/>
      </c>
      <c r="J818" s="4"/>
      <c r="K818" s="4" t="str">
        <f>IF(ISBLANK(C818),,IFERROR(VLOOKUP(C818,CurrentRank!$B$2:$D$132,3,FALSE),130))</f>
        <v/>
      </c>
      <c r="L818" s="19" t="str">
        <f t="shared" si="279"/>
        <v/>
      </c>
      <c r="M818" s="19" t="str">
        <f t="shared" si="280"/>
        <v/>
      </c>
      <c r="N818" s="24" t="str">
        <f t="shared" si="276"/>
        <v/>
      </c>
      <c r="O818" s="21" t="str">
        <f t="shared" si="4"/>
        <v/>
      </c>
      <c r="P818" s="21" t="str">
        <f t="shared" si="282"/>
        <v/>
      </c>
      <c r="Q818" s="22" t="str">
        <f t="shared" si="6"/>
        <v/>
      </c>
      <c r="R818" s="25" t="str">
        <f t="shared" si="7"/>
        <v/>
      </c>
      <c r="S818" s="19" t="str">
        <f t="shared" si="8"/>
        <v/>
      </c>
      <c r="T818" s="19" t="str">
        <f t="shared" si="9"/>
        <v/>
      </c>
      <c r="U818" s="3"/>
      <c r="V818" s="4" t="str">
        <f>IF(ISBLANK(C818),,IFERROR(IF(VLOOKUP(B818,Standings!$A:$F, 6, 0)=VLOOKUP(C818,Standings!$A:$F, 6, 0), VLOOKUP(B818,Standings!$A:$F, 6, 0), "Non-con"), "FCS"))</f>
        <v/>
      </c>
      <c r="W818" s="3" t="str">
        <f t="shared" si="10"/>
        <v/>
      </c>
      <c r="X818" s="3" t="str">
        <f t="shared" si="11"/>
        <v/>
      </c>
      <c r="Y818" s="30" t="str">
        <f>IF(D818=0,,IF(ISBLANK(Q818),,VLOOKUP(X818,Week1,2,FALSE)/(VLOOKUP(X818,Week1,2,FALSE)+VLOOKUP(W818,Week1,2,FALSE)))*100)</f>
        <v/>
      </c>
      <c r="Z818" s="4"/>
      <c r="AA818" s="3"/>
      <c r="AB818" s="4" t="str">
        <f t="shared" si="20"/>
        <v/>
      </c>
      <c r="AC818" s="3"/>
      <c r="AD818" s="3"/>
      <c r="AE818" s="3" t="str">
        <f t="shared" si="13"/>
        <v/>
      </c>
      <c r="AF818" s="3"/>
      <c r="AG818" s="3" t="str">
        <f t="shared" si="133"/>
        <v/>
      </c>
      <c r="AH818" s="3"/>
      <c r="AI818" s="7"/>
      <c r="AJ818" s="4"/>
      <c r="AK818" s="7"/>
      <c r="AL818" s="7"/>
      <c r="AM818" s="7"/>
      <c r="AN818" s="7"/>
      <c r="AO818" s="7"/>
      <c r="AP818" s="7"/>
      <c r="AQ818" s="7"/>
      <c r="AR818" s="7"/>
      <c r="AS818" s="7"/>
      <c r="AT818" s="7"/>
      <c r="AU818" s="7"/>
      <c r="AV818" s="7"/>
      <c r="AW818" s="7"/>
      <c r="AX818" s="7"/>
    </row>
    <row r="819" ht="12.75" customHeight="1">
      <c r="A819" s="4"/>
      <c r="B819" s="4"/>
      <c r="C819" s="4"/>
      <c r="D819" s="4"/>
      <c r="E819" s="4" t="str">
        <f>IF(ISBLANK(B819),,IFERROR(VLOOKUP(B819,CurrentRank!$B$2:$C$132,2,FALSE),0))</f>
        <v/>
      </c>
      <c r="F819" s="4"/>
      <c r="G819" s="4" t="str">
        <f>IF(ISBLANK(B819),,IFERROR(VLOOKUP(B819,CurrentRank!$B$2:$D$132,3,FALSE),130))</f>
        <v/>
      </c>
      <c r="H819" s="4"/>
      <c r="I819" s="4" t="str">
        <f>IF(ISBLANK(B819),,IFERROR(VLOOKUP(C819,CurrentRank!$B$2:$C$132,2,FALSE),0))</f>
        <v/>
      </c>
      <c r="J819" s="4"/>
      <c r="K819" s="4" t="str">
        <f>IF(ISBLANK(C819),,IFERROR(VLOOKUP(C819,CurrentRank!$B$2:$D$132,3,FALSE),130))</f>
        <v/>
      </c>
      <c r="L819" s="19" t="str">
        <f t="shared" si="279"/>
        <v/>
      </c>
      <c r="M819" s="19" t="str">
        <f t="shared" si="280"/>
        <v/>
      </c>
      <c r="N819" s="24" t="str">
        <f t="shared" si="276"/>
        <v/>
      </c>
      <c r="O819" s="21" t="str">
        <f t="shared" si="4"/>
        <v/>
      </c>
      <c r="P819" s="21" t="str">
        <f t="shared" si="282"/>
        <v/>
      </c>
      <c r="Q819" s="22" t="str">
        <f t="shared" si="6"/>
        <v/>
      </c>
      <c r="R819" s="25" t="str">
        <f t="shared" si="7"/>
        <v/>
      </c>
      <c r="S819" s="19" t="str">
        <f t="shared" si="8"/>
        <v/>
      </c>
      <c r="T819" s="19" t="str">
        <f t="shared" si="9"/>
        <v/>
      </c>
      <c r="U819" s="3"/>
      <c r="V819" s="4" t="str">
        <f>IF(ISBLANK(C819),,IFERROR(IF(VLOOKUP(B819,Standings!$A:$F, 6, 0)=VLOOKUP(C819,Standings!$A:$F, 6, 0), VLOOKUP(B819,Standings!$A:$F, 6, 0), "Non-con"), "FCS"))</f>
        <v/>
      </c>
      <c r="W819" s="3" t="str">
        <f t="shared" si="10"/>
        <v/>
      </c>
      <c r="X819" s="3" t="str">
        <f t="shared" si="11"/>
        <v/>
      </c>
      <c r="Y819" s="30" t="str">
        <f>IF(D819=0,,IF(ISBLANK(Q819),,VLOOKUP(X819,Week1,2,FALSE)/(VLOOKUP(X819,Week1,2,FALSE)+VLOOKUP(W819,Week1,2,FALSE)))*100)</f>
        <v/>
      </c>
      <c r="Z819" s="4"/>
      <c r="AA819" s="3"/>
      <c r="AB819" s="4" t="str">
        <f t="shared" si="20"/>
        <v/>
      </c>
      <c r="AC819" s="3"/>
      <c r="AD819" s="3"/>
      <c r="AE819" s="3" t="str">
        <f t="shared" si="13"/>
        <v/>
      </c>
      <c r="AF819" s="3"/>
      <c r="AG819" s="3" t="str">
        <f t="shared" si="133"/>
        <v/>
      </c>
      <c r="AH819" s="3"/>
      <c r="AI819" s="7"/>
      <c r="AJ819" s="4"/>
      <c r="AK819" s="7"/>
      <c r="AL819" s="7"/>
      <c r="AM819" s="7"/>
      <c r="AN819" s="7"/>
      <c r="AO819" s="7"/>
      <c r="AP819" s="7"/>
      <c r="AQ819" s="7"/>
      <c r="AR819" s="7"/>
      <c r="AS819" s="7"/>
      <c r="AT819" s="7"/>
      <c r="AU819" s="7"/>
      <c r="AV819" s="7"/>
      <c r="AW819" s="7"/>
      <c r="AX819" s="7"/>
    </row>
    <row r="820" ht="12.75" customHeight="1">
      <c r="A820" s="4"/>
      <c r="B820" s="4"/>
      <c r="C820" s="4"/>
      <c r="D820" s="4"/>
      <c r="E820" s="4" t="str">
        <f>IF(ISBLANK(B820),,IFERROR(VLOOKUP(B820,CurrentRank!$B$2:$C$132,2,FALSE),0))</f>
        <v/>
      </c>
      <c r="F820" s="4"/>
      <c r="G820" s="4" t="str">
        <f>IF(ISBLANK(B820),,IFERROR(VLOOKUP(B820,CurrentRank!$B$2:$D$132,3,FALSE),130))</f>
        <v/>
      </c>
      <c r="H820" s="4"/>
      <c r="I820" s="4" t="str">
        <f>IF(ISBLANK(B820),,IFERROR(VLOOKUP(C820,CurrentRank!$B$2:$C$132,2,FALSE),0))</f>
        <v/>
      </c>
      <c r="J820" s="4"/>
      <c r="K820" s="4" t="str">
        <f>IF(ISBLANK(C820),,IFERROR(VLOOKUP(C820,CurrentRank!$B$2:$D$132,3,FALSE),130))</f>
        <v/>
      </c>
      <c r="L820" s="19" t="str">
        <f t="shared" si="279"/>
        <v/>
      </c>
      <c r="M820" s="19" t="str">
        <f t="shared" si="280"/>
        <v/>
      </c>
      <c r="N820" s="24" t="str">
        <f t="shared" si="276"/>
        <v/>
      </c>
      <c r="O820" s="21" t="str">
        <f t="shared" si="4"/>
        <v/>
      </c>
      <c r="P820" s="21" t="str">
        <f t="shared" si="282"/>
        <v/>
      </c>
      <c r="Q820" s="22" t="str">
        <f t="shared" si="6"/>
        <v/>
      </c>
      <c r="R820" s="25" t="str">
        <f t="shared" si="7"/>
        <v/>
      </c>
      <c r="S820" s="19" t="str">
        <f t="shared" si="8"/>
        <v/>
      </c>
      <c r="T820" s="19" t="str">
        <f t="shared" si="9"/>
        <v/>
      </c>
      <c r="U820" s="3"/>
      <c r="V820" s="4" t="str">
        <f>IF(ISBLANK(C820),,IFERROR(IF(VLOOKUP(B820,Standings!$A:$F, 6, 0)=VLOOKUP(C820,Standings!$A:$F, 6, 0), VLOOKUP(B820,Standings!$A:$F, 6, 0), "Non-con"), "FCS"))</f>
        <v/>
      </c>
      <c r="W820" s="3" t="str">
        <f t="shared" si="10"/>
        <v/>
      </c>
      <c r="X820" s="3" t="str">
        <f t="shared" si="11"/>
        <v/>
      </c>
      <c r="Y820" s="30" t="str">
        <f>IF(D820=0,,IF(ISBLANK(Q820),,VLOOKUP(X820,Week1,2,FALSE)/(VLOOKUP(X820,Week1,2,FALSE)+VLOOKUP(W820,Week1,2,FALSE)))*100)</f>
        <v/>
      </c>
      <c r="Z820" s="4"/>
      <c r="AA820" s="3"/>
      <c r="AB820" s="4" t="str">
        <f t="shared" si="20"/>
        <v/>
      </c>
      <c r="AC820" s="3"/>
      <c r="AD820" s="3"/>
      <c r="AE820" s="3" t="str">
        <f t="shared" si="13"/>
        <v/>
      </c>
      <c r="AF820" s="3"/>
      <c r="AG820" s="3" t="str">
        <f t="shared" si="133"/>
        <v/>
      </c>
      <c r="AH820" s="3"/>
      <c r="AI820" s="7"/>
      <c r="AJ820" s="4"/>
      <c r="AK820" s="7"/>
      <c r="AL820" s="7"/>
      <c r="AM820" s="7"/>
      <c r="AN820" s="7"/>
      <c r="AO820" s="7"/>
      <c r="AP820" s="7"/>
      <c r="AQ820" s="7"/>
      <c r="AR820" s="7"/>
      <c r="AS820" s="7"/>
      <c r="AT820" s="7"/>
      <c r="AU820" s="7"/>
      <c r="AV820" s="7"/>
      <c r="AW820" s="7"/>
      <c r="AX820" s="7"/>
    </row>
    <row r="821" ht="12.75" customHeight="1">
      <c r="A821" s="4"/>
      <c r="B821" s="4"/>
      <c r="C821" s="4"/>
      <c r="D821" s="4"/>
      <c r="E821" s="4" t="str">
        <f>IF(ISBLANK(B821),,IFERROR(VLOOKUP(B821,CurrentRank!$B$2:$C$132,2,FALSE),0))</f>
        <v/>
      </c>
      <c r="F821" s="4"/>
      <c r="G821" s="4" t="str">
        <f>IF(ISBLANK(B821),,IFERROR(VLOOKUP(B821,CurrentRank!$B$2:$D$132,3,FALSE),130))</f>
        <v/>
      </c>
      <c r="H821" s="4"/>
      <c r="I821" s="4" t="str">
        <f>IF(ISBLANK(B821),,IFERROR(VLOOKUP(C821,CurrentRank!$B$2:$C$132,2,FALSE),0))</f>
        <v/>
      </c>
      <c r="J821" s="4"/>
      <c r="K821" s="4" t="str">
        <f>IF(ISBLANK(C821),,IFERROR(VLOOKUP(C821,CurrentRank!$B$2:$D$132,3,FALSE),130))</f>
        <v/>
      </c>
      <c r="L821" s="19" t="str">
        <f t="shared" si="279"/>
        <v/>
      </c>
      <c r="M821" s="19" t="str">
        <f t="shared" si="280"/>
        <v/>
      </c>
      <c r="N821" s="24" t="str">
        <f t="shared" si="276"/>
        <v/>
      </c>
      <c r="O821" s="21" t="str">
        <f t="shared" si="4"/>
        <v/>
      </c>
      <c r="P821" s="21" t="str">
        <f t="shared" si="282"/>
        <v/>
      </c>
      <c r="Q821" s="22" t="str">
        <f t="shared" si="6"/>
        <v/>
      </c>
      <c r="R821" s="25" t="str">
        <f t="shared" si="7"/>
        <v/>
      </c>
      <c r="S821" s="19" t="str">
        <f t="shared" si="8"/>
        <v/>
      </c>
      <c r="T821" s="19" t="str">
        <f t="shared" si="9"/>
        <v/>
      </c>
      <c r="U821" s="3"/>
      <c r="V821" s="4" t="str">
        <f>IF(ISBLANK(C821),,IFERROR(IF(VLOOKUP(B821,Standings!$A:$F, 6, 0)=VLOOKUP(C821,Standings!$A:$F, 6, 0), VLOOKUP(B821,Standings!$A:$F, 6, 0), "Non-con"), "FCS"))</f>
        <v/>
      </c>
      <c r="W821" s="3" t="str">
        <f t="shared" si="10"/>
        <v/>
      </c>
      <c r="X821" s="3" t="str">
        <f t="shared" si="11"/>
        <v/>
      </c>
      <c r="Y821" s="30" t="str">
        <f>IF(D821=0,,IF(ISBLANK(Q821),,VLOOKUP(X821,Week1,2,FALSE)/(VLOOKUP(X821,Week1,2,FALSE)+VLOOKUP(W821,Week1,2,FALSE)))*100)</f>
        <v/>
      </c>
      <c r="Z821" s="4"/>
      <c r="AA821" s="3"/>
      <c r="AB821" s="4" t="str">
        <f t="shared" si="20"/>
        <v/>
      </c>
      <c r="AC821" s="3"/>
      <c r="AD821" s="3"/>
      <c r="AE821" s="3" t="str">
        <f t="shared" si="13"/>
        <v/>
      </c>
      <c r="AF821" s="3"/>
      <c r="AG821" s="3" t="str">
        <f t="shared" si="133"/>
        <v/>
      </c>
      <c r="AH821" s="3"/>
      <c r="AI821" s="7"/>
      <c r="AJ821" s="4"/>
      <c r="AK821" s="7"/>
      <c r="AL821" s="7"/>
      <c r="AM821" s="7"/>
      <c r="AN821" s="7"/>
      <c r="AO821" s="7"/>
      <c r="AP821" s="7"/>
      <c r="AQ821" s="7"/>
      <c r="AR821" s="7"/>
      <c r="AS821" s="7"/>
      <c r="AT821" s="7"/>
      <c r="AU821" s="7"/>
      <c r="AV821" s="7"/>
      <c r="AW821" s="7"/>
      <c r="AX821" s="7"/>
    </row>
    <row r="822" ht="12.75" customHeight="1">
      <c r="A822" s="4"/>
      <c r="B822" s="4"/>
      <c r="C822" s="4"/>
      <c r="D822" s="4"/>
      <c r="E822" s="4" t="str">
        <f>IF(ISBLANK(B822),,IFERROR(VLOOKUP(B822,CurrentRank!$B$2:$C$132,2,FALSE),0))</f>
        <v/>
      </c>
      <c r="F822" s="4"/>
      <c r="G822" s="4" t="str">
        <f>IF(ISBLANK(B822),,IFERROR(VLOOKUP(B822,CurrentRank!$B$2:$D$132,3,FALSE),130))</f>
        <v/>
      </c>
      <c r="H822" s="4"/>
      <c r="I822" s="4" t="str">
        <f>IF(ISBLANK(B822),,IFERROR(VLOOKUP(C822,CurrentRank!$B$2:$C$132,2,FALSE),0))</f>
        <v/>
      </c>
      <c r="J822" s="4"/>
      <c r="K822" s="4" t="str">
        <f>IF(ISBLANK(C822),,IFERROR(VLOOKUP(C822,CurrentRank!$B$2:$D$132,3,FALSE),130))</f>
        <v/>
      </c>
      <c r="L822" s="19" t="str">
        <f t="shared" si="279"/>
        <v/>
      </c>
      <c r="M822" s="19" t="str">
        <f t="shared" si="280"/>
        <v/>
      </c>
      <c r="N822" s="24" t="str">
        <f t="shared" si="276"/>
        <v/>
      </c>
      <c r="O822" s="21" t="str">
        <f t="shared" si="4"/>
        <v/>
      </c>
      <c r="P822" s="21" t="str">
        <f t="shared" si="282"/>
        <v/>
      </c>
      <c r="Q822" s="22" t="str">
        <f t="shared" si="6"/>
        <v/>
      </c>
      <c r="R822" s="25" t="str">
        <f t="shared" si="7"/>
        <v/>
      </c>
      <c r="S822" s="19" t="str">
        <f t="shared" si="8"/>
        <v/>
      </c>
      <c r="T822" s="19" t="str">
        <f t="shared" si="9"/>
        <v/>
      </c>
      <c r="U822" s="3"/>
      <c r="V822" s="4" t="str">
        <f>IF(ISBLANK(C822),,IFERROR(IF(VLOOKUP(B822,Standings!$A:$F, 6, 0)=VLOOKUP(C822,Standings!$A:$F, 6, 0), VLOOKUP(B822,Standings!$A:$F, 6, 0), "Non-con"), "FCS"))</f>
        <v/>
      </c>
      <c r="W822" s="3" t="str">
        <f t="shared" si="10"/>
        <v/>
      </c>
      <c r="X822" s="3" t="str">
        <f t="shared" si="11"/>
        <v/>
      </c>
      <c r="Y822" s="30" t="str">
        <f>IF(D822=0,,IF(ISBLANK(Q822),,VLOOKUP(X822,Week1,2,FALSE)/(VLOOKUP(X822,Week1,2,FALSE)+VLOOKUP(W822,Week1,2,FALSE)))*100)</f>
        <v/>
      </c>
      <c r="Z822" s="4"/>
      <c r="AA822" s="3"/>
      <c r="AB822" s="4" t="str">
        <f t="shared" si="20"/>
        <v/>
      </c>
      <c r="AC822" s="3"/>
      <c r="AD822" s="3"/>
      <c r="AE822" s="3" t="str">
        <f t="shared" si="13"/>
        <v/>
      </c>
      <c r="AF822" s="3"/>
      <c r="AG822" s="3" t="str">
        <f t="shared" si="133"/>
        <v/>
      </c>
      <c r="AH822" s="3"/>
      <c r="AI822" s="7"/>
      <c r="AJ822" s="4"/>
      <c r="AK822" s="7"/>
      <c r="AL822" s="7"/>
      <c r="AM822" s="7"/>
      <c r="AN822" s="7"/>
      <c r="AO822" s="7"/>
      <c r="AP822" s="7"/>
      <c r="AQ822" s="7"/>
      <c r="AR822" s="7"/>
      <c r="AS822" s="7"/>
      <c r="AT822" s="7"/>
      <c r="AU822" s="7"/>
      <c r="AV822" s="7"/>
      <c r="AW822" s="7"/>
      <c r="AX822" s="7"/>
    </row>
    <row r="823" ht="12.75" customHeight="1">
      <c r="A823" s="4"/>
      <c r="B823" s="4"/>
      <c r="C823" s="4"/>
      <c r="D823" s="4"/>
      <c r="E823" s="4" t="str">
        <f>IF(ISBLANK(B823),,IFERROR(VLOOKUP(B823,CurrentRank!$B$2:$C$132,2,FALSE),0))</f>
        <v/>
      </c>
      <c r="F823" s="4"/>
      <c r="G823" s="4" t="str">
        <f>IF(ISBLANK(B823),,IFERROR(VLOOKUP(B823,CurrentRank!$B$2:$D$132,3,FALSE),130))</f>
        <v/>
      </c>
      <c r="H823" s="4"/>
      <c r="I823" s="4" t="str">
        <f>IF(ISBLANK(B823),,IFERROR(VLOOKUP(C823,CurrentRank!$B$2:$C$132,2,FALSE),0))</f>
        <v/>
      </c>
      <c r="J823" s="4"/>
      <c r="K823" s="4" t="str">
        <f>IF(ISBLANK(C823),,IFERROR(VLOOKUP(C823,CurrentRank!$B$2:$D$132,3,FALSE),130))</f>
        <v/>
      </c>
      <c r="L823" s="19" t="str">
        <f t="shared" si="279"/>
        <v/>
      </c>
      <c r="M823" s="19" t="str">
        <f t="shared" si="280"/>
        <v/>
      </c>
      <c r="N823" s="24" t="str">
        <f t="shared" si="276"/>
        <v/>
      </c>
      <c r="O823" s="21" t="str">
        <f t="shared" si="4"/>
        <v/>
      </c>
      <c r="P823" s="21" t="str">
        <f t="shared" si="282"/>
        <v/>
      </c>
      <c r="Q823" s="22" t="str">
        <f t="shared" si="6"/>
        <v/>
      </c>
      <c r="R823" s="25" t="str">
        <f t="shared" si="7"/>
        <v/>
      </c>
      <c r="S823" s="19" t="str">
        <f t="shared" si="8"/>
        <v/>
      </c>
      <c r="T823" s="19" t="str">
        <f t="shared" si="9"/>
        <v/>
      </c>
      <c r="U823" s="3"/>
      <c r="V823" s="4" t="str">
        <f>IF(ISBLANK(C823),,IFERROR(IF(VLOOKUP(B823,Standings!$A:$F, 6, 0)=VLOOKUP(C823,Standings!$A:$F, 6, 0), VLOOKUP(B823,Standings!$A:$F, 6, 0), "Non-con"), "FCS"))</f>
        <v/>
      </c>
      <c r="W823" s="3" t="str">
        <f t="shared" si="10"/>
        <v/>
      </c>
      <c r="X823" s="3" t="str">
        <f t="shared" si="11"/>
        <v/>
      </c>
      <c r="Y823" s="30" t="str">
        <f>IF(D823=0,,IF(ISBLANK(Q823),,VLOOKUP(X823,Week1,2,FALSE)/(VLOOKUP(X823,Week1,2,FALSE)+VLOOKUP(W823,Week1,2,FALSE)))*100)</f>
        <v/>
      </c>
      <c r="Z823" s="4"/>
      <c r="AA823" s="3"/>
      <c r="AB823" s="4" t="str">
        <f t="shared" si="20"/>
        <v/>
      </c>
      <c r="AC823" s="3"/>
      <c r="AD823" s="3"/>
      <c r="AE823" s="3" t="str">
        <f t="shared" si="13"/>
        <v/>
      </c>
      <c r="AF823" s="3"/>
      <c r="AG823" s="3" t="str">
        <f t="shared" si="133"/>
        <v/>
      </c>
      <c r="AH823" s="3"/>
      <c r="AI823" s="7"/>
      <c r="AJ823" s="4"/>
      <c r="AK823" s="7"/>
      <c r="AL823" s="7"/>
      <c r="AM823" s="7"/>
      <c r="AN823" s="7"/>
      <c r="AO823" s="7"/>
      <c r="AP823" s="7"/>
      <c r="AQ823" s="7"/>
      <c r="AR823" s="7"/>
      <c r="AS823" s="7"/>
      <c r="AT823" s="7"/>
      <c r="AU823" s="7"/>
      <c r="AV823" s="7"/>
      <c r="AW823" s="7"/>
      <c r="AX823" s="7"/>
    </row>
    <row r="824" ht="12.75" customHeight="1">
      <c r="A824" s="4"/>
      <c r="B824" s="4"/>
      <c r="C824" s="4"/>
      <c r="D824" s="4"/>
      <c r="E824" s="4" t="str">
        <f>IF(ISBLANK(B824),,IFERROR(VLOOKUP(B824,CurrentRank!$B$2:$C$132,2,FALSE),0))</f>
        <v/>
      </c>
      <c r="F824" s="4"/>
      <c r="G824" s="4" t="str">
        <f>IF(ISBLANK(B824),,IFERROR(VLOOKUP(B824,CurrentRank!$B$2:$D$132,3,FALSE),130))</f>
        <v/>
      </c>
      <c r="H824" s="4"/>
      <c r="I824" s="4" t="str">
        <f>IF(ISBLANK(B824),,IFERROR(VLOOKUP(C824,CurrentRank!$B$2:$C$132,2,FALSE),0))</f>
        <v/>
      </c>
      <c r="J824" s="4"/>
      <c r="K824" s="4" t="str">
        <f>IF(ISBLANK(C824),,IFERROR(VLOOKUP(C824,CurrentRank!$B$2:$D$132,3,FALSE),130))</f>
        <v/>
      </c>
      <c r="L824" s="19" t="str">
        <f t="shared" si="279"/>
        <v/>
      </c>
      <c r="M824" s="19" t="str">
        <f t="shared" si="280"/>
        <v/>
      </c>
      <c r="N824" s="24" t="str">
        <f t="shared" si="276"/>
        <v/>
      </c>
      <c r="O824" s="21" t="str">
        <f t="shared" si="4"/>
        <v/>
      </c>
      <c r="P824" s="21" t="str">
        <f t="shared" si="282"/>
        <v/>
      </c>
      <c r="Q824" s="22" t="str">
        <f t="shared" si="6"/>
        <v/>
      </c>
      <c r="R824" s="25" t="str">
        <f t="shared" si="7"/>
        <v/>
      </c>
      <c r="S824" s="19" t="str">
        <f t="shared" si="8"/>
        <v/>
      </c>
      <c r="T824" s="19" t="str">
        <f t="shared" si="9"/>
        <v/>
      </c>
      <c r="U824" s="3"/>
      <c r="V824" s="4" t="str">
        <f>IF(ISBLANK(C824),,IFERROR(IF(VLOOKUP(B824,Standings!$A:$F, 6, 0)=VLOOKUP(C824,Standings!$A:$F, 6, 0), VLOOKUP(B824,Standings!$A:$F, 6, 0), "Non-con"), "FCS"))</f>
        <v/>
      </c>
      <c r="W824" s="3" t="str">
        <f t="shared" si="10"/>
        <v/>
      </c>
      <c r="X824" s="3" t="str">
        <f t="shared" si="11"/>
        <v/>
      </c>
      <c r="Y824" s="30" t="str">
        <f>IF(D824=0,,IF(ISBLANK(Q824),,VLOOKUP(X824,Week1,2,FALSE)/(VLOOKUP(X824,Week1,2,FALSE)+VLOOKUP(W824,Week1,2,FALSE)))*100)</f>
        <v/>
      </c>
      <c r="Z824" s="4"/>
      <c r="AA824" s="3"/>
      <c r="AB824" s="4" t="str">
        <f t="shared" si="20"/>
        <v/>
      </c>
      <c r="AC824" s="3"/>
      <c r="AD824" s="3"/>
      <c r="AE824" s="3" t="str">
        <f t="shared" si="13"/>
        <v/>
      </c>
      <c r="AF824" s="3"/>
      <c r="AG824" s="3" t="str">
        <f t="shared" si="133"/>
        <v/>
      </c>
      <c r="AH824" s="3"/>
      <c r="AI824" s="7"/>
      <c r="AJ824" s="4"/>
      <c r="AK824" s="7"/>
      <c r="AL824" s="7"/>
      <c r="AM824" s="7"/>
      <c r="AN824" s="7"/>
      <c r="AO824" s="7"/>
      <c r="AP824" s="7"/>
      <c r="AQ824" s="7"/>
      <c r="AR824" s="7"/>
      <c r="AS824" s="7"/>
      <c r="AT824" s="7"/>
      <c r="AU824" s="7"/>
      <c r="AV824" s="7"/>
      <c r="AW824" s="7"/>
      <c r="AX824" s="7"/>
    </row>
    <row r="825" ht="12.75" customHeight="1">
      <c r="A825" s="4"/>
      <c r="B825" s="4"/>
      <c r="C825" s="4"/>
      <c r="D825" s="4"/>
      <c r="E825" s="4" t="str">
        <f>IF(ISBLANK(B825),,IFERROR(VLOOKUP(B825,CurrentRank!$B$2:$C$132,2,FALSE),0))</f>
        <v/>
      </c>
      <c r="F825" s="4"/>
      <c r="G825" s="4" t="str">
        <f>IF(ISBLANK(B825),,IFERROR(VLOOKUP(B825,CurrentRank!$B$2:$D$132,3,FALSE),130))</f>
        <v/>
      </c>
      <c r="H825" s="4"/>
      <c r="I825" s="4" t="str">
        <f>IF(ISBLANK(B825),,IFERROR(VLOOKUP(C825,CurrentRank!$B$2:$C$132,2,FALSE),0))</f>
        <v/>
      </c>
      <c r="J825" s="4"/>
      <c r="K825" s="4" t="str">
        <f>IF(ISBLANK(C825),,IFERROR(VLOOKUP(C825,CurrentRank!$B$2:$D$132,3,FALSE),130))</f>
        <v/>
      </c>
      <c r="L825" s="19" t="str">
        <f t="shared" si="279"/>
        <v/>
      </c>
      <c r="M825" s="19" t="str">
        <f t="shared" si="280"/>
        <v/>
      </c>
      <c r="N825" s="24" t="str">
        <f t="shared" si="276"/>
        <v/>
      </c>
      <c r="O825" s="21" t="str">
        <f t="shared" si="4"/>
        <v/>
      </c>
      <c r="P825" s="21" t="str">
        <f t="shared" si="282"/>
        <v/>
      </c>
      <c r="Q825" s="22" t="str">
        <f t="shared" si="6"/>
        <v/>
      </c>
      <c r="R825" s="25" t="str">
        <f t="shared" si="7"/>
        <v/>
      </c>
      <c r="S825" s="19" t="str">
        <f t="shared" si="8"/>
        <v/>
      </c>
      <c r="T825" s="19" t="str">
        <f t="shared" si="9"/>
        <v/>
      </c>
      <c r="U825" s="3"/>
      <c r="V825" s="4" t="str">
        <f>IF(ISBLANK(C825),,IFERROR(IF(VLOOKUP(B825,Standings!$A:$F, 6, 0)=VLOOKUP(C825,Standings!$A:$F, 6, 0), VLOOKUP(B825,Standings!$A:$F, 6, 0), "Non-con"), "FCS"))</f>
        <v/>
      </c>
      <c r="W825" s="3" t="str">
        <f t="shared" si="10"/>
        <v/>
      </c>
      <c r="X825" s="3" t="str">
        <f t="shared" si="11"/>
        <v/>
      </c>
      <c r="Y825" s="30" t="str">
        <f>IF(D825=0,,IF(ISBLANK(Q825),,VLOOKUP(X825,Week1,2,FALSE)/(VLOOKUP(X825,Week1,2,FALSE)+VLOOKUP(W825,Week1,2,FALSE)))*100)</f>
        <v/>
      </c>
      <c r="Z825" s="4"/>
      <c r="AA825" s="3"/>
      <c r="AB825" s="4" t="str">
        <f t="shared" si="20"/>
        <v/>
      </c>
      <c r="AC825" s="3"/>
      <c r="AD825" s="3"/>
      <c r="AE825" s="3" t="str">
        <f t="shared" si="13"/>
        <v/>
      </c>
      <c r="AF825" s="3"/>
      <c r="AG825" s="3" t="str">
        <f t="shared" si="133"/>
        <v/>
      </c>
      <c r="AH825" s="3"/>
      <c r="AI825" s="7"/>
      <c r="AJ825" s="4"/>
      <c r="AK825" s="7"/>
      <c r="AL825" s="7"/>
      <c r="AM825" s="7"/>
      <c r="AN825" s="7"/>
      <c r="AO825" s="7"/>
      <c r="AP825" s="7"/>
      <c r="AQ825" s="7"/>
      <c r="AR825" s="7"/>
      <c r="AS825" s="7"/>
      <c r="AT825" s="7"/>
      <c r="AU825" s="7"/>
      <c r="AV825" s="7"/>
      <c r="AW825" s="7"/>
      <c r="AX825" s="7"/>
    </row>
    <row r="826" ht="12.75" customHeight="1">
      <c r="A826" s="4"/>
      <c r="B826" s="4"/>
      <c r="C826" s="4"/>
      <c r="D826" s="4"/>
      <c r="E826" s="4" t="str">
        <f>IF(ISBLANK(B826),,IFERROR(VLOOKUP(B826,CurrentRank!$B$2:$C$132,2,FALSE),0))</f>
        <v/>
      </c>
      <c r="F826" s="4"/>
      <c r="G826" s="4" t="str">
        <f>IF(ISBLANK(B826),,IFERROR(VLOOKUP(B826,CurrentRank!$B$2:$D$132,3,FALSE),130))</f>
        <v/>
      </c>
      <c r="H826" s="4"/>
      <c r="I826" s="4" t="str">
        <f>IF(ISBLANK(B826),,IFERROR(VLOOKUP(C826,CurrentRank!$B$2:$C$132,2,FALSE),0))</f>
        <v/>
      </c>
      <c r="J826" s="4"/>
      <c r="K826" s="4" t="str">
        <f>IF(ISBLANK(C826),,IFERROR(VLOOKUP(C826,CurrentRank!$B$2:$D$132,3,FALSE),130))</f>
        <v/>
      </c>
      <c r="L826" s="19" t="str">
        <f t="shared" si="279"/>
        <v/>
      </c>
      <c r="M826" s="19" t="str">
        <f t="shared" si="280"/>
        <v/>
      </c>
      <c r="N826" s="24" t="str">
        <f t="shared" si="276"/>
        <v/>
      </c>
      <c r="O826" s="21" t="str">
        <f t="shared" si="4"/>
        <v/>
      </c>
      <c r="P826" s="21" t="str">
        <f t="shared" si="282"/>
        <v/>
      </c>
      <c r="Q826" s="22" t="str">
        <f t="shared" si="6"/>
        <v/>
      </c>
      <c r="R826" s="25" t="str">
        <f t="shared" si="7"/>
        <v/>
      </c>
      <c r="S826" s="19" t="str">
        <f t="shared" si="8"/>
        <v/>
      </c>
      <c r="T826" s="19" t="str">
        <f t="shared" si="9"/>
        <v/>
      </c>
      <c r="U826" s="3"/>
      <c r="V826" s="4" t="str">
        <f>IF(ISBLANK(C826),,IFERROR(IF(VLOOKUP(B826,Standings!$A:$F, 6, 0)=VLOOKUP(C826,Standings!$A:$F, 6, 0), VLOOKUP(B826,Standings!$A:$F, 6, 0), "Non-con"), "FCS"))</f>
        <v/>
      </c>
      <c r="W826" s="3" t="str">
        <f t="shared" si="10"/>
        <v/>
      </c>
      <c r="X826" s="3" t="str">
        <f t="shared" si="11"/>
        <v/>
      </c>
      <c r="Y826" s="30" t="str">
        <f>IF(D826=0,,IF(ISBLANK(Q826),,VLOOKUP(X826,Week1,2,FALSE)/(VLOOKUP(X826,Week1,2,FALSE)+VLOOKUP(W826,Week1,2,FALSE)))*100)</f>
        <v/>
      </c>
      <c r="Z826" s="4"/>
      <c r="AA826" s="3"/>
      <c r="AB826" s="4" t="str">
        <f t="shared" si="20"/>
        <v/>
      </c>
      <c r="AC826" s="3"/>
      <c r="AD826" s="3"/>
      <c r="AE826" s="3" t="str">
        <f t="shared" si="13"/>
        <v/>
      </c>
      <c r="AF826" s="3"/>
      <c r="AG826" s="3" t="str">
        <f t="shared" si="133"/>
        <v/>
      </c>
      <c r="AH826" s="3"/>
      <c r="AI826" s="7"/>
      <c r="AJ826" s="4"/>
      <c r="AK826" s="7"/>
      <c r="AL826" s="7"/>
      <c r="AM826" s="7"/>
      <c r="AN826" s="7"/>
      <c r="AO826" s="7"/>
      <c r="AP826" s="7"/>
      <c r="AQ826" s="7"/>
      <c r="AR826" s="7"/>
      <c r="AS826" s="7"/>
      <c r="AT826" s="7"/>
      <c r="AU826" s="7"/>
      <c r="AV826" s="7"/>
      <c r="AW826" s="7"/>
      <c r="AX826" s="7"/>
    </row>
    <row r="827" ht="12.75" customHeight="1">
      <c r="A827" s="4"/>
      <c r="B827" s="4"/>
      <c r="C827" s="4"/>
      <c r="D827" s="4"/>
      <c r="E827" s="4" t="str">
        <f>IF(ISBLANK(B827),,IFERROR(VLOOKUP(B827,CurrentRank!$B$2:$C$132,2,FALSE),0))</f>
        <v/>
      </c>
      <c r="F827" s="4"/>
      <c r="G827" s="4" t="str">
        <f>IF(ISBLANK(B827),,IFERROR(VLOOKUP(B827,CurrentRank!$B$2:$D$132,3,FALSE),130))</f>
        <v/>
      </c>
      <c r="H827" s="4"/>
      <c r="I827" s="4" t="str">
        <f>IF(ISBLANK(B827),,IFERROR(VLOOKUP(C827,CurrentRank!$B$2:$C$132,2,FALSE),0))</f>
        <v/>
      </c>
      <c r="J827" s="4"/>
      <c r="K827" s="4" t="str">
        <f>IF(ISBLANK(C827),,IFERROR(VLOOKUP(C827,CurrentRank!$B$2:$D$132,3,FALSE),130))</f>
        <v/>
      </c>
      <c r="L827" s="19" t="str">
        <f t="shared" si="279"/>
        <v/>
      </c>
      <c r="M827" s="19" t="str">
        <f t="shared" si="280"/>
        <v/>
      </c>
      <c r="N827" s="24" t="str">
        <f t="shared" si="276"/>
        <v/>
      </c>
      <c r="O827" s="21" t="str">
        <f t="shared" si="4"/>
        <v/>
      </c>
      <c r="P827" s="21" t="str">
        <f t="shared" si="282"/>
        <v/>
      </c>
      <c r="Q827" s="22" t="str">
        <f t="shared" si="6"/>
        <v/>
      </c>
      <c r="R827" s="25" t="str">
        <f t="shared" si="7"/>
        <v/>
      </c>
      <c r="S827" s="19" t="str">
        <f t="shared" si="8"/>
        <v/>
      </c>
      <c r="T827" s="19" t="str">
        <f t="shared" si="9"/>
        <v/>
      </c>
      <c r="U827" s="3"/>
      <c r="V827" s="4" t="str">
        <f>IF(ISBLANK(C827),,IFERROR(IF(VLOOKUP(B827,Standings!$A:$F, 6, 0)=VLOOKUP(C827,Standings!$A:$F, 6, 0), VLOOKUP(B827,Standings!$A:$F, 6, 0), "Non-con"), "FCS"))</f>
        <v/>
      </c>
      <c r="W827" s="3" t="str">
        <f t="shared" si="10"/>
        <v/>
      </c>
      <c r="X827" s="3" t="str">
        <f t="shared" si="11"/>
        <v/>
      </c>
      <c r="Y827" s="30" t="str">
        <f>IF(D827=0,,IF(ISBLANK(Q827),,VLOOKUP(X827,Week1,2,FALSE)/(VLOOKUP(X827,Week1,2,FALSE)+VLOOKUP(W827,Week1,2,FALSE)))*100)</f>
        <v/>
      </c>
      <c r="Z827" s="4"/>
      <c r="AA827" s="3"/>
      <c r="AB827" s="4" t="str">
        <f t="shared" si="20"/>
        <v/>
      </c>
      <c r="AC827" s="3"/>
      <c r="AD827" s="3"/>
      <c r="AE827" s="3" t="str">
        <f t="shared" si="13"/>
        <v/>
      </c>
      <c r="AF827" s="3"/>
      <c r="AG827" s="3" t="str">
        <f t="shared" si="133"/>
        <v/>
      </c>
      <c r="AH827" s="3"/>
      <c r="AI827" s="7"/>
      <c r="AJ827" s="4"/>
      <c r="AK827" s="7"/>
      <c r="AL827" s="7"/>
      <c r="AM827" s="7"/>
      <c r="AN827" s="7"/>
      <c r="AO827" s="7"/>
      <c r="AP827" s="7"/>
      <c r="AQ827" s="7"/>
      <c r="AR827" s="7"/>
      <c r="AS827" s="7"/>
      <c r="AT827" s="7"/>
      <c r="AU827" s="7"/>
      <c r="AV827" s="7"/>
      <c r="AW827" s="7"/>
      <c r="AX827" s="7"/>
    </row>
    <row r="828" ht="12.75" customHeight="1">
      <c r="A828" s="4"/>
      <c r="B828" s="4"/>
      <c r="C828" s="4"/>
      <c r="D828" s="4"/>
      <c r="E828" s="4" t="str">
        <f>IF(ISBLANK(B828),,IFERROR(VLOOKUP(B828,CurrentRank!$B$2:$C$132,2,FALSE),0))</f>
        <v/>
      </c>
      <c r="F828" s="4"/>
      <c r="G828" s="4" t="str">
        <f>IF(ISBLANK(B828),,IFERROR(VLOOKUP(B828,CurrentRank!$B$2:$D$132,3,FALSE),130))</f>
        <v/>
      </c>
      <c r="H828" s="4"/>
      <c r="I828" s="4" t="str">
        <f>IF(ISBLANK(B828),,IFERROR(VLOOKUP(C828,CurrentRank!$B$2:$C$132,2,FALSE),0))</f>
        <v/>
      </c>
      <c r="J828" s="4"/>
      <c r="K828" s="4" t="str">
        <f>IF(ISBLANK(C828),,IFERROR(VLOOKUP(C828,CurrentRank!$B$2:$D$132,3,FALSE),130))</f>
        <v/>
      </c>
      <c r="L828" s="19" t="str">
        <f t="shared" si="279"/>
        <v/>
      </c>
      <c r="M828" s="19" t="str">
        <f t="shared" si="280"/>
        <v/>
      </c>
      <c r="N828" s="24" t="str">
        <f t="shared" si="276"/>
        <v/>
      </c>
      <c r="O828" s="21" t="str">
        <f t="shared" si="4"/>
        <v/>
      </c>
      <c r="P828" s="21" t="str">
        <f t="shared" si="282"/>
        <v/>
      </c>
      <c r="Q828" s="22" t="str">
        <f t="shared" si="6"/>
        <v/>
      </c>
      <c r="R828" s="25" t="str">
        <f t="shared" si="7"/>
        <v/>
      </c>
      <c r="S828" s="19" t="str">
        <f t="shared" si="8"/>
        <v/>
      </c>
      <c r="T828" s="19" t="str">
        <f t="shared" si="9"/>
        <v/>
      </c>
      <c r="U828" s="3"/>
      <c r="V828" s="4" t="str">
        <f>IF(ISBLANK(C828),,IFERROR(IF(VLOOKUP(B828,Standings!$A:$F, 6, 0)=VLOOKUP(C828,Standings!$A:$F, 6, 0), VLOOKUP(B828,Standings!$A:$F, 6, 0), "Non-con"), "FCS"))</f>
        <v/>
      </c>
      <c r="W828" s="3" t="str">
        <f t="shared" si="10"/>
        <v/>
      </c>
      <c r="X828" s="3" t="str">
        <f t="shared" si="11"/>
        <v/>
      </c>
      <c r="Y828" s="30" t="str">
        <f>IF(D828=0,,IF(ISBLANK(Q828),,VLOOKUP(X828,Week1,2,FALSE)/(VLOOKUP(X828,Week1,2,FALSE)+VLOOKUP(W828,Week1,2,FALSE)))*100)</f>
        <v/>
      </c>
      <c r="Z828" s="4"/>
      <c r="AA828" s="3"/>
      <c r="AB828" s="4" t="str">
        <f t="shared" si="20"/>
        <v/>
      </c>
      <c r="AC828" s="3"/>
      <c r="AD828" s="3"/>
      <c r="AE828" s="3" t="str">
        <f t="shared" si="13"/>
        <v/>
      </c>
      <c r="AF828" s="3"/>
      <c r="AG828" s="3" t="str">
        <f t="shared" si="133"/>
        <v/>
      </c>
      <c r="AH828" s="3"/>
      <c r="AI828" s="7"/>
      <c r="AJ828" s="4"/>
      <c r="AK828" s="7"/>
      <c r="AL828" s="7"/>
      <c r="AM828" s="7"/>
      <c r="AN828" s="7"/>
      <c r="AO828" s="7"/>
      <c r="AP828" s="7"/>
      <c r="AQ828" s="7"/>
      <c r="AR828" s="7"/>
      <c r="AS828" s="7"/>
      <c r="AT828" s="7"/>
      <c r="AU828" s="7"/>
      <c r="AV828" s="7"/>
      <c r="AW828" s="7"/>
      <c r="AX828" s="7"/>
    </row>
    <row r="829" ht="12.75" customHeight="1">
      <c r="A829" s="4"/>
      <c r="B829" s="4"/>
      <c r="C829" s="4"/>
      <c r="D829" s="4"/>
      <c r="E829" s="4" t="str">
        <f>IF(ISBLANK(B829),,IFERROR(VLOOKUP(B829,CurrentRank!$B$2:$C$132,2,FALSE),0))</f>
        <v/>
      </c>
      <c r="F829" s="4"/>
      <c r="G829" s="4" t="str">
        <f>IF(ISBLANK(B829),,IFERROR(VLOOKUP(B829,CurrentRank!$B$2:$D$132,3,FALSE),130))</f>
        <v/>
      </c>
      <c r="H829" s="4"/>
      <c r="I829" s="4" t="str">
        <f>IF(ISBLANK(B829),,IFERROR(VLOOKUP(C829,CurrentRank!$B$2:$C$132,2,FALSE),0))</f>
        <v/>
      </c>
      <c r="J829" s="4"/>
      <c r="K829" s="4" t="str">
        <f>IF(ISBLANK(C829),,IFERROR(VLOOKUP(C829,CurrentRank!$B$2:$D$132,3,FALSE),130))</f>
        <v/>
      </c>
      <c r="L829" s="19" t="str">
        <f t="shared" si="279"/>
        <v/>
      </c>
      <c r="M829" s="19" t="str">
        <f t="shared" si="280"/>
        <v/>
      </c>
      <c r="N829" s="24" t="str">
        <f t="shared" si="276"/>
        <v/>
      </c>
      <c r="O829" s="21" t="str">
        <f t="shared" si="4"/>
        <v/>
      </c>
      <c r="P829" s="21" t="str">
        <f t="shared" si="282"/>
        <v/>
      </c>
      <c r="Q829" s="22" t="str">
        <f t="shared" si="6"/>
        <v/>
      </c>
      <c r="R829" s="25" t="str">
        <f t="shared" si="7"/>
        <v/>
      </c>
      <c r="S829" s="19" t="str">
        <f t="shared" si="8"/>
        <v/>
      </c>
      <c r="T829" s="19" t="str">
        <f t="shared" si="9"/>
        <v/>
      </c>
      <c r="U829" s="3"/>
      <c r="V829" s="4" t="str">
        <f>IF(ISBLANK(C829),,IFERROR(IF(VLOOKUP(B829,Standings!$A:$F, 6, 0)=VLOOKUP(C829,Standings!$A:$F, 6, 0), VLOOKUP(B829,Standings!$A:$F, 6, 0), "Non-con"), "FCS"))</f>
        <v/>
      </c>
      <c r="W829" s="3" t="str">
        <f t="shared" si="10"/>
        <v/>
      </c>
      <c r="X829" s="3" t="str">
        <f t="shared" si="11"/>
        <v/>
      </c>
      <c r="Y829" s="30" t="str">
        <f>IF(D829=0,,IF(ISBLANK(Q829),,VLOOKUP(X829,Week1,2,FALSE)/(VLOOKUP(X829,Week1,2,FALSE)+VLOOKUP(W829,Week1,2,FALSE)))*100)</f>
        <v/>
      </c>
      <c r="Z829" s="4"/>
      <c r="AA829" s="3"/>
      <c r="AB829" s="4" t="str">
        <f t="shared" si="20"/>
        <v/>
      </c>
      <c r="AC829" s="3"/>
      <c r="AD829" s="3"/>
      <c r="AE829" s="3" t="str">
        <f t="shared" si="13"/>
        <v/>
      </c>
      <c r="AF829" s="3"/>
      <c r="AG829" s="3" t="str">
        <f t="shared" si="133"/>
        <v/>
      </c>
      <c r="AH829" s="3"/>
      <c r="AI829" s="7"/>
      <c r="AJ829" s="4"/>
      <c r="AK829" s="7"/>
      <c r="AL829" s="7"/>
      <c r="AM829" s="7"/>
      <c r="AN829" s="7"/>
      <c r="AO829" s="7"/>
      <c r="AP829" s="7"/>
      <c r="AQ829" s="7"/>
      <c r="AR829" s="7"/>
      <c r="AS829" s="7"/>
      <c r="AT829" s="7"/>
      <c r="AU829" s="7"/>
      <c r="AV829" s="7"/>
      <c r="AW829" s="7"/>
      <c r="AX829" s="7"/>
    </row>
    <row r="830" ht="12.75" customHeight="1">
      <c r="A830" s="4"/>
      <c r="B830" s="4"/>
      <c r="C830" s="4"/>
      <c r="D830" s="4"/>
      <c r="E830" s="4" t="str">
        <f>IF(ISBLANK(B830),,IFERROR(VLOOKUP(B830,CurrentRank!$B$2:$C$132,2,FALSE),0))</f>
        <v/>
      </c>
      <c r="F830" s="4"/>
      <c r="G830" s="4" t="str">
        <f>IF(ISBLANK(B830),,IFERROR(VLOOKUP(B830,CurrentRank!$B$2:$D$132,3,FALSE),130))</f>
        <v/>
      </c>
      <c r="H830" s="4"/>
      <c r="I830" s="4" t="str">
        <f>IF(ISBLANK(B830),,IFERROR(VLOOKUP(C830,CurrentRank!$B$2:$C$132,2,FALSE),0))</f>
        <v/>
      </c>
      <c r="J830" s="4"/>
      <c r="K830" s="4" t="str">
        <f>IF(ISBLANK(C830),,IFERROR(VLOOKUP(C830,CurrentRank!$B$2:$D$132,3,FALSE),130))</f>
        <v/>
      </c>
      <c r="L830" s="19" t="str">
        <f t="shared" si="279"/>
        <v/>
      </c>
      <c r="M830" s="19" t="str">
        <f t="shared" si="280"/>
        <v/>
      </c>
      <c r="N830" s="24" t="str">
        <f t="shared" si="276"/>
        <v/>
      </c>
      <c r="O830" s="21" t="str">
        <f t="shared" si="4"/>
        <v/>
      </c>
      <c r="P830" s="21" t="str">
        <f t="shared" si="282"/>
        <v/>
      </c>
      <c r="Q830" s="22" t="str">
        <f t="shared" si="6"/>
        <v/>
      </c>
      <c r="R830" s="25" t="str">
        <f t="shared" si="7"/>
        <v/>
      </c>
      <c r="S830" s="19" t="str">
        <f t="shared" si="8"/>
        <v/>
      </c>
      <c r="T830" s="19" t="str">
        <f t="shared" si="9"/>
        <v/>
      </c>
      <c r="U830" s="3"/>
      <c r="V830" s="4" t="str">
        <f>IF(ISBLANK(C830),,IFERROR(IF(VLOOKUP(B830,Standings!$A:$F, 6, 0)=VLOOKUP(C830,Standings!$A:$F, 6, 0), VLOOKUP(B830,Standings!$A:$F, 6, 0), "Non-con"), "FCS"))</f>
        <v/>
      </c>
      <c r="W830" s="3" t="str">
        <f t="shared" si="10"/>
        <v/>
      </c>
      <c r="X830" s="3" t="str">
        <f t="shared" si="11"/>
        <v/>
      </c>
      <c r="Y830" s="30" t="str">
        <f>IF(D830=0,,IF(ISBLANK(Q830),,VLOOKUP(X830,Week1,2,FALSE)/(VLOOKUP(X830,Week1,2,FALSE)+VLOOKUP(W830,Week1,2,FALSE)))*100)</f>
        <v/>
      </c>
      <c r="Z830" s="4"/>
      <c r="AA830" s="3"/>
      <c r="AB830" s="4" t="str">
        <f t="shared" si="20"/>
        <v/>
      </c>
      <c r="AC830" s="3"/>
      <c r="AD830" s="3"/>
      <c r="AE830" s="3" t="str">
        <f t="shared" si="13"/>
        <v/>
      </c>
      <c r="AF830" s="3"/>
      <c r="AG830" s="3" t="str">
        <f t="shared" si="133"/>
        <v/>
      </c>
      <c r="AH830" s="3"/>
      <c r="AI830" s="7"/>
      <c r="AJ830" s="4"/>
      <c r="AK830" s="7"/>
      <c r="AL830" s="7"/>
      <c r="AM830" s="7"/>
      <c r="AN830" s="7"/>
      <c r="AO830" s="7"/>
      <c r="AP830" s="7"/>
      <c r="AQ830" s="7"/>
      <c r="AR830" s="7"/>
      <c r="AS830" s="7"/>
      <c r="AT830" s="7"/>
      <c r="AU830" s="7"/>
      <c r="AV830" s="7"/>
      <c r="AW830" s="7"/>
      <c r="AX830" s="7"/>
    </row>
    <row r="831" ht="12.75" customHeight="1">
      <c r="A831" s="4"/>
      <c r="B831" s="4"/>
      <c r="C831" s="4"/>
      <c r="D831" s="4"/>
      <c r="E831" s="4" t="str">
        <f>IF(ISBLANK(B831),,IFERROR(VLOOKUP(B831,CurrentRank!$B$2:$C$132,2,FALSE),0))</f>
        <v/>
      </c>
      <c r="F831" s="4"/>
      <c r="G831" s="4" t="str">
        <f>IF(ISBLANK(B831),,IFERROR(VLOOKUP(B831,CurrentRank!$B$2:$D$132,3,FALSE),130))</f>
        <v/>
      </c>
      <c r="H831" s="4"/>
      <c r="I831" s="4" t="str">
        <f>IF(ISBLANK(B831),,IFERROR(VLOOKUP(C831,CurrentRank!$B$2:$C$132,2,FALSE),0))</f>
        <v/>
      </c>
      <c r="J831" s="4"/>
      <c r="K831" s="4" t="str">
        <f>IF(ISBLANK(C831),,IFERROR(VLOOKUP(C831,CurrentRank!$B$2:$D$132,3,FALSE),130))</f>
        <v/>
      </c>
      <c r="L831" s="19" t="str">
        <f t="shared" si="279"/>
        <v/>
      </c>
      <c r="M831" s="19" t="str">
        <f t="shared" si="280"/>
        <v/>
      </c>
      <c r="N831" s="24" t="str">
        <f t="shared" si="276"/>
        <v/>
      </c>
      <c r="O831" s="21" t="str">
        <f t="shared" si="4"/>
        <v/>
      </c>
      <c r="P831" s="21" t="str">
        <f t="shared" si="282"/>
        <v/>
      </c>
      <c r="Q831" s="22" t="str">
        <f t="shared" si="6"/>
        <v/>
      </c>
      <c r="R831" s="25" t="str">
        <f t="shared" si="7"/>
        <v/>
      </c>
      <c r="S831" s="19" t="str">
        <f t="shared" si="8"/>
        <v/>
      </c>
      <c r="T831" s="19" t="str">
        <f t="shared" si="9"/>
        <v/>
      </c>
      <c r="U831" s="3"/>
      <c r="V831" s="4" t="str">
        <f>IF(ISBLANK(C831),,IFERROR(IF(VLOOKUP(B831,Standings!$A:$F, 6, 0)=VLOOKUP(C831,Standings!$A:$F, 6, 0), VLOOKUP(B831,Standings!$A:$F, 6, 0), "Non-con"), "FCS"))</f>
        <v/>
      </c>
      <c r="W831" s="3" t="str">
        <f t="shared" si="10"/>
        <v/>
      </c>
      <c r="X831" s="3" t="str">
        <f t="shared" si="11"/>
        <v/>
      </c>
      <c r="Y831" s="30" t="str">
        <f>IF(D831=0,,IF(ISBLANK(Q831),,VLOOKUP(X831,Week1,2,FALSE)/(VLOOKUP(X831,Week1,2,FALSE)+VLOOKUP(W831,Week1,2,FALSE)))*100)</f>
        <v/>
      </c>
      <c r="Z831" s="4"/>
      <c r="AA831" s="3"/>
      <c r="AB831" s="4" t="str">
        <f t="shared" si="20"/>
        <v/>
      </c>
      <c r="AC831" s="3"/>
      <c r="AD831" s="3"/>
      <c r="AE831" s="3" t="str">
        <f t="shared" si="13"/>
        <v/>
      </c>
      <c r="AF831" s="3"/>
      <c r="AG831" s="3" t="str">
        <f t="shared" si="133"/>
        <v/>
      </c>
      <c r="AH831" s="3"/>
      <c r="AI831" s="7"/>
      <c r="AJ831" s="4"/>
      <c r="AK831" s="7"/>
      <c r="AL831" s="7"/>
      <c r="AM831" s="7"/>
      <c r="AN831" s="7"/>
      <c r="AO831" s="7"/>
      <c r="AP831" s="7"/>
      <c r="AQ831" s="7"/>
      <c r="AR831" s="7"/>
      <c r="AS831" s="7"/>
      <c r="AT831" s="7"/>
      <c r="AU831" s="7"/>
      <c r="AV831" s="7"/>
      <c r="AW831" s="7"/>
      <c r="AX831" s="7"/>
    </row>
    <row r="832" ht="12.75" customHeight="1">
      <c r="A832" s="4"/>
      <c r="B832" s="4"/>
      <c r="C832" s="4"/>
      <c r="D832" s="4"/>
      <c r="E832" s="4" t="str">
        <f>IF(ISBLANK(B832),,IFERROR(VLOOKUP(B832,CurrentRank!$B$2:$C$132,2,FALSE),0))</f>
        <v/>
      </c>
      <c r="F832" s="4"/>
      <c r="G832" s="4" t="str">
        <f>IF(ISBLANK(B832),,IFERROR(VLOOKUP(B832,CurrentRank!$B$2:$D$132,3,FALSE),130))</f>
        <v/>
      </c>
      <c r="H832" s="4"/>
      <c r="I832" s="4" t="str">
        <f>IF(ISBLANK(B832),,IFERROR(VLOOKUP(C832,CurrentRank!$B$2:$C$132,2,FALSE),0))</f>
        <v/>
      </c>
      <c r="J832" s="4"/>
      <c r="K832" s="4" t="str">
        <f>IF(ISBLANK(C832),,IFERROR(VLOOKUP(C832,CurrentRank!$B$2:$D$132,3,FALSE),130))</f>
        <v/>
      </c>
      <c r="L832" s="19" t="str">
        <f t="shared" si="279"/>
        <v/>
      </c>
      <c r="M832" s="19" t="str">
        <f t="shared" si="280"/>
        <v/>
      </c>
      <c r="N832" s="24" t="str">
        <f t="shared" si="276"/>
        <v/>
      </c>
      <c r="O832" s="21" t="str">
        <f t="shared" si="4"/>
        <v/>
      </c>
      <c r="P832" s="21" t="str">
        <f t="shared" si="282"/>
        <v/>
      </c>
      <c r="Q832" s="22" t="str">
        <f t="shared" si="6"/>
        <v/>
      </c>
      <c r="R832" s="25" t="str">
        <f t="shared" si="7"/>
        <v/>
      </c>
      <c r="S832" s="19" t="str">
        <f t="shared" si="8"/>
        <v/>
      </c>
      <c r="T832" s="19" t="str">
        <f t="shared" si="9"/>
        <v/>
      </c>
      <c r="U832" s="3"/>
      <c r="V832" s="4" t="str">
        <f>IF(ISBLANK(C832),,IFERROR(IF(VLOOKUP(B832,Standings!$A:$F, 6, 0)=VLOOKUP(C832,Standings!$A:$F, 6, 0), VLOOKUP(B832,Standings!$A:$F, 6, 0), "Non-con"), "FCS"))</f>
        <v/>
      </c>
      <c r="W832" s="3" t="str">
        <f t="shared" si="10"/>
        <v/>
      </c>
      <c r="X832" s="3" t="str">
        <f t="shared" si="11"/>
        <v/>
      </c>
      <c r="Y832" s="30" t="str">
        <f>IF(D832=0,,IF(ISBLANK(Q832),,VLOOKUP(X832,Week1,2,FALSE)/(VLOOKUP(X832,Week1,2,FALSE)+VLOOKUP(W832,Week1,2,FALSE)))*100)</f>
        <v/>
      </c>
      <c r="Z832" s="4"/>
      <c r="AA832" s="3"/>
      <c r="AB832" s="4" t="str">
        <f t="shared" si="20"/>
        <v/>
      </c>
      <c r="AC832" s="3"/>
      <c r="AD832" s="3"/>
      <c r="AE832" s="3" t="str">
        <f t="shared" si="13"/>
        <v/>
      </c>
      <c r="AF832" s="3"/>
      <c r="AG832" s="3" t="str">
        <f t="shared" si="133"/>
        <v/>
      </c>
      <c r="AH832" s="3"/>
      <c r="AI832" s="7"/>
      <c r="AJ832" s="4"/>
      <c r="AK832" s="7"/>
      <c r="AL832" s="7"/>
      <c r="AM832" s="7"/>
      <c r="AN832" s="7"/>
      <c r="AO832" s="7"/>
      <c r="AP832" s="7"/>
      <c r="AQ832" s="7"/>
      <c r="AR832" s="7"/>
      <c r="AS832" s="7"/>
      <c r="AT832" s="7"/>
      <c r="AU832" s="7"/>
      <c r="AV832" s="7"/>
      <c r="AW832" s="7"/>
      <c r="AX832" s="7"/>
    </row>
    <row r="833" ht="12.75" customHeight="1">
      <c r="A833" s="4"/>
      <c r="B833" s="4"/>
      <c r="C833" s="4"/>
      <c r="D833" s="4"/>
      <c r="E833" s="4" t="str">
        <f>IF(ISBLANK(B833),,IFERROR(VLOOKUP(B833,CurrentRank!$B$2:$C$132,2,FALSE),0))</f>
        <v/>
      </c>
      <c r="F833" s="4"/>
      <c r="G833" s="4" t="str">
        <f>IF(ISBLANK(B833),,IFERROR(VLOOKUP(B833,CurrentRank!$B$2:$D$132,3,FALSE),130))</f>
        <v/>
      </c>
      <c r="H833" s="4"/>
      <c r="I833" s="4" t="str">
        <f>IF(ISBLANK(B833),,IFERROR(VLOOKUP(C833,CurrentRank!$B$2:$C$132,2,FALSE),0))</f>
        <v/>
      </c>
      <c r="J833" s="4"/>
      <c r="K833" s="4" t="str">
        <f>IF(ISBLANK(C833),,IFERROR(VLOOKUP(C833,CurrentRank!$B$2:$D$132,3,FALSE),130))</f>
        <v/>
      </c>
      <c r="L833" s="19" t="str">
        <f t="shared" si="279"/>
        <v/>
      </c>
      <c r="M833" s="19" t="str">
        <f t="shared" si="280"/>
        <v/>
      </c>
      <c r="N833" s="24" t="str">
        <f t="shared" si="276"/>
        <v/>
      </c>
      <c r="O833" s="21" t="str">
        <f t="shared" si="4"/>
        <v/>
      </c>
      <c r="P833" s="21" t="str">
        <f t="shared" si="282"/>
        <v/>
      </c>
      <c r="Q833" s="22" t="str">
        <f t="shared" si="6"/>
        <v/>
      </c>
      <c r="R833" s="25" t="str">
        <f t="shared" si="7"/>
        <v/>
      </c>
      <c r="S833" s="19" t="str">
        <f t="shared" si="8"/>
        <v/>
      </c>
      <c r="T833" s="19" t="str">
        <f t="shared" si="9"/>
        <v/>
      </c>
      <c r="U833" s="3"/>
      <c r="V833" s="4" t="str">
        <f>IF(ISBLANK(C833),,IFERROR(IF(VLOOKUP(B833,Standings!$A:$F, 6, 0)=VLOOKUP(C833,Standings!$A:$F, 6, 0), VLOOKUP(B833,Standings!$A:$F, 6, 0), "Non-con"), "FCS"))</f>
        <v/>
      </c>
      <c r="W833" s="3" t="str">
        <f t="shared" si="10"/>
        <v/>
      </c>
      <c r="X833" s="3" t="str">
        <f t="shared" si="11"/>
        <v/>
      </c>
      <c r="Y833" s="30" t="str">
        <f>IF(D833=0,,IF(ISBLANK(Q833),,VLOOKUP(X833,Week1,2,FALSE)/(VLOOKUP(X833,Week1,2,FALSE)+VLOOKUP(W833,Week1,2,FALSE)))*100)</f>
        <v/>
      </c>
      <c r="Z833" s="4"/>
      <c r="AA833" s="3"/>
      <c r="AB833" s="4" t="str">
        <f t="shared" si="20"/>
        <v/>
      </c>
      <c r="AC833" s="3"/>
      <c r="AD833" s="3"/>
      <c r="AE833" s="3" t="str">
        <f t="shared" si="13"/>
        <v/>
      </c>
      <c r="AF833" s="3"/>
      <c r="AG833" s="3" t="str">
        <f t="shared" si="133"/>
        <v/>
      </c>
      <c r="AH833" s="3"/>
      <c r="AI833" s="7"/>
      <c r="AJ833" s="4"/>
      <c r="AK833" s="7"/>
      <c r="AL833" s="7"/>
      <c r="AM833" s="7"/>
      <c r="AN833" s="7"/>
      <c r="AO833" s="7"/>
      <c r="AP833" s="7"/>
      <c r="AQ833" s="7"/>
      <c r="AR833" s="7"/>
      <c r="AS833" s="7"/>
      <c r="AT833" s="7"/>
      <c r="AU833" s="7"/>
      <c r="AV833" s="7"/>
      <c r="AW833" s="7"/>
      <c r="AX833" s="7"/>
    </row>
    <row r="834" ht="12.75" customHeight="1">
      <c r="A834" s="4"/>
      <c r="B834" s="3"/>
      <c r="C834" s="3"/>
      <c r="D834" s="4"/>
      <c r="E834" s="4" t="str">
        <f>IF(ISBLANK(B834),,IFERROR(VLOOKUP(B834,CurrentRank!$B$2:$C$132,2,FALSE),0))</f>
        <v/>
      </c>
      <c r="F834" s="4"/>
      <c r="G834" s="4" t="str">
        <f>IF(ISBLANK(B834),,IFERROR(VLOOKUP(B834,CurrentRank!$B$2:$D$132,3,FALSE),130))</f>
        <v/>
      </c>
      <c r="H834" s="4"/>
      <c r="I834" s="4" t="str">
        <f>IF(ISBLANK(B834),,IFERROR(VLOOKUP(C834,CurrentRank!$B$2:$C$132,2,FALSE),0))</f>
        <v/>
      </c>
      <c r="J834" s="4"/>
      <c r="K834" s="4" t="str">
        <f>IF(ISBLANK(C834),,IFERROR(VLOOKUP(C834,CurrentRank!$B$2:$D$132,3,FALSE),130))</f>
        <v/>
      </c>
      <c r="L834" s="19" t="str">
        <f t="shared" si="279"/>
        <v/>
      </c>
      <c r="M834" s="19" t="str">
        <f t="shared" si="280"/>
        <v/>
      </c>
      <c r="N834" s="24" t="str">
        <f t="shared" si="276"/>
        <v/>
      </c>
      <c r="O834" s="21" t="str">
        <f t="shared" si="4"/>
        <v/>
      </c>
      <c r="P834" s="21" t="str">
        <f t="shared" si="282"/>
        <v/>
      </c>
      <c r="Q834" s="22" t="str">
        <f t="shared" si="6"/>
        <v/>
      </c>
      <c r="R834" s="25" t="str">
        <f t="shared" si="7"/>
        <v/>
      </c>
      <c r="S834" s="19" t="str">
        <f t="shared" si="8"/>
        <v/>
      </c>
      <c r="T834" s="19" t="str">
        <f t="shared" si="9"/>
        <v/>
      </c>
      <c r="U834" s="3"/>
      <c r="V834" s="4" t="str">
        <f>IF(ISBLANK(C834),,IFERROR(IF(VLOOKUP(B834,Standings!$A:$F, 6, 0)=VLOOKUP(C834,Standings!$A:$F, 6, 0), VLOOKUP(B834,Standings!$A:$F, 6, 0), "Non-con"), "FCS"))</f>
        <v/>
      </c>
      <c r="W834" s="3" t="str">
        <f t="shared" si="10"/>
        <v/>
      </c>
      <c r="X834" s="3" t="str">
        <f t="shared" si="11"/>
        <v/>
      </c>
      <c r="Y834" s="30" t="str">
        <f>IF(D834=0,,IF(ISBLANK(Q834),,VLOOKUP(X834,Week1,2,FALSE)/(VLOOKUP(X834,Week1,2,FALSE)+VLOOKUP(W834,Week1,2,FALSE)))*100)</f>
        <v/>
      </c>
      <c r="Z834" s="4"/>
      <c r="AA834" s="3"/>
      <c r="AB834" s="4" t="str">
        <f t="shared" si="20"/>
        <v/>
      </c>
      <c r="AC834" s="3"/>
      <c r="AD834" s="3"/>
      <c r="AE834" s="3" t="str">
        <f t="shared" si="13"/>
        <v/>
      </c>
      <c r="AF834" s="3"/>
      <c r="AG834" s="3" t="str">
        <f t="shared" si="133"/>
        <v/>
      </c>
      <c r="AH834" s="3"/>
      <c r="AI834" s="7"/>
      <c r="AJ834" s="4"/>
      <c r="AK834" s="7"/>
      <c r="AL834" s="7"/>
      <c r="AM834" s="7"/>
      <c r="AN834" s="7"/>
      <c r="AO834" s="7"/>
      <c r="AP834" s="7"/>
      <c r="AQ834" s="7"/>
      <c r="AR834" s="7"/>
      <c r="AS834" s="7"/>
      <c r="AT834" s="7"/>
      <c r="AU834" s="7"/>
      <c r="AV834" s="7"/>
      <c r="AW834" s="7"/>
      <c r="AX834" s="7"/>
    </row>
    <row r="835" ht="12.75" customHeight="1">
      <c r="A835" s="4"/>
      <c r="B835" s="4"/>
      <c r="C835" s="4"/>
      <c r="D835" s="4"/>
      <c r="E835" s="4" t="str">
        <f>IF(ISBLANK(B835),,IFERROR(VLOOKUP(B835,CurrentRank!$B$2:$C$132,2,FALSE),0))</f>
        <v/>
      </c>
      <c r="F835" s="4"/>
      <c r="G835" s="4" t="str">
        <f>IF(ISBLANK(B835),,IFERROR(VLOOKUP(B835,CurrentRank!$B$2:$D$132,3,FALSE),130))</f>
        <v/>
      </c>
      <c r="H835" s="4"/>
      <c r="I835" s="4" t="str">
        <f>IF(ISBLANK(B835),,IFERROR(VLOOKUP(C835,CurrentRank!$B$2:$C$132,2,FALSE),0))</f>
        <v/>
      </c>
      <c r="J835" s="4"/>
      <c r="K835" s="4" t="str">
        <f>IF(ISBLANK(C835),,IFERROR(VLOOKUP(C835,CurrentRank!$B$2:$D$132,3,FALSE),130))</f>
        <v/>
      </c>
      <c r="L835" s="19" t="str">
        <f t="shared" si="279"/>
        <v/>
      </c>
      <c r="M835" s="19" t="str">
        <f t="shared" si="280"/>
        <v/>
      </c>
      <c r="N835" s="24" t="str">
        <f t="shared" si="276"/>
        <v/>
      </c>
      <c r="O835" s="21" t="str">
        <f t="shared" si="4"/>
        <v/>
      </c>
      <c r="P835" s="21" t="str">
        <f t="shared" si="282"/>
        <v/>
      </c>
      <c r="Q835" s="22" t="str">
        <f t="shared" si="6"/>
        <v/>
      </c>
      <c r="R835" s="25" t="str">
        <f t="shared" si="7"/>
        <v/>
      </c>
      <c r="S835" s="19" t="str">
        <f t="shared" si="8"/>
        <v/>
      </c>
      <c r="T835" s="19" t="str">
        <f t="shared" si="9"/>
        <v/>
      </c>
      <c r="U835" s="3"/>
      <c r="V835" s="4" t="str">
        <f>IF(ISBLANK(C835),,IFERROR(IF(VLOOKUP(B835,Standings!$A:$F, 6, 0)=VLOOKUP(C835,Standings!$A:$F, 6, 0), VLOOKUP(B835,Standings!$A:$F, 6, 0), "Non-con"), "FCS"))</f>
        <v/>
      </c>
      <c r="W835" s="3" t="str">
        <f t="shared" si="10"/>
        <v/>
      </c>
      <c r="X835" s="3" t="str">
        <f t="shared" si="11"/>
        <v/>
      </c>
      <c r="Y835" s="30" t="str">
        <f>IF(D835=0,,IF(ISBLANK(Q835),,VLOOKUP(X835,Week1,2,FALSE)/(VLOOKUP(X835,Week1,2,FALSE)+VLOOKUP(W835,Week1,2,FALSE)))*100)</f>
        <v/>
      </c>
      <c r="Z835" s="4"/>
      <c r="AA835" s="3"/>
      <c r="AB835" s="4" t="str">
        <f t="shared" si="20"/>
        <v/>
      </c>
      <c r="AC835" s="3"/>
      <c r="AD835" s="3"/>
      <c r="AE835" s="3" t="str">
        <f t="shared" si="13"/>
        <v/>
      </c>
      <c r="AF835" s="3"/>
      <c r="AG835" s="3" t="str">
        <f t="shared" si="133"/>
        <v/>
      </c>
      <c r="AH835" s="3"/>
      <c r="AI835" s="7"/>
      <c r="AJ835" s="4"/>
      <c r="AK835" s="7"/>
      <c r="AL835" s="7"/>
      <c r="AM835" s="7"/>
      <c r="AN835" s="7"/>
      <c r="AO835" s="7"/>
      <c r="AP835" s="7"/>
      <c r="AQ835" s="7"/>
      <c r="AR835" s="7"/>
      <c r="AS835" s="7"/>
      <c r="AT835" s="7"/>
      <c r="AU835" s="7"/>
      <c r="AV835" s="7"/>
      <c r="AW835" s="7"/>
      <c r="AX835" s="7"/>
    </row>
    <row r="836" ht="12.75" customHeight="1">
      <c r="A836" s="4"/>
      <c r="B836" s="4"/>
      <c r="C836" s="4"/>
      <c r="D836" s="4"/>
      <c r="E836" s="4" t="str">
        <f>IF(ISBLANK(B836),,IFERROR(VLOOKUP(B836,CurrentRank!$B$2:$C$132,2,FALSE),0))</f>
        <v/>
      </c>
      <c r="F836" s="4"/>
      <c r="G836" s="4" t="str">
        <f>IF(ISBLANK(B836),,IFERROR(VLOOKUP(B836,CurrentRank!$B$2:$D$132,3,FALSE),130))</f>
        <v/>
      </c>
      <c r="H836" s="4"/>
      <c r="I836" s="4" t="str">
        <f>IF(ISBLANK(B836),,IFERROR(VLOOKUP(C836,CurrentRank!$B$2:$C$132,2,FALSE),0))</f>
        <v/>
      </c>
      <c r="J836" s="4"/>
      <c r="K836" s="4" t="str">
        <f>IF(ISBLANK(C836),,IFERROR(VLOOKUP(C836,CurrentRank!$B$2:$D$132,3,FALSE),130))</f>
        <v/>
      </c>
      <c r="L836" s="19" t="str">
        <f t="shared" si="279"/>
        <v/>
      </c>
      <c r="M836" s="19" t="str">
        <f t="shared" si="280"/>
        <v/>
      </c>
      <c r="N836" s="24" t="str">
        <f t="shared" si="276"/>
        <v/>
      </c>
      <c r="O836" s="21" t="str">
        <f t="shared" si="4"/>
        <v/>
      </c>
      <c r="P836" s="21" t="str">
        <f t="shared" si="282"/>
        <v/>
      </c>
      <c r="Q836" s="22" t="str">
        <f t="shared" si="6"/>
        <v/>
      </c>
      <c r="R836" s="25" t="str">
        <f t="shared" si="7"/>
        <v/>
      </c>
      <c r="S836" s="19" t="str">
        <f t="shared" si="8"/>
        <v/>
      </c>
      <c r="T836" s="19" t="str">
        <f t="shared" si="9"/>
        <v/>
      </c>
      <c r="U836" s="3"/>
      <c r="V836" s="4" t="str">
        <f>IF(ISBLANK(C836),,IFERROR(IF(VLOOKUP(B836,Standings!$A:$F, 6, 0)=VLOOKUP(C836,Standings!$A:$F, 6, 0), VLOOKUP(B836,Standings!$A:$F, 6, 0), "Non-con"), "FCS"))</f>
        <v/>
      </c>
      <c r="W836" s="3" t="str">
        <f t="shared" si="10"/>
        <v/>
      </c>
      <c r="X836" s="3" t="str">
        <f t="shared" si="11"/>
        <v/>
      </c>
      <c r="Y836" s="30" t="str">
        <f>IF(D836=0,,IF(ISBLANK(Q836),,VLOOKUP(X836,Week1,2,FALSE)/(VLOOKUP(X836,Week1,2,FALSE)+VLOOKUP(W836,Week1,2,FALSE)))*100)</f>
        <v/>
      </c>
      <c r="Z836" s="4"/>
      <c r="AA836" s="3"/>
      <c r="AB836" s="4" t="str">
        <f t="shared" si="20"/>
        <v/>
      </c>
      <c r="AC836" s="3"/>
      <c r="AD836" s="3"/>
      <c r="AE836" s="3" t="str">
        <f t="shared" si="13"/>
        <v/>
      </c>
      <c r="AF836" s="3"/>
      <c r="AG836" s="3" t="str">
        <f t="shared" si="133"/>
        <v/>
      </c>
      <c r="AH836" s="3"/>
      <c r="AI836" s="7"/>
      <c r="AJ836" s="4"/>
      <c r="AK836" s="7"/>
      <c r="AL836" s="7"/>
      <c r="AM836" s="7"/>
      <c r="AN836" s="7"/>
      <c r="AO836" s="7"/>
      <c r="AP836" s="7"/>
      <c r="AQ836" s="7"/>
      <c r="AR836" s="7"/>
      <c r="AS836" s="7"/>
      <c r="AT836" s="7"/>
      <c r="AU836" s="7"/>
      <c r="AV836" s="7"/>
      <c r="AW836" s="7"/>
      <c r="AX836" s="7"/>
    </row>
    <row r="837" ht="12.75" customHeight="1">
      <c r="A837" s="4"/>
      <c r="B837" s="4"/>
      <c r="C837" s="4"/>
      <c r="D837" s="4"/>
      <c r="E837" s="4" t="str">
        <f>IF(ISBLANK(B837),,IFERROR(VLOOKUP(B837,CurrentRank!$B$2:$C$132,2,FALSE),0))</f>
        <v/>
      </c>
      <c r="F837" s="4"/>
      <c r="G837" s="4" t="str">
        <f>IF(ISBLANK(B837),,IFERROR(VLOOKUP(B837,CurrentRank!$B$2:$D$132,3,FALSE),130))</f>
        <v/>
      </c>
      <c r="H837" s="4"/>
      <c r="I837" s="4" t="str">
        <f>IF(ISBLANK(B837),,IFERROR(VLOOKUP(C837,CurrentRank!$B$2:$C$132,2,FALSE),0))</f>
        <v/>
      </c>
      <c r="J837" s="4"/>
      <c r="K837" s="4" t="str">
        <f>IF(ISBLANK(C837),,IFERROR(VLOOKUP(C837,CurrentRank!$B$2:$D$132,3,FALSE),130))</f>
        <v/>
      </c>
      <c r="L837" s="19" t="str">
        <f t="shared" si="279"/>
        <v/>
      </c>
      <c r="M837" s="19" t="str">
        <f t="shared" si="280"/>
        <v/>
      </c>
      <c r="N837" s="24" t="str">
        <f t="shared" si="276"/>
        <v/>
      </c>
      <c r="O837" s="21" t="str">
        <f t="shared" si="4"/>
        <v/>
      </c>
      <c r="P837" s="21" t="str">
        <f t="shared" si="282"/>
        <v/>
      </c>
      <c r="Q837" s="22" t="str">
        <f t="shared" si="6"/>
        <v/>
      </c>
      <c r="R837" s="25" t="str">
        <f t="shared" si="7"/>
        <v/>
      </c>
      <c r="S837" s="19" t="str">
        <f t="shared" si="8"/>
        <v/>
      </c>
      <c r="T837" s="19" t="str">
        <f t="shared" si="9"/>
        <v/>
      </c>
      <c r="U837" s="3"/>
      <c r="V837" s="4" t="str">
        <f>IF(ISBLANK(C837),,IFERROR(IF(VLOOKUP(B837,Standings!$A:$F, 6, 0)=VLOOKUP(C837,Standings!$A:$F, 6, 0), VLOOKUP(B837,Standings!$A:$F, 6, 0), "Non-con"), "FCS"))</f>
        <v/>
      </c>
      <c r="W837" s="3" t="str">
        <f t="shared" si="10"/>
        <v/>
      </c>
      <c r="X837" s="3" t="str">
        <f t="shared" si="11"/>
        <v/>
      </c>
      <c r="Y837" s="30" t="str">
        <f>IF(D837=0,,IF(ISBLANK(Q837),,VLOOKUP(X837,Week1,2,FALSE)/(VLOOKUP(X837,Week1,2,FALSE)+VLOOKUP(W837,Week1,2,FALSE)))*100)</f>
        <v/>
      </c>
      <c r="Z837" s="4"/>
      <c r="AA837" s="3"/>
      <c r="AB837" s="4" t="str">
        <f t="shared" si="20"/>
        <v/>
      </c>
      <c r="AC837" s="3"/>
      <c r="AD837" s="3"/>
      <c r="AE837" s="3" t="str">
        <f t="shared" si="13"/>
        <v/>
      </c>
      <c r="AF837" s="3"/>
      <c r="AG837" s="3" t="str">
        <f t="shared" si="133"/>
        <v/>
      </c>
      <c r="AH837" s="3"/>
      <c r="AI837" s="7"/>
      <c r="AJ837" s="4"/>
      <c r="AK837" s="7"/>
      <c r="AL837" s="7"/>
      <c r="AM837" s="7"/>
      <c r="AN837" s="7"/>
      <c r="AO837" s="7"/>
      <c r="AP837" s="7"/>
      <c r="AQ837" s="7"/>
      <c r="AR837" s="7"/>
      <c r="AS837" s="7"/>
      <c r="AT837" s="7"/>
      <c r="AU837" s="7"/>
      <c r="AV837" s="7"/>
      <c r="AW837" s="7"/>
      <c r="AX837" s="7"/>
    </row>
    <row r="838" ht="12.75" customHeight="1">
      <c r="A838" s="4"/>
      <c r="B838" s="4"/>
      <c r="C838" s="4"/>
      <c r="D838" s="4"/>
      <c r="E838" s="4" t="str">
        <f>IF(ISBLANK(B838),,IFERROR(VLOOKUP(B838,CurrentRank!$B$2:$C$132,2,FALSE),0))</f>
        <v/>
      </c>
      <c r="F838" s="4"/>
      <c r="G838" s="4" t="str">
        <f>IF(ISBLANK(B838),,IFERROR(VLOOKUP(B838,CurrentRank!$B$2:$D$132,3,FALSE),130))</f>
        <v/>
      </c>
      <c r="H838" s="4"/>
      <c r="I838" s="4" t="str">
        <f>IF(ISBLANK(B838),,IFERROR(VLOOKUP(C838,CurrentRank!$B$2:$C$132,2,FALSE),0))</f>
        <v/>
      </c>
      <c r="J838" s="4"/>
      <c r="K838" s="4" t="str">
        <f>IF(ISBLANK(C838),,IFERROR(VLOOKUP(C838,CurrentRank!$B$2:$D$132,3,FALSE),130))</f>
        <v/>
      </c>
      <c r="L838" s="19" t="str">
        <f t="shared" si="279"/>
        <v/>
      </c>
      <c r="M838" s="19" t="str">
        <f t="shared" si="280"/>
        <v/>
      </c>
      <c r="N838" s="24" t="str">
        <f t="shared" si="276"/>
        <v/>
      </c>
      <c r="O838" s="21" t="str">
        <f t="shared" si="4"/>
        <v/>
      </c>
      <c r="P838" s="21" t="str">
        <f t="shared" si="282"/>
        <v/>
      </c>
      <c r="Q838" s="22" t="str">
        <f t="shared" si="6"/>
        <v/>
      </c>
      <c r="R838" s="25" t="str">
        <f t="shared" si="7"/>
        <v/>
      </c>
      <c r="S838" s="19" t="str">
        <f t="shared" si="8"/>
        <v/>
      </c>
      <c r="T838" s="19" t="str">
        <f t="shared" si="9"/>
        <v/>
      </c>
      <c r="U838" s="3"/>
      <c r="V838" s="4" t="str">
        <f>IF(ISBLANK(C838),,IFERROR(IF(VLOOKUP(B838,Standings!$A:$F, 6, 0)=VLOOKUP(C838,Standings!$A:$F, 6, 0), VLOOKUP(B838,Standings!$A:$F, 6, 0), "Non-con"), "FCS"))</f>
        <v/>
      </c>
      <c r="W838" s="3" t="str">
        <f t="shared" si="10"/>
        <v/>
      </c>
      <c r="X838" s="3" t="str">
        <f t="shared" si="11"/>
        <v/>
      </c>
      <c r="Y838" s="30" t="str">
        <f>IF(D838=0,,IF(ISBLANK(Q838),,VLOOKUP(X838,Week1,2,FALSE)/(VLOOKUP(X838,Week1,2,FALSE)+VLOOKUP(W838,Week1,2,FALSE)))*100)</f>
        <v/>
      </c>
      <c r="Z838" s="4"/>
      <c r="AA838" s="3"/>
      <c r="AB838" s="4" t="str">
        <f t="shared" si="20"/>
        <v/>
      </c>
      <c r="AC838" s="3"/>
      <c r="AD838" s="3"/>
      <c r="AE838" s="3" t="str">
        <f t="shared" si="13"/>
        <v/>
      </c>
      <c r="AF838" s="3"/>
      <c r="AG838" s="3" t="str">
        <f t="shared" si="133"/>
        <v/>
      </c>
      <c r="AH838" s="3"/>
      <c r="AI838" s="7"/>
      <c r="AJ838" s="4"/>
      <c r="AK838" s="7"/>
      <c r="AL838" s="7"/>
      <c r="AM838" s="7"/>
      <c r="AN838" s="7"/>
      <c r="AO838" s="7"/>
      <c r="AP838" s="7"/>
      <c r="AQ838" s="7"/>
      <c r="AR838" s="7"/>
      <c r="AS838" s="7"/>
      <c r="AT838" s="7"/>
      <c r="AU838" s="7"/>
      <c r="AV838" s="7"/>
      <c r="AW838" s="7"/>
      <c r="AX838" s="7"/>
    </row>
    <row r="839" ht="12.75" customHeight="1">
      <c r="A839" s="4"/>
      <c r="B839" s="4"/>
      <c r="C839" s="4"/>
      <c r="D839" s="4"/>
      <c r="E839" s="4" t="str">
        <f>IF(ISBLANK(B839),,IFERROR(VLOOKUP(B839,CurrentRank!$B$2:$C$132,2,FALSE),0))</f>
        <v/>
      </c>
      <c r="F839" s="4"/>
      <c r="G839" s="4" t="str">
        <f>IF(ISBLANK(B839),,IFERROR(VLOOKUP(B839,CurrentRank!$B$2:$D$132,3,FALSE),130))</f>
        <v/>
      </c>
      <c r="H839" s="4"/>
      <c r="I839" s="4" t="str">
        <f>IF(ISBLANK(B839),,IFERROR(VLOOKUP(C839,CurrentRank!$B$2:$C$132,2,FALSE),0))</f>
        <v/>
      </c>
      <c r="J839" s="4"/>
      <c r="K839" s="4" t="str">
        <f>IF(ISBLANK(C839),,IFERROR(VLOOKUP(C839,CurrentRank!$B$2:$D$132,3,FALSE),130))</f>
        <v/>
      </c>
      <c r="L839" s="19" t="str">
        <f t="shared" si="279"/>
        <v/>
      </c>
      <c r="M839" s="19" t="str">
        <f t="shared" si="280"/>
        <v/>
      </c>
      <c r="N839" s="24" t="str">
        <f t="shared" si="276"/>
        <v/>
      </c>
      <c r="O839" s="21" t="str">
        <f t="shared" si="4"/>
        <v/>
      </c>
      <c r="P839" s="21" t="str">
        <f t="shared" si="282"/>
        <v/>
      </c>
      <c r="Q839" s="22" t="str">
        <f t="shared" si="6"/>
        <v/>
      </c>
      <c r="R839" s="25" t="str">
        <f t="shared" si="7"/>
        <v/>
      </c>
      <c r="S839" s="19" t="str">
        <f t="shared" si="8"/>
        <v/>
      </c>
      <c r="T839" s="19" t="str">
        <f t="shared" si="9"/>
        <v/>
      </c>
      <c r="U839" s="3"/>
      <c r="V839" s="4" t="str">
        <f>IF(ISBLANK(C839),,IFERROR(IF(VLOOKUP(B839,Standings!$A:$F, 6, 0)=VLOOKUP(C839,Standings!$A:$F, 6, 0), VLOOKUP(B839,Standings!$A:$F, 6, 0), "Non-con"), "FCS"))</f>
        <v/>
      </c>
      <c r="W839" s="3" t="str">
        <f t="shared" si="10"/>
        <v/>
      </c>
      <c r="X839" s="3" t="str">
        <f t="shared" si="11"/>
        <v/>
      </c>
      <c r="Y839" s="30" t="str">
        <f>IF(D839=0,,IF(ISBLANK(Q839),,VLOOKUP(X839,Week1,2,FALSE)/(VLOOKUP(X839,Week1,2,FALSE)+VLOOKUP(W839,Week1,2,FALSE)))*100)</f>
        <v/>
      </c>
      <c r="Z839" s="4"/>
      <c r="AA839" s="3"/>
      <c r="AB839" s="4" t="str">
        <f t="shared" si="20"/>
        <v/>
      </c>
      <c r="AC839" s="3"/>
      <c r="AD839" s="3"/>
      <c r="AE839" s="3" t="str">
        <f t="shared" si="13"/>
        <v/>
      </c>
      <c r="AF839" s="3"/>
      <c r="AG839" s="3" t="str">
        <f t="shared" si="133"/>
        <v/>
      </c>
      <c r="AH839" s="3"/>
      <c r="AI839" s="7"/>
      <c r="AJ839" s="4"/>
      <c r="AK839" s="7"/>
      <c r="AL839" s="7"/>
      <c r="AM839" s="7"/>
      <c r="AN839" s="7"/>
      <c r="AO839" s="7"/>
      <c r="AP839" s="7"/>
      <c r="AQ839" s="7"/>
      <c r="AR839" s="7"/>
      <c r="AS839" s="7"/>
      <c r="AT839" s="7"/>
      <c r="AU839" s="7"/>
      <c r="AV839" s="7"/>
      <c r="AW839" s="7"/>
      <c r="AX839" s="7"/>
    </row>
    <row r="840" ht="12.75" customHeight="1">
      <c r="A840" s="4"/>
      <c r="B840" s="4"/>
      <c r="C840" s="4"/>
      <c r="D840" s="4"/>
      <c r="E840" s="4" t="str">
        <f>IF(ISBLANK(B840),,IFERROR(VLOOKUP(B840,CurrentRank!$B$2:$C$132,2,FALSE),0))</f>
        <v/>
      </c>
      <c r="F840" s="4"/>
      <c r="G840" s="4" t="str">
        <f>IF(ISBLANK(B840),,IFERROR(VLOOKUP(B840,CurrentRank!$B$2:$D$132,3,FALSE),130))</f>
        <v/>
      </c>
      <c r="H840" s="4"/>
      <c r="I840" s="4" t="str">
        <f>IF(ISBLANK(B840),,IFERROR(VLOOKUP(C840,CurrentRank!$B$2:$C$132,2,FALSE),0))</f>
        <v/>
      </c>
      <c r="J840" s="4"/>
      <c r="K840" s="4" t="str">
        <f>IF(ISBLANK(C840),,IFERROR(VLOOKUP(C840,CurrentRank!$B$2:$D$132,3,FALSE),130))</f>
        <v/>
      </c>
      <c r="L840" s="19" t="str">
        <f t="shared" si="279"/>
        <v/>
      </c>
      <c r="M840" s="19" t="str">
        <f t="shared" si="280"/>
        <v/>
      </c>
      <c r="N840" s="24" t="str">
        <f t="shared" si="276"/>
        <v/>
      </c>
      <c r="O840" s="21" t="str">
        <f t="shared" si="4"/>
        <v/>
      </c>
      <c r="P840" s="21" t="str">
        <f t="shared" si="282"/>
        <v/>
      </c>
      <c r="Q840" s="22" t="str">
        <f t="shared" si="6"/>
        <v/>
      </c>
      <c r="R840" s="25" t="str">
        <f t="shared" si="7"/>
        <v/>
      </c>
      <c r="S840" s="19" t="str">
        <f t="shared" si="8"/>
        <v/>
      </c>
      <c r="T840" s="19" t="str">
        <f t="shared" si="9"/>
        <v/>
      </c>
      <c r="U840" s="3"/>
      <c r="V840" s="4" t="str">
        <f>IF(ISBLANK(C840),,IFERROR(IF(VLOOKUP(B840,Standings!$A:$F, 6, 0)=VLOOKUP(C840,Standings!$A:$F, 6, 0), VLOOKUP(B840,Standings!$A:$F, 6, 0), "Non-con"), "FCS"))</f>
        <v/>
      </c>
      <c r="W840" s="3" t="str">
        <f t="shared" si="10"/>
        <v/>
      </c>
      <c r="X840" s="3" t="str">
        <f t="shared" si="11"/>
        <v/>
      </c>
      <c r="Y840" s="30" t="str">
        <f>IF(D840=0,,IF(ISBLANK(Q840),,VLOOKUP(X840,Week1,2,FALSE)/(VLOOKUP(X840,Week1,2,FALSE)+VLOOKUP(W840,Week1,2,FALSE)))*100)</f>
        <v/>
      </c>
      <c r="Z840" s="4"/>
      <c r="AA840" s="3"/>
      <c r="AB840" s="4" t="str">
        <f t="shared" si="20"/>
        <v/>
      </c>
      <c r="AC840" s="3"/>
      <c r="AD840" s="3"/>
      <c r="AE840" s="3" t="str">
        <f t="shared" si="13"/>
        <v/>
      </c>
      <c r="AF840" s="3"/>
      <c r="AG840" s="3" t="str">
        <f t="shared" si="133"/>
        <v/>
      </c>
      <c r="AH840" s="3"/>
      <c r="AI840" s="7"/>
      <c r="AJ840" s="4"/>
      <c r="AK840" s="7"/>
      <c r="AL840" s="7"/>
      <c r="AM840" s="7"/>
      <c r="AN840" s="7"/>
      <c r="AO840" s="7"/>
      <c r="AP840" s="7"/>
      <c r="AQ840" s="7"/>
      <c r="AR840" s="7"/>
      <c r="AS840" s="7"/>
      <c r="AT840" s="7"/>
      <c r="AU840" s="7"/>
      <c r="AV840" s="7"/>
      <c r="AW840" s="7"/>
      <c r="AX840" s="7"/>
    </row>
    <row r="841" ht="12.75" customHeight="1">
      <c r="A841" s="4"/>
      <c r="B841" s="4"/>
      <c r="C841" s="4"/>
      <c r="D841" s="4"/>
      <c r="E841" s="4" t="str">
        <f>IF(ISBLANK(B841),,IFERROR(VLOOKUP(B841,CurrentRank!$B$2:$C$132,2,FALSE),0))</f>
        <v/>
      </c>
      <c r="F841" s="4"/>
      <c r="G841" s="4" t="str">
        <f>IF(ISBLANK(B841),,IFERROR(VLOOKUP(B841,CurrentRank!$B$2:$D$132,3,FALSE),130))</f>
        <v/>
      </c>
      <c r="H841" s="4"/>
      <c r="I841" s="4" t="str">
        <f>IF(ISBLANK(B841),,IFERROR(VLOOKUP(C841,CurrentRank!$B$2:$C$132,2,FALSE),0))</f>
        <v/>
      </c>
      <c r="J841" s="4"/>
      <c r="K841" s="4" t="str">
        <f>IF(ISBLANK(C841),,IFERROR(VLOOKUP(C841,CurrentRank!$B$2:$D$132,3,FALSE),130))</f>
        <v/>
      </c>
      <c r="L841" s="19" t="str">
        <f t="shared" si="279"/>
        <v/>
      </c>
      <c r="M841" s="19" t="str">
        <f t="shared" si="280"/>
        <v/>
      </c>
      <c r="N841" s="24" t="str">
        <f t="shared" si="276"/>
        <v/>
      </c>
      <c r="O841" s="21" t="str">
        <f t="shared" si="4"/>
        <v/>
      </c>
      <c r="P841" s="21" t="str">
        <f t="shared" si="282"/>
        <v/>
      </c>
      <c r="Q841" s="22" t="str">
        <f t="shared" si="6"/>
        <v/>
      </c>
      <c r="R841" s="25" t="str">
        <f t="shared" si="7"/>
        <v/>
      </c>
      <c r="S841" s="19" t="str">
        <f t="shared" si="8"/>
        <v/>
      </c>
      <c r="T841" s="19" t="str">
        <f t="shared" si="9"/>
        <v/>
      </c>
      <c r="U841" s="3"/>
      <c r="V841" s="4" t="str">
        <f>IF(ISBLANK(C841),,IFERROR(IF(VLOOKUP(B841,Standings!$A:$F, 6, 0)=VLOOKUP(C841,Standings!$A:$F, 6, 0), VLOOKUP(B841,Standings!$A:$F, 6, 0), "Non-con"), "FCS"))</f>
        <v/>
      </c>
      <c r="W841" s="3" t="str">
        <f t="shared" si="10"/>
        <v/>
      </c>
      <c r="X841" s="3" t="str">
        <f t="shared" si="11"/>
        <v/>
      </c>
      <c r="Y841" s="30" t="str">
        <f>IF(D841=0,,IF(ISBLANK(Q841),,VLOOKUP(X841,Week1,2,FALSE)/(VLOOKUP(X841,Week1,2,FALSE)+VLOOKUP(W841,Week1,2,FALSE)))*100)</f>
        <v/>
      </c>
      <c r="Z841" s="4"/>
      <c r="AA841" s="3"/>
      <c r="AB841" s="4" t="str">
        <f t="shared" si="20"/>
        <v/>
      </c>
      <c r="AC841" s="3"/>
      <c r="AD841" s="3"/>
      <c r="AE841" s="3" t="str">
        <f t="shared" si="13"/>
        <v/>
      </c>
      <c r="AF841" s="3"/>
      <c r="AG841" s="3" t="str">
        <f t="shared" si="133"/>
        <v/>
      </c>
      <c r="AH841" s="3"/>
      <c r="AI841" s="7"/>
      <c r="AJ841" s="4"/>
      <c r="AK841" s="7"/>
      <c r="AL841" s="7"/>
      <c r="AM841" s="7"/>
      <c r="AN841" s="7"/>
      <c r="AO841" s="7"/>
      <c r="AP841" s="7"/>
      <c r="AQ841" s="7"/>
      <c r="AR841" s="7"/>
      <c r="AS841" s="7"/>
      <c r="AT841" s="7"/>
      <c r="AU841" s="7"/>
      <c r="AV841" s="7"/>
      <c r="AW841" s="7"/>
      <c r="AX841" s="7"/>
    </row>
    <row r="842" ht="12.75" customHeight="1">
      <c r="A842" s="4"/>
      <c r="B842" s="4"/>
      <c r="C842" s="4"/>
      <c r="D842" s="4"/>
      <c r="E842" s="4" t="str">
        <f>IF(ISBLANK(B842),,IFERROR(VLOOKUP(B842,CurrentRank!$B$2:$C$132,2,FALSE),0))</f>
        <v/>
      </c>
      <c r="F842" s="4"/>
      <c r="G842" s="4" t="str">
        <f>IF(ISBLANK(B842),,IFERROR(VLOOKUP(B842,CurrentRank!$B$2:$D$132,3,FALSE),130))</f>
        <v/>
      </c>
      <c r="H842" s="4"/>
      <c r="I842" s="4" t="str">
        <f>IF(ISBLANK(B842),,IFERROR(VLOOKUP(C842,CurrentRank!$B$2:$C$132,2,FALSE),0))</f>
        <v/>
      </c>
      <c r="J842" s="4"/>
      <c r="K842" s="4" t="str">
        <f>IF(ISBLANK(C842),,IFERROR(VLOOKUP(C842,CurrentRank!$B$2:$D$132,3,FALSE),130))</f>
        <v/>
      </c>
      <c r="L842" s="19" t="str">
        <f t="shared" si="279"/>
        <v/>
      </c>
      <c r="M842" s="19" t="str">
        <f t="shared" si="280"/>
        <v/>
      </c>
      <c r="N842" s="24" t="str">
        <f t="shared" si="276"/>
        <v/>
      </c>
      <c r="O842" s="21" t="str">
        <f t="shared" si="4"/>
        <v/>
      </c>
      <c r="P842" s="21" t="str">
        <f t="shared" si="282"/>
        <v/>
      </c>
      <c r="Q842" s="22" t="str">
        <f t="shared" si="6"/>
        <v/>
      </c>
      <c r="R842" s="25" t="str">
        <f t="shared" si="7"/>
        <v/>
      </c>
      <c r="S842" s="19" t="str">
        <f t="shared" si="8"/>
        <v/>
      </c>
      <c r="T842" s="19" t="str">
        <f t="shared" si="9"/>
        <v/>
      </c>
      <c r="U842" s="3"/>
      <c r="V842" s="4" t="str">
        <f>IF(ISBLANK(C842),,IFERROR(IF(VLOOKUP(B842,Standings!$A:$F, 6, 0)=VLOOKUP(C842,Standings!$A:$F, 6, 0), VLOOKUP(B842,Standings!$A:$F, 6, 0), "Non-con"), "FCS"))</f>
        <v/>
      </c>
      <c r="W842" s="3" t="str">
        <f t="shared" si="10"/>
        <v/>
      </c>
      <c r="X842" s="3" t="str">
        <f t="shared" si="11"/>
        <v/>
      </c>
      <c r="Y842" s="30" t="str">
        <f>IF(D842=0,,IF(ISBLANK(Q842),,VLOOKUP(X842,Week1,2,FALSE)/(VLOOKUP(X842,Week1,2,FALSE)+VLOOKUP(W842,Week1,2,FALSE)))*100)</f>
        <v/>
      </c>
      <c r="Z842" s="4"/>
      <c r="AA842" s="3"/>
      <c r="AB842" s="4" t="str">
        <f t="shared" si="20"/>
        <v/>
      </c>
      <c r="AC842" s="3"/>
      <c r="AD842" s="3"/>
      <c r="AE842" s="3" t="str">
        <f t="shared" si="13"/>
        <v/>
      </c>
      <c r="AF842" s="3"/>
      <c r="AG842" s="3" t="str">
        <f t="shared" si="133"/>
        <v/>
      </c>
      <c r="AH842" s="3"/>
      <c r="AI842" s="7"/>
      <c r="AJ842" s="4"/>
      <c r="AK842" s="7"/>
      <c r="AL842" s="7"/>
      <c r="AM842" s="7"/>
      <c r="AN842" s="7"/>
      <c r="AO842" s="7"/>
      <c r="AP842" s="7"/>
      <c r="AQ842" s="7"/>
      <c r="AR842" s="7"/>
      <c r="AS842" s="7"/>
      <c r="AT842" s="7"/>
      <c r="AU842" s="7"/>
      <c r="AV842" s="7"/>
      <c r="AW842" s="7"/>
      <c r="AX842" s="7"/>
    </row>
    <row r="843" ht="12.75" customHeight="1">
      <c r="A843" s="4"/>
      <c r="B843" s="4"/>
      <c r="C843" s="4"/>
      <c r="D843" s="4"/>
      <c r="E843" s="4" t="str">
        <f>IF(ISBLANK(B843),,IFERROR(VLOOKUP(B843,CurrentRank!$B$2:$C$132,2,FALSE),0))</f>
        <v/>
      </c>
      <c r="F843" s="4"/>
      <c r="G843" s="4" t="str">
        <f>IF(ISBLANK(B843),,IFERROR(VLOOKUP(B843,CurrentRank!$B$2:$D$132,3,FALSE),130))</f>
        <v/>
      </c>
      <c r="H843" s="4"/>
      <c r="I843" s="4" t="str">
        <f>IF(ISBLANK(B843),,IFERROR(VLOOKUP(C843,CurrentRank!$B$2:$C$132,2,FALSE),0))</f>
        <v/>
      </c>
      <c r="J843" s="4"/>
      <c r="K843" s="4" t="str">
        <f>IF(ISBLANK(C843),,IFERROR(VLOOKUP(C843,CurrentRank!$B$2:$D$132,3,FALSE),130))</f>
        <v/>
      </c>
      <c r="L843" s="19" t="str">
        <f t="shared" si="279"/>
        <v/>
      </c>
      <c r="M843" s="19" t="str">
        <f t="shared" si="280"/>
        <v/>
      </c>
      <c r="N843" s="24" t="str">
        <f t="shared" si="276"/>
        <v/>
      </c>
      <c r="O843" s="21" t="str">
        <f t="shared" si="4"/>
        <v/>
      </c>
      <c r="P843" s="21" t="str">
        <f t="shared" si="282"/>
        <v/>
      </c>
      <c r="Q843" s="22" t="str">
        <f t="shared" si="6"/>
        <v/>
      </c>
      <c r="R843" s="25" t="str">
        <f t="shared" si="7"/>
        <v/>
      </c>
      <c r="S843" s="19" t="str">
        <f t="shared" si="8"/>
        <v/>
      </c>
      <c r="T843" s="19" t="str">
        <f t="shared" si="9"/>
        <v/>
      </c>
      <c r="U843" s="3"/>
      <c r="V843" s="4" t="str">
        <f>IF(ISBLANK(C843),,IFERROR(IF(VLOOKUP(B843,Standings!$A:$F, 6, 0)=VLOOKUP(C843,Standings!$A:$F, 6, 0), VLOOKUP(B843,Standings!$A:$F, 6, 0), "Non-con"), "FCS"))</f>
        <v/>
      </c>
      <c r="W843" s="3" t="str">
        <f t="shared" si="10"/>
        <v/>
      </c>
      <c r="X843" s="3" t="str">
        <f t="shared" si="11"/>
        <v/>
      </c>
      <c r="Y843" s="30" t="str">
        <f>IF(D843=0,,IF(ISBLANK(Q843),,VLOOKUP(X843,Week1,2,FALSE)/(VLOOKUP(X843,Week1,2,FALSE)+VLOOKUP(W843,Week1,2,FALSE)))*100)</f>
        <v/>
      </c>
      <c r="Z843" s="4"/>
      <c r="AA843" s="3"/>
      <c r="AB843" s="4" t="str">
        <f t="shared" si="20"/>
        <v/>
      </c>
      <c r="AC843" s="3"/>
      <c r="AD843" s="3"/>
      <c r="AE843" s="3" t="str">
        <f t="shared" si="13"/>
        <v/>
      </c>
      <c r="AF843" s="3"/>
      <c r="AG843" s="3" t="str">
        <f t="shared" si="133"/>
        <v/>
      </c>
      <c r="AH843" s="3"/>
      <c r="AI843" s="7"/>
      <c r="AJ843" s="4"/>
      <c r="AK843" s="7"/>
      <c r="AL843" s="7"/>
      <c r="AM843" s="7"/>
      <c r="AN843" s="7"/>
      <c r="AO843" s="7"/>
      <c r="AP843" s="7"/>
      <c r="AQ843" s="7"/>
      <c r="AR843" s="7"/>
      <c r="AS843" s="7"/>
      <c r="AT843" s="7"/>
      <c r="AU843" s="7"/>
      <c r="AV843" s="7"/>
      <c r="AW843" s="7"/>
      <c r="AX843" s="7"/>
    </row>
    <row r="844" ht="12.75" customHeight="1">
      <c r="A844" s="4"/>
      <c r="B844" s="4"/>
      <c r="C844" s="4"/>
      <c r="D844" s="4"/>
      <c r="E844" s="4" t="str">
        <f>IF(ISBLANK(B844),,IFERROR(VLOOKUP(B844,CurrentRank!$B$2:$C$132,2,FALSE),0))</f>
        <v/>
      </c>
      <c r="F844" s="4"/>
      <c r="G844" s="4" t="str">
        <f>IF(ISBLANK(B844),,IFERROR(VLOOKUP(B844,CurrentRank!$B$2:$D$132,3,FALSE),130))</f>
        <v/>
      </c>
      <c r="H844" s="4"/>
      <c r="I844" s="4" t="str">
        <f>IF(ISBLANK(B844),,IFERROR(VLOOKUP(C844,CurrentRank!$B$2:$C$132,2,FALSE),0))</f>
        <v/>
      </c>
      <c r="J844" s="4"/>
      <c r="K844" s="4" t="str">
        <f>IF(ISBLANK(C844),,IFERROR(VLOOKUP(C844,CurrentRank!$B$2:$D$132,3,FALSE),130))</f>
        <v/>
      </c>
      <c r="L844" s="19" t="str">
        <f t="shared" si="279"/>
        <v/>
      </c>
      <c r="M844" s="19" t="str">
        <f t="shared" si="280"/>
        <v/>
      </c>
      <c r="N844" s="24" t="str">
        <f t="shared" si="276"/>
        <v/>
      </c>
      <c r="O844" s="21" t="str">
        <f t="shared" si="4"/>
        <v/>
      </c>
      <c r="P844" s="21" t="str">
        <f t="shared" si="282"/>
        <v/>
      </c>
      <c r="Q844" s="22" t="str">
        <f t="shared" si="6"/>
        <v/>
      </c>
      <c r="R844" s="25" t="str">
        <f t="shared" si="7"/>
        <v/>
      </c>
      <c r="S844" s="19" t="str">
        <f t="shared" si="8"/>
        <v/>
      </c>
      <c r="T844" s="19" t="str">
        <f t="shared" si="9"/>
        <v/>
      </c>
      <c r="U844" s="3"/>
      <c r="V844" s="4" t="str">
        <f>IF(ISBLANK(C844),,IFERROR(IF(VLOOKUP(B844,Standings!$A:$F, 6, 0)=VLOOKUP(C844,Standings!$A:$F, 6, 0), VLOOKUP(B844,Standings!$A:$F, 6, 0), "Non-con"), "FCS"))</f>
        <v/>
      </c>
      <c r="W844" s="3" t="str">
        <f t="shared" si="10"/>
        <v/>
      </c>
      <c r="X844" s="3" t="str">
        <f t="shared" si="11"/>
        <v/>
      </c>
      <c r="Y844" s="30" t="str">
        <f>IF(D844=0,,IF(ISBLANK(Q844),,VLOOKUP(X844,Week1,2,FALSE)/(VLOOKUP(X844,Week1,2,FALSE)+VLOOKUP(W844,Week1,2,FALSE)))*100)</f>
        <v/>
      </c>
      <c r="Z844" s="4"/>
      <c r="AA844" s="3"/>
      <c r="AB844" s="4" t="str">
        <f t="shared" si="20"/>
        <v/>
      </c>
      <c r="AC844" s="3"/>
      <c r="AD844" s="3"/>
      <c r="AE844" s="3" t="str">
        <f t="shared" si="13"/>
        <v/>
      </c>
      <c r="AF844" s="3"/>
      <c r="AG844" s="3" t="str">
        <f t="shared" si="133"/>
        <v/>
      </c>
      <c r="AH844" s="3"/>
      <c r="AI844" s="7"/>
      <c r="AJ844" s="4"/>
      <c r="AK844" s="7"/>
      <c r="AL844" s="7"/>
      <c r="AM844" s="7"/>
      <c r="AN844" s="7"/>
      <c r="AO844" s="7"/>
      <c r="AP844" s="7"/>
      <c r="AQ844" s="7"/>
      <c r="AR844" s="7"/>
      <c r="AS844" s="7"/>
      <c r="AT844" s="7"/>
      <c r="AU844" s="7"/>
      <c r="AV844" s="7"/>
      <c r="AW844" s="7"/>
      <c r="AX844" s="7"/>
    </row>
    <row r="845" ht="12.75" customHeight="1">
      <c r="A845" s="4"/>
      <c r="B845" s="4"/>
      <c r="C845" s="4"/>
      <c r="D845" s="4"/>
      <c r="E845" s="4" t="str">
        <f>IF(ISBLANK(B845),,IFERROR(VLOOKUP(B845,CurrentRank!$B$2:$C$132,2,FALSE),0))</f>
        <v/>
      </c>
      <c r="F845" s="4"/>
      <c r="G845" s="4" t="str">
        <f>IF(ISBLANK(B845),,IFERROR(VLOOKUP(B845,CurrentRank!$B$2:$D$132,3,FALSE),130))</f>
        <v/>
      </c>
      <c r="H845" s="4"/>
      <c r="I845" s="4" t="str">
        <f>IF(ISBLANK(B845),,IFERROR(VLOOKUP(C845,CurrentRank!$B$2:$C$132,2,FALSE),0))</f>
        <v/>
      </c>
      <c r="J845" s="4"/>
      <c r="K845" s="4" t="str">
        <f>IF(ISBLANK(C845),,IFERROR(VLOOKUP(C845,CurrentRank!$B$2:$D$132,3,FALSE),130))</f>
        <v/>
      </c>
      <c r="L845" s="19" t="str">
        <f t="shared" si="279"/>
        <v/>
      </c>
      <c r="M845" s="19" t="str">
        <f t="shared" si="280"/>
        <v/>
      </c>
      <c r="N845" s="24" t="str">
        <f t="shared" si="276"/>
        <v/>
      </c>
      <c r="O845" s="21" t="str">
        <f t="shared" si="4"/>
        <v/>
      </c>
      <c r="P845" s="21" t="str">
        <f t="shared" si="282"/>
        <v/>
      </c>
      <c r="Q845" s="22" t="str">
        <f t="shared" si="6"/>
        <v/>
      </c>
      <c r="R845" s="25" t="str">
        <f t="shared" si="7"/>
        <v/>
      </c>
      <c r="S845" s="19" t="str">
        <f t="shared" si="8"/>
        <v/>
      </c>
      <c r="T845" s="19" t="str">
        <f t="shared" si="9"/>
        <v/>
      </c>
      <c r="U845" s="3"/>
      <c r="V845" s="4" t="str">
        <f>IF(ISBLANK(C845),,IFERROR(IF(VLOOKUP(B845,Standings!$A:$F, 6, 0)=VLOOKUP(C845,Standings!$A:$F, 6, 0), VLOOKUP(B845,Standings!$A:$F, 6, 0), "Non-con"), "FCS"))</f>
        <v/>
      </c>
      <c r="W845" s="3" t="str">
        <f t="shared" si="10"/>
        <v/>
      </c>
      <c r="X845" s="3" t="str">
        <f t="shared" si="11"/>
        <v/>
      </c>
      <c r="Y845" s="30" t="str">
        <f>IF(D845=0,,IF(ISBLANK(Q845),,VLOOKUP(X845,Week1,2,FALSE)/(VLOOKUP(X845,Week1,2,FALSE)+VLOOKUP(W845,Week1,2,FALSE)))*100)</f>
        <v/>
      </c>
      <c r="Z845" s="4"/>
      <c r="AA845" s="3"/>
      <c r="AB845" s="4" t="str">
        <f t="shared" si="20"/>
        <v/>
      </c>
      <c r="AC845" s="3"/>
      <c r="AD845" s="3"/>
      <c r="AE845" s="3" t="str">
        <f t="shared" si="13"/>
        <v/>
      </c>
      <c r="AF845" s="3"/>
      <c r="AG845" s="3" t="str">
        <f t="shared" si="133"/>
        <v/>
      </c>
      <c r="AH845" s="3"/>
      <c r="AI845" s="7"/>
      <c r="AJ845" s="4"/>
      <c r="AK845" s="7"/>
      <c r="AL845" s="7"/>
      <c r="AM845" s="7"/>
      <c r="AN845" s="7"/>
      <c r="AO845" s="7"/>
      <c r="AP845" s="7"/>
      <c r="AQ845" s="7"/>
      <c r="AR845" s="7"/>
      <c r="AS845" s="7"/>
      <c r="AT845" s="7"/>
      <c r="AU845" s="7"/>
      <c r="AV845" s="7"/>
      <c r="AW845" s="7"/>
      <c r="AX845" s="7"/>
    </row>
    <row r="846" ht="12.75" customHeight="1">
      <c r="A846" s="4"/>
      <c r="B846" s="4"/>
      <c r="C846" s="4"/>
      <c r="D846" s="4"/>
      <c r="E846" s="4" t="str">
        <f>IF(ISBLANK(B846),,IFERROR(VLOOKUP(B846,CurrentRank!$B$2:$C$132,2,FALSE),0))</f>
        <v/>
      </c>
      <c r="F846" s="4"/>
      <c r="G846" s="4" t="str">
        <f>IF(ISBLANK(B846),,IFERROR(VLOOKUP(B846,CurrentRank!$B$2:$D$132,3,FALSE),130))</f>
        <v/>
      </c>
      <c r="H846" s="4"/>
      <c r="I846" s="4" t="str">
        <f>IF(ISBLANK(B846),,IFERROR(VLOOKUP(C846,CurrentRank!$B$2:$C$132,2,FALSE),0))</f>
        <v/>
      </c>
      <c r="J846" s="4"/>
      <c r="K846" s="4" t="str">
        <f>IF(ISBLANK(C846),,IFERROR(VLOOKUP(C846,CurrentRank!$B$2:$D$132,3,FALSE),130))</f>
        <v/>
      </c>
      <c r="L846" s="19" t="str">
        <f t="shared" si="279"/>
        <v/>
      </c>
      <c r="M846" s="19" t="str">
        <f t="shared" si="280"/>
        <v/>
      </c>
      <c r="N846" s="24" t="str">
        <f t="shared" si="276"/>
        <v/>
      </c>
      <c r="O846" s="21" t="str">
        <f t="shared" si="4"/>
        <v/>
      </c>
      <c r="P846" s="21" t="str">
        <f t="shared" si="282"/>
        <v/>
      </c>
      <c r="Q846" s="22" t="str">
        <f t="shared" si="6"/>
        <v/>
      </c>
      <c r="R846" s="25" t="str">
        <f t="shared" si="7"/>
        <v/>
      </c>
      <c r="S846" s="19" t="str">
        <f t="shared" si="8"/>
        <v/>
      </c>
      <c r="T846" s="19" t="str">
        <f t="shared" si="9"/>
        <v/>
      </c>
      <c r="U846" s="3"/>
      <c r="V846" s="4" t="str">
        <f>IF(ISBLANK(C846),,IFERROR(IF(VLOOKUP(B846,Standings!$A:$F, 6, 0)=VLOOKUP(C846,Standings!$A:$F, 6, 0), VLOOKUP(B846,Standings!$A:$F, 6, 0), "Non-con"), "FCS"))</f>
        <v/>
      </c>
      <c r="W846" s="3" t="str">
        <f t="shared" si="10"/>
        <v/>
      </c>
      <c r="X846" s="3" t="str">
        <f t="shared" si="11"/>
        <v/>
      </c>
      <c r="Y846" s="30" t="str">
        <f>IF(D846=0,,IF(ISBLANK(Q846),,VLOOKUP(X846,Week1,2,FALSE)/(VLOOKUP(X846,Week1,2,FALSE)+VLOOKUP(W846,Week1,2,FALSE)))*100)</f>
        <v/>
      </c>
      <c r="Z846" s="4"/>
      <c r="AA846" s="3"/>
      <c r="AB846" s="4" t="str">
        <f t="shared" si="20"/>
        <v/>
      </c>
      <c r="AC846" s="3"/>
      <c r="AD846" s="3"/>
      <c r="AE846" s="3" t="str">
        <f t="shared" si="13"/>
        <v/>
      </c>
      <c r="AF846" s="3"/>
      <c r="AG846" s="3" t="str">
        <f t="shared" si="133"/>
        <v/>
      </c>
      <c r="AH846" s="3"/>
      <c r="AI846" s="7"/>
      <c r="AJ846" s="4"/>
      <c r="AK846" s="7"/>
      <c r="AL846" s="7"/>
      <c r="AM846" s="7"/>
      <c r="AN846" s="7"/>
      <c r="AO846" s="7"/>
      <c r="AP846" s="7"/>
      <c r="AQ846" s="7"/>
      <c r="AR846" s="7"/>
      <c r="AS846" s="7"/>
      <c r="AT846" s="7"/>
      <c r="AU846" s="7"/>
      <c r="AV846" s="7"/>
      <c r="AW846" s="7"/>
      <c r="AX846" s="7"/>
    </row>
    <row r="847" ht="12.75" customHeight="1">
      <c r="A847" s="4"/>
      <c r="B847" s="4"/>
      <c r="C847" s="4"/>
      <c r="D847" s="4"/>
      <c r="E847" s="4" t="str">
        <f>IF(ISBLANK(B847),,IFERROR(VLOOKUP(B847,CurrentRank!$B$2:$C$132,2,FALSE),0))</f>
        <v/>
      </c>
      <c r="F847" s="4"/>
      <c r="G847" s="4" t="str">
        <f>IF(ISBLANK(B847),,IFERROR(VLOOKUP(B847,CurrentRank!$B$2:$D$132,3,FALSE),130))</f>
        <v/>
      </c>
      <c r="H847" s="4"/>
      <c r="I847" s="4" t="str">
        <f>IF(ISBLANK(B847),,IFERROR(VLOOKUP(C847,CurrentRank!$B$2:$C$132,2,FALSE),0))</f>
        <v/>
      </c>
      <c r="J847" s="4"/>
      <c r="K847" s="4" t="str">
        <f>IF(ISBLANK(C847),,IFERROR(VLOOKUP(C847,CurrentRank!$B$2:$D$132,3,FALSE),130))</f>
        <v/>
      </c>
      <c r="L847" s="19" t="str">
        <f t="shared" si="279"/>
        <v/>
      </c>
      <c r="M847" s="19" t="str">
        <f t="shared" si="280"/>
        <v/>
      </c>
      <c r="N847" s="24" t="str">
        <f t="shared" si="276"/>
        <v/>
      </c>
      <c r="O847" s="21" t="str">
        <f t="shared" si="4"/>
        <v/>
      </c>
      <c r="P847" s="21" t="str">
        <f t="shared" si="282"/>
        <v/>
      </c>
      <c r="Q847" s="22" t="str">
        <f t="shared" si="6"/>
        <v/>
      </c>
      <c r="R847" s="25" t="str">
        <f t="shared" si="7"/>
        <v/>
      </c>
      <c r="S847" s="19" t="str">
        <f t="shared" si="8"/>
        <v/>
      </c>
      <c r="T847" s="19" t="str">
        <f t="shared" si="9"/>
        <v/>
      </c>
      <c r="U847" s="3"/>
      <c r="V847" s="4" t="str">
        <f>IF(ISBLANK(C847),,IFERROR(IF(VLOOKUP(B847,Standings!$A:$F, 6, 0)=VLOOKUP(C847,Standings!$A:$F, 6, 0), VLOOKUP(B847,Standings!$A:$F, 6, 0), "Non-con"), "FCS"))</f>
        <v/>
      </c>
      <c r="W847" s="3" t="str">
        <f t="shared" si="10"/>
        <v/>
      </c>
      <c r="X847" s="3" t="str">
        <f t="shared" si="11"/>
        <v/>
      </c>
      <c r="Y847" s="30" t="str">
        <f>IF(D847=0,,IF(ISBLANK(Q847),,VLOOKUP(X847,Week1,2,FALSE)/(VLOOKUP(X847,Week1,2,FALSE)+VLOOKUP(W847,Week1,2,FALSE)))*100)</f>
        <v/>
      </c>
      <c r="Z847" s="4"/>
      <c r="AA847" s="3"/>
      <c r="AB847" s="4" t="str">
        <f t="shared" si="20"/>
        <v/>
      </c>
      <c r="AC847" s="3"/>
      <c r="AD847" s="3"/>
      <c r="AE847" s="3" t="str">
        <f t="shared" si="13"/>
        <v/>
      </c>
      <c r="AF847" s="3"/>
      <c r="AG847" s="3" t="str">
        <f t="shared" si="133"/>
        <v/>
      </c>
      <c r="AH847" s="3"/>
      <c r="AI847" s="7"/>
      <c r="AJ847" s="4"/>
      <c r="AK847" s="7"/>
      <c r="AL847" s="7"/>
      <c r="AM847" s="7"/>
      <c r="AN847" s="7"/>
      <c r="AO847" s="7"/>
      <c r="AP847" s="7"/>
      <c r="AQ847" s="7"/>
      <c r="AR847" s="7"/>
      <c r="AS847" s="7"/>
      <c r="AT847" s="7"/>
      <c r="AU847" s="7"/>
      <c r="AV847" s="7"/>
      <c r="AW847" s="7"/>
      <c r="AX847" s="7"/>
    </row>
    <row r="848" ht="12.75" customHeight="1">
      <c r="A848" s="4"/>
      <c r="B848" s="4"/>
      <c r="C848" s="4"/>
      <c r="D848" s="4"/>
      <c r="E848" s="4" t="str">
        <f>IF(ISBLANK(B848),,IFERROR(VLOOKUP(B848,CurrentRank!$B$2:$C$132,2,FALSE),0))</f>
        <v/>
      </c>
      <c r="F848" s="4"/>
      <c r="G848" s="4" t="str">
        <f>IF(ISBLANK(B848),,IFERROR(VLOOKUP(B848,CurrentRank!$B$2:$D$132,3,FALSE),130))</f>
        <v/>
      </c>
      <c r="H848" s="4"/>
      <c r="I848" s="4" t="str">
        <f>IF(ISBLANK(B848),,IFERROR(VLOOKUP(C848,CurrentRank!$B$2:$C$132,2,FALSE),0))</f>
        <v/>
      </c>
      <c r="J848" s="4"/>
      <c r="K848" s="4" t="str">
        <f>IF(ISBLANK(C848),,IFERROR(VLOOKUP(C848,CurrentRank!$B$2:$D$132,3,FALSE),130))</f>
        <v/>
      </c>
      <c r="L848" s="19" t="str">
        <f t="shared" si="279"/>
        <v/>
      </c>
      <c r="M848" s="19" t="str">
        <f t="shared" si="280"/>
        <v/>
      </c>
      <c r="N848" s="24" t="str">
        <f t="shared" si="276"/>
        <v/>
      </c>
      <c r="O848" s="21" t="str">
        <f t="shared" si="4"/>
        <v/>
      </c>
      <c r="P848" s="21" t="str">
        <f t="shared" si="282"/>
        <v/>
      </c>
      <c r="Q848" s="22" t="str">
        <f t="shared" si="6"/>
        <v/>
      </c>
      <c r="R848" s="25" t="str">
        <f t="shared" si="7"/>
        <v/>
      </c>
      <c r="S848" s="19" t="str">
        <f t="shared" si="8"/>
        <v/>
      </c>
      <c r="T848" s="19" t="str">
        <f t="shared" si="9"/>
        <v/>
      </c>
      <c r="U848" s="3"/>
      <c r="V848" s="4" t="str">
        <f>IF(ISBLANK(C848),,IFERROR(IF(VLOOKUP(B848,Standings!$A:$F, 6, 0)=VLOOKUP(C848,Standings!$A:$F, 6, 0), VLOOKUP(B848,Standings!$A:$F, 6, 0), "Non-con"), "FCS"))</f>
        <v/>
      </c>
      <c r="W848" s="3" t="str">
        <f t="shared" si="10"/>
        <v/>
      </c>
      <c r="X848" s="3" t="str">
        <f t="shared" si="11"/>
        <v/>
      </c>
      <c r="Y848" s="30" t="str">
        <f>IF(D848=0,,IF(ISBLANK(Q848),,VLOOKUP(X848,Week1,2,FALSE)/(VLOOKUP(X848,Week1,2,FALSE)+VLOOKUP(W848,Week1,2,FALSE)))*100)</f>
        <v/>
      </c>
      <c r="Z848" s="4"/>
      <c r="AA848" s="3"/>
      <c r="AB848" s="4" t="str">
        <f t="shared" si="20"/>
        <v/>
      </c>
      <c r="AC848" s="3"/>
      <c r="AD848" s="3"/>
      <c r="AE848" s="3" t="str">
        <f t="shared" si="13"/>
        <v/>
      </c>
      <c r="AF848" s="3"/>
      <c r="AG848" s="3" t="str">
        <f t="shared" si="133"/>
        <v/>
      </c>
      <c r="AH848" s="3"/>
      <c r="AI848" s="7"/>
      <c r="AJ848" s="4"/>
      <c r="AK848" s="7"/>
      <c r="AL848" s="7"/>
      <c r="AM848" s="7"/>
      <c r="AN848" s="7"/>
      <c r="AO848" s="7"/>
      <c r="AP848" s="7"/>
      <c r="AQ848" s="7"/>
      <c r="AR848" s="7"/>
      <c r="AS848" s="7"/>
      <c r="AT848" s="7"/>
      <c r="AU848" s="7"/>
      <c r="AV848" s="7"/>
      <c r="AW848" s="7"/>
      <c r="AX848" s="7"/>
    </row>
    <row r="849" ht="12.75" customHeight="1">
      <c r="A849" s="4"/>
      <c r="B849" s="4"/>
      <c r="C849" s="4"/>
      <c r="D849" s="4"/>
      <c r="E849" s="4" t="str">
        <f>IF(ISBLANK(B849),,IFERROR(VLOOKUP(B849,CurrentRank!$B$2:$C$132,2,FALSE),0))</f>
        <v/>
      </c>
      <c r="F849" s="4"/>
      <c r="G849" s="4" t="str">
        <f>IF(ISBLANK(B849),,IFERROR(VLOOKUP(B849,CurrentRank!$B$2:$D$132,3,FALSE),130))</f>
        <v/>
      </c>
      <c r="H849" s="4"/>
      <c r="I849" s="4" t="str">
        <f>IF(ISBLANK(B849),,IFERROR(VLOOKUP(C849,CurrentRank!$B$2:$C$132,2,FALSE),0))</f>
        <v/>
      </c>
      <c r="J849" s="4"/>
      <c r="K849" s="4" t="str">
        <f>IF(ISBLANK(C849),,IFERROR(VLOOKUP(C849,CurrentRank!$B$2:$D$132,3,FALSE),130))</f>
        <v/>
      </c>
      <c r="L849" s="19" t="str">
        <f t="shared" si="279"/>
        <v/>
      </c>
      <c r="M849" s="19" t="str">
        <f t="shared" si="280"/>
        <v/>
      </c>
      <c r="N849" s="24" t="str">
        <f t="shared" si="276"/>
        <v/>
      </c>
      <c r="O849" s="21" t="str">
        <f t="shared" si="4"/>
        <v/>
      </c>
      <c r="P849" s="21" t="str">
        <f t="shared" si="282"/>
        <v/>
      </c>
      <c r="Q849" s="22" t="str">
        <f t="shared" si="6"/>
        <v/>
      </c>
      <c r="R849" s="25" t="str">
        <f t="shared" si="7"/>
        <v/>
      </c>
      <c r="S849" s="19" t="str">
        <f t="shared" si="8"/>
        <v/>
      </c>
      <c r="T849" s="19" t="str">
        <f t="shared" si="9"/>
        <v/>
      </c>
      <c r="U849" s="3"/>
      <c r="V849" s="4" t="str">
        <f>IF(ISBLANK(C849),,IFERROR(IF(VLOOKUP(B849,Standings!$A:$F, 6, 0)=VLOOKUP(C849,Standings!$A:$F, 6, 0), VLOOKUP(B849,Standings!$A:$F, 6, 0), "Non-con"), "FCS"))</f>
        <v/>
      </c>
      <c r="W849" s="3" t="str">
        <f t="shared" si="10"/>
        <v/>
      </c>
      <c r="X849" s="3" t="str">
        <f t="shared" si="11"/>
        <v/>
      </c>
      <c r="Y849" s="30" t="str">
        <f>IF(D849=0,,IF(ISBLANK(Q849),,VLOOKUP(X849,Week1,2,FALSE)/(VLOOKUP(X849,Week1,2,FALSE)+VLOOKUP(W849,Week1,2,FALSE)))*100)</f>
        <v/>
      </c>
      <c r="Z849" s="4"/>
      <c r="AA849" s="3"/>
      <c r="AB849" s="4" t="str">
        <f t="shared" si="20"/>
        <v/>
      </c>
      <c r="AC849" s="3"/>
      <c r="AD849" s="3"/>
      <c r="AE849" s="3" t="str">
        <f t="shared" si="13"/>
        <v/>
      </c>
      <c r="AF849" s="3"/>
      <c r="AG849" s="3" t="str">
        <f t="shared" si="133"/>
        <v/>
      </c>
      <c r="AH849" s="3"/>
      <c r="AI849" s="7"/>
      <c r="AJ849" s="4"/>
      <c r="AK849" s="7"/>
      <c r="AL849" s="7"/>
      <c r="AM849" s="7"/>
      <c r="AN849" s="7"/>
      <c r="AO849" s="7"/>
      <c r="AP849" s="7"/>
      <c r="AQ849" s="7"/>
      <c r="AR849" s="7"/>
      <c r="AS849" s="7"/>
      <c r="AT849" s="7"/>
      <c r="AU849" s="7"/>
      <c r="AV849" s="7"/>
      <c r="AW849" s="7"/>
      <c r="AX849" s="7"/>
    </row>
    <row r="850" ht="12.75" customHeight="1">
      <c r="A850" s="4"/>
      <c r="B850" s="4"/>
      <c r="C850" s="4"/>
      <c r="D850" s="4"/>
      <c r="E850" s="4" t="str">
        <f>IF(ISBLANK(B850),,IFERROR(VLOOKUP(B850,CurrentRank!$B$2:$C$132,2,FALSE),0))</f>
        <v/>
      </c>
      <c r="F850" s="4"/>
      <c r="G850" s="4" t="str">
        <f>IF(ISBLANK(B850),,IFERROR(VLOOKUP(B850,CurrentRank!$B$2:$D$132,3,FALSE),130))</f>
        <v/>
      </c>
      <c r="H850" s="4"/>
      <c r="I850" s="4" t="str">
        <f>IF(ISBLANK(B850),,IFERROR(VLOOKUP(C850,CurrentRank!$B$2:$C$132,2,FALSE),0))</f>
        <v/>
      </c>
      <c r="J850" s="4"/>
      <c r="K850" s="4" t="str">
        <f>IF(ISBLANK(C850),,IFERROR(VLOOKUP(C850,CurrentRank!$B$2:$D$132,3,FALSE),130))</f>
        <v/>
      </c>
      <c r="L850" s="19" t="str">
        <f t="shared" si="279"/>
        <v/>
      </c>
      <c r="M850" s="19" t="str">
        <f t="shared" si="280"/>
        <v/>
      </c>
      <c r="N850" s="24" t="str">
        <f t="shared" si="276"/>
        <v/>
      </c>
      <c r="O850" s="21" t="str">
        <f t="shared" si="4"/>
        <v/>
      </c>
      <c r="P850" s="21" t="str">
        <f t="shared" si="282"/>
        <v/>
      </c>
      <c r="Q850" s="22" t="str">
        <f t="shared" si="6"/>
        <v/>
      </c>
      <c r="R850" s="25" t="str">
        <f t="shared" si="7"/>
        <v/>
      </c>
      <c r="S850" s="19" t="str">
        <f t="shared" si="8"/>
        <v/>
      </c>
      <c r="T850" s="19" t="str">
        <f t="shared" si="9"/>
        <v/>
      </c>
      <c r="U850" s="3"/>
      <c r="V850" s="4" t="str">
        <f>IF(ISBLANK(C850),,IFERROR(IF(VLOOKUP(B850,Standings!$A:$F, 6, 0)=VLOOKUP(C850,Standings!$A:$F, 6, 0), VLOOKUP(B850,Standings!$A:$F, 6, 0), "Non-con"), "FCS"))</f>
        <v/>
      </c>
      <c r="W850" s="3" t="str">
        <f t="shared" si="10"/>
        <v/>
      </c>
      <c r="X850" s="3" t="str">
        <f t="shared" si="11"/>
        <v/>
      </c>
      <c r="Y850" s="30" t="str">
        <f>IF(D850=0,,IF(ISBLANK(Q850),,VLOOKUP(X850,Week1,2,FALSE)/(VLOOKUP(X850,Week1,2,FALSE)+VLOOKUP(W850,Week1,2,FALSE)))*100)</f>
        <v/>
      </c>
      <c r="Z850" s="4"/>
      <c r="AA850" s="3"/>
      <c r="AB850" s="4" t="str">
        <f t="shared" si="20"/>
        <v/>
      </c>
      <c r="AC850" s="3"/>
      <c r="AD850" s="3"/>
      <c r="AE850" s="3" t="str">
        <f t="shared" si="13"/>
        <v/>
      </c>
      <c r="AF850" s="3"/>
      <c r="AG850" s="3" t="str">
        <f t="shared" si="133"/>
        <v/>
      </c>
      <c r="AH850" s="3"/>
      <c r="AI850" s="7"/>
      <c r="AJ850" s="4"/>
      <c r="AK850" s="7"/>
      <c r="AL850" s="7"/>
      <c r="AM850" s="7"/>
      <c r="AN850" s="7"/>
      <c r="AO850" s="7"/>
      <c r="AP850" s="7"/>
      <c r="AQ850" s="7"/>
      <c r="AR850" s="7"/>
      <c r="AS850" s="7"/>
      <c r="AT850" s="7"/>
      <c r="AU850" s="7"/>
      <c r="AV850" s="7"/>
      <c r="AW850" s="7"/>
      <c r="AX850" s="7"/>
    </row>
    <row r="851" ht="12.75" customHeight="1">
      <c r="A851" s="4"/>
      <c r="B851" s="4"/>
      <c r="C851" s="4"/>
      <c r="D851" s="4"/>
      <c r="E851" s="4" t="str">
        <f>IF(ISBLANK(B851),,IFERROR(VLOOKUP(B851,CurrentRank!$B$2:$C$132,2,FALSE),0))</f>
        <v/>
      </c>
      <c r="F851" s="4"/>
      <c r="G851" s="4" t="str">
        <f>IF(ISBLANK(B851),,IFERROR(VLOOKUP(B851,CurrentRank!$B$2:$D$132,3,FALSE),130))</f>
        <v/>
      </c>
      <c r="H851" s="4"/>
      <c r="I851" s="4" t="str">
        <f>IF(ISBLANK(B851),,IFERROR(VLOOKUP(C851,CurrentRank!$B$2:$C$132,2,FALSE),0))</f>
        <v/>
      </c>
      <c r="J851" s="4"/>
      <c r="K851" s="4" t="str">
        <f>IF(ISBLANK(C851),,IFERROR(VLOOKUP(C851,CurrentRank!$B$2:$D$132,3,FALSE),130))</f>
        <v/>
      </c>
      <c r="L851" s="19" t="str">
        <f t="shared" si="279"/>
        <v/>
      </c>
      <c r="M851" s="19" t="str">
        <f t="shared" si="280"/>
        <v/>
      </c>
      <c r="N851" s="24" t="str">
        <f t="shared" si="276"/>
        <v/>
      </c>
      <c r="O851" s="21" t="str">
        <f t="shared" si="4"/>
        <v/>
      </c>
      <c r="P851" s="21" t="str">
        <f t="shared" si="282"/>
        <v/>
      </c>
      <c r="Q851" s="22" t="str">
        <f t="shared" si="6"/>
        <v/>
      </c>
      <c r="R851" s="25" t="str">
        <f t="shared" si="7"/>
        <v/>
      </c>
      <c r="S851" s="19" t="str">
        <f t="shared" si="8"/>
        <v/>
      </c>
      <c r="T851" s="19" t="str">
        <f t="shared" si="9"/>
        <v/>
      </c>
      <c r="U851" s="3"/>
      <c r="V851" s="4" t="str">
        <f>IF(ISBLANK(C851),,IFERROR(IF(VLOOKUP(B851,Standings!$A:$F, 6, 0)=VLOOKUP(C851,Standings!$A:$F, 6, 0), VLOOKUP(B851,Standings!$A:$F, 6, 0), "Non-con"), "FCS"))</f>
        <v/>
      </c>
      <c r="W851" s="3" t="str">
        <f t="shared" si="10"/>
        <v/>
      </c>
      <c r="X851" s="3" t="str">
        <f t="shared" si="11"/>
        <v/>
      </c>
      <c r="Y851" s="30" t="str">
        <f>IF(D851=0,,IF(ISBLANK(Q851),,VLOOKUP(X851,Week1,2,FALSE)/(VLOOKUP(X851,Week1,2,FALSE)+VLOOKUP(W851,Week1,2,FALSE)))*100)</f>
        <v/>
      </c>
      <c r="Z851" s="4"/>
      <c r="AA851" s="3"/>
      <c r="AB851" s="4" t="str">
        <f t="shared" si="20"/>
        <v/>
      </c>
      <c r="AC851" s="3"/>
      <c r="AD851" s="3"/>
      <c r="AE851" s="3" t="str">
        <f t="shared" si="13"/>
        <v/>
      </c>
      <c r="AF851" s="3"/>
      <c r="AG851" s="3" t="str">
        <f t="shared" si="133"/>
        <v/>
      </c>
      <c r="AH851" s="3"/>
      <c r="AI851" s="7"/>
      <c r="AJ851" s="4"/>
      <c r="AK851" s="7"/>
      <c r="AL851" s="7"/>
      <c r="AM851" s="7"/>
      <c r="AN851" s="7"/>
      <c r="AO851" s="7"/>
      <c r="AP851" s="7"/>
      <c r="AQ851" s="7"/>
      <c r="AR851" s="7"/>
      <c r="AS851" s="7"/>
      <c r="AT851" s="7"/>
      <c r="AU851" s="7"/>
      <c r="AV851" s="7"/>
      <c r="AW851" s="7"/>
      <c r="AX851" s="7"/>
    </row>
    <row r="852" ht="12.75" customHeight="1">
      <c r="A852" s="4"/>
      <c r="B852" s="4"/>
      <c r="C852" s="4"/>
      <c r="D852" s="4"/>
      <c r="E852" s="4" t="str">
        <f>IF(ISBLANK(B852),,IFERROR(VLOOKUP(B852,CurrentRank!$B$2:$C$132,2,FALSE),0))</f>
        <v/>
      </c>
      <c r="F852" s="4"/>
      <c r="G852" s="4" t="str">
        <f>IF(ISBLANK(B852),,IFERROR(VLOOKUP(B852,CurrentRank!$B$2:$D$132,3,FALSE),130))</f>
        <v/>
      </c>
      <c r="H852" s="4"/>
      <c r="I852" s="4" t="str">
        <f>IF(ISBLANK(B852),,IFERROR(VLOOKUP(C852,CurrentRank!$B$2:$C$132,2,FALSE),0))</f>
        <v/>
      </c>
      <c r="J852" s="4"/>
      <c r="K852" s="4" t="str">
        <f>IF(ISBLANK(C852),,IFERROR(VLOOKUP(C852,CurrentRank!$B$2:$D$132,3,FALSE),130))</f>
        <v/>
      </c>
      <c r="L852" s="19" t="str">
        <f t="shared" si="279"/>
        <v/>
      </c>
      <c r="M852" s="19" t="str">
        <f t="shared" si="280"/>
        <v/>
      </c>
      <c r="N852" s="24" t="str">
        <f t="shared" si="276"/>
        <v/>
      </c>
      <c r="O852" s="21" t="str">
        <f t="shared" si="4"/>
        <v/>
      </c>
      <c r="P852" s="21" t="str">
        <f t="shared" si="282"/>
        <v/>
      </c>
      <c r="Q852" s="22" t="str">
        <f t="shared" si="6"/>
        <v/>
      </c>
      <c r="R852" s="25" t="str">
        <f t="shared" si="7"/>
        <v/>
      </c>
      <c r="S852" s="19" t="str">
        <f t="shared" si="8"/>
        <v/>
      </c>
      <c r="T852" s="19" t="str">
        <f t="shared" si="9"/>
        <v/>
      </c>
      <c r="U852" s="3"/>
      <c r="V852" s="4" t="str">
        <f>IF(ISBLANK(C852),,IFERROR(IF(VLOOKUP(B852,Standings!$A:$F, 6, 0)=VLOOKUP(C852,Standings!$A:$F, 6, 0), VLOOKUP(B852,Standings!$A:$F, 6, 0), "Non-con"), "FCS"))</f>
        <v/>
      </c>
      <c r="W852" s="3" t="str">
        <f t="shared" si="10"/>
        <v/>
      </c>
      <c r="X852" s="3" t="str">
        <f t="shared" si="11"/>
        <v/>
      </c>
      <c r="Y852" s="30" t="str">
        <f>IF(D852=0,,IF(ISBLANK(Q852),,VLOOKUP(X852,Week1,2,FALSE)/(VLOOKUP(X852,Week1,2,FALSE)+VLOOKUP(W852,Week1,2,FALSE)))*100)</f>
        <v/>
      </c>
      <c r="Z852" s="4"/>
      <c r="AA852" s="3"/>
      <c r="AB852" s="4" t="str">
        <f t="shared" si="20"/>
        <v/>
      </c>
      <c r="AC852" s="3"/>
      <c r="AD852" s="3"/>
      <c r="AE852" s="3" t="str">
        <f t="shared" si="13"/>
        <v/>
      </c>
      <c r="AF852" s="3"/>
      <c r="AG852" s="3" t="str">
        <f t="shared" si="133"/>
        <v/>
      </c>
      <c r="AH852" s="3"/>
      <c r="AI852" s="7"/>
      <c r="AJ852" s="4"/>
      <c r="AK852" s="7"/>
      <c r="AL852" s="7"/>
      <c r="AM852" s="7"/>
      <c r="AN852" s="7"/>
      <c r="AO852" s="7"/>
      <c r="AP852" s="7"/>
      <c r="AQ852" s="7"/>
      <c r="AR852" s="7"/>
      <c r="AS852" s="7"/>
      <c r="AT852" s="7"/>
      <c r="AU852" s="7"/>
      <c r="AV852" s="7"/>
      <c r="AW852" s="7"/>
      <c r="AX852" s="7"/>
    </row>
    <row r="853" ht="12.75" customHeight="1">
      <c r="A853" s="4"/>
      <c r="B853" s="4"/>
      <c r="C853" s="4"/>
      <c r="D853" s="4"/>
      <c r="E853" s="4" t="str">
        <f>IF(ISBLANK(B853),,IFERROR(VLOOKUP(B853,CurrentRank!$B$2:$C$132,2,FALSE),0))</f>
        <v/>
      </c>
      <c r="F853" s="4"/>
      <c r="G853" s="4" t="str">
        <f>IF(ISBLANK(B853),,IFERROR(VLOOKUP(B853,CurrentRank!$B$2:$D$132,3,FALSE),130))</f>
        <v/>
      </c>
      <c r="H853" s="4"/>
      <c r="I853" s="4" t="str">
        <f>IF(ISBLANK(B853),,IFERROR(VLOOKUP(C853,CurrentRank!$B$2:$C$132,2,FALSE),0))</f>
        <v/>
      </c>
      <c r="J853" s="4"/>
      <c r="K853" s="4" t="str">
        <f>IF(ISBLANK(C853),,IFERROR(VLOOKUP(C853,CurrentRank!$B$2:$D$132,3,FALSE),130))</f>
        <v/>
      </c>
      <c r="L853" s="19" t="str">
        <f t="shared" si="279"/>
        <v/>
      </c>
      <c r="M853" s="19" t="str">
        <f t="shared" si="280"/>
        <v/>
      </c>
      <c r="N853" s="24" t="str">
        <f t="shared" si="276"/>
        <v/>
      </c>
      <c r="O853" s="21" t="str">
        <f t="shared" si="4"/>
        <v/>
      </c>
      <c r="P853" s="21" t="str">
        <f t="shared" si="282"/>
        <v/>
      </c>
      <c r="Q853" s="22" t="str">
        <f t="shared" si="6"/>
        <v/>
      </c>
      <c r="R853" s="25" t="str">
        <f t="shared" si="7"/>
        <v/>
      </c>
      <c r="S853" s="19" t="str">
        <f t="shared" si="8"/>
        <v/>
      </c>
      <c r="T853" s="19" t="str">
        <f t="shared" si="9"/>
        <v/>
      </c>
      <c r="U853" s="3"/>
      <c r="V853" s="4" t="str">
        <f>IF(ISBLANK(C853),,IFERROR(IF(VLOOKUP(B853,Standings!$A:$F, 6, 0)=VLOOKUP(C853,Standings!$A:$F, 6, 0), VLOOKUP(B853,Standings!$A:$F, 6, 0), "Non-con"), "FCS"))</f>
        <v/>
      </c>
      <c r="W853" s="3" t="str">
        <f t="shared" si="10"/>
        <v/>
      </c>
      <c r="X853" s="3" t="str">
        <f t="shared" si="11"/>
        <v/>
      </c>
      <c r="Y853" s="30" t="str">
        <f>IF(D853=0,,IF(ISBLANK(Q853),,VLOOKUP(X853,Week1,2,FALSE)/(VLOOKUP(X853,Week1,2,FALSE)+VLOOKUP(W853,Week1,2,FALSE)))*100)</f>
        <v/>
      </c>
      <c r="Z853" s="4"/>
      <c r="AA853" s="3"/>
      <c r="AB853" s="4" t="str">
        <f t="shared" si="20"/>
        <v/>
      </c>
      <c r="AC853" s="3"/>
      <c r="AD853" s="3"/>
      <c r="AE853" s="3" t="str">
        <f t="shared" si="13"/>
        <v/>
      </c>
      <c r="AF853" s="3"/>
      <c r="AG853" s="3" t="str">
        <f t="shared" si="133"/>
        <v/>
      </c>
      <c r="AH853" s="3"/>
      <c r="AI853" s="7"/>
      <c r="AJ853" s="4"/>
      <c r="AK853" s="7"/>
      <c r="AL853" s="7"/>
      <c r="AM853" s="7"/>
      <c r="AN853" s="7"/>
      <c r="AO853" s="7"/>
      <c r="AP853" s="7"/>
      <c r="AQ853" s="7"/>
      <c r="AR853" s="7"/>
      <c r="AS853" s="7"/>
      <c r="AT853" s="7"/>
      <c r="AU853" s="7"/>
      <c r="AV853" s="7"/>
      <c r="AW853" s="7"/>
      <c r="AX853" s="7"/>
    </row>
    <row r="854" ht="12.75" customHeight="1">
      <c r="A854" s="4"/>
      <c r="B854" s="4"/>
      <c r="C854" s="4"/>
      <c r="D854" s="4"/>
      <c r="E854" s="4" t="str">
        <f>IF(ISBLANK(B854),,IFERROR(VLOOKUP(B854,CurrentRank!$B$2:$C$132,2,FALSE),0))</f>
        <v/>
      </c>
      <c r="F854" s="4"/>
      <c r="G854" s="4" t="str">
        <f>IF(ISBLANK(B854),,IFERROR(VLOOKUP(B854,CurrentRank!$B$2:$D$132,3,FALSE),130))</f>
        <v/>
      </c>
      <c r="H854" s="4"/>
      <c r="I854" s="4" t="str">
        <f>IF(ISBLANK(B854),,IFERROR(VLOOKUP(C854,CurrentRank!$B$2:$C$132,2,FALSE),0))</f>
        <v/>
      </c>
      <c r="J854" s="4"/>
      <c r="K854" s="4" t="str">
        <f>IF(ISBLANK(C854),,IFERROR(VLOOKUP(C854,CurrentRank!$B$2:$D$132,3,FALSE),130))</f>
        <v/>
      </c>
      <c r="L854" s="19" t="str">
        <f t="shared" si="279"/>
        <v/>
      </c>
      <c r="M854" s="19" t="str">
        <f t="shared" si="280"/>
        <v/>
      </c>
      <c r="N854" s="24" t="str">
        <f t="shared" si="276"/>
        <v/>
      </c>
      <c r="O854" s="21" t="str">
        <f t="shared" si="4"/>
        <v/>
      </c>
      <c r="P854" s="21" t="str">
        <f t="shared" si="282"/>
        <v/>
      </c>
      <c r="Q854" s="22" t="str">
        <f t="shared" si="6"/>
        <v/>
      </c>
      <c r="R854" s="25" t="str">
        <f t="shared" si="7"/>
        <v/>
      </c>
      <c r="S854" s="19" t="str">
        <f t="shared" si="8"/>
        <v/>
      </c>
      <c r="T854" s="19" t="str">
        <f t="shared" si="9"/>
        <v/>
      </c>
      <c r="U854" s="3"/>
      <c r="V854" s="4" t="str">
        <f>IF(ISBLANK(C854),,IFERROR(IF(VLOOKUP(B854,Standings!$A:$F, 6, 0)=VLOOKUP(C854,Standings!$A:$F, 6, 0), VLOOKUP(B854,Standings!$A:$F, 6, 0), "Non-con"), "FCS"))</f>
        <v/>
      </c>
      <c r="W854" s="3" t="str">
        <f t="shared" si="10"/>
        <v/>
      </c>
      <c r="X854" s="3" t="str">
        <f t="shared" si="11"/>
        <v/>
      </c>
      <c r="Y854" s="30" t="str">
        <f>IF(D854=0,,IF(ISBLANK(Q854),,VLOOKUP(X854,Week1,2,FALSE)/(VLOOKUP(X854,Week1,2,FALSE)+VLOOKUP(W854,Week1,2,FALSE)))*100)</f>
        <v/>
      </c>
      <c r="Z854" s="4"/>
      <c r="AA854" s="3"/>
      <c r="AB854" s="4" t="str">
        <f t="shared" si="20"/>
        <v/>
      </c>
      <c r="AC854" s="3"/>
      <c r="AD854" s="3"/>
      <c r="AE854" s="3" t="str">
        <f t="shared" si="13"/>
        <v/>
      </c>
      <c r="AF854" s="3"/>
      <c r="AG854" s="3" t="str">
        <f t="shared" si="133"/>
        <v/>
      </c>
      <c r="AH854" s="3"/>
      <c r="AI854" s="7"/>
      <c r="AJ854" s="4"/>
      <c r="AK854" s="7"/>
      <c r="AL854" s="7"/>
      <c r="AM854" s="7"/>
      <c r="AN854" s="7"/>
      <c r="AO854" s="7"/>
      <c r="AP854" s="7"/>
      <c r="AQ854" s="7"/>
      <c r="AR854" s="7"/>
      <c r="AS854" s="7"/>
      <c r="AT854" s="7"/>
      <c r="AU854" s="7"/>
      <c r="AV854" s="7"/>
      <c r="AW854" s="7"/>
      <c r="AX854" s="7"/>
    </row>
    <row r="855" ht="12.75" customHeight="1">
      <c r="A855" s="4"/>
      <c r="B855" s="4"/>
      <c r="C855" s="4"/>
      <c r="D855" s="4"/>
      <c r="E855" s="4" t="str">
        <f>IF(ISBLANK(B855),,IFERROR(VLOOKUP(B855,CurrentRank!$B$2:$C$132,2,FALSE),0))</f>
        <v/>
      </c>
      <c r="F855" s="4"/>
      <c r="G855" s="4" t="str">
        <f>IF(ISBLANK(B855),,IFERROR(VLOOKUP(B855,CurrentRank!$B$2:$D$132,3,FALSE),130))</f>
        <v/>
      </c>
      <c r="H855" s="4"/>
      <c r="I855" s="4" t="str">
        <f>IF(ISBLANK(B855),,IFERROR(VLOOKUP(C855,CurrentRank!$B$2:$C$132,2,FALSE),0))</f>
        <v/>
      </c>
      <c r="J855" s="4"/>
      <c r="K855" s="4" t="str">
        <f>IF(ISBLANK(C855),,IFERROR(VLOOKUP(C855,CurrentRank!$B$2:$D$132,3,FALSE),130))</f>
        <v/>
      </c>
      <c r="L855" s="19" t="str">
        <f t="shared" si="279"/>
        <v/>
      </c>
      <c r="M855" s="19" t="str">
        <f t="shared" si="280"/>
        <v/>
      </c>
      <c r="N855" s="24" t="str">
        <f t="shared" si="276"/>
        <v/>
      </c>
      <c r="O855" s="21" t="str">
        <f t="shared" si="4"/>
        <v/>
      </c>
      <c r="P855" s="21" t="str">
        <f t="shared" si="282"/>
        <v/>
      </c>
      <c r="Q855" s="22" t="str">
        <f t="shared" si="6"/>
        <v/>
      </c>
      <c r="R855" s="25" t="str">
        <f t="shared" si="7"/>
        <v/>
      </c>
      <c r="S855" s="19" t="str">
        <f t="shared" si="8"/>
        <v/>
      </c>
      <c r="T855" s="19" t="str">
        <f t="shared" si="9"/>
        <v/>
      </c>
      <c r="U855" s="3"/>
      <c r="V855" s="4" t="str">
        <f>IF(ISBLANK(C855),,IFERROR(IF(VLOOKUP(B855,Standings!$A:$F, 6, 0)=VLOOKUP(C855,Standings!$A:$F, 6, 0), VLOOKUP(B855,Standings!$A:$F, 6, 0), "Non-con"), "FCS"))</f>
        <v/>
      </c>
      <c r="W855" s="3" t="str">
        <f t="shared" si="10"/>
        <v/>
      </c>
      <c r="X855" s="3" t="str">
        <f t="shared" si="11"/>
        <v/>
      </c>
      <c r="Y855" s="30" t="str">
        <f>IF(D855=0,,IF(ISBLANK(Q855),,VLOOKUP(X855,Week1,2,FALSE)/(VLOOKUP(X855,Week1,2,FALSE)+VLOOKUP(W855,Week1,2,FALSE)))*100)</f>
        <v/>
      </c>
      <c r="Z855" s="4"/>
      <c r="AA855" s="3"/>
      <c r="AB855" s="4" t="str">
        <f t="shared" si="20"/>
        <v/>
      </c>
      <c r="AC855" s="3"/>
      <c r="AD855" s="3"/>
      <c r="AE855" s="3" t="str">
        <f t="shared" si="13"/>
        <v/>
      </c>
      <c r="AF855" s="3"/>
      <c r="AG855" s="3" t="str">
        <f t="shared" si="133"/>
        <v/>
      </c>
      <c r="AH855" s="3"/>
      <c r="AI855" s="7"/>
      <c r="AJ855" s="4"/>
      <c r="AK855" s="7"/>
      <c r="AL855" s="7"/>
      <c r="AM855" s="7"/>
      <c r="AN855" s="7"/>
      <c r="AO855" s="7"/>
      <c r="AP855" s="7"/>
      <c r="AQ855" s="7"/>
      <c r="AR855" s="7"/>
      <c r="AS855" s="7"/>
      <c r="AT855" s="7"/>
      <c r="AU855" s="7"/>
      <c r="AV855" s="7"/>
      <c r="AW855" s="7"/>
      <c r="AX855" s="7"/>
    </row>
    <row r="856" ht="12.75" customHeight="1">
      <c r="A856" s="4"/>
      <c r="B856" s="4"/>
      <c r="C856" s="4"/>
      <c r="D856" s="4"/>
      <c r="E856" s="4" t="str">
        <f>IF(ISBLANK(B856),,IFERROR(VLOOKUP(B856,CurrentRank!$B$2:$C$132,2,FALSE),0))</f>
        <v/>
      </c>
      <c r="F856" s="4"/>
      <c r="G856" s="4" t="str">
        <f>IF(ISBLANK(B856),,IFERROR(VLOOKUP(B856,CurrentRank!$B$2:$D$132,3,FALSE),130))</f>
        <v/>
      </c>
      <c r="H856" s="4"/>
      <c r="I856" s="4" t="str">
        <f>IF(ISBLANK(B856),,IFERROR(VLOOKUP(C856,CurrentRank!$B$2:$C$132,2,FALSE),0))</f>
        <v/>
      </c>
      <c r="J856" s="4"/>
      <c r="K856" s="4" t="str">
        <f>IF(ISBLANK(C856),,IFERROR(VLOOKUP(C856,CurrentRank!$B$2:$D$132,3,FALSE),130))</f>
        <v/>
      </c>
      <c r="L856" s="19" t="str">
        <f t="shared" si="279"/>
        <v/>
      </c>
      <c r="M856" s="19" t="str">
        <f t="shared" si="280"/>
        <v/>
      </c>
      <c r="N856" s="24" t="str">
        <f t="shared" si="276"/>
        <v/>
      </c>
      <c r="O856" s="21" t="str">
        <f t="shared" si="4"/>
        <v/>
      </c>
      <c r="P856" s="21" t="str">
        <f t="shared" si="282"/>
        <v/>
      </c>
      <c r="Q856" s="22" t="str">
        <f t="shared" si="6"/>
        <v/>
      </c>
      <c r="R856" s="25" t="str">
        <f t="shared" si="7"/>
        <v/>
      </c>
      <c r="S856" s="19" t="str">
        <f t="shared" si="8"/>
        <v/>
      </c>
      <c r="T856" s="19" t="str">
        <f t="shared" si="9"/>
        <v/>
      </c>
      <c r="U856" s="3"/>
      <c r="V856" s="4" t="str">
        <f>IF(ISBLANK(C856),,IFERROR(IF(VLOOKUP(B856,Standings!$A:$F, 6, 0)=VLOOKUP(C856,Standings!$A:$F, 6, 0), VLOOKUP(B856,Standings!$A:$F, 6, 0), "Non-con"), "FCS"))</f>
        <v/>
      </c>
      <c r="W856" s="3" t="str">
        <f t="shared" si="10"/>
        <v/>
      </c>
      <c r="X856" s="3" t="str">
        <f t="shared" si="11"/>
        <v/>
      </c>
      <c r="Y856" s="30" t="str">
        <f>IF(D856=0,,IF(ISBLANK(Q856),,VLOOKUP(X856,Week1,2,FALSE)/(VLOOKUP(X856,Week1,2,FALSE)+VLOOKUP(W856,Week1,2,FALSE)))*100)</f>
        <v/>
      </c>
      <c r="Z856" s="4"/>
      <c r="AA856" s="3"/>
      <c r="AB856" s="4" t="str">
        <f t="shared" si="20"/>
        <v/>
      </c>
      <c r="AC856" s="3"/>
      <c r="AD856" s="3"/>
      <c r="AE856" s="3" t="str">
        <f t="shared" si="13"/>
        <v/>
      </c>
      <c r="AF856" s="3"/>
      <c r="AG856" s="3" t="str">
        <f t="shared" si="133"/>
        <v/>
      </c>
      <c r="AH856" s="3"/>
      <c r="AI856" s="7"/>
      <c r="AJ856" s="4"/>
      <c r="AK856" s="7"/>
      <c r="AL856" s="7"/>
      <c r="AM856" s="7"/>
      <c r="AN856" s="7"/>
      <c r="AO856" s="7"/>
      <c r="AP856" s="7"/>
      <c r="AQ856" s="7"/>
      <c r="AR856" s="7"/>
      <c r="AS856" s="7"/>
      <c r="AT856" s="7"/>
      <c r="AU856" s="7"/>
      <c r="AV856" s="7"/>
      <c r="AW856" s="7"/>
      <c r="AX856" s="7"/>
    </row>
    <row r="857" ht="12.75" customHeight="1">
      <c r="A857" s="4"/>
      <c r="B857" s="4"/>
      <c r="C857" s="4"/>
      <c r="D857" s="4"/>
      <c r="E857" s="4" t="str">
        <f>IF(ISBLANK(B857),,IFERROR(VLOOKUP(B857,CurrentRank!$B$2:$C$132,2,FALSE),0))</f>
        <v/>
      </c>
      <c r="F857" s="4"/>
      <c r="G857" s="4" t="str">
        <f>IF(ISBLANK(B857),,IFERROR(VLOOKUP(B857,CurrentRank!$B$2:$D$132,3,FALSE),130))</f>
        <v/>
      </c>
      <c r="H857" s="4"/>
      <c r="I857" s="4" t="str">
        <f>IF(ISBLANK(B857),,IFERROR(VLOOKUP(C857,CurrentRank!$B$2:$C$132,2,FALSE),0))</f>
        <v/>
      </c>
      <c r="J857" s="4"/>
      <c r="K857" s="4" t="str">
        <f>IF(ISBLANK(C857),,IFERROR(VLOOKUP(C857,CurrentRank!$B$2:$D$132,3,FALSE),130))</f>
        <v/>
      </c>
      <c r="L857" s="19" t="str">
        <f t="shared" si="279"/>
        <v/>
      </c>
      <c r="M857" s="19" t="str">
        <f t="shared" si="280"/>
        <v/>
      </c>
      <c r="N857" s="24" t="str">
        <f t="shared" si="276"/>
        <v/>
      </c>
      <c r="O857" s="21" t="str">
        <f t="shared" si="4"/>
        <v/>
      </c>
      <c r="P857" s="21" t="str">
        <f t="shared" si="282"/>
        <v/>
      </c>
      <c r="Q857" s="22" t="str">
        <f t="shared" si="6"/>
        <v/>
      </c>
      <c r="R857" s="25" t="str">
        <f t="shared" si="7"/>
        <v/>
      </c>
      <c r="S857" s="19" t="str">
        <f t="shared" si="8"/>
        <v/>
      </c>
      <c r="T857" s="19" t="str">
        <f t="shared" si="9"/>
        <v/>
      </c>
      <c r="U857" s="3"/>
      <c r="V857" s="4" t="str">
        <f>IF(ISBLANK(C857),,IFERROR(IF(VLOOKUP(B857,Standings!$A:$F, 6, 0)=VLOOKUP(C857,Standings!$A:$F, 6, 0), VLOOKUP(B857,Standings!$A:$F, 6, 0), "Non-con"), "FCS"))</f>
        <v/>
      </c>
      <c r="W857" s="3" t="str">
        <f t="shared" si="10"/>
        <v/>
      </c>
      <c r="X857" s="3" t="str">
        <f t="shared" si="11"/>
        <v/>
      </c>
      <c r="Y857" s="30" t="str">
        <f>IF(D857=0,,IF(ISBLANK(Q857),,VLOOKUP(X857,Week1,2,FALSE)/(VLOOKUP(X857,Week1,2,FALSE)+VLOOKUP(W857,Week1,2,FALSE)))*100)</f>
        <v/>
      </c>
      <c r="Z857" s="4"/>
      <c r="AA857" s="3"/>
      <c r="AB857" s="4" t="str">
        <f t="shared" si="20"/>
        <v/>
      </c>
      <c r="AC857" s="3"/>
      <c r="AD857" s="3"/>
      <c r="AE857" s="3" t="str">
        <f t="shared" si="13"/>
        <v/>
      </c>
      <c r="AF857" s="3"/>
      <c r="AG857" s="3" t="str">
        <f t="shared" si="133"/>
        <v/>
      </c>
      <c r="AH857" s="3"/>
      <c r="AI857" s="7"/>
      <c r="AJ857" s="4"/>
      <c r="AK857" s="7"/>
      <c r="AL857" s="7"/>
      <c r="AM857" s="7"/>
      <c r="AN857" s="7"/>
      <c r="AO857" s="7"/>
      <c r="AP857" s="7"/>
      <c r="AQ857" s="7"/>
      <c r="AR857" s="7"/>
      <c r="AS857" s="7"/>
      <c r="AT857" s="7"/>
      <c r="AU857" s="7"/>
      <c r="AV857" s="7"/>
      <c r="AW857" s="7"/>
      <c r="AX857" s="7"/>
    </row>
    <row r="858" ht="12.75" customHeight="1">
      <c r="A858" s="4"/>
      <c r="B858" s="4"/>
      <c r="C858" s="4"/>
      <c r="D858" s="4"/>
      <c r="E858" s="4" t="str">
        <f>IF(ISBLANK(B858),,IFERROR(VLOOKUP(B858,CurrentRank!$B$2:$C$132,2,FALSE),0))</f>
        <v/>
      </c>
      <c r="F858" s="4"/>
      <c r="G858" s="4" t="str">
        <f>IF(ISBLANK(B858),,IFERROR(VLOOKUP(B858,CurrentRank!$B$2:$D$132,3,FALSE),130))</f>
        <v/>
      </c>
      <c r="H858" s="4"/>
      <c r="I858" s="4" t="str">
        <f>IF(ISBLANK(B858),,IFERROR(VLOOKUP(C858,CurrentRank!$B$2:$C$132,2,FALSE),0))</f>
        <v/>
      </c>
      <c r="J858" s="4"/>
      <c r="K858" s="4" t="str">
        <f>IF(ISBLANK(C858),,IFERROR(VLOOKUP(C858,CurrentRank!$B$2:$D$132,3,FALSE),130))</f>
        <v/>
      </c>
      <c r="L858" s="19" t="str">
        <f t="shared" si="279"/>
        <v/>
      </c>
      <c r="M858" s="19" t="str">
        <f t="shared" si="280"/>
        <v/>
      </c>
      <c r="N858" s="24" t="str">
        <f t="shared" si="276"/>
        <v/>
      </c>
      <c r="O858" s="21" t="str">
        <f t="shared" si="4"/>
        <v/>
      </c>
      <c r="P858" s="21" t="str">
        <f t="shared" si="282"/>
        <v/>
      </c>
      <c r="Q858" s="22" t="str">
        <f t="shared" si="6"/>
        <v/>
      </c>
      <c r="R858" s="25" t="str">
        <f t="shared" si="7"/>
        <v/>
      </c>
      <c r="S858" s="19" t="str">
        <f t="shared" si="8"/>
        <v/>
      </c>
      <c r="T858" s="19" t="str">
        <f t="shared" si="9"/>
        <v/>
      </c>
      <c r="U858" s="3"/>
      <c r="V858" s="4" t="str">
        <f>IF(ISBLANK(C858),,IFERROR(IF(VLOOKUP(B858,Standings!$A:$F, 6, 0)=VLOOKUP(C858,Standings!$A:$F, 6, 0), VLOOKUP(B858,Standings!$A:$F, 6, 0), "Non-con"), "FCS"))</f>
        <v/>
      </c>
      <c r="W858" s="3" t="str">
        <f t="shared" si="10"/>
        <v/>
      </c>
      <c r="X858" s="3" t="str">
        <f t="shared" si="11"/>
        <v/>
      </c>
      <c r="Y858" s="30" t="str">
        <f>IF(D858=0,,IF(ISBLANK(Q858),,VLOOKUP(X858,Week1,2,FALSE)/(VLOOKUP(X858,Week1,2,FALSE)+VLOOKUP(W858,Week1,2,FALSE)))*100)</f>
        <v/>
      </c>
      <c r="Z858" s="4"/>
      <c r="AA858" s="3"/>
      <c r="AB858" s="4" t="str">
        <f t="shared" si="20"/>
        <v/>
      </c>
      <c r="AC858" s="3"/>
      <c r="AD858" s="3"/>
      <c r="AE858" s="3" t="str">
        <f t="shared" si="13"/>
        <v/>
      </c>
      <c r="AF858" s="3"/>
      <c r="AG858" s="3" t="str">
        <f t="shared" si="133"/>
        <v/>
      </c>
      <c r="AH858" s="3"/>
      <c r="AI858" s="7"/>
      <c r="AJ858" s="4"/>
      <c r="AK858" s="7"/>
      <c r="AL858" s="7"/>
      <c r="AM858" s="7"/>
      <c r="AN858" s="7"/>
      <c r="AO858" s="7"/>
      <c r="AP858" s="7"/>
      <c r="AQ858" s="7"/>
      <c r="AR858" s="7"/>
      <c r="AS858" s="7"/>
      <c r="AT858" s="7"/>
      <c r="AU858" s="7"/>
      <c r="AV858" s="7"/>
      <c r="AW858" s="7"/>
      <c r="AX858" s="7"/>
    </row>
    <row r="859" ht="12.75" customHeight="1">
      <c r="A859" s="4"/>
      <c r="B859" s="4"/>
      <c r="C859" s="4"/>
      <c r="D859" s="4"/>
      <c r="E859" s="4" t="str">
        <f>IF(ISBLANK(B859),,IFERROR(VLOOKUP(B859,CurrentRank!$B$2:$C$132,2,FALSE),0))</f>
        <v/>
      </c>
      <c r="F859" s="4"/>
      <c r="G859" s="4" t="str">
        <f>IF(ISBLANK(B859),,IFERROR(VLOOKUP(B859,CurrentRank!$B$2:$D$132,3,FALSE),130))</f>
        <v/>
      </c>
      <c r="H859" s="4"/>
      <c r="I859" s="4" t="str">
        <f>IF(ISBLANK(B859),,IFERROR(VLOOKUP(C859,CurrentRank!$B$2:$C$132,2,FALSE),0))</f>
        <v/>
      </c>
      <c r="J859" s="4"/>
      <c r="K859" s="4" t="str">
        <f>IF(ISBLANK(C859),,IFERROR(VLOOKUP(C859,CurrentRank!$B$2:$D$132,3,FALSE),130))</f>
        <v/>
      </c>
      <c r="L859" s="19" t="str">
        <f t="shared" si="279"/>
        <v/>
      </c>
      <c r="M859" s="19" t="str">
        <f t="shared" si="280"/>
        <v/>
      </c>
      <c r="N859" s="24" t="str">
        <f t="shared" si="276"/>
        <v/>
      </c>
      <c r="O859" s="21" t="str">
        <f t="shared" si="4"/>
        <v/>
      </c>
      <c r="P859" s="21" t="str">
        <f t="shared" si="282"/>
        <v/>
      </c>
      <c r="Q859" s="22" t="str">
        <f t="shared" si="6"/>
        <v/>
      </c>
      <c r="R859" s="25" t="str">
        <f t="shared" si="7"/>
        <v/>
      </c>
      <c r="S859" s="19" t="str">
        <f t="shared" si="8"/>
        <v/>
      </c>
      <c r="T859" s="19" t="str">
        <f t="shared" si="9"/>
        <v/>
      </c>
      <c r="U859" s="3"/>
      <c r="V859" s="4" t="str">
        <f>IF(ISBLANK(C859),,IFERROR(IF(VLOOKUP(B859,Standings!$A:$F, 6, 0)=VLOOKUP(C859,Standings!$A:$F, 6, 0), VLOOKUP(B859,Standings!$A:$F, 6, 0), "Non-con"), "FCS"))</f>
        <v/>
      </c>
      <c r="W859" s="3" t="str">
        <f t="shared" si="10"/>
        <v/>
      </c>
      <c r="X859" s="3" t="str">
        <f t="shared" si="11"/>
        <v/>
      </c>
      <c r="Y859" s="30" t="str">
        <f>IF(D859=0,,IF(ISBLANK(Q859),,VLOOKUP(X859,Week1,2,FALSE)/(VLOOKUP(X859,Week1,2,FALSE)+VLOOKUP(W859,Week1,2,FALSE)))*100)</f>
        <v/>
      </c>
      <c r="Z859" s="4"/>
      <c r="AA859" s="3"/>
      <c r="AB859" s="4" t="str">
        <f t="shared" si="20"/>
        <v/>
      </c>
      <c r="AC859" s="3"/>
      <c r="AD859" s="3"/>
      <c r="AE859" s="3" t="str">
        <f t="shared" si="13"/>
        <v/>
      </c>
      <c r="AF859" s="3"/>
      <c r="AG859" s="3" t="str">
        <f t="shared" si="133"/>
        <v/>
      </c>
      <c r="AH859" s="3"/>
      <c r="AI859" s="7"/>
      <c r="AJ859" s="4"/>
      <c r="AK859" s="7"/>
      <c r="AL859" s="7"/>
      <c r="AM859" s="7"/>
      <c r="AN859" s="7"/>
      <c r="AO859" s="7"/>
      <c r="AP859" s="7"/>
      <c r="AQ859" s="7"/>
      <c r="AR859" s="7"/>
      <c r="AS859" s="7"/>
      <c r="AT859" s="7"/>
      <c r="AU859" s="7"/>
      <c r="AV859" s="7"/>
      <c r="AW859" s="7"/>
      <c r="AX859" s="7"/>
    </row>
    <row r="860" ht="12.75" customHeight="1">
      <c r="A860" s="4"/>
      <c r="B860" s="4"/>
      <c r="C860" s="4"/>
      <c r="D860" s="4"/>
      <c r="E860" s="4" t="str">
        <f>IF(ISBLANK(B860),,IFERROR(VLOOKUP(B860,CurrentRank!$B$2:$C$132,2,FALSE),0))</f>
        <v/>
      </c>
      <c r="F860" s="4"/>
      <c r="G860" s="4" t="str">
        <f>IF(ISBLANK(B860),,IFERROR(VLOOKUP(B860,CurrentRank!$B$2:$D$132,3,FALSE),130))</f>
        <v/>
      </c>
      <c r="H860" s="4"/>
      <c r="I860" s="4" t="str">
        <f>IF(ISBLANK(B860),,IFERROR(VLOOKUP(C860,CurrentRank!$B$2:$C$132,2,FALSE),0))</f>
        <v/>
      </c>
      <c r="J860" s="4"/>
      <c r="K860" s="4" t="str">
        <f>IF(ISBLANK(C860),,IFERROR(VLOOKUP(C860,CurrentRank!$B$2:$D$132,3,FALSE),130))</f>
        <v/>
      </c>
      <c r="L860" s="19" t="str">
        <f t="shared" si="279"/>
        <v/>
      </c>
      <c r="M860" s="19" t="str">
        <f t="shared" si="280"/>
        <v/>
      </c>
      <c r="N860" s="24" t="str">
        <f t="shared" si="276"/>
        <v/>
      </c>
      <c r="O860" s="21" t="str">
        <f t="shared" si="4"/>
        <v/>
      </c>
      <c r="P860" s="21" t="str">
        <f t="shared" si="282"/>
        <v/>
      </c>
      <c r="Q860" s="22" t="str">
        <f t="shared" si="6"/>
        <v/>
      </c>
      <c r="R860" s="25" t="str">
        <f t="shared" si="7"/>
        <v/>
      </c>
      <c r="S860" s="19" t="str">
        <f t="shared" si="8"/>
        <v/>
      </c>
      <c r="T860" s="19" t="str">
        <f t="shared" si="9"/>
        <v/>
      </c>
      <c r="U860" s="3"/>
      <c r="V860" s="4" t="str">
        <f>IF(ISBLANK(C860),,IFERROR(IF(VLOOKUP(B860,Standings!$A:$F, 6, 0)=VLOOKUP(C860,Standings!$A:$F, 6, 0), VLOOKUP(B860,Standings!$A:$F, 6, 0), "Non-con"), "FCS"))</f>
        <v/>
      </c>
      <c r="W860" s="3" t="str">
        <f t="shared" si="10"/>
        <v/>
      </c>
      <c r="X860" s="3" t="str">
        <f t="shared" si="11"/>
        <v/>
      </c>
      <c r="Y860" s="30" t="str">
        <f>IF(D860=0,,IF(ISBLANK(Q860),,VLOOKUP(X860,Week1,2,FALSE)/(VLOOKUP(X860,Week1,2,FALSE)+VLOOKUP(W860,Week1,2,FALSE)))*100)</f>
        <v/>
      </c>
      <c r="Z860" s="4"/>
      <c r="AA860" s="3"/>
      <c r="AB860" s="4" t="str">
        <f t="shared" si="20"/>
        <v/>
      </c>
      <c r="AC860" s="3"/>
      <c r="AD860" s="3"/>
      <c r="AE860" s="3" t="str">
        <f t="shared" si="13"/>
        <v/>
      </c>
      <c r="AF860" s="3"/>
      <c r="AG860" s="3" t="str">
        <f t="shared" si="133"/>
        <v/>
      </c>
      <c r="AH860" s="3"/>
      <c r="AI860" s="7"/>
      <c r="AJ860" s="4"/>
      <c r="AK860" s="7"/>
      <c r="AL860" s="7"/>
      <c r="AM860" s="7"/>
      <c r="AN860" s="7"/>
      <c r="AO860" s="7"/>
      <c r="AP860" s="7"/>
      <c r="AQ860" s="7"/>
      <c r="AR860" s="7"/>
      <c r="AS860" s="7"/>
      <c r="AT860" s="7"/>
      <c r="AU860" s="7"/>
      <c r="AV860" s="7"/>
      <c r="AW860" s="7"/>
      <c r="AX860" s="7"/>
    </row>
    <row r="861" ht="12.75" customHeight="1">
      <c r="A861" s="4"/>
      <c r="B861" s="4"/>
      <c r="C861" s="4"/>
      <c r="D861" s="4"/>
      <c r="E861" s="4" t="str">
        <f>IF(ISBLANK(B861),,IFERROR(VLOOKUP(B861,CurrentRank!$B$2:$C$132,2,FALSE),0))</f>
        <v/>
      </c>
      <c r="F861" s="4"/>
      <c r="G861" s="4" t="str">
        <f>IF(ISBLANK(B861),,IFERROR(VLOOKUP(B861,CurrentRank!$B$2:$D$132,3,FALSE),130))</f>
        <v/>
      </c>
      <c r="H861" s="4"/>
      <c r="I861" s="4" t="str">
        <f>IF(ISBLANK(B861),,IFERROR(VLOOKUP(C861,CurrentRank!$B$2:$C$132,2,FALSE),0))</f>
        <v/>
      </c>
      <c r="J861" s="4"/>
      <c r="K861" s="4" t="str">
        <f>IF(ISBLANK(C861),,IFERROR(VLOOKUP(C861,CurrentRank!$B$2:$D$132,3,FALSE),130))</f>
        <v/>
      </c>
      <c r="L861" s="19" t="str">
        <f t="shared" si="279"/>
        <v/>
      </c>
      <c r="M861" s="19" t="str">
        <f t="shared" si="280"/>
        <v/>
      </c>
      <c r="N861" s="24" t="str">
        <f t="shared" si="276"/>
        <v/>
      </c>
      <c r="O861" s="21" t="str">
        <f t="shared" si="4"/>
        <v/>
      </c>
      <c r="P861" s="21" t="str">
        <f t="shared" si="282"/>
        <v/>
      </c>
      <c r="Q861" s="22" t="str">
        <f t="shared" si="6"/>
        <v/>
      </c>
      <c r="R861" s="25" t="str">
        <f t="shared" si="7"/>
        <v/>
      </c>
      <c r="S861" s="19" t="str">
        <f t="shared" si="8"/>
        <v/>
      </c>
      <c r="T861" s="19" t="str">
        <f t="shared" si="9"/>
        <v/>
      </c>
      <c r="U861" s="3"/>
      <c r="V861" s="4" t="str">
        <f>IF(ISBLANK(C861),,IFERROR(IF(VLOOKUP(B861,Standings!$A:$F, 6, 0)=VLOOKUP(C861,Standings!$A:$F, 6, 0), VLOOKUP(B861,Standings!$A:$F, 6, 0), "Non-con"), "FCS"))</f>
        <v/>
      </c>
      <c r="W861" s="3" t="str">
        <f t="shared" si="10"/>
        <v/>
      </c>
      <c r="X861" s="3" t="str">
        <f t="shared" si="11"/>
        <v/>
      </c>
      <c r="Y861" s="30" t="str">
        <f>IF(D861=0,,IF(ISBLANK(Q861),,VLOOKUP(X861,Week1,2,FALSE)/(VLOOKUP(X861,Week1,2,FALSE)+VLOOKUP(W861,Week1,2,FALSE)))*100)</f>
        <v/>
      </c>
      <c r="Z861" s="4"/>
      <c r="AA861" s="3"/>
      <c r="AB861" s="4" t="str">
        <f t="shared" si="20"/>
        <v/>
      </c>
      <c r="AC861" s="3"/>
      <c r="AD861" s="3"/>
      <c r="AE861" s="3" t="str">
        <f t="shared" si="13"/>
        <v/>
      </c>
      <c r="AF861" s="3"/>
      <c r="AG861" s="3" t="str">
        <f t="shared" si="133"/>
        <v/>
      </c>
      <c r="AH861" s="3"/>
      <c r="AI861" s="7"/>
      <c r="AJ861" s="4"/>
      <c r="AK861" s="7"/>
      <c r="AL861" s="7"/>
      <c r="AM861" s="7"/>
      <c r="AN861" s="7"/>
      <c r="AO861" s="7"/>
      <c r="AP861" s="7"/>
      <c r="AQ861" s="7"/>
      <c r="AR861" s="7"/>
      <c r="AS861" s="7"/>
      <c r="AT861" s="7"/>
      <c r="AU861" s="7"/>
      <c r="AV861" s="7"/>
      <c r="AW861" s="7"/>
      <c r="AX861" s="7"/>
    </row>
    <row r="862" ht="12.75" customHeight="1">
      <c r="A862" s="4"/>
      <c r="B862" s="4"/>
      <c r="C862" s="4"/>
      <c r="D862" s="4"/>
      <c r="E862" s="4" t="str">
        <f>IF(ISBLANK(B862),,IFERROR(VLOOKUP(B862,CurrentRank!$B$2:$C$132,2,FALSE),0))</f>
        <v/>
      </c>
      <c r="F862" s="4"/>
      <c r="G862" s="4" t="str">
        <f>IF(ISBLANK(B862),,IFERROR(VLOOKUP(B862,CurrentRank!$B$2:$D$132,3,FALSE),130))</f>
        <v/>
      </c>
      <c r="H862" s="4"/>
      <c r="I862" s="4" t="str">
        <f>IF(ISBLANK(B862),,IFERROR(VLOOKUP(C862,CurrentRank!$B$2:$C$132,2,FALSE),0))</f>
        <v/>
      </c>
      <c r="J862" s="4"/>
      <c r="K862" s="4" t="str">
        <f>IF(ISBLANK(C862),,IFERROR(VLOOKUP(C862,CurrentRank!$B$2:$D$132,3,FALSE),130))</f>
        <v/>
      </c>
      <c r="L862" s="19" t="str">
        <f t="shared" si="279"/>
        <v/>
      </c>
      <c r="M862" s="19" t="str">
        <f t="shared" si="280"/>
        <v/>
      </c>
      <c r="N862" s="24" t="str">
        <f t="shared" si="276"/>
        <v/>
      </c>
      <c r="O862" s="21" t="str">
        <f t="shared" si="4"/>
        <v/>
      </c>
      <c r="P862" s="21" t="str">
        <f t="shared" si="282"/>
        <v/>
      </c>
      <c r="Q862" s="22" t="str">
        <f t="shared" si="6"/>
        <v/>
      </c>
      <c r="R862" s="25" t="str">
        <f t="shared" si="7"/>
        <v/>
      </c>
      <c r="S862" s="19" t="str">
        <f t="shared" si="8"/>
        <v/>
      </c>
      <c r="T862" s="19" t="str">
        <f t="shared" si="9"/>
        <v/>
      </c>
      <c r="U862" s="3"/>
      <c r="V862" s="4" t="str">
        <f>IF(ISBLANK(C862),,IFERROR(IF(VLOOKUP(B862,Standings!$A:$F, 6, 0)=VLOOKUP(C862,Standings!$A:$F, 6, 0), VLOOKUP(B862,Standings!$A:$F, 6, 0), "Non-con"), "FCS"))</f>
        <v/>
      </c>
      <c r="W862" s="3" t="str">
        <f t="shared" si="10"/>
        <v/>
      </c>
      <c r="X862" s="3" t="str">
        <f t="shared" si="11"/>
        <v/>
      </c>
      <c r="Y862" s="30" t="str">
        <f>IF(D862=0,,IF(ISBLANK(Q862),,VLOOKUP(X862,Week1,2,FALSE)/(VLOOKUP(X862,Week1,2,FALSE)+VLOOKUP(W862,Week1,2,FALSE)))*100)</f>
        <v/>
      </c>
      <c r="Z862" s="4"/>
      <c r="AA862" s="3"/>
      <c r="AB862" s="4" t="str">
        <f t="shared" si="20"/>
        <v/>
      </c>
      <c r="AC862" s="3"/>
      <c r="AD862" s="3"/>
      <c r="AE862" s="3" t="str">
        <f t="shared" si="13"/>
        <v/>
      </c>
      <c r="AF862" s="3"/>
      <c r="AG862" s="3" t="str">
        <f t="shared" si="133"/>
        <v/>
      </c>
      <c r="AH862" s="3"/>
      <c r="AI862" s="7"/>
      <c r="AJ862" s="4"/>
      <c r="AK862" s="7"/>
      <c r="AL862" s="7"/>
      <c r="AM862" s="7"/>
      <c r="AN862" s="7"/>
      <c r="AO862" s="7"/>
      <c r="AP862" s="7"/>
      <c r="AQ862" s="7"/>
      <c r="AR862" s="7"/>
      <c r="AS862" s="7"/>
      <c r="AT862" s="7"/>
      <c r="AU862" s="7"/>
      <c r="AV862" s="7"/>
      <c r="AW862" s="7"/>
      <c r="AX862" s="7"/>
    </row>
    <row r="863" ht="12.75" customHeight="1">
      <c r="A863" s="4"/>
      <c r="B863" s="4"/>
      <c r="C863" s="4"/>
      <c r="D863" s="4"/>
      <c r="E863" s="4" t="str">
        <f>IF(ISBLANK(B863),,IFERROR(VLOOKUP(B863,CurrentRank!$B$2:$C$132,2,FALSE),0))</f>
        <v/>
      </c>
      <c r="F863" s="4"/>
      <c r="G863" s="4" t="str">
        <f>IF(ISBLANK(B863),,IFERROR(VLOOKUP(B863,CurrentRank!$B$2:$D$132,3,FALSE),130))</f>
        <v/>
      </c>
      <c r="H863" s="4"/>
      <c r="I863" s="4" t="str">
        <f>IF(ISBLANK(B863),,IFERROR(VLOOKUP(C863,CurrentRank!$B$2:$C$132,2,FALSE),0))</f>
        <v/>
      </c>
      <c r="J863" s="4"/>
      <c r="K863" s="4" t="str">
        <f>IF(ISBLANK(C863),,IFERROR(VLOOKUP(C863,CurrentRank!$B$2:$D$132,3,FALSE),130))</f>
        <v/>
      </c>
      <c r="L863" s="19" t="str">
        <f t="shared" si="279"/>
        <v/>
      </c>
      <c r="M863" s="19" t="str">
        <f t="shared" si="280"/>
        <v/>
      </c>
      <c r="N863" s="24" t="str">
        <f t="shared" si="276"/>
        <v/>
      </c>
      <c r="O863" s="21" t="str">
        <f t="shared" si="4"/>
        <v/>
      </c>
      <c r="P863" s="21" t="str">
        <f t="shared" si="282"/>
        <v/>
      </c>
      <c r="Q863" s="22" t="str">
        <f t="shared" si="6"/>
        <v/>
      </c>
      <c r="R863" s="25" t="str">
        <f t="shared" si="7"/>
        <v/>
      </c>
      <c r="S863" s="19" t="str">
        <f t="shared" si="8"/>
        <v/>
      </c>
      <c r="T863" s="19" t="str">
        <f t="shared" si="9"/>
        <v/>
      </c>
      <c r="U863" s="3"/>
      <c r="V863" s="4" t="str">
        <f>IF(ISBLANK(C863),,IFERROR(IF(VLOOKUP(B863,Standings!$A:$F, 6, 0)=VLOOKUP(C863,Standings!$A:$F, 6, 0), VLOOKUP(B863,Standings!$A:$F, 6, 0), "Non-con"), "FCS"))</f>
        <v/>
      </c>
      <c r="W863" s="3" t="str">
        <f t="shared" si="10"/>
        <v/>
      </c>
      <c r="X863" s="3" t="str">
        <f t="shared" si="11"/>
        <v/>
      </c>
      <c r="Y863" s="30" t="str">
        <f>IF(D863=0,,IF(ISBLANK(Q863),,VLOOKUP(X863,Week1,2,FALSE)/(VLOOKUP(X863,Week1,2,FALSE)+VLOOKUP(W863,Week1,2,FALSE)))*100)</f>
        <v/>
      </c>
      <c r="Z863" s="4"/>
      <c r="AA863" s="3"/>
      <c r="AB863" s="4" t="str">
        <f t="shared" si="20"/>
        <v/>
      </c>
      <c r="AC863" s="3"/>
      <c r="AD863" s="3"/>
      <c r="AE863" s="3" t="str">
        <f t="shared" si="13"/>
        <v/>
      </c>
      <c r="AF863" s="3"/>
      <c r="AG863" s="3" t="str">
        <f t="shared" si="133"/>
        <v/>
      </c>
      <c r="AH863" s="3"/>
      <c r="AI863" s="7"/>
      <c r="AJ863" s="4"/>
      <c r="AK863" s="7"/>
      <c r="AL863" s="7"/>
      <c r="AM863" s="7"/>
      <c r="AN863" s="7"/>
      <c r="AO863" s="7"/>
      <c r="AP863" s="7"/>
      <c r="AQ863" s="7"/>
      <c r="AR863" s="7"/>
      <c r="AS863" s="7"/>
      <c r="AT863" s="7"/>
      <c r="AU863" s="7"/>
      <c r="AV863" s="7"/>
      <c r="AW863" s="7"/>
      <c r="AX863" s="7"/>
    </row>
    <row r="864" ht="12.75" customHeight="1">
      <c r="A864" s="4"/>
      <c r="B864" s="4"/>
      <c r="C864" s="4"/>
      <c r="D864" s="4"/>
      <c r="E864" s="4" t="str">
        <f>IF(ISBLANK(B864),,IFERROR(VLOOKUP(B864,CurrentRank!$B$2:$C$132,2,FALSE),0))</f>
        <v/>
      </c>
      <c r="F864" s="4"/>
      <c r="G864" s="4" t="str">
        <f>IF(ISBLANK(B864),,IFERROR(VLOOKUP(B864,CurrentRank!$B$2:$D$132,3,FALSE),130))</f>
        <v/>
      </c>
      <c r="H864" s="4"/>
      <c r="I864" s="4" t="str">
        <f>IF(ISBLANK(B864),,IFERROR(VLOOKUP(C864,CurrentRank!$B$2:$C$132,2,FALSE),0))</f>
        <v/>
      </c>
      <c r="J864" s="4"/>
      <c r="K864" s="4" t="str">
        <f>IF(ISBLANK(C864),,IFERROR(VLOOKUP(C864,CurrentRank!$B$2:$D$132,3,FALSE),130))</f>
        <v/>
      </c>
      <c r="L864" s="19" t="str">
        <f t="shared" si="279"/>
        <v/>
      </c>
      <c r="M864" s="19" t="str">
        <f t="shared" si="280"/>
        <v/>
      </c>
      <c r="N864" s="24" t="str">
        <f t="shared" si="276"/>
        <v/>
      </c>
      <c r="O864" s="21" t="str">
        <f t="shared" si="4"/>
        <v/>
      </c>
      <c r="P864" s="21" t="str">
        <f t="shared" si="282"/>
        <v/>
      </c>
      <c r="Q864" s="22" t="str">
        <f t="shared" si="6"/>
        <v/>
      </c>
      <c r="R864" s="25" t="str">
        <f t="shared" si="7"/>
        <v/>
      </c>
      <c r="S864" s="19" t="str">
        <f t="shared" si="8"/>
        <v/>
      </c>
      <c r="T864" s="19" t="str">
        <f t="shared" si="9"/>
        <v/>
      </c>
      <c r="U864" s="3"/>
      <c r="V864" s="4" t="str">
        <f>IF(ISBLANK(C864),,IFERROR(IF(VLOOKUP(B864,Standings!$A:$F, 6, 0)=VLOOKUP(C864,Standings!$A:$F, 6, 0), VLOOKUP(B864,Standings!$A:$F, 6, 0), "Non-con"), "FCS"))</f>
        <v/>
      </c>
      <c r="W864" s="3" t="str">
        <f t="shared" si="10"/>
        <v/>
      </c>
      <c r="X864" s="3" t="str">
        <f t="shared" si="11"/>
        <v/>
      </c>
      <c r="Y864" s="30" t="str">
        <f>IF(D864=0,,IF(ISBLANK(Q864),,VLOOKUP(X864,Week1,2,FALSE)/(VLOOKUP(X864,Week1,2,FALSE)+VLOOKUP(W864,Week1,2,FALSE)))*100)</f>
        <v/>
      </c>
      <c r="Z864" s="4"/>
      <c r="AA864" s="3"/>
      <c r="AB864" s="4" t="str">
        <f t="shared" si="20"/>
        <v/>
      </c>
      <c r="AC864" s="3"/>
      <c r="AD864" s="3"/>
      <c r="AE864" s="3" t="str">
        <f t="shared" si="13"/>
        <v/>
      </c>
      <c r="AF864" s="3"/>
      <c r="AG864" s="3" t="str">
        <f t="shared" si="133"/>
        <v/>
      </c>
      <c r="AH864" s="3"/>
      <c r="AI864" s="7"/>
      <c r="AJ864" s="4"/>
      <c r="AK864" s="7"/>
      <c r="AL864" s="7"/>
      <c r="AM864" s="7"/>
      <c r="AN864" s="7"/>
      <c r="AO864" s="7"/>
      <c r="AP864" s="7"/>
      <c r="AQ864" s="7"/>
      <c r="AR864" s="7"/>
      <c r="AS864" s="7"/>
      <c r="AT864" s="7"/>
      <c r="AU864" s="7"/>
      <c r="AV864" s="7"/>
      <c r="AW864" s="7"/>
      <c r="AX864" s="7"/>
    </row>
    <row r="865" ht="12.75" customHeight="1">
      <c r="A865" s="4"/>
      <c r="B865" s="4"/>
      <c r="C865" s="4"/>
      <c r="D865" s="4"/>
      <c r="E865" s="4" t="str">
        <f>IF(ISBLANK(B865),,IFERROR(VLOOKUP(B865,CurrentRank!$B$2:$C$132,2,FALSE),0))</f>
        <v/>
      </c>
      <c r="F865" s="4"/>
      <c r="G865" s="4" t="str">
        <f>IF(ISBLANK(B865),,IFERROR(VLOOKUP(B865,CurrentRank!$B$2:$D$132,3,FALSE),130))</f>
        <v/>
      </c>
      <c r="H865" s="4"/>
      <c r="I865" s="4" t="str">
        <f>IF(ISBLANK(B865),,IFERROR(VLOOKUP(C865,CurrentRank!$B$2:$C$132,2,FALSE),0))</f>
        <v/>
      </c>
      <c r="J865" s="4"/>
      <c r="K865" s="4" t="str">
        <f>IF(ISBLANK(C865),,IFERROR(VLOOKUP(C865,CurrentRank!$B$2:$D$132,3,FALSE),130))</f>
        <v/>
      </c>
      <c r="L865" s="19" t="str">
        <f t="shared" si="279"/>
        <v/>
      </c>
      <c r="M865" s="19" t="str">
        <f t="shared" si="280"/>
        <v/>
      </c>
      <c r="N865" s="24" t="str">
        <f t="shared" si="276"/>
        <v/>
      </c>
      <c r="O865" s="21" t="str">
        <f t="shared" si="4"/>
        <v/>
      </c>
      <c r="P865" s="21" t="str">
        <f t="shared" si="282"/>
        <v/>
      </c>
      <c r="Q865" s="22" t="str">
        <f t="shared" si="6"/>
        <v/>
      </c>
      <c r="R865" s="25" t="str">
        <f t="shared" si="7"/>
        <v/>
      </c>
      <c r="S865" s="19" t="str">
        <f t="shared" si="8"/>
        <v/>
      </c>
      <c r="T865" s="19" t="str">
        <f t="shared" si="9"/>
        <v/>
      </c>
      <c r="U865" s="3"/>
      <c r="V865" s="4" t="str">
        <f>IF(ISBLANK(C865),,IFERROR(IF(VLOOKUP(B865,Standings!$A:$F, 6, 0)=VLOOKUP(C865,Standings!$A:$F, 6, 0), VLOOKUP(B865,Standings!$A:$F, 6, 0), "Non-con"), "FCS"))</f>
        <v/>
      </c>
      <c r="W865" s="3" t="str">
        <f t="shared" si="10"/>
        <v/>
      </c>
      <c r="X865" s="3" t="str">
        <f t="shared" si="11"/>
        <v/>
      </c>
      <c r="Y865" s="30" t="str">
        <f>IF(D865=0,,IF(ISBLANK(Q865),,VLOOKUP(X865,Week1,2,FALSE)/(VLOOKUP(X865,Week1,2,FALSE)+VLOOKUP(W865,Week1,2,FALSE)))*100)</f>
        <v/>
      </c>
      <c r="Z865" s="4"/>
      <c r="AA865" s="3"/>
      <c r="AB865" s="4" t="str">
        <f t="shared" si="20"/>
        <v/>
      </c>
      <c r="AC865" s="3"/>
      <c r="AD865" s="3"/>
      <c r="AE865" s="3" t="str">
        <f t="shared" si="13"/>
        <v/>
      </c>
      <c r="AF865" s="3"/>
      <c r="AG865" s="3" t="str">
        <f t="shared" si="133"/>
        <v/>
      </c>
      <c r="AH865" s="3"/>
      <c r="AI865" s="7"/>
      <c r="AJ865" s="4"/>
      <c r="AK865" s="7"/>
      <c r="AL865" s="7"/>
      <c r="AM865" s="7"/>
      <c r="AN865" s="7"/>
      <c r="AO865" s="7"/>
      <c r="AP865" s="7"/>
      <c r="AQ865" s="7"/>
      <c r="AR865" s="7"/>
      <c r="AS865" s="7"/>
      <c r="AT865" s="7"/>
      <c r="AU865" s="7"/>
      <c r="AV865" s="7"/>
      <c r="AW865" s="7"/>
      <c r="AX865" s="7"/>
    </row>
    <row r="866" ht="12.75" customHeight="1">
      <c r="A866" s="4"/>
      <c r="B866" s="4"/>
      <c r="C866" s="4"/>
      <c r="D866" s="4"/>
      <c r="E866" s="4" t="str">
        <f>IF(ISBLANK(B866),,IFERROR(VLOOKUP(B866,CurrentRank!$B$2:$C$132,2,FALSE),0))</f>
        <v/>
      </c>
      <c r="F866" s="4"/>
      <c r="G866" s="4" t="str">
        <f>IF(ISBLANK(B866),,IFERROR(VLOOKUP(B866,CurrentRank!$B$2:$D$132,3,FALSE),130))</f>
        <v/>
      </c>
      <c r="H866" s="4"/>
      <c r="I866" s="4" t="str">
        <f>IF(ISBLANK(B866),,IFERROR(VLOOKUP(C866,CurrentRank!$B$2:$C$132,2,FALSE),0))</f>
        <v/>
      </c>
      <c r="J866" s="4"/>
      <c r="K866" s="4" t="str">
        <f>IF(ISBLANK(C866),,IFERROR(VLOOKUP(C866,CurrentRank!$B$2:$D$132,3,FALSE),130))</f>
        <v/>
      </c>
      <c r="L866" s="19" t="str">
        <f t="shared" si="279"/>
        <v/>
      </c>
      <c r="M866" s="19" t="str">
        <f t="shared" si="280"/>
        <v/>
      </c>
      <c r="N866" s="24" t="str">
        <f t="shared" si="276"/>
        <v/>
      </c>
      <c r="O866" s="21" t="str">
        <f t="shared" si="4"/>
        <v/>
      </c>
      <c r="P866" s="21" t="str">
        <f t="shared" si="282"/>
        <v/>
      </c>
      <c r="Q866" s="22" t="str">
        <f t="shared" si="6"/>
        <v/>
      </c>
      <c r="R866" s="25" t="str">
        <f t="shared" si="7"/>
        <v/>
      </c>
      <c r="S866" s="19" t="str">
        <f t="shared" si="8"/>
        <v/>
      </c>
      <c r="T866" s="19" t="str">
        <f t="shared" si="9"/>
        <v/>
      </c>
      <c r="U866" s="3"/>
      <c r="V866" s="4" t="str">
        <f>IF(ISBLANK(C866),,IFERROR(IF(VLOOKUP(B866,Standings!$A:$F, 6, 0)=VLOOKUP(C866,Standings!$A:$F, 6, 0), VLOOKUP(B866,Standings!$A:$F, 6, 0), "Non-con"), "FCS"))</f>
        <v/>
      </c>
      <c r="W866" s="3" t="str">
        <f t="shared" si="10"/>
        <v/>
      </c>
      <c r="X866" s="3" t="str">
        <f t="shared" si="11"/>
        <v/>
      </c>
      <c r="Y866" s="30" t="str">
        <f>IF(D866=0,,IF(ISBLANK(Q866),,VLOOKUP(X866,Week1,2,FALSE)/(VLOOKUP(X866,Week1,2,FALSE)+VLOOKUP(W866,Week1,2,FALSE)))*100)</f>
        <v/>
      </c>
      <c r="Z866" s="4"/>
      <c r="AA866" s="3"/>
      <c r="AB866" s="4" t="str">
        <f t="shared" si="20"/>
        <v/>
      </c>
      <c r="AC866" s="3"/>
      <c r="AD866" s="3"/>
      <c r="AE866" s="3" t="str">
        <f t="shared" si="13"/>
        <v/>
      </c>
      <c r="AF866" s="3"/>
      <c r="AG866" s="3" t="str">
        <f t="shared" si="133"/>
        <v/>
      </c>
      <c r="AH866" s="3"/>
      <c r="AI866" s="7"/>
      <c r="AJ866" s="4"/>
      <c r="AK866" s="7"/>
      <c r="AL866" s="7"/>
      <c r="AM866" s="7"/>
      <c r="AN866" s="7"/>
      <c r="AO866" s="7"/>
      <c r="AP866" s="7"/>
      <c r="AQ866" s="7"/>
      <c r="AR866" s="7"/>
      <c r="AS866" s="7"/>
      <c r="AT866" s="7"/>
      <c r="AU866" s="7"/>
      <c r="AV866" s="7"/>
      <c r="AW866" s="7"/>
      <c r="AX866" s="7"/>
    </row>
    <row r="867" ht="12.75" customHeight="1">
      <c r="A867" s="4"/>
      <c r="B867" s="4"/>
      <c r="C867" s="4"/>
      <c r="D867" s="4"/>
      <c r="E867" s="4" t="str">
        <f>IF(ISBLANK(B867),,IFERROR(VLOOKUP(B867,CurrentRank!$B$2:$C$132,2,FALSE),0))</f>
        <v/>
      </c>
      <c r="F867" s="4"/>
      <c r="G867" s="4" t="str">
        <f>IF(ISBLANK(B867),,IFERROR(VLOOKUP(B867,CurrentRank!$B$2:$D$132,3,FALSE),130))</f>
        <v/>
      </c>
      <c r="H867" s="4"/>
      <c r="I867" s="4" t="str">
        <f>IF(ISBLANK(B867),,IFERROR(VLOOKUP(C867,CurrentRank!$B$2:$C$132,2,FALSE),0))</f>
        <v/>
      </c>
      <c r="J867" s="4"/>
      <c r="K867" s="4" t="str">
        <f>IF(ISBLANK(C867),,IFERROR(VLOOKUP(C867,CurrentRank!$B$2:$D$132,3,FALSE),130))</f>
        <v/>
      </c>
      <c r="L867" s="19" t="str">
        <f t="shared" si="279"/>
        <v/>
      </c>
      <c r="M867" s="19" t="str">
        <f t="shared" si="280"/>
        <v/>
      </c>
      <c r="N867" s="24" t="str">
        <f t="shared" si="276"/>
        <v/>
      </c>
      <c r="O867" s="21" t="str">
        <f t="shared" si="4"/>
        <v/>
      </c>
      <c r="P867" s="21" t="str">
        <f t="shared" si="282"/>
        <v/>
      </c>
      <c r="Q867" s="22" t="str">
        <f t="shared" si="6"/>
        <v/>
      </c>
      <c r="R867" s="25" t="str">
        <f t="shared" si="7"/>
        <v/>
      </c>
      <c r="S867" s="19" t="str">
        <f t="shared" si="8"/>
        <v/>
      </c>
      <c r="T867" s="19" t="str">
        <f t="shared" si="9"/>
        <v/>
      </c>
      <c r="U867" s="3"/>
      <c r="V867" s="4" t="str">
        <f>IF(ISBLANK(C867),,IFERROR(IF(VLOOKUP(B867,Standings!$A:$F, 6, 0)=VLOOKUP(C867,Standings!$A:$F, 6, 0), VLOOKUP(B867,Standings!$A:$F, 6, 0), "Non-con"), "FCS"))</f>
        <v/>
      </c>
      <c r="W867" s="3" t="str">
        <f t="shared" si="10"/>
        <v/>
      </c>
      <c r="X867" s="3" t="str">
        <f t="shared" si="11"/>
        <v/>
      </c>
      <c r="Y867" s="30" t="str">
        <f>IF(D867=0,,IF(ISBLANK(Q867),,VLOOKUP(X867,Week1,2,FALSE)/(VLOOKUP(X867,Week1,2,FALSE)+VLOOKUP(W867,Week1,2,FALSE)))*100)</f>
        <v/>
      </c>
      <c r="Z867" s="4"/>
      <c r="AA867" s="3"/>
      <c r="AB867" s="4" t="str">
        <f t="shared" si="20"/>
        <v/>
      </c>
      <c r="AC867" s="3"/>
      <c r="AD867" s="3"/>
      <c r="AE867" s="3" t="str">
        <f t="shared" si="13"/>
        <v/>
      </c>
      <c r="AF867" s="3"/>
      <c r="AG867" s="3" t="str">
        <f t="shared" si="133"/>
        <v/>
      </c>
      <c r="AH867" s="3"/>
      <c r="AI867" s="7"/>
      <c r="AJ867" s="4"/>
      <c r="AK867" s="7"/>
      <c r="AL867" s="7"/>
      <c r="AM867" s="7"/>
      <c r="AN867" s="7"/>
      <c r="AO867" s="7"/>
      <c r="AP867" s="7"/>
      <c r="AQ867" s="7"/>
      <c r="AR867" s="7"/>
      <c r="AS867" s="7"/>
      <c r="AT867" s="7"/>
      <c r="AU867" s="7"/>
      <c r="AV867" s="7"/>
      <c r="AW867" s="7"/>
      <c r="AX867" s="7"/>
    </row>
    <row r="868" ht="12.75" customHeight="1">
      <c r="A868" s="4"/>
      <c r="B868" s="4"/>
      <c r="C868" s="4"/>
      <c r="D868" s="4"/>
      <c r="E868" s="4" t="str">
        <f>IF(ISBLANK(B868),,IFERROR(VLOOKUP(B868,CurrentRank!$B$2:$C$132,2,FALSE),0))</f>
        <v/>
      </c>
      <c r="F868" s="4"/>
      <c r="G868" s="4" t="str">
        <f>IF(ISBLANK(B868),,IFERROR(VLOOKUP(B868,CurrentRank!$B$2:$D$132,3,FALSE),130))</f>
        <v/>
      </c>
      <c r="H868" s="4"/>
      <c r="I868" s="4" t="str">
        <f>IF(ISBLANK(B868),,IFERROR(VLOOKUP(C868,CurrentRank!$B$2:$C$132,2,FALSE),0))</f>
        <v/>
      </c>
      <c r="J868" s="4"/>
      <c r="K868" s="4" t="str">
        <f>IF(ISBLANK(C868),,IFERROR(VLOOKUP(C868,CurrentRank!$B$2:$D$132,3,FALSE),130))</f>
        <v/>
      </c>
      <c r="L868" s="19" t="str">
        <f t="shared" si="279"/>
        <v/>
      </c>
      <c r="M868" s="19" t="str">
        <f t="shared" si="280"/>
        <v/>
      </c>
      <c r="N868" s="24" t="str">
        <f t="shared" si="276"/>
        <v/>
      </c>
      <c r="O868" s="21" t="str">
        <f t="shared" si="4"/>
        <v/>
      </c>
      <c r="P868" s="21" t="str">
        <f t="shared" si="282"/>
        <v/>
      </c>
      <c r="Q868" s="22" t="str">
        <f t="shared" si="6"/>
        <v/>
      </c>
      <c r="R868" s="25" t="str">
        <f t="shared" si="7"/>
        <v/>
      </c>
      <c r="S868" s="19" t="str">
        <f t="shared" si="8"/>
        <v/>
      </c>
      <c r="T868" s="19" t="str">
        <f t="shared" si="9"/>
        <v/>
      </c>
      <c r="U868" s="3"/>
      <c r="V868" s="4" t="str">
        <f>IF(ISBLANK(C868),,IFERROR(IF(VLOOKUP(B868,Standings!$A:$F, 6, 0)=VLOOKUP(C868,Standings!$A:$F, 6, 0), VLOOKUP(B868,Standings!$A:$F, 6, 0), "Non-con"), "FCS"))</f>
        <v/>
      </c>
      <c r="W868" s="3" t="str">
        <f t="shared" si="10"/>
        <v/>
      </c>
      <c r="X868" s="3" t="str">
        <f t="shared" si="11"/>
        <v/>
      </c>
      <c r="Y868" s="30" t="str">
        <f>IF(D868=0,,IF(ISBLANK(Q868),,VLOOKUP(X868,Week1,2,FALSE)/(VLOOKUP(X868,Week1,2,FALSE)+VLOOKUP(W868,Week1,2,FALSE)))*100)</f>
        <v/>
      </c>
      <c r="Z868" s="4"/>
      <c r="AA868" s="3"/>
      <c r="AB868" s="4" t="str">
        <f t="shared" si="20"/>
        <v/>
      </c>
      <c r="AC868" s="3"/>
      <c r="AD868" s="3"/>
      <c r="AE868" s="3" t="str">
        <f t="shared" si="13"/>
        <v/>
      </c>
      <c r="AF868" s="3"/>
      <c r="AG868" s="3" t="str">
        <f t="shared" si="133"/>
        <v/>
      </c>
      <c r="AH868" s="3"/>
      <c r="AI868" s="7"/>
      <c r="AJ868" s="4"/>
      <c r="AK868" s="7"/>
      <c r="AL868" s="7"/>
      <c r="AM868" s="7"/>
      <c r="AN868" s="7"/>
      <c r="AO868" s="7"/>
      <c r="AP868" s="7"/>
      <c r="AQ868" s="7"/>
      <c r="AR868" s="7"/>
      <c r="AS868" s="7"/>
      <c r="AT868" s="7"/>
      <c r="AU868" s="7"/>
      <c r="AV868" s="7"/>
      <c r="AW868" s="7"/>
      <c r="AX868" s="7"/>
    </row>
    <row r="869" ht="12.75" customHeight="1">
      <c r="A869" s="4"/>
      <c r="B869" s="4"/>
      <c r="C869" s="4"/>
      <c r="D869" s="4"/>
      <c r="E869" s="4" t="str">
        <f>IF(ISBLANK(B869),,IFERROR(VLOOKUP(B869,CurrentRank!$B$2:$C$132,2,FALSE),0))</f>
        <v/>
      </c>
      <c r="F869" s="4"/>
      <c r="G869" s="4" t="str">
        <f>IF(ISBLANK(B869),,IFERROR(VLOOKUP(B869,CurrentRank!$B$2:$D$132,3,FALSE),130))</f>
        <v/>
      </c>
      <c r="H869" s="4"/>
      <c r="I869" s="4" t="str">
        <f>IF(ISBLANK(B869),,IFERROR(VLOOKUP(C869,CurrentRank!$B$2:$C$132,2,FALSE),0))</f>
        <v/>
      </c>
      <c r="J869" s="4"/>
      <c r="K869" s="4" t="str">
        <f>IF(ISBLANK(C869),,IFERROR(VLOOKUP(C869,CurrentRank!$B$2:$D$132,3,FALSE),130))</f>
        <v/>
      </c>
      <c r="L869" s="19" t="str">
        <f t="shared" si="279"/>
        <v/>
      </c>
      <c r="M869" s="19" t="str">
        <f t="shared" si="280"/>
        <v/>
      </c>
      <c r="N869" s="24" t="str">
        <f t="shared" si="276"/>
        <v/>
      </c>
      <c r="O869" s="21" t="str">
        <f t="shared" si="4"/>
        <v/>
      </c>
      <c r="P869" s="21" t="str">
        <f t="shared" si="282"/>
        <v/>
      </c>
      <c r="Q869" s="22" t="str">
        <f t="shared" si="6"/>
        <v/>
      </c>
      <c r="R869" s="25" t="str">
        <f t="shared" si="7"/>
        <v/>
      </c>
      <c r="S869" s="19" t="str">
        <f t="shared" si="8"/>
        <v/>
      </c>
      <c r="T869" s="19" t="str">
        <f t="shared" si="9"/>
        <v/>
      </c>
      <c r="U869" s="3"/>
      <c r="V869" s="4" t="str">
        <f>IF(ISBLANK(C869),,IFERROR(IF(VLOOKUP(B869,Standings!$A:$F, 6, 0)=VLOOKUP(C869,Standings!$A:$F, 6, 0), VLOOKUP(B869,Standings!$A:$F, 6, 0), "Non-con"), "FCS"))</f>
        <v/>
      </c>
      <c r="W869" s="3" t="str">
        <f t="shared" si="10"/>
        <v/>
      </c>
      <c r="X869" s="3" t="str">
        <f t="shared" si="11"/>
        <v/>
      </c>
      <c r="Y869" s="30" t="str">
        <f>IF(D869=0,,IF(ISBLANK(Q869),,VLOOKUP(X869,Week1,2,FALSE)/(VLOOKUP(X869,Week1,2,FALSE)+VLOOKUP(W869,Week1,2,FALSE)))*100)</f>
        <v/>
      </c>
      <c r="Z869" s="4"/>
      <c r="AA869" s="3"/>
      <c r="AB869" s="4" t="str">
        <f t="shared" si="20"/>
        <v/>
      </c>
      <c r="AC869" s="3"/>
      <c r="AD869" s="3"/>
      <c r="AE869" s="3" t="str">
        <f t="shared" si="13"/>
        <v/>
      </c>
      <c r="AF869" s="3"/>
      <c r="AG869" s="3" t="str">
        <f t="shared" si="133"/>
        <v/>
      </c>
      <c r="AH869" s="3"/>
      <c r="AI869" s="7"/>
      <c r="AJ869" s="4"/>
      <c r="AK869" s="7"/>
      <c r="AL869" s="7"/>
      <c r="AM869" s="7"/>
      <c r="AN869" s="7"/>
      <c r="AO869" s="7"/>
      <c r="AP869" s="7"/>
      <c r="AQ869" s="7"/>
      <c r="AR869" s="7"/>
      <c r="AS869" s="7"/>
      <c r="AT869" s="7"/>
      <c r="AU869" s="7"/>
      <c r="AV869" s="7"/>
      <c r="AW869" s="7"/>
      <c r="AX869" s="7"/>
    </row>
    <row r="870" ht="12.75" customHeight="1">
      <c r="A870" s="4"/>
      <c r="B870" s="4"/>
      <c r="C870" s="4"/>
      <c r="D870" s="4"/>
      <c r="E870" s="4" t="str">
        <f>IF(ISBLANK(B870),,IFERROR(VLOOKUP(B870,CurrentRank!$B$2:$C$132,2,FALSE),0))</f>
        <v/>
      </c>
      <c r="F870" s="4"/>
      <c r="G870" s="4" t="str">
        <f>IF(ISBLANK(B870),,IFERROR(VLOOKUP(B870,CurrentRank!$B$2:$D$132,3,FALSE),130))</f>
        <v/>
      </c>
      <c r="H870" s="4"/>
      <c r="I870" s="4" t="str">
        <f>IF(ISBLANK(B870),,IFERROR(VLOOKUP(C870,CurrentRank!$B$2:$C$132,2,FALSE),0))</f>
        <v/>
      </c>
      <c r="J870" s="4"/>
      <c r="K870" s="4" t="str">
        <f>IF(ISBLANK(C870),,IFERROR(VLOOKUP(C870,CurrentRank!$B$2:$D$132,3,FALSE),130))</f>
        <v/>
      </c>
      <c r="L870" s="19" t="str">
        <f t="shared" si="279"/>
        <v/>
      </c>
      <c r="M870" s="19" t="str">
        <f t="shared" si="280"/>
        <v/>
      </c>
      <c r="N870" s="24" t="str">
        <f t="shared" si="276"/>
        <v/>
      </c>
      <c r="O870" s="21" t="str">
        <f t="shared" si="4"/>
        <v/>
      </c>
      <c r="P870" s="21" t="str">
        <f t="shared" si="282"/>
        <v/>
      </c>
      <c r="Q870" s="22" t="str">
        <f t="shared" si="6"/>
        <v/>
      </c>
      <c r="R870" s="25" t="str">
        <f t="shared" si="7"/>
        <v/>
      </c>
      <c r="S870" s="19" t="str">
        <f t="shared" si="8"/>
        <v/>
      </c>
      <c r="T870" s="19" t="str">
        <f t="shared" si="9"/>
        <v/>
      </c>
      <c r="U870" s="3"/>
      <c r="V870" s="4" t="str">
        <f>IF(ISBLANK(C870),,IFERROR(IF(VLOOKUP(B870,Standings!$A:$F, 6, 0)=VLOOKUP(C870,Standings!$A:$F, 6, 0), VLOOKUP(B870,Standings!$A:$F, 6, 0), "Non-con"), "FCS"))</f>
        <v/>
      </c>
      <c r="W870" s="3" t="str">
        <f t="shared" si="10"/>
        <v/>
      </c>
      <c r="X870" s="3" t="str">
        <f t="shared" si="11"/>
        <v/>
      </c>
      <c r="Y870" s="30" t="str">
        <f>IF(D870=0,,IF(ISBLANK(Q870),,VLOOKUP(X870,Week1,2,FALSE)/(VLOOKUP(X870,Week1,2,FALSE)+VLOOKUP(W870,Week1,2,FALSE)))*100)</f>
        <v/>
      </c>
      <c r="Z870" s="4"/>
      <c r="AA870" s="3"/>
      <c r="AB870" s="4" t="str">
        <f t="shared" si="20"/>
        <v/>
      </c>
      <c r="AC870" s="3"/>
      <c r="AD870" s="3"/>
      <c r="AE870" s="3" t="str">
        <f t="shared" si="13"/>
        <v/>
      </c>
      <c r="AF870" s="3"/>
      <c r="AG870" s="3" t="str">
        <f t="shared" si="133"/>
        <v/>
      </c>
      <c r="AH870" s="3"/>
      <c r="AI870" s="7"/>
      <c r="AJ870" s="4"/>
      <c r="AK870" s="7"/>
      <c r="AL870" s="7"/>
      <c r="AM870" s="7"/>
      <c r="AN870" s="7"/>
      <c r="AO870" s="7"/>
      <c r="AP870" s="7"/>
      <c r="AQ870" s="7"/>
      <c r="AR870" s="7"/>
      <c r="AS870" s="7"/>
      <c r="AT870" s="7"/>
      <c r="AU870" s="7"/>
      <c r="AV870" s="7"/>
      <c r="AW870" s="7"/>
      <c r="AX870" s="7"/>
    </row>
    <row r="871" ht="12.75" customHeight="1">
      <c r="A871" s="4"/>
      <c r="B871" s="4"/>
      <c r="C871" s="4"/>
      <c r="D871" s="4"/>
      <c r="E871" s="4" t="str">
        <f>IF(ISBLANK(B871),,IFERROR(VLOOKUP(B871,CurrentRank!$B$2:$C$132,2,FALSE),0))</f>
        <v/>
      </c>
      <c r="F871" s="4"/>
      <c r="G871" s="4" t="str">
        <f>IF(ISBLANK(B871),,IFERROR(VLOOKUP(B871,CurrentRank!$B$2:$D$132,3,FALSE),130))</f>
        <v/>
      </c>
      <c r="H871" s="4"/>
      <c r="I871" s="4" t="str">
        <f>IF(ISBLANK(B871),,IFERROR(VLOOKUP(C871,CurrentRank!$B$2:$C$132,2,FALSE),0))</f>
        <v/>
      </c>
      <c r="J871" s="4"/>
      <c r="K871" s="4" t="str">
        <f>IF(ISBLANK(C871),,IFERROR(VLOOKUP(C871,CurrentRank!$B$2:$D$132,3,FALSE),130))</f>
        <v/>
      </c>
      <c r="L871" s="19" t="str">
        <f t="shared" si="279"/>
        <v/>
      </c>
      <c r="M871" s="19" t="str">
        <f t="shared" si="280"/>
        <v/>
      </c>
      <c r="N871" s="24" t="str">
        <f t="shared" si="276"/>
        <v/>
      </c>
      <c r="O871" s="21" t="str">
        <f t="shared" si="4"/>
        <v/>
      </c>
      <c r="P871" s="21" t="str">
        <f t="shared" si="282"/>
        <v/>
      </c>
      <c r="Q871" s="22" t="str">
        <f t="shared" si="6"/>
        <v/>
      </c>
      <c r="R871" s="25" t="str">
        <f t="shared" si="7"/>
        <v/>
      </c>
      <c r="S871" s="19" t="str">
        <f t="shared" si="8"/>
        <v/>
      </c>
      <c r="T871" s="19" t="str">
        <f t="shared" si="9"/>
        <v/>
      </c>
      <c r="U871" s="3"/>
      <c r="V871" s="4" t="str">
        <f>IF(ISBLANK(C871),,IFERROR(IF(VLOOKUP(B871,Standings!$A:$F, 6, 0)=VLOOKUP(C871,Standings!$A:$F, 6, 0), VLOOKUP(B871,Standings!$A:$F, 6, 0), "Non-con"), "FCS"))</f>
        <v/>
      </c>
      <c r="W871" s="3" t="str">
        <f t="shared" si="10"/>
        <v/>
      </c>
      <c r="X871" s="3" t="str">
        <f t="shared" si="11"/>
        <v/>
      </c>
      <c r="Y871" s="30" t="str">
        <f>IF(D871=0,,IF(ISBLANK(Q871),,VLOOKUP(X871,Week1,2,FALSE)/(VLOOKUP(X871,Week1,2,FALSE)+VLOOKUP(W871,Week1,2,FALSE)))*100)</f>
        <v/>
      </c>
      <c r="Z871" s="4"/>
      <c r="AA871" s="3"/>
      <c r="AB871" s="4" t="str">
        <f t="shared" si="20"/>
        <v/>
      </c>
      <c r="AC871" s="3"/>
      <c r="AD871" s="3"/>
      <c r="AE871" s="3" t="str">
        <f t="shared" si="13"/>
        <v/>
      </c>
      <c r="AF871" s="3"/>
      <c r="AG871" s="3" t="str">
        <f t="shared" si="133"/>
        <v/>
      </c>
      <c r="AH871" s="3"/>
      <c r="AI871" s="7"/>
      <c r="AJ871" s="4"/>
      <c r="AK871" s="7"/>
      <c r="AL871" s="7"/>
      <c r="AM871" s="7"/>
      <c r="AN871" s="7"/>
      <c r="AO871" s="7"/>
      <c r="AP871" s="7"/>
      <c r="AQ871" s="7"/>
      <c r="AR871" s="7"/>
      <c r="AS871" s="7"/>
      <c r="AT871" s="7"/>
      <c r="AU871" s="7"/>
      <c r="AV871" s="7"/>
      <c r="AW871" s="7"/>
      <c r="AX871" s="7"/>
    </row>
    <row r="872" ht="12.75" customHeight="1">
      <c r="A872" s="4"/>
      <c r="B872" s="4"/>
      <c r="C872" s="4"/>
      <c r="D872" s="4"/>
      <c r="E872" s="4" t="str">
        <f>IF(ISBLANK(B872),,IFERROR(VLOOKUP(B872,CurrentRank!$B$2:$C$132,2,FALSE),0))</f>
        <v/>
      </c>
      <c r="F872" s="4"/>
      <c r="G872" s="4" t="str">
        <f>IF(ISBLANK(B872),,IFERROR(VLOOKUP(B872,CurrentRank!$B$2:$D$132,3,FALSE),130))</f>
        <v/>
      </c>
      <c r="H872" s="4"/>
      <c r="I872" s="4" t="str">
        <f>IF(ISBLANK(B872),,IFERROR(VLOOKUP(C872,CurrentRank!$B$2:$C$132,2,FALSE),0))</f>
        <v/>
      </c>
      <c r="J872" s="4"/>
      <c r="K872" s="4" t="str">
        <f>IF(ISBLANK(C872),,IFERROR(VLOOKUP(C872,CurrentRank!$B$2:$D$132,3,FALSE),130))</f>
        <v/>
      </c>
      <c r="L872" s="19" t="str">
        <f t="shared" si="279"/>
        <v/>
      </c>
      <c r="M872" s="19" t="str">
        <f t="shared" si="280"/>
        <v/>
      </c>
      <c r="N872" s="24" t="str">
        <f t="shared" si="276"/>
        <v/>
      </c>
      <c r="O872" s="21" t="str">
        <f t="shared" si="4"/>
        <v/>
      </c>
      <c r="P872" s="21" t="str">
        <f t="shared" si="282"/>
        <v/>
      </c>
      <c r="Q872" s="22" t="str">
        <f t="shared" si="6"/>
        <v/>
      </c>
      <c r="R872" s="25" t="str">
        <f t="shared" si="7"/>
        <v/>
      </c>
      <c r="S872" s="19" t="str">
        <f t="shared" si="8"/>
        <v/>
      </c>
      <c r="T872" s="19" t="str">
        <f t="shared" si="9"/>
        <v/>
      </c>
      <c r="U872" s="3"/>
      <c r="V872" s="4" t="str">
        <f>IF(ISBLANK(C872),,IFERROR(IF(VLOOKUP(B872,Standings!$A:$F, 6, 0)=VLOOKUP(C872,Standings!$A:$F, 6, 0), VLOOKUP(B872,Standings!$A:$F, 6, 0), "Non-con"), "FCS"))</f>
        <v/>
      </c>
      <c r="W872" s="3" t="str">
        <f t="shared" si="10"/>
        <v/>
      </c>
      <c r="X872" s="3" t="str">
        <f t="shared" si="11"/>
        <v/>
      </c>
      <c r="Y872" s="30" t="str">
        <f>IF(D872=0,,IF(ISBLANK(Q872),,VLOOKUP(X872,Week1,2,FALSE)/(VLOOKUP(X872,Week1,2,FALSE)+VLOOKUP(W872,Week1,2,FALSE)))*100)</f>
        <v/>
      </c>
      <c r="Z872" s="4"/>
      <c r="AA872" s="3"/>
      <c r="AB872" s="4" t="str">
        <f t="shared" si="20"/>
        <v/>
      </c>
      <c r="AC872" s="3"/>
      <c r="AD872" s="3"/>
      <c r="AE872" s="3" t="str">
        <f t="shared" si="13"/>
        <v/>
      </c>
      <c r="AF872" s="3"/>
      <c r="AG872" s="3" t="str">
        <f t="shared" si="133"/>
        <v/>
      </c>
      <c r="AH872" s="3"/>
      <c r="AI872" s="7"/>
      <c r="AJ872" s="4"/>
      <c r="AK872" s="7"/>
      <c r="AL872" s="7"/>
      <c r="AM872" s="7"/>
      <c r="AN872" s="7"/>
      <c r="AO872" s="7"/>
      <c r="AP872" s="7"/>
      <c r="AQ872" s="7"/>
      <c r="AR872" s="7"/>
      <c r="AS872" s="7"/>
      <c r="AT872" s="7"/>
      <c r="AU872" s="7"/>
      <c r="AV872" s="7"/>
      <c r="AW872" s="7"/>
      <c r="AX872" s="7"/>
    </row>
    <row r="873" ht="12.75" customHeight="1">
      <c r="A873" s="4"/>
      <c r="B873" s="4"/>
      <c r="C873" s="4"/>
      <c r="D873" s="4"/>
      <c r="E873" s="4" t="str">
        <f>IF(ISBLANK(B873),,IFERROR(VLOOKUP(B873,CurrentRank!$B$2:$C$132,2,FALSE),0))</f>
        <v/>
      </c>
      <c r="F873" s="4"/>
      <c r="G873" s="4" t="str">
        <f>IF(ISBLANK(B873),,IFERROR(VLOOKUP(B873,CurrentRank!$B$2:$D$132,3,FALSE),130))</f>
        <v/>
      </c>
      <c r="H873" s="4"/>
      <c r="I873" s="4" t="str">
        <f>IF(ISBLANK(B873),,IFERROR(VLOOKUP(C873,CurrentRank!$B$2:$C$132,2,FALSE),0))</f>
        <v/>
      </c>
      <c r="J873" s="4"/>
      <c r="K873" s="4" t="str">
        <f>IF(ISBLANK(C873),,IFERROR(VLOOKUP(C873,CurrentRank!$B$2:$D$132,3,FALSE),130))</f>
        <v/>
      </c>
      <c r="L873" s="19" t="str">
        <f t="shared" si="279"/>
        <v/>
      </c>
      <c r="M873" s="19" t="str">
        <f t="shared" si="280"/>
        <v/>
      </c>
      <c r="N873" s="24" t="str">
        <f t="shared" si="276"/>
        <v/>
      </c>
      <c r="O873" s="21" t="str">
        <f t="shared" si="4"/>
        <v/>
      </c>
      <c r="P873" s="21" t="str">
        <f t="shared" si="282"/>
        <v/>
      </c>
      <c r="Q873" s="22" t="str">
        <f t="shared" si="6"/>
        <v/>
      </c>
      <c r="R873" s="25" t="str">
        <f t="shared" si="7"/>
        <v/>
      </c>
      <c r="S873" s="19" t="str">
        <f t="shared" si="8"/>
        <v/>
      </c>
      <c r="T873" s="19" t="str">
        <f t="shared" si="9"/>
        <v/>
      </c>
      <c r="U873" s="3"/>
      <c r="V873" s="4" t="str">
        <f>IF(ISBLANK(C873),,IFERROR(IF(VLOOKUP(B873,Standings!$A:$F, 6, 0)=VLOOKUP(C873,Standings!$A:$F, 6, 0), VLOOKUP(B873,Standings!$A:$F, 6, 0), "Non-con"), "FCS"))</f>
        <v/>
      </c>
      <c r="W873" s="3" t="str">
        <f t="shared" si="10"/>
        <v/>
      </c>
      <c r="X873" s="3" t="str">
        <f t="shared" si="11"/>
        <v/>
      </c>
      <c r="Y873" s="30" t="str">
        <f>IF(D873=0,,IF(ISBLANK(Q873),,VLOOKUP(X873,Week1,2,FALSE)/(VLOOKUP(X873,Week1,2,FALSE)+VLOOKUP(W873,Week1,2,FALSE)))*100)</f>
        <v/>
      </c>
      <c r="Z873" s="4"/>
      <c r="AA873" s="3"/>
      <c r="AB873" s="4" t="str">
        <f t="shared" si="20"/>
        <v/>
      </c>
      <c r="AC873" s="3"/>
      <c r="AD873" s="3"/>
      <c r="AE873" s="3" t="str">
        <f t="shared" si="13"/>
        <v/>
      </c>
      <c r="AF873" s="3"/>
      <c r="AG873" s="3" t="str">
        <f t="shared" si="133"/>
        <v/>
      </c>
      <c r="AH873" s="3"/>
      <c r="AI873" s="7"/>
      <c r="AJ873" s="4"/>
      <c r="AK873" s="7"/>
      <c r="AL873" s="7"/>
      <c r="AM873" s="7"/>
      <c r="AN873" s="7"/>
      <c r="AO873" s="7"/>
      <c r="AP873" s="7"/>
      <c r="AQ873" s="7"/>
      <c r="AR873" s="7"/>
      <c r="AS873" s="7"/>
      <c r="AT873" s="7"/>
      <c r="AU873" s="7"/>
      <c r="AV873" s="7"/>
      <c r="AW873" s="7"/>
      <c r="AX873" s="7"/>
    </row>
    <row r="874" ht="12.75" customHeight="1">
      <c r="A874" s="4"/>
      <c r="B874" s="4"/>
      <c r="C874" s="4"/>
      <c r="D874" s="4"/>
      <c r="E874" s="4" t="str">
        <f>IF(ISBLANK(B874),,IFERROR(VLOOKUP(B874,CurrentRank!$B$2:$C$132,2,FALSE),0))</f>
        <v/>
      </c>
      <c r="F874" s="4"/>
      <c r="G874" s="4" t="str">
        <f>IF(ISBLANK(B874),,IFERROR(VLOOKUP(B874,CurrentRank!$B$2:$D$132,3,FALSE),130))</f>
        <v/>
      </c>
      <c r="H874" s="4"/>
      <c r="I874" s="4" t="str">
        <f>IF(ISBLANK(B874),,IFERROR(VLOOKUP(C874,CurrentRank!$B$2:$C$132,2,FALSE),0))</f>
        <v/>
      </c>
      <c r="J874" s="4"/>
      <c r="K874" s="4" t="str">
        <f>IF(ISBLANK(C874),,IFERROR(VLOOKUP(C874,CurrentRank!$B$2:$D$132,3,FALSE),130))</f>
        <v/>
      </c>
      <c r="L874" s="19" t="str">
        <f t="shared" si="279"/>
        <v/>
      </c>
      <c r="M874" s="19" t="str">
        <f t="shared" si="280"/>
        <v/>
      </c>
      <c r="N874" s="24" t="str">
        <f t="shared" si="276"/>
        <v/>
      </c>
      <c r="O874" s="21" t="str">
        <f t="shared" si="4"/>
        <v/>
      </c>
      <c r="P874" s="21" t="str">
        <f t="shared" si="282"/>
        <v/>
      </c>
      <c r="Q874" s="22" t="str">
        <f t="shared" si="6"/>
        <v/>
      </c>
      <c r="R874" s="25" t="str">
        <f t="shared" si="7"/>
        <v/>
      </c>
      <c r="S874" s="19" t="str">
        <f t="shared" si="8"/>
        <v/>
      </c>
      <c r="T874" s="19" t="str">
        <f t="shared" si="9"/>
        <v/>
      </c>
      <c r="U874" s="3"/>
      <c r="V874" s="4" t="str">
        <f>IF(ISBLANK(C874),,IFERROR(IF(VLOOKUP(B874,Standings!$A:$F, 6, 0)=VLOOKUP(C874,Standings!$A:$F, 6, 0), VLOOKUP(B874,Standings!$A:$F, 6, 0), "Non-con"), "FCS"))</f>
        <v/>
      </c>
      <c r="W874" s="3" t="str">
        <f t="shared" si="10"/>
        <v/>
      </c>
      <c r="X874" s="3" t="str">
        <f t="shared" si="11"/>
        <v/>
      </c>
      <c r="Y874" s="30" t="str">
        <f>IF(D874=0,,IF(ISBLANK(Q874),,VLOOKUP(X874,Week1,2,FALSE)/(VLOOKUP(X874,Week1,2,FALSE)+VLOOKUP(W874,Week1,2,FALSE)))*100)</f>
        <v/>
      </c>
      <c r="Z874" s="4"/>
      <c r="AA874" s="3"/>
      <c r="AB874" s="4" t="str">
        <f t="shared" si="20"/>
        <v/>
      </c>
      <c r="AC874" s="3"/>
      <c r="AD874" s="3"/>
      <c r="AE874" s="3" t="str">
        <f t="shared" si="13"/>
        <v/>
      </c>
      <c r="AF874" s="3"/>
      <c r="AG874" s="3" t="str">
        <f t="shared" si="133"/>
        <v/>
      </c>
      <c r="AH874" s="3"/>
      <c r="AI874" s="7"/>
      <c r="AJ874" s="4"/>
      <c r="AK874" s="7"/>
      <c r="AL874" s="7"/>
      <c r="AM874" s="7"/>
      <c r="AN874" s="7"/>
      <c r="AO874" s="7"/>
      <c r="AP874" s="7"/>
      <c r="AQ874" s="7"/>
      <c r="AR874" s="7"/>
      <c r="AS874" s="7"/>
      <c r="AT874" s="7"/>
      <c r="AU874" s="7"/>
      <c r="AV874" s="7"/>
      <c r="AW874" s="7"/>
      <c r="AX874" s="7"/>
    </row>
    <row r="875" ht="12.75" customHeight="1">
      <c r="A875" s="4"/>
      <c r="B875" s="4"/>
      <c r="C875" s="4"/>
      <c r="D875" s="4"/>
      <c r="E875" s="4" t="str">
        <f>IF(ISBLANK(B875),,IFERROR(VLOOKUP(B875,CurrentRank!$B$2:$C$132,2,FALSE),0))</f>
        <v/>
      </c>
      <c r="F875" s="4"/>
      <c r="G875" s="4" t="str">
        <f>IF(ISBLANK(B875),,IFERROR(VLOOKUP(B875,CurrentRank!$B$2:$D$132,3,FALSE),130))</f>
        <v/>
      </c>
      <c r="H875" s="4"/>
      <c r="I875" s="4" t="str">
        <f>IF(ISBLANK(B875),,IFERROR(VLOOKUP(C875,CurrentRank!$B$2:$C$132,2,FALSE),0))</f>
        <v/>
      </c>
      <c r="J875" s="4"/>
      <c r="K875" s="4" t="str">
        <f>IF(ISBLANK(C875),,IFERROR(VLOOKUP(C875,CurrentRank!$B$2:$D$132,3,FALSE),130))</f>
        <v/>
      </c>
      <c r="L875" s="19" t="str">
        <f t="shared" si="279"/>
        <v/>
      </c>
      <c r="M875" s="19" t="str">
        <f t="shared" si="280"/>
        <v/>
      </c>
      <c r="N875" s="24" t="str">
        <f t="shared" si="276"/>
        <v/>
      </c>
      <c r="O875" s="21" t="str">
        <f t="shared" si="4"/>
        <v/>
      </c>
      <c r="P875" s="21" t="str">
        <f t="shared" si="282"/>
        <v/>
      </c>
      <c r="Q875" s="22" t="str">
        <f t="shared" si="6"/>
        <v/>
      </c>
      <c r="R875" s="25" t="str">
        <f t="shared" si="7"/>
        <v/>
      </c>
      <c r="S875" s="19" t="str">
        <f t="shared" si="8"/>
        <v/>
      </c>
      <c r="T875" s="19" t="str">
        <f t="shared" si="9"/>
        <v/>
      </c>
      <c r="U875" s="3"/>
      <c r="V875" s="4" t="str">
        <f>IF(ISBLANK(C875),,IFERROR(IF(VLOOKUP(B875,Standings!$A:$F, 6, 0)=VLOOKUP(C875,Standings!$A:$F, 6, 0), VLOOKUP(B875,Standings!$A:$F, 6, 0), "Non-con"), "FCS"))</f>
        <v/>
      </c>
      <c r="W875" s="3" t="str">
        <f t="shared" si="10"/>
        <v/>
      </c>
      <c r="X875" s="3" t="str">
        <f t="shared" si="11"/>
        <v/>
      </c>
      <c r="Y875" s="30" t="str">
        <f>IF(D875=0,,IF(ISBLANK(Q875),,VLOOKUP(X875,Week1,2,FALSE)/(VLOOKUP(X875,Week1,2,FALSE)+VLOOKUP(W875,Week1,2,FALSE)))*100)</f>
        <v/>
      </c>
      <c r="Z875" s="4"/>
      <c r="AA875" s="3"/>
      <c r="AB875" s="4" t="str">
        <f t="shared" si="20"/>
        <v/>
      </c>
      <c r="AC875" s="3"/>
      <c r="AD875" s="3"/>
      <c r="AE875" s="3" t="str">
        <f t="shared" si="13"/>
        <v/>
      </c>
      <c r="AF875" s="3"/>
      <c r="AG875" s="3" t="str">
        <f t="shared" si="133"/>
        <v/>
      </c>
      <c r="AH875" s="3"/>
      <c r="AI875" s="7"/>
      <c r="AJ875" s="4"/>
      <c r="AK875" s="7"/>
      <c r="AL875" s="7"/>
      <c r="AM875" s="7"/>
      <c r="AN875" s="7"/>
      <c r="AO875" s="7"/>
      <c r="AP875" s="7"/>
      <c r="AQ875" s="7"/>
      <c r="AR875" s="7"/>
      <c r="AS875" s="7"/>
      <c r="AT875" s="7"/>
      <c r="AU875" s="7"/>
      <c r="AV875" s="7"/>
      <c r="AW875" s="7"/>
      <c r="AX875" s="7"/>
    </row>
    <row r="876" ht="12.75" customHeight="1">
      <c r="A876" s="4"/>
      <c r="B876" s="4"/>
      <c r="C876" s="4"/>
      <c r="D876" s="4"/>
      <c r="E876" s="4" t="str">
        <f>IF(ISBLANK(B876),,IFERROR(VLOOKUP(B876,CurrentRank!$B$2:$C$132,2,FALSE),0))</f>
        <v/>
      </c>
      <c r="F876" s="4"/>
      <c r="G876" s="4" t="str">
        <f>IF(ISBLANK(B876),,IFERROR(VLOOKUP(B876,CurrentRank!$B$2:$D$132,3,FALSE),130))</f>
        <v/>
      </c>
      <c r="H876" s="4"/>
      <c r="I876" s="4" t="str">
        <f>IF(ISBLANK(B876),,IFERROR(VLOOKUP(C876,CurrentRank!$B$2:$C$132,2,FALSE),0))</f>
        <v/>
      </c>
      <c r="J876" s="4"/>
      <c r="K876" s="4" t="str">
        <f>IF(ISBLANK(C876),,IFERROR(VLOOKUP(C876,CurrentRank!$B$2:$D$132,3,FALSE),130))</f>
        <v/>
      </c>
      <c r="L876" s="19" t="str">
        <f t="shared" si="279"/>
        <v/>
      </c>
      <c r="M876" s="19" t="str">
        <f t="shared" si="280"/>
        <v/>
      </c>
      <c r="N876" s="24" t="str">
        <f t="shared" si="276"/>
        <v/>
      </c>
      <c r="O876" s="21" t="str">
        <f t="shared" si="4"/>
        <v/>
      </c>
      <c r="P876" s="21" t="str">
        <f t="shared" si="282"/>
        <v/>
      </c>
      <c r="Q876" s="22" t="str">
        <f t="shared" si="6"/>
        <v/>
      </c>
      <c r="R876" s="25" t="str">
        <f t="shared" si="7"/>
        <v/>
      </c>
      <c r="S876" s="19" t="str">
        <f t="shared" si="8"/>
        <v/>
      </c>
      <c r="T876" s="19" t="str">
        <f t="shared" si="9"/>
        <v/>
      </c>
      <c r="U876" s="3"/>
      <c r="V876" s="4" t="str">
        <f>IF(ISBLANK(C876),,IFERROR(IF(VLOOKUP(B876,Standings!$A:$F, 6, 0)=VLOOKUP(C876,Standings!$A:$F, 6, 0), VLOOKUP(B876,Standings!$A:$F, 6, 0), "Non-con"), "FCS"))</f>
        <v/>
      </c>
      <c r="W876" s="3" t="str">
        <f t="shared" si="10"/>
        <v/>
      </c>
      <c r="X876" s="3" t="str">
        <f t="shared" si="11"/>
        <v/>
      </c>
      <c r="Y876" s="30" t="str">
        <f>IF(D876=0,,IF(ISBLANK(Q876),,VLOOKUP(X876,Week1,2,FALSE)/(VLOOKUP(X876,Week1,2,FALSE)+VLOOKUP(W876,Week1,2,FALSE)))*100)</f>
        <v/>
      </c>
      <c r="Z876" s="4"/>
      <c r="AA876" s="3"/>
      <c r="AB876" s="4" t="str">
        <f t="shared" si="20"/>
        <v/>
      </c>
      <c r="AC876" s="3"/>
      <c r="AD876" s="3"/>
      <c r="AE876" s="3" t="str">
        <f t="shared" si="13"/>
        <v/>
      </c>
      <c r="AF876" s="3"/>
      <c r="AG876" s="3" t="str">
        <f t="shared" si="133"/>
        <v/>
      </c>
      <c r="AH876" s="3"/>
      <c r="AI876" s="7"/>
      <c r="AJ876" s="4"/>
      <c r="AK876" s="7"/>
      <c r="AL876" s="7"/>
      <c r="AM876" s="7"/>
      <c r="AN876" s="7"/>
      <c r="AO876" s="7"/>
      <c r="AP876" s="7"/>
      <c r="AQ876" s="7"/>
      <c r="AR876" s="7"/>
      <c r="AS876" s="7"/>
      <c r="AT876" s="7"/>
      <c r="AU876" s="7"/>
      <c r="AV876" s="7"/>
      <c r="AW876" s="7"/>
      <c r="AX876" s="7"/>
    </row>
    <row r="877" ht="12.75" customHeight="1">
      <c r="A877" s="4"/>
      <c r="B877" s="4"/>
      <c r="C877" s="4"/>
      <c r="D877" s="4"/>
      <c r="E877" s="4" t="str">
        <f>IF(ISBLANK(B877),,IFERROR(VLOOKUP(B877,CurrentRank!$B$2:$C$132,2,FALSE),0))</f>
        <v/>
      </c>
      <c r="F877" s="4"/>
      <c r="G877" s="4" t="str">
        <f>IF(ISBLANK(B877),,IFERROR(VLOOKUP(B877,CurrentRank!$B$2:$D$132,3,FALSE),130))</f>
        <v/>
      </c>
      <c r="H877" s="4"/>
      <c r="I877" s="4" t="str">
        <f>IF(ISBLANK(B877),,IFERROR(VLOOKUP(C877,CurrentRank!$B$2:$C$132,2,FALSE),0))</f>
        <v/>
      </c>
      <c r="J877" s="4"/>
      <c r="K877" s="4" t="str">
        <f>IF(ISBLANK(C877),,IFERROR(VLOOKUP(C877,CurrentRank!$B$2:$D$132,3,FALSE),130))</f>
        <v/>
      </c>
      <c r="L877" s="19" t="str">
        <f t="shared" si="279"/>
        <v/>
      </c>
      <c r="M877" s="19" t="str">
        <f t="shared" si="280"/>
        <v/>
      </c>
      <c r="N877" s="24" t="str">
        <f t="shared" si="276"/>
        <v/>
      </c>
      <c r="O877" s="21" t="str">
        <f t="shared" si="4"/>
        <v/>
      </c>
      <c r="P877" s="21" t="str">
        <f t="shared" si="282"/>
        <v/>
      </c>
      <c r="Q877" s="22" t="str">
        <f t="shared" si="6"/>
        <v/>
      </c>
      <c r="R877" s="25" t="str">
        <f t="shared" si="7"/>
        <v/>
      </c>
      <c r="S877" s="19" t="str">
        <f t="shared" si="8"/>
        <v/>
      </c>
      <c r="T877" s="19" t="str">
        <f t="shared" si="9"/>
        <v/>
      </c>
      <c r="U877" s="3"/>
      <c r="V877" s="4" t="str">
        <f>IF(ISBLANK(C877),,IFERROR(IF(VLOOKUP(B877,Standings!$A:$F, 6, 0)=VLOOKUP(C877,Standings!$A:$F, 6, 0), VLOOKUP(B877,Standings!$A:$F, 6, 0), "Non-con"), "FCS"))</f>
        <v/>
      </c>
      <c r="W877" s="3" t="str">
        <f t="shared" si="10"/>
        <v/>
      </c>
      <c r="X877" s="3" t="str">
        <f t="shared" si="11"/>
        <v/>
      </c>
      <c r="Y877" s="30" t="str">
        <f>IF(D877=0,,IF(ISBLANK(Q877),,VLOOKUP(X877,Week1,2,FALSE)/(VLOOKUP(X877,Week1,2,FALSE)+VLOOKUP(W877,Week1,2,FALSE)))*100)</f>
        <v/>
      </c>
      <c r="Z877" s="4"/>
      <c r="AA877" s="3"/>
      <c r="AB877" s="4" t="str">
        <f t="shared" si="20"/>
        <v/>
      </c>
      <c r="AC877" s="3"/>
      <c r="AD877" s="3"/>
      <c r="AE877" s="3" t="str">
        <f t="shared" si="13"/>
        <v/>
      </c>
      <c r="AF877" s="3"/>
      <c r="AG877" s="3" t="str">
        <f t="shared" si="133"/>
        <v/>
      </c>
      <c r="AH877" s="3"/>
      <c r="AI877" s="7"/>
      <c r="AJ877" s="4"/>
      <c r="AK877" s="7"/>
      <c r="AL877" s="7"/>
      <c r="AM877" s="7"/>
      <c r="AN877" s="7"/>
      <c r="AO877" s="7"/>
      <c r="AP877" s="7"/>
      <c r="AQ877" s="7"/>
      <c r="AR877" s="7"/>
      <c r="AS877" s="7"/>
      <c r="AT877" s="7"/>
      <c r="AU877" s="7"/>
      <c r="AV877" s="7"/>
      <c r="AW877" s="7"/>
      <c r="AX877" s="7"/>
    </row>
    <row r="878" ht="12.75" customHeight="1">
      <c r="A878" s="4"/>
      <c r="B878" s="4"/>
      <c r="C878" s="4"/>
      <c r="D878" s="4"/>
      <c r="E878" s="4" t="str">
        <f>IF(ISBLANK(B878),,IFERROR(VLOOKUP(B878,CurrentRank!$B$2:$C$132,2,FALSE),0))</f>
        <v/>
      </c>
      <c r="F878" s="4"/>
      <c r="G878" s="4" t="str">
        <f>IF(ISBLANK(B878),,IFERROR(VLOOKUP(B878,CurrentRank!$B$2:$D$132,3,FALSE),130))</f>
        <v/>
      </c>
      <c r="H878" s="4"/>
      <c r="I878" s="4" t="str">
        <f>IF(ISBLANK(B878),,IFERROR(VLOOKUP(C878,CurrentRank!$B$2:$C$132,2,FALSE),0))</f>
        <v/>
      </c>
      <c r="J878" s="4"/>
      <c r="K878" s="4" t="str">
        <f>IF(ISBLANK(C878),,IFERROR(VLOOKUP(C878,CurrentRank!$B$2:$D$132,3,FALSE),130))</f>
        <v/>
      </c>
      <c r="L878" s="19" t="str">
        <f t="shared" si="279"/>
        <v/>
      </c>
      <c r="M878" s="19" t="str">
        <f t="shared" si="280"/>
        <v/>
      </c>
      <c r="N878" s="24" t="str">
        <f t="shared" si="276"/>
        <v/>
      </c>
      <c r="O878" s="21" t="str">
        <f t="shared" si="4"/>
        <v/>
      </c>
      <c r="P878" s="21" t="str">
        <f t="shared" si="282"/>
        <v/>
      </c>
      <c r="Q878" s="22" t="str">
        <f t="shared" si="6"/>
        <v/>
      </c>
      <c r="R878" s="25" t="str">
        <f t="shared" si="7"/>
        <v/>
      </c>
      <c r="S878" s="19" t="str">
        <f t="shared" si="8"/>
        <v/>
      </c>
      <c r="T878" s="19" t="str">
        <f t="shared" si="9"/>
        <v/>
      </c>
      <c r="U878" s="3"/>
      <c r="V878" s="4" t="str">
        <f>IF(ISBLANK(C878),,IFERROR(IF(VLOOKUP(B878,Standings!$A:$F, 6, 0)=VLOOKUP(C878,Standings!$A:$F, 6, 0), VLOOKUP(B878,Standings!$A:$F, 6, 0), "Non-con"), "FCS"))</f>
        <v/>
      </c>
      <c r="W878" s="3" t="str">
        <f t="shared" si="10"/>
        <v/>
      </c>
      <c r="X878" s="3" t="str">
        <f t="shared" si="11"/>
        <v/>
      </c>
      <c r="Y878" s="30" t="str">
        <f>IF(D878=0,,IF(ISBLANK(Q878),,VLOOKUP(X878,Week1,2,FALSE)/(VLOOKUP(X878,Week1,2,FALSE)+VLOOKUP(W878,Week1,2,FALSE)))*100)</f>
        <v/>
      </c>
      <c r="Z878" s="4"/>
      <c r="AA878" s="3"/>
      <c r="AB878" s="4" t="str">
        <f t="shared" si="20"/>
        <v/>
      </c>
      <c r="AC878" s="3"/>
      <c r="AD878" s="3"/>
      <c r="AE878" s="3" t="str">
        <f t="shared" si="13"/>
        <v/>
      </c>
      <c r="AF878" s="3"/>
      <c r="AG878" s="3" t="str">
        <f t="shared" si="133"/>
        <v/>
      </c>
      <c r="AH878" s="3"/>
      <c r="AI878" s="7"/>
      <c r="AJ878" s="4"/>
      <c r="AK878" s="7"/>
      <c r="AL878" s="7"/>
      <c r="AM878" s="7"/>
      <c r="AN878" s="7"/>
      <c r="AO878" s="7"/>
      <c r="AP878" s="7"/>
      <c r="AQ878" s="7"/>
      <c r="AR878" s="7"/>
      <c r="AS878" s="7"/>
      <c r="AT878" s="7"/>
      <c r="AU878" s="7"/>
      <c r="AV878" s="7"/>
      <c r="AW878" s="7"/>
      <c r="AX878" s="7"/>
    </row>
    <row r="879" ht="12.75" customHeight="1">
      <c r="A879" s="4"/>
      <c r="B879" s="4"/>
      <c r="C879" s="4"/>
      <c r="D879" s="4"/>
      <c r="E879" s="4" t="str">
        <f>IF(ISBLANK(B879),,IFERROR(VLOOKUP(B879,CurrentRank!$B$2:$C$132,2,FALSE),0))</f>
        <v/>
      </c>
      <c r="F879" s="4"/>
      <c r="G879" s="4" t="str">
        <f>IF(ISBLANK(B879),,IFERROR(VLOOKUP(B879,CurrentRank!$B$2:$D$132,3,FALSE),130))</f>
        <v/>
      </c>
      <c r="H879" s="4"/>
      <c r="I879" s="4" t="str">
        <f>IF(ISBLANK(B879),,IFERROR(VLOOKUP(C879,CurrentRank!$B$2:$C$132,2,FALSE),0))</f>
        <v/>
      </c>
      <c r="J879" s="4"/>
      <c r="K879" s="4" t="str">
        <f>IF(ISBLANK(C879),,IFERROR(VLOOKUP(C879,CurrentRank!$B$2:$D$132,3,FALSE),130))</f>
        <v/>
      </c>
      <c r="L879" s="19" t="str">
        <f t="shared" si="279"/>
        <v/>
      </c>
      <c r="M879" s="19" t="str">
        <f t="shared" si="280"/>
        <v/>
      </c>
      <c r="N879" s="24" t="str">
        <f t="shared" si="276"/>
        <v/>
      </c>
      <c r="O879" s="21" t="str">
        <f t="shared" si="4"/>
        <v/>
      </c>
      <c r="P879" s="21" t="str">
        <f t="shared" si="282"/>
        <v/>
      </c>
      <c r="Q879" s="22" t="str">
        <f t="shared" si="6"/>
        <v/>
      </c>
      <c r="R879" s="25" t="str">
        <f t="shared" si="7"/>
        <v/>
      </c>
      <c r="S879" s="19" t="str">
        <f t="shared" si="8"/>
        <v/>
      </c>
      <c r="T879" s="19" t="str">
        <f t="shared" si="9"/>
        <v/>
      </c>
      <c r="U879" s="3"/>
      <c r="V879" s="4" t="str">
        <f>IF(ISBLANK(C879),,IFERROR(IF(VLOOKUP(B879,Standings!$A:$F, 6, 0)=VLOOKUP(C879,Standings!$A:$F, 6, 0), VLOOKUP(B879,Standings!$A:$F, 6, 0), "Non-con"), "FCS"))</f>
        <v/>
      </c>
      <c r="W879" s="3" t="str">
        <f t="shared" si="10"/>
        <v/>
      </c>
      <c r="X879" s="3" t="str">
        <f t="shared" si="11"/>
        <v/>
      </c>
      <c r="Y879" s="30" t="str">
        <f>IF(D879=0,,IF(ISBLANK(Q879),,VLOOKUP(X879,Week1,2,FALSE)/(VLOOKUP(X879,Week1,2,FALSE)+VLOOKUP(W879,Week1,2,FALSE)))*100)</f>
        <v/>
      </c>
      <c r="Z879" s="4"/>
      <c r="AA879" s="3"/>
      <c r="AB879" s="4" t="str">
        <f t="shared" si="20"/>
        <v/>
      </c>
      <c r="AC879" s="3"/>
      <c r="AD879" s="3"/>
      <c r="AE879" s="3" t="str">
        <f t="shared" si="13"/>
        <v/>
      </c>
      <c r="AF879" s="3"/>
      <c r="AG879" s="3" t="str">
        <f t="shared" si="133"/>
        <v/>
      </c>
      <c r="AH879" s="3"/>
      <c r="AI879" s="7"/>
      <c r="AJ879" s="4"/>
      <c r="AK879" s="7"/>
      <c r="AL879" s="7"/>
      <c r="AM879" s="7"/>
      <c r="AN879" s="7"/>
      <c r="AO879" s="7"/>
      <c r="AP879" s="7"/>
      <c r="AQ879" s="7"/>
      <c r="AR879" s="7"/>
      <c r="AS879" s="7"/>
      <c r="AT879" s="7"/>
      <c r="AU879" s="7"/>
      <c r="AV879" s="7"/>
      <c r="AW879" s="7"/>
      <c r="AX879" s="7"/>
    </row>
    <row r="880" ht="12.75" customHeight="1">
      <c r="A880" s="4"/>
      <c r="B880" s="4"/>
      <c r="C880" s="4"/>
      <c r="D880" s="4"/>
      <c r="E880" s="4" t="str">
        <f>IF(ISBLANK(B880),,IFERROR(VLOOKUP(B880,CurrentRank!$B$2:$C$132,2,FALSE),0))</f>
        <v/>
      </c>
      <c r="F880" s="4"/>
      <c r="G880" s="4" t="str">
        <f>IF(ISBLANK(B880),,IFERROR(VLOOKUP(B880,CurrentRank!$B$2:$D$132,3,FALSE),130))</f>
        <v/>
      </c>
      <c r="H880" s="4"/>
      <c r="I880" s="4" t="str">
        <f>IF(ISBLANK(B880),,IFERROR(VLOOKUP(C880,CurrentRank!$B$2:$C$132,2,FALSE),0))</f>
        <v/>
      </c>
      <c r="J880" s="4"/>
      <c r="K880" s="4" t="str">
        <f>IF(ISBLANK(C880),,IFERROR(VLOOKUP(C880,CurrentRank!$B$2:$D$132,3,FALSE),130))</f>
        <v/>
      </c>
      <c r="L880" s="19" t="str">
        <f t="shared" si="279"/>
        <v/>
      </c>
      <c r="M880" s="19" t="str">
        <f t="shared" si="280"/>
        <v/>
      </c>
      <c r="N880" s="24" t="str">
        <f t="shared" si="276"/>
        <v/>
      </c>
      <c r="O880" s="21" t="str">
        <f t="shared" si="4"/>
        <v/>
      </c>
      <c r="P880" s="21" t="str">
        <f t="shared" si="282"/>
        <v/>
      </c>
      <c r="Q880" s="22" t="str">
        <f t="shared" si="6"/>
        <v/>
      </c>
      <c r="R880" s="25" t="str">
        <f t="shared" si="7"/>
        <v/>
      </c>
      <c r="S880" s="19" t="str">
        <f t="shared" si="8"/>
        <v/>
      </c>
      <c r="T880" s="19" t="str">
        <f t="shared" si="9"/>
        <v/>
      </c>
      <c r="U880" s="3"/>
      <c r="V880" s="4" t="str">
        <f>IF(ISBLANK(C880),,IFERROR(IF(VLOOKUP(B880,Standings!$A:$F, 6, 0)=VLOOKUP(C880,Standings!$A:$F, 6, 0), VLOOKUP(B880,Standings!$A:$F, 6, 0), "Non-con"), "FCS"))</f>
        <v/>
      </c>
      <c r="W880" s="3" t="str">
        <f t="shared" si="10"/>
        <v/>
      </c>
      <c r="X880" s="3" t="str">
        <f t="shared" si="11"/>
        <v/>
      </c>
      <c r="Y880" s="30" t="str">
        <f>IF(D880=0,,IF(ISBLANK(Q880),,VLOOKUP(X880,Week1,2,FALSE)/(VLOOKUP(X880,Week1,2,FALSE)+VLOOKUP(W880,Week1,2,FALSE)))*100)</f>
        <v/>
      </c>
      <c r="Z880" s="4"/>
      <c r="AA880" s="3"/>
      <c r="AB880" s="4" t="str">
        <f t="shared" si="20"/>
        <v/>
      </c>
      <c r="AC880" s="3"/>
      <c r="AD880" s="3"/>
      <c r="AE880" s="3" t="str">
        <f t="shared" si="13"/>
        <v/>
      </c>
      <c r="AF880" s="3"/>
      <c r="AG880" s="3" t="str">
        <f t="shared" si="133"/>
        <v/>
      </c>
      <c r="AH880" s="3"/>
      <c r="AI880" s="7"/>
      <c r="AJ880" s="4"/>
      <c r="AK880" s="7"/>
      <c r="AL880" s="7"/>
      <c r="AM880" s="7"/>
      <c r="AN880" s="7"/>
      <c r="AO880" s="7"/>
      <c r="AP880" s="7"/>
      <c r="AQ880" s="7"/>
      <c r="AR880" s="7"/>
      <c r="AS880" s="7"/>
      <c r="AT880" s="7"/>
      <c r="AU880" s="7"/>
      <c r="AV880" s="7"/>
      <c r="AW880" s="7"/>
      <c r="AX880" s="7"/>
    </row>
    <row r="881" ht="12.75" customHeight="1">
      <c r="A881" s="4"/>
      <c r="B881" s="4"/>
      <c r="C881" s="4"/>
      <c r="D881" s="4"/>
      <c r="E881" s="4" t="str">
        <f>IF(ISBLANK(B881),,IFERROR(VLOOKUP(B881,CurrentRank!$B$2:$C$132,2,FALSE),0))</f>
        <v/>
      </c>
      <c r="F881" s="4"/>
      <c r="G881" s="4" t="str">
        <f>IF(ISBLANK(B881),,IFERROR(VLOOKUP(B881,CurrentRank!$B$2:$D$132,3,FALSE),130))</f>
        <v/>
      </c>
      <c r="H881" s="4"/>
      <c r="I881" s="4" t="str">
        <f>IF(ISBLANK(B881),,IFERROR(VLOOKUP(C881,CurrentRank!$B$2:$C$132,2,FALSE),0))</f>
        <v/>
      </c>
      <c r="J881" s="4"/>
      <c r="K881" s="4" t="str">
        <f>IF(ISBLANK(C881),,IFERROR(VLOOKUP(C881,CurrentRank!$B$2:$D$132,3,FALSE),130))</f>
        <v/>
      </c>
      <c r="L881" s="19" t="str">
        <f t="shared" si="279"/>
        <v/>
      </c>
      <c r="M881" s="19" t="str">
        <f t="shared" si="280"/>
        <v/>
      </c>
      <c r="N881" s="24" t="str">
        <f t="shared" si="276"/>
        <v/>
      </c>
      <c r="O881" s="21" t="str">
        <f t="shared" si="4"/>
        <v/>
      </c>
      <c r="P881" s="21" t="str">
        <f t="shared" si="282"/>
        <v/>
      </c>
      <c r="Q881" s="22" t="str">
        <f t="shared" si="6"/>
        <v/>
      </c>
      <c r="R881" s="25" t="str">
        <f t="shared" si="7"/>
        <v/>
      </c>
      <c r="S881" s="19" t="str">
        <f t="shared" si="8"/>
        <v/>
      </c>
      <c r="T881" s="19" t="str">
        <f t="shared" si="9"/>
        <v/>
      </c>
      <c r="U881" s="3"/>
      <c r="V881" s="4" t="str">
        <f>IF(ISBLANK(C881),,IFERROR(IF(VLOOKUP(B881,Standings!$A:$F, 6, 0)=VLOOKUP(C881,Standings!$A:$F, 6, 0), VLOOKUP(B881,Standings!$A:$F, 6, 0), "Non-con"), "FCS"))</f>
        <v/>
      </c>
      <c r="W881" s="3" t="str">
        <f t="shared" si="10"/>
        <v/>
      </c>
      <c r="X881" s="3" t="str">
        <f t="shared" si="11"/>
        <v/>
      </c>
      <c r="Y881" s="30" t="str">
        <f>IF(D881=0,,IF(ISBLANK(Q881),,VLOOKUP(X881,Week1,2,FALSE)/(VLOOKUP(X881,Week1,2,FALSE)+VLOOKUP(W881,Week1,2,FALSE)))*100)</f>
        <v/>
      </c>
      <c r="Z881" s="4"/>
      <c r="AA881" s="3"/>
      <c r="AB881" s="4" t="str">
        <f t="shared" si="20"/>
        <v/>
      </c>
      <c r="AC881" s="3"/>
      <c r="AD881" s="3"/>
      <c r="AE881" s="3" t="str">
        <f t="shared" si="13"/>
        <v/>
      </c>
      <c r="AF881" s="3"/>
      <c r="AG881" s="3" t="str">
        <f t="shared" si="133"/>
        <v/>
      </c>
      <c r="AH881" s="3"/>
      <c r="AI881" s="7"/>
      <c r="AJ881" s="4"/>
      <c r="AK881" s="7"/>
      <c r="AL881" s="7"/>
      <c r="AM881" s="7"/>
      <c r="AN881" s="7"/>
      <c r="AO881" s="7"/>
      <c r="AP881" s="7"/>
      <c r="AQ881" s="7"/>
      <c r="AR881" s="7"/>
      <c r="AS881" s="7"/>
      <c r="AT881" s="7"/>
      <c r="AU881" s="7"/>
      <c r="AV881" s="7"/>
      <c r="AW881" s="7"/>
      <c r="AX881" s="7"/>
    </row>
    <row r="882" ht="12.75" customHeight="1">
      <c r="A882" s="4"/>
      <c r="B882" s="4"/>
      <c r="C882" s="4"/>
      <c r="D882" s="4"/>
      <c r="E882" s="4" t="str">
        <f>IF(ISBLANK(B882),,IFERROR(VLOOKUP(B882,CurrentRank!$B$2:$C$132,2,FALSE),0))</f>
        <v/>
      </c>
      <c r="F882" s="4"/>
      <c r="G882" s="4" t="str">
        <f>IF(ISBLANK(B882),,IFERROR(VLOOKUP(B882,CurrentRank!$B$2:$D$132,3,FALSE),130))</f>
        <v/>
      </c>
      <c r="H882" s="4"/>
      <c r="I882" s="4" t="str">
        <f>IF(ISBLANK(B882),,IFERROR(VLOOKUP(C882,CurrentRank!$B$2:$C$132,2,FALSE),0))</f>
        <v/>
      </c>
      <c r="J882" s="4"/>
      <c r="K882" s="4" t="str">
        <f>IF(ISBLANK(C882),,IFERROR(VLOOKUP(C882,CurrentRank!$B$2:$D$132,3,FALSE),130))</f>
        <v/>
      </c>
      <c r="L882" s="19" t="str">
        <f t="shared" si="279"/>
        <v/>
      </c>
      <c r="M882" s="19" t="str">
        <f t="shared" si="280"/>
        <v/>
      </c>
      <c r="N882" s="24" t="str">
        <f t="shared" si="276"/>
        <v/>
      </c>
      <c r="O882" s="21" t="str">
        <f t="shared" si="4"/>
        <v/>
      </c>
      <c r="P882" s="21" t="str">
        <f t="shared" si="282"/>
        <v/>
      </c>
      <c r="Q882" s="22" t="str">
        <f t="shared" si="6"/>
        <v/>
      </c>
      <c r="R882" s="25" t="str">
        <f t="shared" si="7"/>
        <v/>
      </c>
      <c r="S882" s="19" t="str">
        <f t="shared" si="8"/>
        <v/>
      </c>
      <c r="T882" s="19" t="str">
        <f t="shared" si="9"/>
        <v/>
      </c>
      <c r="U882" s="3"/>
      <c r="V882" s="4" t="str">
        <f>IF(ISBLANK(C882),,IFERROR(IF(VLOOKUP(B882,Standings!$A:$F, 6, 0)=VLOOKUP(C882,Standings!$A:$F, 6, 0), VLOOKUP(B882,Standings!$A:$F, 6, 0), "Non-con"), "FCS"))</f>
        <v/>
      </c>
      <c r="W882" s="3" t="str">
        <f t="shared" si="10"/>
        <v/>
      </c>
      <c r="X882" s="3" t="str">
        <f t="shared" si="11"/>
        <v/>
      </c>
      <c r="Y882" s="30" t="str">
        <f>IF(D882=0,,IF(ISBLANK(Q882),,VLOOKUP(X882,Week1,2,FALSE)/(VLOOKUP(X882,Week1,2,FALSE)+VLOOKUP(W882,Week1,2,FALSE)))*100)</f>
        <v/>
      </c>
      <c r="Z882" s="4"/>
      <c r="AA882" s="3"/>
      <c r="AB882" s="4" t="str">
        <f t="shared" si="20"/>
        <v/>
      </c>
      <c r="AC882" s="3"/>
      <c r="AD882" s="3"/>
      <c r="AE882" s="3" t="str">
        <f t="shared" si="13"/>
        <v/>
      </c>
      <c r="AF882" s="3"/>
      <c r="AG882" s="3" t="str">
        <f t="shared" si="133"/>
        <v/>
      </c>
      <c r="AH882" s="3"/>
      <c r="AI882" s="7"/>
      <c r="AJ882" s="4"/>
      <c r="AK882" s="7"/>
      <c r="AL882" s="7"/>
      <c r="AM882" s="7"/>
      <c r="AN882" s="7"/>
      <c r="AO882" s="7"/>
      <c r="AP882" s="7"/>
      <c r="AQ882" s="7"/>
      <c r="AR882" s="7"/>
      <c r="AS882" s="7"/>
      <c r="AT882" s="7"/>
      <c r="AU882" s="7"/>
      <c r="AV882" s="7"/>
      <c r="AW882" s="7"/>
      <c r="AX882" s="7"/>
    </row>
    <row r="883" ht="12.75" customHeight="1">
      <c r="A883" s="4"/>
      <c r="B883" s="4"/>
      <c r="C883" s="4"/>
      <c r="D883" s="4"/>
      <c r="E883" s="4" t="str">
        <f>IF(ISBLANK(B883),,IFERROR(VLOOKUP(B883,CurrentRank!$B$2:$C$132,2,FALSE),0))</f>
        <v/>
      </c>
      <c r="F883" s="4"/>
      <c r="G883" s="4" t="str">
        <f>IF(ISBLANK(B883),,IFERROR(VLOOKUP(B883,CurrentRank!$B$2:$D$132,3,FALSE),130))</f>
        <v/>
      </c>
      <c r="H883" s="4"/>
      <c r="I883" s="4" t="str">
        <f>IF(ISBLANK(B883),,IFERROR(VLOOKUP(C883,CurrentRank!$B$2:$C$132,2,FALSE),0))</f>
        <v/>
      </c>
      <c r="J883" s="4"/>
      <c r="K883" s="4" t="str">
        <f>IF(ISBLANK(C883),,IFERROR(VLOOKUP(C883,CurrentRank!$B$2:$D$132,3,FALSE),130))</f>
        <v/>
      </c>
      <c r="L883" s="19" t="str">
        <f t="shared" si="279"/>
        <v/>
      </c>
      <c r="M883" s="19" t="str">
        <f t="shared" si="280"/>
        <v/>
      </c>
      <c r="N883" s="24" t="str">
        <f t="shared" si="276"/>
        <v/>
      </c>
      <c r="O883" s="21" t="str">
        <f t="shared" si="4"/>
        <v/>
      </c>
      <c r="P883" s="21" t="str">
        <f t="shared" si="282"/>
        <v/>
      </c>
      <c r="Q883" s="22" t="str">
        <f t="shared" si="6"/>
        <v/>
      </c>
      <c r="R883" s="25" t="str">
        <f t="shared" si="7"/>
        <v/>
      </c>
      <c r="S883" s="19" t="str">
        <f t="shared" si="8"/>
        <v/>
      </c>
      <c r="T883" s="19" t="str">
        <f t="shared" si="9"/>
        <v/>
      </c>
      <c r="U883" s="3"/>
      <c r="V883" s="4" t="str">
        <f>IF(ISBLANK(C883),,IFERROR(IF(VLOOKUP(B883,Standings!$A:$F, 6, 0)=VLOOKUP(C883,Standings!$A:$F, 6, 0), VLOOKUP(B883,Standings!$A:$F, 6, 0), "Non-con"), "FCS"))</f>
        <v/>
      </c>
      <c r="W883" s="3" t="str">
        <f t="shared" si="10"/>
        <v/>
      </c>
      <c r="X883" s="3" t="str">
        <f t="shared" si="11"/>
        <v/>
      </c>
      <c r="Y883" s="30" t="str">
        <f>IF(D883=0,,IF(ISBLANK(Q883),,VLOOKUP(X883,Week1,2,FALSE)/(VLOOKUP(X883,Week1,2,FALSE)+VLOOKUP(W883,Week1,2,FALSE)))*100)</f>
        <v/>
      </c>
      <c r="Z883" s="4"/>
      <c r="AA883" s="3"/>
      <c r="AB883" s="4" t="str">
        <f t="shared" si="20"/>
        <v/>
      </c>
      <c r="AC883" s="3"/>
      <c r="AD883" s="3"/>
      <c r="AE883" s="3" t="str">
        <f t="shared" si="13"/>
        <v/>
      </c>
      <c r="AF883" s="3"/>
      <c r="AG883" s="3" t="str">
        <f t="shared" si="133"/>
        <v/>
      </c>
      <c r="AH883" s="3"/>
      <c r="AI883" s="7"/>
      <c r="AJ883" s="4"/>
      <c r="AK883" s="7"/>
      <c r="AL883" s="7"/>
      <c r="AM883" s="7"/>
      <c r="AN883" s="7"/>
      <c r="AO883" s="7"/>
      <c r="AP883" s="7"/>
      <c r="AQ883" s="7"/>
      <c r="AR883" s="7"/>
      <c r="AS883" s="7"/>
      <c r="AT883" s="7"/>
      <c r="AU883" s="7"/>
      <c r="AV883" s="7"/>
      <c r="AW883" s="7"/>
      <c r="AX883" s="7"/>
    </row>
    <row r="884" ht="12.75" customHeight="1">
      <c r="A884" s="4"/>
      <c r="B884" s="4"/>
      <c r="C884" s="4"/>
      <c r="D884" s="4"/>
      <c r="E884" s="4" t="str">
        <f>IF(ISBLANK(B884),,IFERROR(VLOOKUP(B884,CurrentRank!$B$2:$C$132,2,FALSE),0))</f>
        <v/>
      </c>
      <c r="F884" s="4"/>
      <c r="G884" s="4" t="str">
        <f>IF(ISBLANK(B884),,IFERROR(VLOOKUP(B884,CurrentRank!$B$2:$D$132,3,FALSE),130))</f>
        <v/>
      </c>
      <c r="H884" s="4"/>
      <c r="I884" s="4" t="str">
        <f>IF(ISBLANK(B884),,IFERROR(VLOOKUP(C884,CurrentRank!$B$2:$C$132,2,FALSE),0))</f>
        <v/>
      </c>
      <c r="J884" s="4"/>
      <c r="K884" s="4" t="str">
        <f>IF(ISBLANK(C884),,IFERROR(VLOOKUP(C884,CurrentRank!$B$2:$D$132,3,FALSE),130))</f>
        <v/>
      </c>
      <c r="L884" s="19" t="str">
        <f t="shared" si="279"/>
        <v/>
      </c>
      <c r="M884" s="19" t="str">
        <f t="shared" si="280"/>
        <v/>
      </c>
      <c r="N884" s="24" t="str">
        <f t="shared" si="276"/>
        <v/>
      </c>
      <c r="O884" s="21" t="str">
        <f t="shared" si="4"/>
        <v/>
      </c>
      <c r="P884" s="21" t="str">
        <f t="shared" si="282"/>
        <v/>
      </c>
      <c r="Q884" s="22" t="str">
        <f t="shared" si="6"/>
        <v/>
      </c>
      <c r="R884" s="25" t="str">
        <f t="shared" si="7"/>
        <v/>
      </c>
      <c r="S884" s="19" t="str">
        <f t="shared" si="8"/>
        <v/>
      </c>
      <c r="T884" s="19" t="str">
        <f t="shared" si="9"/>
        <v/>
      </c>
      <c r="U884" s="3"/>
      <c r="V884" s="4" t="str">
        <f>IF(ISBLANK(C884),,IFERROR(IF(VLOOKUP(B884,Standings!$A:$F, 6, 0)=VLOOKUP(C884,Standings!$A:$F, 6, 0), VLOOKUP(B884,Standings!$A:$F, 6, 0), "Non-con"), "FCS"))</f>
        <v/>
      </c>
      <c r="W884" s="3" t="str">
        <f t="shared" si="10"/>
        <v/>
      </c>
      <c r="X884" s="3" t="str">
        <f t="shared" si="11"/>
        <v/>
      </c>
      <c r="Y884" s="30" t="str">
        <f>IF(D884=0,,IF(ISBLANK(Q884),,VLOOKUP(X884,Week1,2,FALSE)/(VLOOKUP(X884,Week1,2,FALSE)+VLOOKUP(W884,Week1,2,FALSE)))*100)</f>
        <v/>
      </c>
      <c r="Z884" s="4"/>
      <c r="AA884" s="3"/>
      <c r="AB884" s="4" t="str">
        <f t="shared" si="20"/>
        <v/>
      </c>
      <c r="AC884" s="3"/>
      <c r="AD884" s="3"/>
      <c r="AE884" s="3" t="str">
        <f t="shared" si="13"/>
        <v/>
      </c>
      <c r="AF884" s="3"/>
      <c r="AG884" s="3" t="str">
        <f t="shared" si="133"/>
        <v/>
      </c>
      <c r="AH884" s="3"/>
      <c r="AI884" s="7"/>
      <c r="AJ884" s="4"/>
      <c r="AK884" s="7"/>
      <c r="AL884" s="7"/>
      <c r="AM884" s="7"/>
      <c r="AN884" s="7"/>
      <c r="AO884" s="7"/>
      <c r="AP884" s="7"/>
      <c r="AQ884" s="7"/>
      <c r="AR884" s="7"/>
      <c r="AS884" s="7"/>
      <c r="AT884" s="7"/>
      <c r="AU884" s="7"/>
      <c r="AV884" s="7"/>
      <c r="AW884" s="7"/>
      <c r="AX884" s="7"/>
    </row>
    <row r="885" ht="12.75" customHeight="1">
      <c r="A885" s="4"/>
      <c r="B885" s="4"/>
      <c r="C885" s="4"/>
      <c r="D885" s="4"/>
      <c r="E885" s="4" t="str">
        <f>IF(ISBLANK(B885),,IFERROR(VLOOKUP(B885,CurrentRank!$B$2:$C$132,2,FALSE),0))</f>
        <v/>
      </c>
      <c r="F885" s="4"/>
      <c r="G885" s="4" t="str">
        <f>IF(ISBLANK(B885),,IFERROR(VLOOKUP(B885,CurrentRank!$B$2:$D$132,3,FALSE),130))</f>
        <v/>
      </c>
      <c r="H885" s="4"/>
      <c r="I885" s="4" t="str">
        <f>IF(ISBLANK(B885),,IFERROR(VLOOKUP(C885,CurrentRank!$B$2:$C$132,2,FALSE),0))</f>
        <v/>
      </c>
      <c r="J885" s="4"/>
      <c r="K885" s="4" t="str">
        <f>IF(ISBLANK(C885),,IFERROR(VLOOKUP(C885,CurrentRank!$B$2:$D$132,3,FALSE),130))</f>
        <v/>
      </c>
      <c r="L885" s="19" t="str">
        <f t="shared" si="279"/>
        <v/>
      </c>
      <c r="M885" s="19" t="str">
        <f t="shared" si="280"/>
        <v/>
      </c>
      <c r="N885" s="24" t="str">
        <f t="shared" si="276"/>
        <v/>
      </c>
      <c r="O885" s="21" t="str">
        <f t="shared" si="4"/>
        <v/>
      </c>
      <c r="P885" s="21" t="str">
        <f t="shared" si="282"/>
        <v/>
      </c>
      <c r="Q885" s="22" t="str">
        <f t="shared" si="6"/>
        <v/>
      </c>
      <c r="R885" s="25" t="str">
        <f t="shared" si="7"/>
        <v/>
      </c>
      <c r="S885" s="19" t="str">
        <f t="shared" si="8"/>
        <v/>
      </c>
      <c r="T885" s="19" t="str">
        <f t="shared" si="9"/>
        <v/>
      </c>
      <c r="U885" s="3"/>
      <c r="V885" s="4" t="str">
        <f>IF(ISBLANK(C885),,IFERROR(IF(VLOOKUP(B885,Standings!$A:$F, 6, 0)=VLOOKUP(C885,Standings!$A:$F, 6, 0), VLOOKUP(B885,Standings!$A:$F, 6, 0), "Non-con"), "FCS"))</f>
        <v/>
      </c>
      <c r="W885" s="3" t="str">
        <f t="shared" si="10"/>
        <v/>
      </c>
      <c r="X885" s="3" t="str">
        <f t="shared" si="11"/>
        <v/>
      </c>
      <c r="Y885" s="30" t="str">
        <f>IF(D885=0,,IF(ISBLANK(Q885),,VLOOKUP(X885,Week1,2,FALSE)/(VLOOKUP(X885,Week1,2,FALSE)+VLOOKUP(W885,Week1,2,FALSE)))*100)</f>
        <v/>
      </c>
      <c r="Z885" s="4"/>
      <c r="AA885" s="3"/>
      <c r="AB885" s="4" t="str">
        <f t="shared" si="20"/>
        <v/>
      </c>
      <c r="AC885" s="3"/>
      <c r="AD885" s="3"/>
      <c r="AE885" s="3" t="str">
        <f t="shared" si="13"/>
        <v/>
      </c>
      <c r="AF885" s="3"/>
      <c r="AG885" s="3" t="str">
        <f t="shared" si="133"/>
        <v/>
      </c>
      <c r="AH885" s="3"/>
      <c r="AI885" s="7"/>
      <c r="AJ885" s="4"/>
      <c r="AK885" s="7"/>
      <c r="AL885" s="7"/>
      <c r="AM885" s="7"/>
      <c r="AN885" s="7"/>
      <c r="AO885" s="7"/>
      <c r="AP885" s="7"/>
      <c r="AQ885" s="7"/>
      <c r="AR885" s="7"/>
      <c r="AS885" s="7"/>
      <c r="AT885" s="7"/>
      <c r="AU885" s="7"/>
      <c r="AV885" s="7"/>
      <c r="AW885" s="7"/>
      <c r="AX885" s="7"/>
    </row>
    <row r="886" ht="12.75" customHeight="1">
      <c r="A886" s="4"/>
      <c r="B886" s="4"/>
      <c r="C886" s="4"/>
      <c r="D886" s="4"/>
      <c r="E886" s="4" t="str">
        <f>IF(ISBLANK(B886),,IFERROR(VLOOKUP(B886,CurrentRank!$B$2:$C$132,2,FALSE),0))</f>
        <v/>
      </c>
      <c r="F886" s="4"/>
      <c r="G886" s="4" t="str">
        <f>IF(ISBLANK(B886),,IFERROR(VLOOKUP(B886,CurrentRank!$B$2:$D$132,3,FALSE),130))</f>
        <v/>
      </c>
      <c r="H886" s="4"/>
      <c r="I886" s="4" t="str">
        <f>IF(ISBLANK(B886),,IFERROR(VLOOKUP(C886,CurrentRank!$B$2:$C$132,2,FALSE),0))</f>
        <v/>
      </c>
      <c r="J886" s="4"/>
      <c r="K886" s="4" t="str">
        <f>IF(ISBLANK(C886),,IFERROR(VLOOKUP(C886,CurrentRank!$B$2:$D$132,3,FALSE),130))</f>
        <v/>
      </c>
      <c r="L886" s="19" t="str">
        <f t="shared" si="279"/>
        <v/>
      </c>
      <c r="M886" s="19" t="str">
        <f t="shared" si="280"/>
        <v/>
      </c>
      <c r="N886" s="24" t="str">
        <f t="shared" si="276"/>
        <v/>
      </c>
      <c r="O886" s="21" t="str">
        <f t="shared" si="4"/>
        <v/>
      </c>
      <c r="P886" s="21" t="str">
        <f t="shared" si="282"/>
        <v/>
      </c>
      <c r="Q886" s="22" t="str">
        <f t="shared" si="6"/>
        <v/>
      </c>
      <c r="R886" s="25" t="str">
        <f t="shared" si="7"/>
        <v/>
      </c>
      <c r="S886" s="19" t="str">
        <f t="shared" si="8"/>
        <v/>
      </c>
      <c r="T886" s="19" t="str">
        <f t="shared" si="9"/>
        <v/>
      </c>
      <c r="U886" s="3"/>
      <c r="V886" s="4" t="str">
        <f>IF(ISBLANK(C886),,IFERROR(IF(VLOOKUP(B886,Standings!$A:$F, 6, 0)=VLOOKUP(C886,Standings!$A:$F, 6, 0), VLOOKUP(B886,Standings!$A:$F, 6, 0), "Non-con"), "FCS"))</f>
        <v/>
      </c>
      <c r="W886" s="3" t="str">
        <f t="shared" si="10"/>
        <v/>
      </c>
      <c r="X886" s="3" t="str">
        <f t="shared" si="11"/>
        <v/>
      </c>
      <c r="Y886" s="30" t="str">
        <f>IF(D886=0,,IF(ISBLANK(Q886),,VLOOKUP(X886,Week1,2,FALSE)/(VLOOKUP(X886,Week1,2,FALSE)+VLOOKUP(W886,Week1,2,FALSE)))*100)</f>
        <v/>
      </c>
      <c r="Z886" s="4"/>
      <c r="AA886" s="3"/>
      <c r="AB886" s="4" t="str">
        <f t="shared" si="20"/>
        <v/>
      </c>
      <c r="AC886" s="3"/>
      <c r="AD886" s="3"/>
      <c r="AE886" s="3" t="str">
        <f t="shared" si="13"/>
        <v/>
      </c>
      <c r="AF886" s="3"/>
      <c r="AG886" s="3" t="str">
        <f t="shared" si="133"/>
        <v/>
      </c>
      <c r="AH886" s="3"/>
      <c r="AI886" s="7"/>
      <c r="AJ886" s="4"/>
      <c r="AK886" s="7"/>
      <c r="AL886" s="7"/>
      <c r="AM886" s="7"/>
      <c r="AN886" s="7"/>
      <c r="AO886" s="7"/>
      <c r="AP886" s="7"/>
      <c r="AQ886" s="7"/>
      <c r="AR886" s="7"/>
      <c r="AS886" s="7"/>
      <c r="AT886" s="7"/>
      <c r="AU886" s="7"/>
      <c r="AV886" s="7"/>
      <c r="AW886" s="7"/>
      <c r="AX886" s="7"/>
    </row>
    <row r="887" ht="12.75" customHeight="1">
      <c r="A887" s="4"/>
      <c r="B887" s="4"/>
      <c r="C887" s="4"/>
      <c r="D887" s="4"/>
      <c r="E887" s="4" t="str">
        <f>IF(ISBLANK(B887),,IFERROR(VLOOKUP(B887,CurrentRank!$B$2:$C$132,2,FALSE),0))</f>
        <v/>
      </c>
      <c r="F887" s="4"/>
      <c r="G887" s="4" t="str">
        <f>IF(ISBLANK(B887),,IFERROR(VLOOKUP(B887,CurrentRank!$B$2:$D$132,3,FALSE),130))</f>
        <v/>
      </c>
      <c r="H887" s="4"/>
      <c r="I887" s="4" t="str">
        <f>IF(ISBLANK(B887),,IFERROR(VLOOKUP(C887,CurrentRank!$B$2:$C$132,2,FALSE),0))</f>
        <v/>
      </c>
      <c r="J887" s="4"/>
      <c r="K887" s="4" t="str">
        <f>IF(ISBLANK(C887),,IFERROR(VLOOKUP(C887,CurrentRank!$B$2:$D$132,3,FALSE),130))</f>
        <v/>
      </c>
      <c r="L887" s="19" t="str">
        <f t="shared" si="279"/>
        <v/>
      </c>
      <c r="M887" s="19" t="str">
        <f t="shared" si="280"/>
        <v/>
      </c>
      <c r="N887" s="24" t="str">
        <f t="shared" si="276"/>
        <v/>
      </c>
      <c r="O887" s="21" t="str">
        <f t="shared" si="4"/>
        <v/>
      </c>
      <c r="P887" s="21" t="str">
        <f t="shared" si="282"/>
        <v/>
      </c>
      <c r="Q887" s="22" t="str">
        <f t="shared" si="6"/>
        <v/>
      </c>
      <c r="R887" s="25" t="str">
        <f t="shared" si="7"/>
        <v/>
      </c>
      <c r="S887" s="19" t="str">
        <f t="shared" si="8"/>
        <v/>
      </c>
      <c r="T887" s="19" t="str">
        <f t="shared" si="9"/>
        <v/>
      </c>
      <c r="U887" s="3"/>
      <c r="V887" s="4" t="str">
        <f>IF(ISBLANK(C887),,IFERROR(IF(VLOOKUP(B887,Standings!$A:$F, 6, 0)=VLOOKUP(C887,Standings!$A:$F, 6, 0), VLOOKUP(B887,Standings!$A:$F, 6, 0), "Non-con"), "FCS"))</f>
        <v/>
      </c>
      <c r="W887" s="3" t="str">
        <f t="shared" si="10"/>
        <v/>
      </c>
      <c r="X887" s="3" t="str">
        <f t="shared" si="11"/>
        <v/>
      </c>
      <c r="Y887" s="30" t="str">
        <f>IF(D887=0,,IF(ISBLANK(Q887),,VLOOKUP(X887,Week1,2,FALSE)/(VLOOKUP(X887,Week1,2,FALSE)+VLOOKUP(W887,Week1,2,FALSE)))*100)</f>
        <v/>
      </c>
      <c r="Z887" s="4"/>
      <c r="AA887" s="3"/>
      <c r="AB887" s="4" t="str">
        <f t="shared" si="20"/>
        <v/>
      </c>
      <c r="AC887" s="3"/>
      <c r="AD887" s="3"/>
      <c r="AE887" s="3" t="str">
        <f t="shared" si="13"/>
        <v/>
      </c>
      <c r="AF887" s="3"/>
      <c r="AG887" s="3" t="str">
        <f t="shared" si="133"/>
        <v/>
      </c>
      <c r="AH887" s="3"/>
      <c r="AI887" s="7"/>
      <c r="AJ887" s="4"/>
      <c r="AK887" s="7"/>
      <c r="AL887" s="7"/>
      <c r="AM887" s="7"/>
      <c r="AN887" s="7"/>
      <c r="AO887" s="7"/>
      <c r="AP887" s="7"/>
      <c r="AQ887" s="7"/>
      <c r="AR887" s="7"/>
      <c r="AS887" s="7"/>
      <c r="AT887" s="7"/>
      <c r="AU887" s="7"/>
      <c r="AV887" s="7"/>
      <c r="AW887" s="7"/>
      <c r="AX887" s="7"/>
    </row>
    <row r="888" ht="12.75" customHeight="1">
      <c r="A888" s="4"/>
      <c r="B888" s="4"/>
      <c r="C888" s="4"/>
      <c r="D888" s="4"/>
      <c r="E888" s="4" t="str">
        <f>IF(ISBLANK(B888),,IFERROR(VLOOKUP(B888,CurrentRank!$B$2:$C$132,2,FALSE),0))</f>
        <v/>
      </c>
      <c r="F888" s="4"/>
      <c r="G888" s="4" t="str">
        <f>IF(ISBLANK(B888),,IFERROR(VLOOKUP(B888,CurrentRank!$B$2:$D$132,3,FALSE),130))</f>
        <v/>
      </c>
      <c r="H888" s="4"/>
      <c r="I888" s="4" t="str">
        <f>IF(ISBLANK(B888),,IFERROR(VLOOKUP(C888,CurrentRank!$B$2:$C$132,2,FALSE),0))</f>
        <v/>
      </c>
      <c r="J888" s="4"/>
      <c r="K888" s="4" t="str">
        <f>IF(ISBLANK(C888),,IFERROR(VLOOKUP(C888,CurrentRank!$B$2:$D$132,3,FALSE),130))</f>
        <v/>
      </c>
      <c r="L888" s="19" t="str">
        <f t="shared" si="279"/>
        <v/>
      </c>
      <c r="M888" s="19" t="str">
        <f t="shared" si="280"/>
        <v/>
      </c>
      <c r="N888" s="24" t="str">
        <f t="shared" si="276"/>
        <v/>
      </c>
      <c r="O888" s="21" t="str">
        <f t="shared" si="4"/>
        <v/>
      </c>
      <c r="P888" s="21" t="str">
        <f t="shared" si="282"/>
        <v/>
      </c>
      <c r="Q888" s="22" t="str">
        <f t="shared" si="6"/>
        <v/>
      </c>
      <c r="R888" s="25" t="str">
        <f t="shared" si="7"/>
        <v/>
      </c>
      <c r="S888" s="19" t="str">
        <f t="shared" si="8"/>
        <v/>
      </c>
      <c r="T888" s="19" t="str">
        <f t="shared" si="9"/>
        <v/>
      </c>
      <c r="U888" s="3"/>
      <c r="V888" s="4" t="str">
        <f>IF(ISBLANK(C888),,IFERROR(IF(VLOOKUP(B888,Standings!$A:$F, 6, 0)=VLOOKUP(C888,Standings!$A:$F, 6, 0), VLOOKUP(B888,Standings!$A:$F, 6, 0), "Non-con"), "FCS"))</f>
        <v/>
      </c>
      <c r="W888" s="3" t="str">
        <f t="shared" si="10"/>
        <v/>
      </c>
      <c r="X888" s="3" t="str">
        <f t="shared" si="11"/>
        <v/>
      </c>
      <c r="Y888" s="30" t="str">
        <f>IF(D888=0,,IF(ISBLANK(Q888),,VLOOKUP(X888,Week1,2,FALSE)/(VLOOKUP(X888,Week1,2,FALSE)+VLOOKUP(W888,Week1,2,FALSE)))*100)</f>
        <v/>
      </c>
      <c r="Z888" s="4"/>
      <c r="AA888" s="3"/>
      <c r="AB888" s="4" t="str">
        <f t="shared" si="20"/>
        <v/>
      </c>
      <c r="AC888" s="3"/>
      <c r="AD888" s="3"/>
      <c r="AE888" s="3" t="str">
        <f t="shared" si="13"/>
        <v/>
      </c>
      <c r="AF888" s="3"/>
      <c r="AG888" s="3" t="str">
        <f t="shared" si="133"/>
        <v/>
      </c>
      <c r="AH888" s="3"/>
      <c r="AI888" s="7"/>
      <c r="AJ888" s="4"/>
      <c r="AK888" s="7"/>
      <c r="AL888" s="7"/>
      <c r="AM888" s="7"/>
      <c r="AN888" s="7"/>
      <c r="AO888" s="7"/>
      <c r="AP888" s="7"/>
      <c r="AQ888" s="7"/>
      <c r="AR888" s="7"/>
      <c r="AS888" s="7"/>
      <c r="AT888" s="7"/>
      <c r="AU888" s="7"/>
      <c r="AV888" s="7"/>
      <c r="AW888" s="7"/>
      <c r="AX888" s="7"/>
    </row>
    <row r="889" ht="12.75" customHeight="1">
      <c r="A889" s="4"/>
      <c r="B889" s="4"/>
      <c r="C889" s="4"/>
      <c r="D889" s="4"/>
      <c r="E889" s="4" t="str">
        <f>IF(ISBLANK(B889),,IFERROR(VLOOKUP(B889,CurrentRank!$B$2:$C$132,2,FALSE),0))</f>
        <v/>
      </c>
      <c r="F889" s="4"/>
      <c r="G889" s="4" t="str">
        <f>IF(ISBLANK(B889),,IFERROR(VLOOKUP(B889,CurrentRank!$B$2:$D$132,3,FALSE),130))</f>
        <v/>
      </c>
      <c r="H889" s="4"/>
      <c r="I889" s="4" t="str">
        <f>IF(ISBLANK(B889),,IFERROR(VLOOKUP(C889,CurrentRank!$B$2:$C$132,2,FALSE),0))</f>
        <v/>
      </c>
      <c r="J889" s="4"/>
      <c r="K889" s="4" t="str">
        <f>IF(ISBLANK(C889),,IFERROR(VLOOKUP(C889,CurrentRank!$B$2:$D$132,3,FALSE),130))</f>
        <v/>
      </c>
      <c r="L889" s="19" t="str">
        <f t="shared" si="279"/>
        <v/>
      </c>
      <c r="M889" s="19" t="str">
        <f t="shared" si="280"/>
        <v/>
      </c>
      <c r="N889" s="24" t="str">
        <f t="shared" si="276"/>
        <v/>
      </c>
      <c r="O889" s="21" t="str">
        <f t="shared" si="4"/>
        <v/>
      </c>
      <c r="P889" s="21" t="str">
        <f t="shared" si="282"/>
        <v/>
      </c>
      <c r="Q889" s="22" t="str">
        <f t="shared" si="6"/>
        <v/>
      </c>
      <c r="R889" s="25" t="str">
        <f t="shared" si="7"/>
        <v/>
      </c>
      <c r="S889" s="19" t="str">
        <f t="shared" si="8"/>
        <v/>
      </c>
      <c r="T889" s="19" t="str">
        <f t="shared" si="9"/>
        <v/>
      </c>
      <c r="U889" s="3"/>
      <c r="V889" s="4" t="str">
        <f>IF(ISBLANK(C889),,IFERROR(IF(VLOOKUP(B889,Standings!$A:$F, 6, 0)=VLOOKUP(C889,Standings!$A:$F, 6, 0), VLOOKUP(B889,Standings!$A:$F, 6, 0), "Non-con"), "FCS"))</f>
        <v/>
      </c>
      <c r="W889" s="3" t="str">
        <f t="shared" si="10"/>
        <v/>
      </c>
      <c r="X889" s="3" t="str">
        <f t="shared" si="11"/>
        <v/>
      </c>
      <c r="Y889" s="30" t="str">
        <f>IF(D889=0,,IF(ISBLANK(Q889),,VLOOKUP(X889,Week1,2,FALSE)/(VLOOKUP(X889,Week1,2,FALSE)+VLOOKUP(W889,Week1,2,FALSE)))*100)</f>
        <v/>
      </c>
      <c r="Z889" s="4"/>
      <c r="AA889" s="3"/>
      <c r="AB889" s="4" t="str">
        <f t="shared" si="20"/>
        <v/>
      </c>
      <c r="AC889" s="3"/>
      <c r="AD889" s="3"/>
      <c r="AE889" s="3" t="str">
        <f t="shared" si="13"/>
        <v/>
      </c>
      <c r="AF889" s="3"/>
      <c r="AG889" s="3" t="str">
        <f t="shared" si="133"/>
        <v/>
      </c>
      <c r="AH889" s="3"/>
      <c r="AI889" s="7"/>
      <c r="AJ889" s="4"/>
      <c r="AK889" s="7"/>
      <c r="AL889" s="7"/>
      <c r="AM889" s="7"/>
      <c r="AN889" s="7"/>
      <c r="AO889" s="7"/>
      <c r="AP889" s="7"/>
      <c r="AQ889" s="7"/>
      <c r="AR889" s="7"/>
      <c r="AS889" s="7"/>
      <c r="AT889" s="7"/>
      <c r="AU889" s="7"/>
      <c r="AV889" s="7"/>
      <c r="AW889" s="7"/>
      <c r="AX889" s="7"/>
    </row>
    <row r="890" ht="12.75" customHeight="1">
      <c r="A890" s="4"/>
      <c r="B890" s="4"/>
      <c r="C890" s="4"/>
      <c r="D890" s="4"/>
      <c r="E890" s="4" t="str">
        <f>IF(ISBLANK(B890),,IFERROR(VLOOKUP(B890,CurrentRank!$B$2:$C$132,2,FALSE),0))</f>
        <v/>
      </c>
      <c r="F890" s="4"/>
      <c r="G890" s="4" t="str">
        <f>IF(ISBLANK(B890),,IFERROR(VLOOKUP(B890,CurrentRank!$B$2:$D$132,3,FALSE),130))</f>
        <v/>
      </c>
      <c r="H890" s="4"/>
      <c r="I890" s="4" t="str">
        <f>IF(ISBLANK(B890),,IFERROR(VLOOKUP(C890,CurrentRank!$B$2:$C$132,2,FALSE),0))</f>
        <v/>
      </c>
      <c r="J890" s="4"/>
      <c r="K890" s="4" t="str">
        <f>IF(ISBLANK(C890),,IFERROR(VLOOKUP(C890,CurrentRank!$B$2:$D$132,3,FALSE),130))</f>
        <v/>
      </c>
      <c r="L890" s="19" t="str">
        <f t="shared" si="279"/>
        <v/>
      </c>
      <c r="M890" s="19" t="str">
        <f t="shared" si="280"/>
        <v/>
      </c>
      <c r="N890" s="24" t="str">
        <f t="shared" si="276"/>
        <v/>
      </c>
      <c r="O890" s="21" t="str">
        <f t="shared" si="4"/>
        <v/>
      </c>
      <c r="P890" s="21" t="str">
        <f t="shared" si="282"/>
        <v/>
      </c>
      <c r="Q890" s="22" t="str">
        <f t="shared" si="6"/>
        <v/>
      </c>
      <c r="R890" s="25" t="str">
        <f t="shared" si="7"/>
        <v/>
      </c>
      <c r="S890" s="19" t="str">
        <f t="shared" si="8"/>
        <v/>
      </c>
      <c r="T890" s="19" t="str">
        <f t="shared" si="9"/>
        <v/>
      </c>
      <c r="U890" s="3"/>
      <c r="V890" s="4" t="str">
        <f>IF(ISBLANK(C890),,IFERROR(IF(VLOOKUP(B890,Standings!$A:$F, 6, 0)=VLOOKUP(C890,Standings!$A:$F, 6, 0), VLOOKUP(B890,Standings!$A:$F, 6, 0), "Non-con"), "FCS"))</f>
        <v/>
      </c>
      <c r="W890" s="3" t="str">
        <f t="shared" si="10"/>
        <v/>
      </c>
      <c r="X890" s="3" t="str">
        <f t="shared" si="11"/>
        <v/>
      </c>
      <c r="Y890" s="30" t="str">
        <f>IF(D890=0,,IF(ISBLANK(Q890),,VLOOKUP(X890,Week1,2,FALSE)/(VLOOKUP(X890,Week1,2,FALSE)+VLOOKUP(W890,Week1,2,FALSE)))*100)</f>
        <v/>
      </c>
      <c r="Z890" s="4"/>
      <c r="AA890" s="3"/>
      <c r="AB890" s="4" t="str">
        <f t="shared" si="20"/>
        <v/>
      </c>
      <c r="AC890" s="3"/>
      <c r="AD890" s="3"/>
      <c r="AE890" s="3" t="str">
        <f t="shared" si="13"/>
        <v/>
      </c>
      <c r="AF890" s="3"/>
      <c r="AG890" s="3" t="str">
        <f t="shared" si="133"/>
        <v/>
      </c>
      <c r="AH890" s="3"/>
      <c r="AI890" s="7"/>
      <c r="AJ890" s="4"/>
      <c r="AK890" s="7"/>
      <c r="AL890" s="7"/>
      <c r="AM890" s="7"/>
      <c r="AN890" s="7"/>
      <c r="AO890" s="7"/>
      <c r="AP890" s="7"/>
      <c r="AQ890" s="7"/>
      <c r="AR890" s="7"/>
      <c r="AS890" s="7"/>
      <c r="AT890" s="7"/>
      <c r="AU890" s="7"/>
      <c r="AV890" s="7"/>
      <c r="AW890" s="7"/>
      <c r="AX890" s="7"/>
    </row>
    <row r="891" ht="12.75" customHeight="1">
      <c r="A891" s="4"/>
      <c r="B891" s="4"/>
      <c r="C891" s="4"/>
      <c r="D891" s="4"/>
      <c r="E891" s="4" t="str">
        <f>IF(ISBLANK(B891),,IFERROR(VLOOKUP(B891,CurrentRank!$B$2:$C$132,2,FALSE),0))</f>
        <v/>
      </c>
      <c r="F891" s="4"/>
      <c r="G891" s="4" t="str">
        <f>IF(ISBLANK(B891),,IFERROR(VLOOKUP(B891,CurrentRank!$B$2:$D$132,3,FALSE),130))</f>
        <v/>
      </c>
      <c r="H891" s="4"/>
      <c r="I891" s="4" t="str">
        <f>IF(ISBLANK(B891),,IFERROR(VLOOKUP(C891,CurrentRank!$B$2:$C$132,2,FALSE),0))</f>
        <v/>
      </c>
      <c r="J891" s="4"/>
      <c r="K891" s="4" t="str">
        <f>IF(ISBLANK(C891),,IFERROR(VLOOKUP(C891,CurrentRank!$B$2:$D$132,3,FALSE),130))</f>
        <v/>
      </c>
      <c r="L891" s="19" t="str">
        <f t="shared" si="279"/>
        <v/>
      </c>
      <c r="M891" s="19" t="str">
        <f t="shared" si="280"/>
        <v/>
      </c>
      <c r="N891" s="24" t="str">
        <f t="shared" si="276"/>
        <v/>
      </c>
      <c r="O891" s="21" t="str">
        <f t="shared" si="4"/>
        <v/>
      </c>
      <c r="P891" s="21" t="str">
        <f t="shared" si="282"/>
        <v/>
      </c>
      <c r="Q891" s="22" t="str">
        <f t="shared" si="6"/>
        <v/>
      </c>
      <c r="R891" s="25" t="str">
        <f t="shared" si="7"/>
        <v/>
      </c>
      <c r="S891" s="19" t="str">
        <f t="shared" si="8"/>
        <v/>
      </c>
      <c r="T891" s="19" t="str">
        <f t="shared" si="9"/>
        <v/>
      </c>
      <c r="U891" s="3"/>
      <c r="V891" s="4" t="str">
        <f>IF(ISBLANK(C891),,IFERROR(IF(VLOOKUP(B891,Standings!$A:$F, 6, 0)=VLOOKUP(C891,Standings!$A:$F, 6, 0), VLOOKUP(B891,Standings!$A:$F, 6, 0), "Non-con"), "FCS"))</f>
        <v/>
      </c>
      <c r="W891" s="3" t="str">
        <f t="shared" si="10"/>
        <v/>
      </c>
      <c r="X891" s="3" t="str">
        <f t="shared" si="11"/>
        <v/>
      </c>
      <c r="Y891" s="30" t="str">
        <f>IF(D891=0,,IF(ISBLANK(Q891),,VLOOKUP(X891,Week1,2,FALSE)/(VLOOKUP(X891,Week1,2,FALSE)+VLOOKUP(W891,Week1,2,FALSE)))*100)</f>
        <v/>
      </c>
      <c r="Z891" s="4"/>
      <c r="AA891" s="3"/>
      <c r="AB891" s="4" t="str">
        <f t="shared" si="20"/>
        <v/>
      </c>
      <c r="AC891" s="3"/>
      <c r="AD891" s="3"/>
      <c r="AE891" s="3" t="str">
        <f t="shared" si="13"/>
        <v/>
      </c>
      <c r="AF891" s="3"/>
      <c r="AG891" s="3" t="str">
        <f t="shared" si="133"/>
        <v/>
      </c>
      <c r="AH891" s="3"/>
      <c r="AI891" s="7"/>
      <c r="AJ891" s="4"/>
      <c r="AK891" s="7"/>
      <c r="AL891" s="7"/>
      <c r="AM891" s="7"/>
      <c r="AN891" s="7"/>
      <c r="AO891" s="7"/>
      <c r="AP891" s="7"/>
      <c r="AQ891" s="7"/>
      <c r="AR891" s="7"/>
      <c r="AS891" s="7"/>
      <c r="AT891" s="7"/>
      <c r="AU891" s="7"/>
      <c r="AV891" s="7"/>
      <c r="AW891" s="7"/>
      <c r="AX891" s="7"/>
    </row>
    <row r="892" ht="12.75" customHeight="1">
      <c r="A892" s="4"/>
      <c r="B892" s="4"/>
      <c r="C892" s="4"/>
      <c r="D892" s="4"/>
      <c r="E892" s="4" t="str">
        <f>IF(ISBLANK(B892),,IFERROR(VLOOKUP(B892,CurrentRank!$B$2:$C$132,2,FALSE),0))</f>
        <v/>
      </c>
      <c r="F892" s="4"/>
      <c r="G892" s="4" t="str">
        <f>IF(ISBLANK(B892),,IFERROR(VLOOKUP(B892,CurrentRank!$B$2:$D$132,3,FALSE),130))</f>
        <v/>
      </c>
      <c r="H892" s="4"/>
      <c r="I892" s="4" t="str">
        <f>IF(ISBLANK(B892),,IFERROR(VLOOKUP(C892,CurrentRank!$B$2:$C$132,2,FALSE),0))</f>
        <v/>
      </c>
      <c r="J892" s="4"/>
      <c r="K892" s="4" t="str">
        <f>IF(ISBLANK(C892),,IFERROR(VLOOKUP(C892,CurrentRank!$B$2:$D$132,3,FALSE),130))</f>
        <v/>
      </c>
      <c r="L892" s="19" t="str">
        <f t="shared" si="279"/>
        <v/>
      </c>
      <c r="M892" s="19" t="str">
        <f t="shared" si="280"/>
        <v/>
      </c>
      <c r="N892" s="24" t="str">
        <f t="shared" si="276"/>
        <v/>
      </c>
      <c r="O892" s="21" t="str">
        <f t="shared" si="4"/>
        <v/>
      </c>
      <c r="P892" s="21" t="str">
        <f t="shared" si="282"/>
        <v/>
      </c>
      <c r="Q892" s="22" t="str">
        <f t="shared" si="6"/>
        <v/>
      </c>
      <c r="R892" s="25" t="str">
        <f t="shared" si="7"/>
        <v/>
      </c>
      <c r="S892" s="19" t="str">
        <f t="shared" si="8"/>
        <v/>
      </c>
      <c r="T892" s="19" t="str">
        <f t="shared" si="9"/>
        <v/>
      </c>
      <c r="U892" s="3"/>
      <c r="V892" s="4" t="str">
        <f>IF(ISBLANK(C892),,IFERROR(IF(VLOOKUP(B892,Standings!$A:$F, 6, 0)=VLOOKUP(C892,Standings!$A:$F, 6, 0), VLOOKUP(B892,Standings!$A:$F, 6, 0), "Non-con"), "FCS"))</f>
        <v/>
      </c>
      <c r="W892" s="3" t="str">
        <f t="shared" si="10"/>
        <v/>
      </c>
      <c r="X892" s="3" t="str">
        <f t="shared" si="11"/>
        <v/>
      </c>
      <c r="Y892" s="30" t="str">
        <f>IF(D892=0,,IF(ISBLANK(Q892),,VLOOKUP(X892,Week1,2,FALSE)/(VLOOKUP(X892,Week1,2,FALSE)+VLOOKUP(W892,Week1,2,FALSE)))*100)</f>
        <v/>
      </c>
      <c r="Z892" s="4"/>
      <c r="AA892" s="3"/>
      <c r="AB892" s="4" t="str">
        <f t="shared" si="20"/>
        <v/>
      </c>
      <c r="AC892" s="3"/>
      <c r="AD892" s="3"/>
      <c r="AE892" s="3" t="str">
        <f t="shared" si="13"/>
        <v/>
      </c>
      <c r="AF892" s="3"/>
      <c r="AG892" s="3" t="str">
        <f t="shared" si="133"/>
        <v/>
      </c>
      <c r="AH892" s="3"/>
      <c r="AI892" s="7"/>
      <c r="AJ892" s="4"/>
      <c r="AK892" s="7"/>
      <c r="AL892" s="7"/>
      <c r="AM892" s="7"/>
      <c r="AN892" s="7"/>
      <c r="AO892" s="7"/>
      <c r="AP892" s="7"/>
      <c r="AQ892" s="7"/>
      <c r="AR892" s="7"/>
      <c r="AS892" s="7"/>
      <c r="AT892" s="7"/>
      <c r="AU892" s="7"/>
      <c r="AV892" s="7"/>
      <c r="AW892" s="7"/>
      <c r="AX892" s="7"/>
    </row>
    <row r="893" ht="12.75" customHeight="1">
      <c r="A893" s="4"/>
      <c r="B893" s="4"/>
      <c r="C893" s="4"/>
      <c r="D893" s="4"/>
      <c r="E893" s="4" t="str">
        <f>IF(ISBLANK(B893),,IFERROR(VLOOKUP(B893,CurrentRank!$B$2:$C$132,2,FALSE),0))</f>
        <v/>
      </c>
      <c r="F893" s="4"/>
      <c r="G893" s="4" t="str">
        <f>IF(ISBLANK(B893),,IFERROR(VLOOKUP(B893,CurrentRank!$B$2:$D$132,3,FALSE),130))</f>
        <v/>
      </c>
      <c r="H893" s="4"/>
      <c r="I893" s="4" t="str">
        <f>IF(ISBLANK(B893),,IFERROR(VLOOKUP(C893,CurrentRank!$B$2:$C$132,2,FALSE),0))</f>
        <v/>
      </c>
      <c r="J893" s="4"/>
      <c r="K893" s="4" t="str">
        <f>IF(ISBLANK(C893),,IFERROR(VLOOKUP(C893,CurrentRank!$B$2:$D$132,3,FALSE),130))</f>
        <v/>
      </c>
      <c r="L893" s="19" t="str">
        <f t="shared" si="279"/>
        <v/>
      </c>
      <c r="M893" s="19" t="str">
        <f t="shared" si="280"/>
        <v/>
      </c>
      <c r="N893" s="24" t="str">
        <f t="shared" si="276"/>
        <v/>
      </c>
      <c r="O893" s="21" t="str">
        <f t="shared" si="4"/>
        <v/>
      </c>
      <c r="P893" s="21" t="str">
        <f t="shared" si="282"/>
        <v/>
      </c>
      <c r="Q893" s="22" t="str">
        <f t="shared" si="6"/>
        <v/>
      </c>
      <c r="R893" s="25" t="str">
        <f t="shared" si="7"/>
        <v/>
      </c>
      <c r="S893" s="19" t="str">
        <f t="shared" si="8"/>
        <v/>
      </c>
      <c r="T893" s="19" t="str">
        <f t="shared" si="9"/>
        <v/>
      </c>
      <c r="U893" s="3"/>
      <c r="V893" s="4" t="str">
        <f>IF(ISBLANK(C893),,IFERROR(IF(VLOOKUP(B893,Standings!$A:$F, 6, 0)=VLOOKUP(C893,Standings!$A:$F, 6, 0), VLOOKUP(B893,Standings!$A:$F, 6, 0), "Non-con"), "FCS"))</f>
        <v/>
      </c>
      <c r="W893" s="3" t="str">
        <f t="shared" si="10"/>
        <v/>
      </c>
      <c r="X893" s="3" t="str">
        <f t="shared" si="11"/>
        <v/>
      </c>
      <c r="Y893" s="30" t="str">
        <f>IF(D893=0,,IF(ISBLANK(Q893),,VLOOKUP(X893,Week1,2,FALSE)/(VLOOKUP(X893,Week1,2,FALSE)+VLOOKUP(W893,Week1,2,FALSE)))*100)</f>
        <v/>
      </c>
      <c r="Z893" s="4"/>
      <c r="AA893" s="3"/>
      <c r="AB893" s="4" t="str">
        <f t="shared" si="20"/>
        <v/>
      </c>
      <c r="AC893" s="3"/>
      <c r="AD893" s="3"/>
      <c r="AE893" s="3" t="str">
        <f t="shared" si="13"/>
        <v/>
      </c>
      <c r="AF893" s="3"/>
      <c r="AG893" s="3" t="str">
        <f t="shared" si="133"/>
        <v/>
      </c>
      <c r="AH893" s="3"/>
      <c r="AI893" s="7"/>
      <c r="AJ893" s="4"/>
      <c r="AK893" s="7"/>
      <c r="AL893" s="7"/>
      <c r="AM893" s="7"/>
      <c r="AN893" s="7"/>
      <c r="AO893" s="7"/>
      <c r="AP893" s="7"/>
      <c r="AQ893" s="7"/>
      <c r="AR893" s="7"/>
      <c r="AS893" s="7"/>
      <c r="AT893" s="7"/>
      <c r="AU893" s="7"/>
      <c r="AV893" s="7"/>
      <c r="AW893" s="7"/>
      <c r="AX893" s="7"/>
    </row>
    <row r="894" ht="12.75" customHeight="1">
      <c r="A894" s="4"/>
      <c r="B894" s="4"/>
      <c r="C894" s="4"/>
      <c r="D894" s="4"/>
      <c r="E894" s="4" t="str">
        <f>IF(ISBLANK(B894),,IFERROR(VLOOKUP(B894,CurrentRank!$B$2:$C$132,2,FALSE),0))</f>
        <v/>
      </c>
      <c r="F894" s="4"/>
      <c r="G894" s="4" t="str">
        <f>IF(ISBLANK(B894),,IFERROR(VLOOKUP(B894,CurrentRank!$B$2:$D$132,3,FALSE),130))</f>
        <v/>
      </c>
      <c r="H894" s="4"/>
      <c r="I894" s="4" t="str">
        <f>IF(ISBLANK(B894),,IFERROR(VLOOKUP(C894,CurrentRank!$B$2:$C$132,2,FALSE),0))</f>
        <v/>
      </c>
      <c r="J894" s="4"/>
      <c r="K894" s="4" t="str">
        <f>IF(ISBLANK(C894),,IFERROR(VLOOKUP(C894,CurrentRank!$B$2:$D$132,3,FALSE),130))</f>
        <v/>
      </c>
      <c r="L894" s="19" t="str">
        <f t="shared" si="279"/>
        <v/>
      </c>
      <c r="M894" s="19" t="str">
        <f t="shared" si="280"/>
        <v/>
      </c>
      <c r="N894" s="24" t="str">
        <f t="shared" si="276"/>
        <v/>
      </c>
      <c r="O894" s="21" t="str">
        <f t="shared" si="4"/>
        <v/>
      </c>
      <c r="P894" s="21" t="str">
        <f t="shared" si="282"/>
        <v/>
      </c>
      <c r="Q894" s="22" t="str">
        <f t="shared" si="6"/>
        <v/>
      </c>
      <c r="R894" s="25" t="str">
        <f t="shared" si="7"/>
        <v/>
      </c>
      <c r="S894" s="19" t="str">
        <f t="shared" si="8"/>
        <v/>
      </c>
      <c r="T894" s="19" t="str">
        <f t="shared" si="9"/>
        <v/>
      </c>
      <c r="U894" s="3"/>
      <c r="V894" s="4" t="str">
        <f>IF(ISBLANK(C894),,IFERROR(IF(VLOOKUP(B894,Standings!$A:$F, 6, 0)=VLOOKUP(C894,Standings!$A:$F, 6, 0), VLOOKUP(B894,Standings!$A:$F, 6, 0), "Non-con"), "FCS"))</f>
        <v/>
      </c>
      <c r="W894" s="3" t="str">
        <f t="shared" si="10"/>
        <v/>
      </c>
      <c r="X894" s="3" t="str">
        <f t="shared" si="11"/>
        <v/>
      </c>
      <c r="Y894" s="30" t="str">
        <f>IF(D894=0,,IF(ISBLANK(Q894),,VLOOKUP(X894,Week1,2,FALSE)/(VLOOKUP(X894,Week1,2,FALSE)+VLOOKUP(W894,Week1,2,FALSE)))*100)</f>
        <v/>
      </c>
      <c r="Z894" s="4"/>
      <c r="AA894" s="3"/>
      <c r="AB894" s="4" t="str">
        <f t="shared" si="20"/>
        <v/>
      </c>
      <c r="AC894" s="3"/>
      <c r="AD894" s="3"/>
      <c r="AE894" s="3" t="str">
        <f t="shared" si="13"/>
        <v/>
      </c>
      <c r="AF894" s="3"/>
      <c r="AG894" s="3" t="str">
        <f t="shared" si="133"/>
        <v/>
      </c>
      <c r="AH894" s="3"/>
      <c r="AI894" s="7"/>
      <c r="AJ894" s="4"/>
      <c r="AK894" s="7"/>
      <c r="AL894" s="7"/>
      <c r="AM894" s="7"/>
      <c r="AN894" s="7"/>
      <c r="AO894" s="7"/>
      <c r="AP894" s="7"/>
      <c r="AQ894" s="7"/>
      <c r="AR894" s="7"/>
      <c r="AS894" s="7"/>
      <c r="AT894" s="7"/>
      <c r="AU894" s="7"/>
      <c r="AV894" s="7"/>
      <c r="AW894" s="7"/>
      <c r="AX894" s="7"/>
    </row>
    <row r="895" ht="12.75" customHeight="1">
      <c r="A895" s="4"/>
      <c r="B895" s="4"/>
      <c r="C895" s="4"/>
      <c r="D895" s="4"/>
      <c r="E895" s="4" t="str">
        <f>IF(ISBLANK(B895),,IFERROR(VLOOKUP(B895,CurrentRank!$B$2:$C$132,2,FALSE),0))</f>
        <v/>
      </c>
      <c r="F895" s="4"/>
      <c r="G895" s="4" t="str">
        <f>IF(ISBLANK(B895),,IFERROR(VLOOKUP(B895,CurrentRank!$B$2:$D$132,3,FALSE),130))</f>
        <v/>
      </c>
      <c r="H895" s="4"/>
      <c r="I895" s="4" t="str">
        <f>IF(ISBLANK(B895),,IFERROR(VLOOKUP(C895,CurrentRank!$B$2:$C$132,2,FALSE),0))</f>
        <v/>
      </c>
      <c r="J895" s="4"/>
      <c r="K895" s="4" t="str">
        <f>IF(ISBLANK(C895),,IFERROR(VLOOKUP(C895,CurrentRank!$B$2:$D$132,3,FALSE),130))</f>
        <v/>
      </c>
      <c r="L895" s="19" t="str">
        <f t="shared" si="279"/>
        <v/>
      </c>
      <c r="M895" s="19" t="str">
        <f t="shared" si="280"/>
        <v/>
      </c>
      <c r="N895" s="24" t="str">
        <f t="shared" si="276"/>
        <v/>
      </c>
      <c r="O895" s="21" t="str">
        <f t="shared" si="4"/>
        <v/>
      </c>
      <c r="P895" s="21" t="str">
        <f t="shared" si="282"/>
        <v/>
      </c>
      <c r="Q895" s="22" t="str">
        <f t="shared" si="6"/>
        <v/>
      </c>
      <c r="R895" s="25" t="str">
        <f t="shared" si="7"/>
        <v/>
      </c>
      <c r="S895" s="19" t="str">
        <f t="shared" si="8"/>
        <v/>
      </c>
      <c r="T895" s="19" t="str">
        <f t="shared" si="9"/>
        <v/>
      </c>
      <c r="U895" s="3"/>
      <c r="V895" s="4" t="str">
        <f>IF(ISBLANK(C895),,IFERROR(IF(VLOOKUP(B895,Standings!$A:$F, 6, 0)=VLOOKUP(C895,Standings!$A:$F, 6, 0), VLOOKUP(B895,Standings!$A:$F, 6, 0), "Non-con"), "FCS"))</f>
        <v/>
      </c>
      <c r="W895" s="3" t="str">
        <f t="shared" si="10"/>
        <v/>
      </c>
      <c r="X895" s="3" t="str">
        <f t="shared" si="11"/>
        <v/>
      </c>
      <c r="Y895" s="30" t="str">
        <f>IF(D895=0,,IF(ISBLANK(Q895),,VLOOKUP(X895,Week1,2,FALSE)/(VLOOKUP(X895,Week1,2,FALSE)+VLOOKUP(W895,Week1,2,FALSE)))*100)</f>
        <v/>
      </c>
      <c r="Z895" s="4"/>
      <c r="AA895" s="3"/>
      <c r="AB895" s="4" t="str">
        <f t="shared" si="20"/>
        <v/>
      </c>
      <c r="AC895" s="3"/>
      <c r="AD895" s="3"/>
      <c r="AE895" s="3" t="str">
        <f t="shared" si="13"/>
        <v/>
      </c>
      <c r="AF895" s="3"/>
      <c r="AG895" s="3" t="str">
        <f t="shared" si="133"/>
        <v/>
      </c>
      <c r="AH895" s="3"/>
      <c r="AI895" s="7"/>
      <c r="AJ895" s="4"/>
      <c r="AK895" s="7"/>
      <c r="AL895" s="7"/>
      <c r="AM895" s="7"/>
      <c r="AN895" s="7"/>
      <c r="AO895" s="7"/>
      <c r="AP895" s="7"/>
      <c r="AQ895" s="7"/>
      <c r="AR895" s="7"/>
      <c r="AS895" s="7"/>
      <c r="AT895" s="7"/>
      <c r="AU895" s="7"/>
      <c r="AV895" s="7"/>
      <c r="AW895" s="7"/>
      <c r="AX895" s="7"/>
    </row>
    <row r="896" ht="12.75" customHeight="1">
      <c r="A896" s="4"/>
      <c r="B896" s="4"/>
      <c r="C896" s="4"/>
      <c r="D896" s="4"/>
      <c r="E896" s="4" t="str">
        <f>IF(ISBLANK(B896),,IFERROR(VLOOKUP(B896,CurrentRank!$B$2:$C$132,2,FALSE),0))</f>
        <v/>
      </c>
      <c r="F896" s="4"/>
      <c r="G896" s="4" t="str">
        <f>IF(ISBLANK(B896),,IFERROR(VLOOKUP(B896,CurrentRank!$B$2:$D$132,3,FALSE),130))</f>
        <v/>
      </c>
      <c r="H896" s="4"/>
      <c r="I896" s="4" t="str">
        <f>IF(ISBLANK(B896),,IFERROR(VLOOKUP(C896,CurrentRank!$B$2:$C$132,2,FALSE),0))</f>
        <v/>
      </c>
      <c r="J896" s="4"/>
      <c r="K896" s="4" t="str">
        <f>IF(ISBLANK(C896),,IFERROR(VLOOKUP(C896,CurrentRank!$B$2:$D$132,3,FALSE),130))</f>
        <v/>
      </c>
      <c r="L896" s="19" t="str">
        <f t="shared" si="279"/>
        <v/>
      </c>
      <c r="M896" s="19" t="str">
        <f t="shared" si="280"/>
        <v/>
      </c>
      <c r="N896" s="24" t="str">
        <f t="shared" si="276"/>
        <v/>
      </c>
      <c r="O896" s="21" t="str">
        <f t="shared" si="4"/>
        <v/>
      </c>
      <c r="P896" s="21" t="str">
        <f t="shared" si="282"/>
        <v/>
      </c>
      <c r="Q896" s="22" t="str">
        <f t="shared" si="6"/>
        <v/>
      </c>
      <c r="R896" s="25" t="str">
        <f t="shared" si="7"/>
        <v/>
      </c>
      <c r="S896" s="19" t="str">
        <f t="shared" si="8"/>
        <v/>
      </c>
      <c r="T896" s="19" t="str">
        <f t="shared" si="9"/>
        <v/>
      </c>
      <c r="U896" s="3"/>
      <c r="V896" s="4" t="str">
        <f>IF(ISBLANK(C896),,IFERROR(IF(VLOOKUP(B896,Standings!$A:$F, 6, 0)=VLOOKUP(C896,Standings!$A:$F, 6, 0), VLOOKUP(B896,Standings!$A:$F, 6, 0), "Non-con"), "FCS"))</f>
        <v/>
      </c>
      <c r="W896" s="3" t="str">
        <f t="shared" si="10"/>
        <v/>
      </c>
      <c r="X896" s="3" t="str">
        <f t="shared" si="11"/>
        <v/>
      </c>
      <c r="Y896" s="30" t="str">
        <f>IF(D896=0,,IF(ISBLANK(Q896),,VLOOKUP(X896,Week1,2,FALSE)/(VLOOKUP(X896,Week1,2,FALSE)+VLOOKUP(W896,Week1,2,FALSE)))*100)</f>
        <v/>
      </c>
      <c r="Z896" s="4"/>
      <c r="AA896" s="3"/>
      <c r="AB896" s="4" t="str">
        <f t="shared" si="20"/>
        <v/>
      </c>
      <c r="AC896" s="3"/>
      <c r="AD896" s="3"/>
      <c r="AE896" s="3" t="str">
        <f t="shared" si="13"/>
        <v/>
      </c>
      <c r="AF896" s="3"/>
      <c r="AG896" s="3" t="str">
        <f t="shared" si="133"/>
        <v/>
      </c>
      <c r="AH896" s="3"/>
      <c r="AI896" s="7"/>
      <c r="AJ896" s="4"/>
      <c r="AK896" s="7"/>
      <c r="AL896" s="7"/>
      <c r="AM896" s="7"/>
      <c r="AN896" s="7"/>
      <c r="AO896" s="7"/>
      <c r="AP896" s="7"/>
      <c r="AQ896" s="7"/>
      <c r="AR896" s="7"/>
      <c r="AS896" s="7"/>
      <c r="AT896" s="7"/>
      <c r="AU896" s="7"/>
      <c r="AV896" s="7"/>
      <c r="AW896" s="7"/>
      <c r="AX896" s="7"/>
    </row>
    <row r="897" ht="12.75" customHeight="1">
      <c r="A897" s="4"/>
      <c r="B897" s="4"/>
      <c r="C897" s="4"/>
      <c r="D897" s="4"/>
      <c r="E897" s="4" t="str">
        <f>IF(ISBLANK(B897),,IFERROR(VLOOKUP(B897,CurrentRank!$B$2:$C$132,2,FALSE),0))</f>
        <v/>
      </c>
      <c r="F897" s="4"/>
      <c r="G897" s="4" t="str">
        <f>IF(ISBLANK(B897),,IFERROR(VLOOKUP(B897,CurrentRank!$B$2:$D$132,3,FALSE),130))</f>
        <v/>
      </c>
      <c r="H897" s="4"/>
      <c r="I897" s="4" t="str">
        <f>IF(ISBLANK(B897),,IFERROR(VLOOKUP(C897,CurrentRank!$B$2:$C$132,2,FALSE),0))</f>
        <v/>
      </c>
      <c r="J897" s="4"/>
      <c r="K897" s="4" t="str">
        <f>IF(ISBLANK(C897),,IFERROR(VLOOKUP(C897,CurrentRank!$B$2:$D$132,3,FALSE),130))</f>
        <v/>
      </c>
      <c r="L897" s="19" t="str">
        <f t="shared" si="279"/>
        <v/>
      </c>
      <c r="M897" s="19" t="str">
        <f t="shared" si="280"/>
        <v/>
      </c>
      <c r="N897" s="24" t="str">
        <f t="shared" si="276"/>
        <v/>
      </c>
      <c r="O897" s="21" t="str">
        <f t="shared" si="4"/>
        <v/>
      </c>
      <c r="P897" s="21" t="str">
        <f t="shared" si="282"/>
        <v/>
      </c>
      <c r="Q897" s="22" t="str">
        <f t="shared" si="6"/>
        <v/>
      </c>
      <c r="R897" s="25" t="str">
        <f t="shared" si="7"/>
        <v/>
      </c>
      <c r="S897" s="19" t="str">
        <f t="shared" si="8"/>
        <v/>
      </c>
      <c r="T897" s="19" t="str">
        <f t="shared" si="9"/>
        <v/>
      </c>
      <c r="U897" s="3"/>
      <c r="V897" s="4" t="str">
        <f>IF(ISBLANK(C897),,IFERROR(IF(VLOOKUP(B897,Standings!$A:$F, 6, 0)=VLOOKUP(C897,Standings!$A:$F, 6, 0), VLOOKUP(B897,Standings!$A:$F, 6, 0), "Non-con"), "FCS"))</f>
        <v/>
      </c>
      <c r="W897" s="3" t="str">
        <f t="shared" si="10"/>
        <v/>
      </c>
      <c r="X897" s="3" t="str">
        <f t="shared" si="11"/>
        <v/>
      </c>
      <c r="Y897" s="30" t="str">
        <f>IF(D897=0,,IF(ISBLANK(Q897),,VLOOKUP(X897,Week1,2,FALSE)/(VLOOKUP(X897,Week1,2,FALSE)+VLOOKUP(W897,Week1,2,FALSE)))*100)</f>
        <v/>
      </c>
      <c r="Z897" s="4"/>
      <c r="AA897" s="3"/>
      <c r="AB897" s="4" t="str">
        <f t="shared" si="20"/>
        <v/>
      </c>
      <c r="AC897" s="3"/>
      <c r="AD897" s="3"/>
      <c r="AE897" s="3" t="str">
        <f t="shared" si="13"/>
        <v/>
      </c>
      <c r="AF897" s="3"/>
      <c r="AG897" s="3" t="str">
        <f t="shared" si="133"/>
        <v/>
      </c>
      <c r="AH897" s="3"/>
      <c r="AI897" s="7"/>
      <c r="AJ897" s="4"/>
      <c r="AK897" s="7"/>
      <c r="AL897" s="7"/>
      <c r="AM897" s="7"/>
      <c r="AN897" s="7"/>
      <c r="AO897" s="7"/>
      <c r="AP897" s="7"/>
      <c r="AQ897" s="7"/>
      <c r="AR897" s="7"/>
      <c r="AS897" s="7"/>
      <c r="AT897" s="7"/>
      <c r="AU897" s="7"/>
      <c r="AV897" s="7"/>
      <c r="AW897" s="7"/>
      <c r="AX897" s="7"/>
    </row>
    <row r="898" ht="12.75" customHeight="1">
      <c r="A898" s="4"/>
      <c r="B898" s="4"/>
      <c r="C898" s="4"/>
      <c r="D898" s="4"/>
      <c r="E898" s="4" t="str">
        <f>IF(ISBLANK(B898),,IFERROR(VLOOKUP(B898,CurrentRank!$B$2:$C$132,2,FALSE),0))</f>
        <v/>
      </c>
      <c r="F898" s="4"/>
      <c r="G898" s="4" t="str">
        <f>IF(ISBLANK(B898),,IFERROR(VLOOKUP(B898,CurrentRank!$B$2:$D$132,3,FALSE),130))</f>
        <v/>
      </c>
      <c r="H898" s="4"/>
      <c r="I898" s="4" t="str">
        <f>IF(ISBLANK(B898),,IFERROR(VLOOKUP(C898,CurrentRank!$B$2:$C$132,2,FALSE),0))</f>
        <v/>
      </c>
      <c r="J898" s="4"/>
      <c r="K898" s="4" t="str">
        <f>IF(ISBLANK(C898),,IFERROR(VLOOKUP(C898,CurrentRank!$B$2:$D$132,3,FALSE),130))</f>
        <v/>
      </c>
      <c r="L898" s="19" t="str">
        <f t="shared" si="279"/>
        <v/>
      </c>
      <c r="M898" s="19" t="str">
        <f t="shared" si="280"/>
        <v/>
      </c>
      <c r="N898" s="24" t="str">
        <f t="shared" si="276"/>
        <v/>
      </c>
      <c r="O898" s="21" t="str">
        <f t="shared" si="4"/>
        <v/>
      </c>
      <c r="P898" s="21" t="str">
        <f t="shared" si="282"/>
        <v/>
      </c>
      <c r="Q898" s="22" t="str">
        <f t="shared" si="6"/>
        <v/>
      </c>
      <c r="R898" s="25" t="str">
        <f t="shared" si="7"/>
        <v/>
      </c>
      <c r="S898" s="19" t="str">
        <f t="shared" si="8"/>
        <v/>
      </c>
      <c r="T898" s="19" t="str">
        <f t="shared" si="9"/>
        <v/>
      </c>
      <c r="U898" s="3"/>
      <c r="V898" s="4" t="str">
        <f>IF(ISBLANK(C898),,IFERROR(IF(VLOOKUP(B898,Standings!$A:$F, 6, 0)=VLOOKUP(C898,Standings!$A:$F, 6, 0), VLOOKUP(B898,Standings!$A:$F, 6, 0), "Non-con"), "FCS"))</f>
        <v/>
      </c>
      <c r="W898" s="3" t="str">
        <f t="shared" si="10"/>
        <v/>
      </c>
      <c r="X898" s="3" t="str">
        <f t="shared" si="11"/>
        <v/>
      </c>
      <c r="Y898" s="30" t="str">
        <f>IF(D898=0,,IF(ISBLANK(Q898),,VLOOKUP(X898,Week1,2,FALSE)/(VLOOKUP(X898,Week1,2,FALSE)+VLOOKUP(W898,Week1,2,FALSE)))*100)</f>
        <v/>
      </c>
      <c r="Z898" s="4"/>
      <c r="AA898" s="3"/>
      <c r="AB898" s="4" t="str">
        <f t="shared" si="20"/>
        <v/>
      </c>
      <c r="AC898" s="3"/>
      <c r="AD898" s="3"/>
      <c r="AE898" s="3" t="str">
        <f t="shared" si="13"/>
        <v/>
      </c>
      <c r="AF898" s="3"/>
      <c r="AG898" s="3" t="str">
        <f t="shared" si="133"/>
        <v/>
      </c>
      <c r="AH898" s="3"/>
      <c r="AI898" s="7"/>
      <c r="AJ898" s="4"/>
      <c r="AK898" s="7"/>
      <c r="AL898" s="7"/>
      <c r="AM898" s="7"/>
      <c r="AN898" s="7"/>
      <c r="AO898" s="7"/>
      <c r="AP898" s="7"/>
      <c r="AQ898" s="7"/>
      <c r="AR898" s="7"/>
      <c r="AS898" s="7"/>
      <c r="AT898" s="7"/>
      <c r="AU898" s="7"/>
      <c r="AV898" s="7"/>
      <c r="AW898" s="7"/>
      <c r="AX898" s="7"/>
    </row>
    <row r="899" ht="12.75" customHeight="1">
      <c r="A899" s="4"/>
      <c r="B899" s="4"/>
      <c r="C899" s="4"/>
      <c r="D899" s="4"/>
      <c r="E899" s="4" t="str">
        <f>IF(ISBLANK(B899),,IFERROR(VLOOKUP(B899,CurrentRank!$B$2:$C$132,2,FALSE),0))</f>
        <v/>
      </c>
      <c r="F899" s="4"/>
      <c r="G899" s="4" t="str">
        <f>IF(ISBLANK(B899),,IFERROR(VLOOKUP(B899,CurrentRank!$B$2:$D$132,3,FALSE),130))</f>
        <v/>
      </c>
      <c r="H899" s="4"/>
      <c r="I899" s="4" t="str">
        <f>IF(ISBLANK(B899),,IFERROR(VLOOKUP(C899,CurrentRank!$B$2:$C$132,2,FALSE),0))</f>
        <v/>
      </c>
      <c r="J899" s="4"/>
      <c r="K899" s="4" t="str">
        <f>IF(ISBLANK(C899),,IFERROR(VLOOKUP(C899,CurrentRank!$B$2:$D$132,3,FALSE),130))</f>
        <v/>
      </c>
      <c r="L899" s="19" t="str">
        <f t="shared" si="279"/>
        <v/>
      </c>
      <c r="M899" s="19" t="str">
        <f t="shared" si="280"/>
        <v/>
      </c>
      <c r="N899" s="24" t="str">
        <f t="shared" si="276"/>
        <v/>
      </c>
      <c r="O899" s="21" t="str">
        <f t="shared" si="4"/>
        <v/>
      </c>
      <c r="P899" s="21" t="str">
        <f t="shared" si="282"/>
        <v/>
      </c>
      <c r="Q899" s="22" t="str">
        <f t="shared" si="6"/>
        <v/>
      </c>
      <c r="R899" s="25" t="str">
        <f t="shared" si="7"/>
        <v/>
      </c>
      <c r="S899" s="19" t="str">
        <f t="shared" si="8"/>
        <v/>
      </c>
      <c r="T899" s="19" t="str">
        <f t="shared" si="9"/>
        <v/>
      </c>
      <c r="U899" s="3"/>
      <c r="V899" s="4" t="str">
        <f>IF(ISBLANK(C899),,IFERROR(IF(VLOOKUP(B899,Standings!$A:$F, 6, 0)=VLOOKUP(C899,Standings!$A:$F, 6, 0), VLOOKUP(B899,Standings!$A:$F, 6, 0), "Non-con"), "FCS"))</f>
        <v/>
      </c>
      <c r="W899" s="3" t="str">
        <f t="shared" si="10"/>
        <v/>
      </c>
      <c r="X899" s="3" t="str">
        <f t="shared" si="11"/>
        <v/>
      </c>
      <c r="Y899" s="30" t="str">
        <f>IF(D899=0,,IF(ISBLANK(Q899),,VLOOKUP(X899,Week1,2,FALSE)/(VLOOKUP(X899,Week1,2,FALSE)+VLOOKUP(W899,Week1,2,FALSE)))*100)</f>
        <v/>
      </c>
      <c r="Z899" s="4"/>
      <c r="AA899" s="3"/>
      <c r="AB899" s="4" t="str">
        <f t="shared" si="20"/>
        <v/>
      </c>
      <c r="AC899" s="3"/>
      <c r="AD899" s="3"/>
      <c r="AE899" s="3" t="str">
        <f t="shared" si="13"/>
        <v/>
      </c>
      <c r="AF899" s="3"/>
      <c r="AG899" s="3" t="str">
        <f t="shared" si="133"/>
        <v/>
      </c>
      <c r="AH899" s="3"/>
      <c r="AI899" s="7"/>
      <c r="AJ899" s="4"/>
      <c r="AK899" s="7"/>
      <c r="AL899" s="7"/>
      <c r="AM899" s="7"/>
      <c r="AN899" s="7"/>
      <c r="AO899" s="7"/>
      <c r="AP899" s="7"/>
      <c r="AQ899" s="7"/>
      <c r="AR899" s="7"/>
      <c r="AS899" s="7"/>
      <c r="AT899" s="7"/>
      <c r="AU899" s="7"/>
      <c r="AV899" s="7"/>
      <c r="AW899" s="7"/>
      <c r="AX899" s="7"/>
    </row>
    <row r="900" ht="12.75" customHeight="1">
      <c r="A900" s="4"/>
      <c r="B900" s="4"/>
      <c r="C900" s="4"/>
      <c r="D900" s="4"/>
      <c r="E900" s="4" t="str">
        <f>IF(ISBLANK(B900),,IFERROR(VLOOKUP(B900,CurrentRank!$B$2:$C$132,2,FALSE),0))</f>
        <v/>
      </c>
      <c r="F900" s="4"/>
      <c r="G900" s="4" t="str">
        <f>IF(ISBLANK(B900),,IFERROR(VLOOKUP(B900,CurrentRank!$B$2:$D$132,3,FALSE),130))</f>
        <v/>
      </c>
      <c r="H900" s="4"/>
      <c r="I900" s="4" t="str">
        <f>IF(ISBLANK(B900),,IFERROR(VLOOKUP(C900,CurrentRank!$B$2:$C$132,2,FALSE),0))</f>
        <v/>
      </c>
      <c r="J900" s="4"/>
      <c r="K900" s="4" t="str">
        <f>IF(ISBLANK(C900),,IFERROR(VLOOKUP(C900,CurrentRank!$B$2:$D$132,3,FALSE),130))</f>
        <v/>
      </c>
      <c r="L900" s="19" t="str">
        <f t="shared" si="279"/>
        <v/>
      </c>
      <c r="M900" s="19" t="str">
        <f t="shared" si="280"/>
        <v/>
      </c>
      <c r="N900" s="24" t="str">
        <f t="shared" si="276"/>
        <v/>
      </c>
      <c r="O900" s="21" t="str">
        <f t="shared" si="4"/>
        <v/>
      </c>
      <c r="P900" s="21" t="str">
        <f t="shared" si="282"/>
        <v/>
      </c>
      <c r="Q900" s="22" t="str">
        <f t="shared" si="6"/>
        <v/>
      </c>
      <c r="R900" s="25" t="str">
        <f t="shared" si="7"/>
        <v/>
      </c>
      <c r="S900" s="19" t="str">
        <f t="shared" si="8"/>
        <v/>
      </c>
      <c r="T900" s="19" t="str">
        <f t="shared" si="9"/>
        <v/>
      </c>
      <c r="U900" s="3"/>
      <c r="V900" s="4" t="str">
        <f>IF(ISBLANK(C900),,IFERROR(IF(VLOOKUP(B900,Standings!$A:$F, 6, 0)=VLOOKUP(C900,Standings!$A:$F, 6, 0), VLOOKUP(B900,Standings!$A:$F, 6, 0), "Non-con"), "FCS"))</f>
        <v/>
      </c>
      <c r="W900" s="3" t="str">
        <f t="shared" si="10"/>
        <v/>
      </c>
      <c r="X900" s="3" t="str">
        <f t="shared" si="11"/>
        <v/>
      </c>
      <c r="Y900" s="30" t="str">
        <f>IF(D900=0,,IF(ISBLANK(Q900),,VLOOKUP(X900,Week1,2,FALSE)/(VLOOKUP(X900,Week1,2,FALSE)+VLOOKUP(W900,Week1,2,FALSE)))*100)</f>
        <v/>
      </c>
      <c r="Z900" s="4"/>
      <c r="AA900" s="3"/>
      <c r="AB900" s="4" t="str">
        <f t="shared" si="20"/>
        <v/>
      </c>
      <c r="AC900" s="3"/>
      <c r="AD900" s="3"/>
      <c r="AE900" s="3" t="str">
        <f t="shared" si="13"/>
        <v/>
      </c>
      <c r="AF900" s="3"/>
      <c r="AG900" s="3" t="str">
        <f t="shared" si="133"/>
        <v/>
      </c>
      <c r="AH900" s="3"/>
      <c r="AI900" s="7"/>
      <c r="AJ900" s="4"/>
      <c r="AK900" s="7"/>
      <c r="AL900" s="7"/>
      <c r="AM900" s="7"/>
      <c r="AN900" s="7"/>
      <c r="AO900" s="7"/>
      <c r="AP900" s="7"/>
      <c r="AQ900" s="7"/>
      <c r="AR900" s="7"/>
      <c r="AS900" s="7"/>
      <c r="AT900" s="7"/>
      <c r="AU900" s="7"/>
      <c r="AV900" s="7"/>
      <c r="AW900" s="7"/>
      <c r="AX900" s="7"/>
    </row>
    <row r="901" ht="12.75" customHeight="1">
      <c r="A901" s="4"/>
      <c r="B901" s="4"/>
      <c r="C901" s="4"/>
      <c r="D901" s="4"/>
      <c r="E901" s="4" t="str">
        <f>IF(ISBLANK(B901),,IFERROR(VLOOKUP(B901,CurrentRank!$B$2:$C$132,2,FALSE),0))</f>
        <v/>
      </c>
      <c r="F901" s="4"/>
      <c r="G901" s="4" t="str">
        <f>IF(ISBLANK(B901),,IFERROR(VLOOKUP(B901,CurrentRank!$B$2:$D$132,3,FALSE),130))</f>
        <v/>
      </c>
      <c r="H901" s="4"/>
      <c r="I901" s="4" t="str">
        <f>IF(ISBLANK(B901),,IFERROR(VLOOKUP(C901,CurrentRank!$B$2:$C$132,2,FALSE),0))</f>
        <v/>
      </c>
      <c r="J901" s="4"/>
      <c r="K901" s="4" t="str">
        <f>IF(ISBLANK(C901),,IFERROR(VLOOKUP(C901,CurrentRank!$B$2:$D$132,3,FALSE),130))</f>
        <v/>
      </c>
      <c r="L901" s="19" t="str">
        <f t="shared" si="279"/>
        <v/>
      </c>
      <c r="M901" s="19" t="str">
        <f t="shared" si="280"/>
        <v/>
      </c>
      <c r="N901" s="24" t="str">
        <f t="shared" si="276"/>
        <v/>
      </c>
      <c r="O901" s="21" t="str">
        <f t="shared" si="4"/>
        <v/>
      </c>
      <c r="P901" s="21" t="str">
        <f t="shared" si="282"/>
        <v/>
      </c>
      <c r="Q901" s="22" t="str">
        <f t="shared" si="6"/>
        <v/>
      </c>
      <c r="R901" s="25" t="str">
        <f t="shared" si="7"/>
        <v/>
      </c>
      <c r="S901" s="19" t="str">
        <f t="shared" si="8"/>
        <v/>
      </c>
      <c r="T901" s="19" t="str">
        <f t="shared" si="9"/>
        <v/>
      </c>
      <c r="U901" s="3"/>
      <c r="V901" s="4" t="str">
        <f>IF(ISBLANK(C901),,IFERROR(IF(VLOOKUP(B901,Standings!$A:$F, 6, 0)=VLOOKUP(C901,Standings!$A:$F, 6, 0), VLOOKUP(B901,Standings!$A:$F, 6, 0), "Non-con"), "FCS"))</f>
        <v/>
      </c>
      <c r="W901" s="3" t="str">
        <f t="shared" si="10"/>
        <v/>
      </c>
      <c r="X901" s="3" t="str">
        <f t="shared" si="11"/>
        <v/>
      </c>
      <c r="Y901" s="30" t="str">
        <f>IF(D901=0,,IF(ISBLANK(Q901),,VLOOKUP(X901,Week1,2,FALSE)/(VLOOKUP(X901,Week1,2,FALSE)+VLOOKUP(W901,Week1,2,FALSE)))*100)</f>
        <v/>
      </c>
      <c r="Z901" s="4"/>
      <c r="AA901" s="3"/>
      <c r="AB901" s="4" t="str">
        <f t="shared" si="20"/>
        <v/>
      </c>
      <c r="AC901" s="3"/>
      <c r="AD901" s="3"/>
      <c r="AE901" s="3" t="str">
        <f t="shared" si="13"/>
        <v/>
      </c>
      <c r="AF901" s="3"/>
      <c r="AG901" s="3" t="str">
        <f t="shared" si="133"/>
        <v/>
      </c>
      <c r="AH901" s="3"/>
      <c r="AI901" s="7"/>
      <c r="AJ901" s="4"/>
      <c r="AK901" s="7"/>
      <c r="AL901" s="7"/>
      <c r="AM901" s="7"/>
      <c r="AN901" s="7"/>
      <c r="AO901" s="7"/>
      <c r="AP901" s="7"/>
      <c r="AQ901" s="7"/>
      <c r="AR901" s="7"/>
      <c r="AS901" s="7"/>
      <c r="AT901" s="7"/>
      <c r="AU901" s="7"/>
      <c r="AV901" s="7"/>
      <c r="AW901" s="7"/>
      <c r="AX901" s="7"/>
    </row>
    <row r="902" ht="12.75" customHeight="1">
      <c r="A902" s="4"/>
      <c r="B902" s="4"/>
      <c r="C902" s="4"/>
      <c r="D902" s="4"/>
      <c r="E902" s="4" t="str">
        <f>IF(ISBLANK(B902),,IFERROR(VLOOKUP(B902,CurrentRank!$B$2:$C$132,2,FALSE),0))</f>
        <v/>
      </c>
      <c r="F902" s="4"/>
      <c r="G902" s="4" t="str">
        <f>IF(ISBLANK(B902),,IFERROR(VLOOKUP(B902,CurrentRank!$B$2:$D$132,3,FALSE),130))</f>
        <v/>
      </c>
      <c r="H902" s="4"/>
      <c r="I902" s="4" t="str">
        <f>IF(ISBLANK(B902),,IFERROR(VLOOKUP(C902,CurrentRank!$B$2:$C$132,2,FALSE),0))</f>
        <v/>
      </c>
      <c r="J902" s="4"/>
      <c r="K902" s="4" t="str">
        <f>IF(ISBLANK(C902),,IFERROR(VLOOKUP(C902,CurrentRank!$B$2:$D$132,3,FALSE),130))</f>
        <v/>
      </c>
      <c r="L902" s="19" t="str">
        <f t="shared" si="279"/>
        <v/>
      </c>
      <c r="M902" s="19" t="str">
        <f t="shared" si="280"/>
        <v/>
      </c>
      <c r="N902" s="24" t="str">
        <f t="shared" si="276"/>
        <v/>
      </c>
      <c r="O902" s="21" t="str">
        <f t="shared" si="4"/>
        <v/>
      </c>
      <c r="P902" s="21" t="str">
        <f t="shared" si="282"/>
        <v/>
      </c>
      <c r="Q902" s="22" t="str">
        <f t="shared" si="6"/>
        <v/>
      </c>
      <c r="R902" s="25" t="str">
        <f t="shared" si="7"/>
        <v/>
      </c>
      <c r="S902" s="19" t="str">
        <f t="shared" si="8"/>
        <v/>
      </c>
      <c r="T902" s="19" t="str">
        <f t="shared" si="9"/>
        <v/>
      </c>
      <c r="U902" s="3"/>
      <c r="V902" s="4" t="str">
        <f>IF(ISBLANK(C902),,IFERROR(IF(VLOOKUP(B902,Standings!$A:$F, 6, 0)=VLOOKUP(C902,Standings!$A:$F, 6, 0), VLOOKUP(B902,Standings!$A:$F, 6, 0), "Non-con"), "FCS"))</f>
        <v/>
      </c>
      <c r="W902" s="3" t="str">
        <f t="shared" si="10"/>
        <v/>
      </c>
      <c r="X902" s="3" t="str">
        <f t="shared" si="11"/>
        <v/>
      </c>
      <c r="Y902" s="30" t="str">
        <f>IF(D902=0,,IF(ISBLANK(Q902),,VLOOKUP(X902,Week1,2,FALSE)/(VLOOKUP(X902,Week1,2,FALSE)+VLOOKUP(W902,Week1,2,FALSE)))*100)</f>
        <v/>
      </c>
      <c r="Z902" s="4"/>
      <c r="AA902" s="3"/>
      <c r="AB902" s="4" t="str">
        <f t="shared" si="20"/>
        <v/>
      </c>
      <c r="AC902" s="3"/>
      <c r="AD902" s="3"/>
      <c r="AE902" s="3" t="str">
        <f t="shared" si="13"/>
        <v/>
      </c>
      <c r="AF902" s="3"/>
      <c r="AG902" s="3" t="str">
        <f t="shared" si="133"/>
        <v/>
      </c>
      <c r="AH902" s="3"/>
      <c r="AI902" s="7"/>
      <c r="AJ902" s="4"/>
      <c r="AK902" s="7"/>
      <c r="AL902" s="7"/>
      <c r="AM902" s="7"/>
      <c r="AN902" s="7"/>
      <c r="AO902" s="7"/>
      <c r="AP902" s="7"/>
      <c r="AQ902" s="7"/>
      <c r="AR902" s="7"/>
      <c r="AS902" s="7"/>
      <c r="AT902" s="7"/>
      <c r="AU902" s="7"/>
      <c r="AV902" s="7"/>
      <c r="AW902" s="7"/>
      <c r="AX902" s="7"/>
    </row>
    <row r="903" ht="12.75" customHeight="1">
      <c r="A903" s="4"/>
      <c r="B903" s="4"/>
      <c r="C903" s="4"/>
      <c r="D903" s="4"/>
      <c r="E903" s="4" t="str">
        <f>IF(ISBLANK(B903),,IFERROR(VLOOKUP(B903,CurrentRank!$B$2:$C$132,2,FALSE),0))</f>
        <v/>
      </c>
      <c r="F903" s="4"/>
      <c r="G903" s="4" t="str">
        <f>IF(ISBLANK(B903),,IFERROR(VLOOKUP(B903,CurrentRank!$B$2:$D$132,3,FALSE),130))</f>
        <v/>
      </c>
      <c r="H903" s="4"/>
      <c r="I903" s="4" t="str">
        <f>IF(ISBLANK(B903),,IFERROR(VLOOKUP(C903,CurrentRank!$B$2:$C$132,2,FALSE),0))</f>
        <v/>
      </c>
      <c r="J903" s="4"/>
      <c r="K903" s="4" t="str">
        <f>IF(ISBLANK(C903),,IFERROR(VLOOKUP(C903,CurrentRank!$B$2:$D$132,3,FALSE),130))</f>
        <v/>
      </c>
      <c r="L903" s="19" t="str">
        <f t="shared" si="279"/>
        <v/>
      </c>
      <c r="M903" s="19" t="str">
        <f t="shared" si="280"/>
        <v/>
      </c>
      <c r="N903" s="24" t="str">
        <f t="shared" si="276"/>
        <v/>
      </c>
      <c r="O903" s="21" t="str">
        <f t="shared" si="4"/>
        <v/>
      </c>
      <c r="P903" s="21" t="str">
        <f t="shared" si="282"/>
        <v/>
      </c>
      <c r="Q903" s="22" t="str">
        <f t="shared" si="6"/>
        <v/>
      </c>
      <c r="R903" s="25" t="str">
        <f t="shared" si="7"/>
        <v/>
      </c>
      <c r="S903" s="19" t="str">
        <f t="shared" si="8"/>
        <v/>
      </c>
      <c r="T903" s="19" t="str">
        <f t="shared" si="9"/>
        <v/>
      </c>
      <c r="U903" s="3"/>
      <c r="V903" s="4" t="str">
        <f>IF(ISBLANK(C903),,IFERROR(IF(VLOOKUP(B903,Standings!$A:$F, 6, 0)=VLOOKUP(C903,Standings!$A:$F, 6, 0), VLOOKUP(B903,Standings!$A:$F, 6, 0), "Non-con"), "FCS"))</f>
        <v/>
      </c>
      <c r="W903" s="3" t="str">
        <f t="shared" si="10"/>
        <v/>
      </c>
      <c r="X903" s="3" t="str">
        <f t="shared" si="11"/>
        <v/>
      </c>
      <c r="Y903" s="30" t="str">
        <f>IF(D903=0,,IF(ISBLANK(Q903),,VLOOKUP(X903,Week1,2,FALSE)/(VLOOKUP(X903,Week1,2,FALSE)+VLOOKUP(W903,Week1,2,FALSE)))*100)</f>
        <v/>
      </c>
      <c r="Z903" s="4"/>
      <c r="AA903" s="3"/>
      <c r="AB903" s="4" t="str">
        <f t="shared" si="20"/>
        <v/>
      </c>
      <c r="AC903" s="3"/>
      <c r="AD903" s="3"/>
      <c r="AE903" s="3" t="str">
        <f t="shared" si="13"/>
        <v/>
      </c>
      <c r="AF903" s="3"/>
      <c r="AG903" s="3" t="str">
        <f t="shared" si="133"/>
        <v/>
      </c>
      <c r="AH903" s="3"/>
      <c r="AI903" s="7"/>
      <c r="AJ903" s="4"/>
      <c r="AK903" s="7"/>
      <c r="AL903" s="7"/>
      <c r="AM903" s="7"/>
      <c r="AN903" s="7"/>
      <c r="AO903" s="7"/>
      <c r="AP903" s="7"/>
      <c r="AQ903" s="7"/>
      <c r="AR903" s="7"/>
      <c r="AS903" s="7"/>
      <c r="AT903" s="7"/>
      <c r="AU903" s="7"/>
      <c r="AV903" s="7"/>
      <c r="AW903" s="7"/>
      <c r="AX903" s="7"/>
    </row>
    <row r="904" ht="12.75" customHeight="1">
      <c r="A904" s="4"/>
      <c r="B904" s="4"/>
      <c r="C904" s="4"/>
      <c r="D904" s="4"/>
      <c r="E904" s="4" t="str">
        <f>IF(ISBLANK(B904),,IFERROR(VLOOKUP(B904,CurrentRank!$B$2:$C$132,2,FALSE),0))</f>
        <v/>
      </c>
      <c r="F904" s="4"/>
      <c r="G904" s="4" t="str">
        <f>IF(ISBLANK(B904),,IFERROR(VLOOKUP(B904,CurrentRank!$B$2:$D$132,3,FALSE),130))</f>
        <v/>
      </c>
      <c r="H904" s="4"/>
      <c r="I904" s="4" t="str">
        <f>IF(ISBLANK(B904),,IFERROR(VLOOKUP(C904,CurrentRank!$B$2:$C$132,2,FALSE),0))</f>
        <v/>
      </c>
      <c r="J904" s="4"/>
      <c r="K904" s="4" t="str">
        <f>IF(ISBLANK(C904),,IFERROR(VLOOKUP(C904,CurrentRank!$B$2:$D$132,3,FALSE),130))</f>
        <v/>
      </c>
      <c r="L904" s="19" t="str">
        <f t="shared" si="279"/>
        <v/>
      </c>
      <c r="M904" s="19" t="str">
        <f t="shared" si="280"/>
        <v/>
      </c>
      <c r="N904" s="24" t="str">
        <f t="shared" si="276"/>
        <v/>
      </c>
      <c r="O904" s="21" t="str">
        <f t="shared" si="4"/>
        <v/>
      </c>
      <c r="P904" s="21" t="str">
        <f t="shared" si="282"/>
        <v/>
      </c>
      <c r="Q904" s="22" t="str">
        <f t="shared" si="6"/>
        <v/>
      </c>
      <c r="R904" s="25" t="str">
        <f t="shared" si="7"/>
        <v/>
      </c>
      <c r="S904" s="19" t="str">
        <f t="shared" si="8"/>
        <v/>
      </c>
      <c r="T904" s="19" t="str">
        <f t="shared" si="9"/>
        <v/>
      </c>
      <c r="U904" s="3"/>
      <c r="V904" s="4" t="str">
        <f>IF(ISBLANK(C904),,IFERROR(IF(VLOOKUP(B904,Standings!$A:$F, 6, 0)=VLOOKUP(C904,Standings!$A:$F, 6, 0), VLOOKUP(B904,Standings!$A:$F, 6, 0), "Non-con"), "FCS"))</f>
        <v/>
      </c>
      <c r="W904" s="3" t="str">
        <f t="shared" si="10"/>
        <v/>
      </c>
      <c r="X904" s="3" t="str">
        <f t="shared" si="11"/>
        <v/>
      </c>
      <c r="Y904" s="30" t="str">
        <f>IF(D904=0,,IF(ISBLANK(Q904),,VLOOKUP(X904,Week1,2,FALSE)/(VLOOKUP(X904,Week1,2,FALSE)+VLOOKUP(W904,Week1,2,FALSE)))*100)</f>
        <v/>
      </c>
      <c r="Z904" s="4"/>
      <c r="AA904" s="3"/>
      <c r="AB904" s="4" t="str">
        <f t="shared" si="20"/>
        <v/>
      </c>
      <c r="AC904" s="3"/>
      <c r="AD904" s="3"/>
      <c r="AE904" s="3" t="str">
        <f t="shared" si="13"/>
        <v/>
      </c>
      <c r="AF904" s="3"/>
      <c r="AG904" s="3" t="str">
        <f t="shared" si="133"/>
        <v/>
      </c>
      <c r="AH904" s="3"/>
      <c r="AI904" s="7"/>
      <c r="AJ904" s="4"/>
      <c r="AK904" s="7"/>
      <c r="AL904" s="7"/>
      <c r="AM904" s="7"/>
      <c r="AN904" s="7"/>
      <c r="AO904" s="7"/>
      <c r="AP904" s="7"/>
      <c r="AQ904" s="7"/>
      <c r="AR904" s="7"/>
      <c r="AS904" s="7"/>
      <c r="AT904" s="7"/>
      <c r="AU904" s="7"/>
      <c r="AV904" s="7"/>
      <c r="AW904" s="7"/>
      <c r="AX904" s="7"/>
    </row>
    <row r="905" ht="12.75" customHeight="1">
      <c r="A905" s="4"/>
      <c r="B905" s="4"/>
      <c r="C905" s="4"/>
      <c r="D905" s="4"/>
      <c r="E905" s="4" t="str">
        <f>IF(ISBLANK(B905),,IFERROR(VLOOKUP(B905,CurrentRank!$B$2:$C$132,2,FALSE),0))</f>
        <v/>
      </c>
      <c r="F905" s="4"/>
      <c r="G905" s="4" t="str">
        <f>IF(ISBLANK(B905),,IFERROR(VLOOKUP(B905,CurrentRank!$B$2:$D$132,3,FALSE),130))</f>
        <v/>
      </c>
      <c r="H905" s="4"/>
      <c r="I905" s="4" t="str">
        <f>IF(ISBLANK(B905),,IFERROR(VLOOKUP(C905,CurrentRank!$B$2:$C$132,2,FALSE),0))</f>
        <v/>
      </c>
      <c r="J905" s="4"/>
      <c r="K905" s="4" t="str">
        <f>IF(ISBLANK(C905),,IFERROR(VLOOKUP(C905,CurrentRank!$B$2:$D$132,3,FALSE),130))</f>
        <v/>
      </c>
      <c r="L905" s="19" t="str">
        <f t="shared" si="279"/>
        <v/>
      </c>
      <c r="M905" s="19" t="str">
        <f t="shared" si="280"/>
        <v/>
      </c>
      <c r="N905" s="24" t="str">
        <f t="shared" si="276"/>
        <v/>
      </c>
      <c r="O905" s="21" t="str">
        <f t="shared" si="4"/>
        <v/>
      </c>
      <c r="P905" s="21" t="str">
        <f t="shared" si="282"/>
        <v/>
      </c>
      <c r="Q905" s="22" t="str">
        <f t="shared" si="6"/>
        <v/>
      </c>
      <c r="R905" s="25" t="str">
        <f t="shared" si="7"/>
        <v/>
      </c>
      <c r="S905" s="19" t="str">
        <f t="shared" si="8"/>
        <v/>
      </c>
      <c r="T905" s="19" t="str">
        <f t="shared" si="9"/>
        <v/>
      </c>
      <c r="U905" s="3"/>
      <c r="V905" s="4" t="str">
        <f>IF(ISBLANK(C905),,IFERROR(IF(VLOOKUP(B905,Standings!$A:$F, 6, 0)=VLOOKUP(C905,Standings!$A:$F, 6, 0), VLOOKUP(B905,Standings!$A:$F, 6, 0), "Non-con"), "FCS"))</f>
        <v/>
      </c>
      <c r="W905" s="3" t="str">
        <f t="shared" si="10"/>
        <v/>
      </c>
      <c r="X905" s="3" t="str">
        <f t="shared" si="11"/>
        <v/>
      </c>
      <c r="Y905" s="30" t="str">
        <f>IF(D905=0,,IF(ISBLANK(Q905),,VLOOKUP(X905,Week1,2,FALSE)/(VLOOKUP(X905,Week1,2,FALSE)+VLOOKUP(W905,Week1,2,FALSE)))*100)</f>
        <v/>
      </c>
      <c r="Z905" s="4"/>
      <c r="AA905" s="3"/>
      <c r="AB905" s="4" t="str">
        <f t="shared" si="20"/>
        <v/>
      </c>
      <c r="AC905" s="3"/>
      <c r="AD905" s="3"/>
      <c r="AE905" s="3" t="str">
        <f t="shared" si="13"/>
        <v/>
      </c>
      <c r="AF905" s="3"/>
      <c r="AG905" s="3" t="str">
        <f t="shared" si="133"/>
        <v/>
      </c>
      <c r="AH905" s="3"/>
      <c r="AI905" s="7"/>
      <c r="AJ905" s="4"/>
      <c r="AK905" s="7"/>
      <c r="AL905" s="7"/>
      <c r="AM905" s="7"/>
      <c r="AN905" s="7"/>
      <c r="AO905" s="7"/>
      <c r="AP905" s="7"/>
      <c r="AQ905" s="7"/>
      <c r="AR905" s="7"/>
      <c r="AS905" s="7"/>
      <c r="AT905" s="7"/>
      <c r="AU905" s="7"/>
      <c r="AV905" s="7"/>
      <c r="AW905" s="7"/>
      <c r="AX905" s="7"/>
    </row>
    <row r="906" ht="12.75" customHeight="1">
      <c r="A906" s="4"/>
      <c r="B906" s="4"/>
      <c r="C906" s="4"/>
      <c r="D906" s="4"/>
      <c r="E906" s="4" t="str">
        <f>IF(ISBLANK(B906),,IFERROR(VLOOKUP(B906,CurrentRank!$B$2:$C$132,2,FALSE),0))</f>
        <v/>
      </c>
      <c r="F906" s="4"/>
      <c r="G906" s="4" t="str">
        <f>IF(ISBLANK(B906),,IFERROR(VLOOKUP(B906,CurrentRank!$B$2:$D$132,3,FALSE),130))</f>
        <v/>
      </c>
      <c r="H906" s="4"/>
      <c r="I906" s="4" t="str">
        <f>IF(ISBLANK(B906),,IFERROR(VLOOKUP(C906,CurrentRank!$B$2:$C$132,2,FALSE),0))</f>
        <v/>
      </c>
      <c r="J906" s="4"/>
      <c r="K906" s="4" t="str">
        <f>IF(ISBLANK(C906),,IFERROR(VLOOKUP(C906,CurrentRank!$B$2:$D$132,3,FALSE),130))</f>
        <v/>
      </c>
      <c r="L906" s="19" t="str">
        <f t="shared" si="279"/>
        <v/>
      </c>
      <c r="M906" s="19" t="str">
        <f t="shared" si="280"/>
        <v/>
      </c>
      <c r="N906" s="24" t="str">
        <f t="shared" si="276"/>
        <v/>
      </c>
      <c r="O906" s="21" t="str">
        <f t="shared" si="4"/>
        <v/>
      </c>
      <c r="P906" s="21" t="str">
        <f t="shared" si="282"/>
        <v/>
      </c>
      <c r="Q906" s="22" t="str">
        <f t="shared" si="6"/>
        <v/>
      </c>
      <c r="R906" s="25" t="str">
        <f t="shared" si="7"/>
        <v/>
      </c>
      <c r="S906" s="19" t="str">
        <f t="shared" si="8"/>
        <v/>
      </c>
      <c r="T906" s="19" t="str">
        <f t="shared" si="9"/>
        <v/>
      </c>
      <c r="U906" s="3"/>
      <c r="V906" s="4" t="str">
        <f>IF(ISBLANK(C906),,IFERROR(IF(VLOOKUP(B906,Standings!$A:$F, 6, 0)=VLOOKUP(C906,Standings!$A:$F, 6, 0), VLOOKUP(B906,Standings!$A:$F, 6, 0), "Non-con"), "FCS"))</f>
        <v/>
      </c>
      <c r="W906" s="3" t="str">
        <f t="shared" si="10"/>
        <v/>
      </c>
      <c r="X906" s="3" t="str">
        <f t="shared" si="11"/>
        <v/>
      </c>
      <c r="Y906" s="30" t="str">
        <f>IF(D906=0,,IF(ISBLANK(Q906),,VLOOKUP(X906,Week1,2,FALSE)/(VLOOKUP(X906,Week1,2,FALSE)+VLOOKUP(W906,Week1,2,FALSE)))*100)</f>
        <v/>
      </c>
      <c r="Z906" s="4"/>
      <c r="AA906" s="3"/>
      <c r="AB906" s="4" t="str">
        <f t="shared" si="20"/>
        <v/>
      </c>
      <c r="AC906" s="3"/>
      <c r="AD906" s="3"/>
      <c r="AE906" s="3" t="str">
        <f t="shared" si="13"/>
        <v/>
      </c>
      <c r="AF906" s="3"/>
      <c r="AG906" s="3" t="str">
        <f t="shared" si="133"/>
        <v/>
      </c>
      <c r="AH906" s="3"/>
      <c r="AI906" s="7"/>
      <c r="AJ906" s="4"/>
      <c r="AK906" s="7"/>
      <c r="AL906" s="7"/>
      <c r="AM906" s="7"/>
      <c r="AN906" s="7"/>
      <c r="AO906" s="7"/>
      <c r="AP906" s="7"/>
      <c r="AQ906" s="7"/>
      <c r="AR906" s="7"/>
      <c r="AS906" s="7"/>
      <c r="AT906" s="7"/>
      <c r="AU906" s="7"/>
      <c r="AV906" s="7"/>
      <c r="AW906" s="7"/>
      <c r="AX906" s="7"/>
    </row>
    <row r="907" ht="12.75" customHeight="1">
      <c r="A907" s="4"/>
      <c r="B907" s="4"/>
      <c r="C907" s="4"/>
      <c r="D907" s="4"/>
      <c r="E907" s="4" t="str">
        <f>IF(ISBLANK(B907),,IFERROR(VLOOKUP(B907,CurrentRank!$B$2:$C$132,2,FALSE),0))</f>
        <v/>
      </c>
      <c r="F907" s="4"/>
      <c r="G907" s="4" t="str">
        <f>IF(ISBLANK(B907),,IFERROR(VLOOKUP(B907,CurrentRank!$B$2:$D$132,3,FALSE),130))</f>
        <v/>
      </c>
      <c r="H907" s="4"/>
      <c r="I907" s="4" t="str">
        <f>IF(ISBLANK(B907),,IFERROR(VLOOKUP(C907,CurrentRank!$B$2:$C$132,2,FALSE),0))</f>
        <v/>
      </c>
      <c r="J907" s="4"/>
      <c r="K907" s="4" t="str">
        <f>IF(ISBLANK(C907),,IFERROR(VLOOKUP(C907,CurrentRank!$B$2:$D$132,3,FALSE),130))</f>
        <v/>
      </c>
      <c r="L907" s="19" t="str">
        <f t="shared" si="279"/>
        <v/>
      </c>
      <c r="M907" s="19" t="str">
        <f t="shared" si="280"/>
        <v/>
      </c>
      <c r="N907" s="24" t="str">
        <f t="shared" si="276"/>
        <v/>
      </c>
      <c r="O907" s="21" t="str">
        <f t="shared" si="4"/>
        <v/>
      </c>
      <c r="P907" s="21" t="str">
        <f t="shared" si="282"/>
        <v/>
      </c>
      <c r="Q907" s="22" t="str">
        <f t="shared" si="6"/>
        <v/>
      </c>
      <c r="R907" s="25" t="str">
        <f t="shared" si="7"/>
        <v/>
      </c>
      <c r="S907" s="19" t="str">
        <f t="shared" si="8"/>
        <v/>
      </c>
      <c r="T907" s="19" t="str">
        <f t="shared" si="9"/>
        <v/>
      </c>
      <c r="U907" s="3"/>
      <c r="V907" s="4" t="str">
        <f>IF(ISBLANK(C907),,IFERROR(IF(VLOOKUP(B907,Standings!$A:$F, 6, 0)=VLOOKUP(C907,Standings!$A:$F, 6, 0), VLOOKUP(B907,Standings!$A:$F, 6, 0), "Non-con"), "FCS"))</f>
        <v/>
      </c>
      <c r="W907" s="3" t="str">
        <f t="shared" si="10"/>
        <v/>
      </c>
      <c r="X907" s="3" t="str">
        <f t="shared" si="11"/>
        <v/>
      </c>
      <c r="Y907" s="30" t="str">
        <f>IF(D907=0,,IF(ISBLANK(Q907),,VLOOKUP(X907,Week1,2,FALSE)/(VLOOKUP(X907,Week1,2,FALSE)+VLOOKUP(W907,Week1,2,FALSE)))*100)</f>
        <v/>
      </c>
      <c r="Z907" s="4"/>
      <c r="AA907" s="3"/>
      <c r="AB907" s="4" t="str">
        <f t="shared" si="20"/>
        <v/>
      </c>
      <c r="AC907" s="3"/>
      <c r="AD907" s="3"/>
      <c r="AE907" s="3" t="str">
        <f t="shared" si="13"/>
        <v/>
      </c>
      <c r="AF907" s="3"/>
      <c r="AG907" s="3" t="str">
        <f t="shared" si="133"/>
        <v/>
      </c>
      <c r="AH907" s="3"/>
      <c r="AI907" s="7"/>
      <c r="AJ907" s="4"/>
      <c r="AK907" s="7"/>
      <c r="AL907" s="7"/>
      <c r="AM907" s="7"/>
      <c r="AN907" s="7"/>
      <c r="AO907" s="7"/>
      <c r="AP907" s="7"/>
      <c r="AQ907" s="7"/>
      <c r="AR907" s="7"/>
      <c r="AS907" s="7"/>
      <c r="AT907" s="7"/>
      <c r="AU907" s="7"/>
      <c r="AV907" s="7"/>
      <c r="AW907" s="7"/>
      <c r="AX907" s="7"/>
    </row>
    <row r="908" ht="12.75" customHeight="1">
      <c r="A908" s="4"/>
      <c r="B908" s="4"/>
      <c r="C908" s="4"/>
      <c r="D908" s="4"/>
      <c r="E908" s="4" t="str">
        <f>IF(ISBLANK(B908),,IFERROR(VLOOKUP(B908,CurrentRank!$B$2:$C$132,2,FALSE),0))</f>
        <v/>
      </c>
      <c r="F908" s="4"/>
      <c r="G908" s="4" t="str">
        <f>IF(ISBLANK(B908),,IFERROR(VLOOKUP(B908,CurrentRank!$B$2:$D$132,3,FALSE),130))</f>
        <v/>
      </c>
      <c r="H908" s="4"/>
      <c r="I908" s="4" t="str">
        <f>IF(ISBLANK(B908),,IFERROR(VLOOKUP(C908,CurrentRank!$B$2:$C$132,2,FALSE),0))</f>
        <v/>
      </c>
      <c r="J908" s="4"/>
      <c r="K908" s="4" t="str">
        <f>IF(ISBLANK(C908),,IFERROR(VLOOKUP(C908,CurrentRank!$B$2:$D$132,3,FALSE),130))</f>
        <v/>
      </c>
      <c r="L908" s="19" t="str">
        <f t="shared" si="279"/>
        <v/>
      </c>
      <c r="M908" s="19" t="str">
        <f t="shared" si="280"/>
        <v/>
      </c>
      <c r="N908" s="24" t="str">
        <f t="shared" si="276"/>
        <v/>
      </c>
      <c r="O908" s="21" t="str">
        <f t="shared" si="4"/>
        <v/>
      </c>
      <c r="P908" s="21" t="str">
        <f t="shared" si="282"/>
        <v/>
      </c>
      <c r="Q908" s="22" t="str">
        <f t="shared" si="6"/>
        <v/>
      </c>
      <c r="R908" s="25" t="str">
        <f t="shared" si="7"/>
        <v/>
      </c>
      <c r="S908" s="19" t="str">
        <f t="shared" si="8"/>
        <v/>
      </c>
      <c r="T908" s="19" t="str">
        <f t="shared" si="9"/>
        <v/>
      </c>
      <c r="U908" s="3"/>
      <c r="V908" s="4" t="str">
        <f>IF(ISBLANK(C908),,IFERROR(IF(VLOOKUP(B908,Standings!$A:$F, 6, 0)=VLOOKUP(C908,Standings!$A:$F, 6, 0), VLOOKUP(B908,Standings!$A:$F, 6, 0), "Non-con"), "FCS"))</f>
        <v/>
      </c>
      <c r="W908" s="3" t="str">
        <f t="shared" si="10"/>
        <v/>
      </c>
      <c r="X908" s="3" t="str">
        <f t="shared" si="11"/>
        <v/>
      </c>
      <c r="Y908" s="30" t="str">
        <f>IF(D908=0,,IF(ISBLANK(Q908),,VLOOKUP(X908,Week1,2,FALSE)/(VLOOKUP(X908,Week1,2,FALSE)+VLOOKUP(W908,Week1,2,FALSE)))*100)</f>
        <v/>
      </c>
      <c r="Z908" s="4"/>
      <c r="AA908" s="3"/>
      <c r="AB908" s="4" t="str">
        <f t="shared" si="20"/>
        <v/>
      </c>
      <c r="AC908" s="3"/>
      <c r="AD908" s="3"/>
      <c r="AE908" s="3" t="str">
        <f t="shared" si="13"/>
        <v/>
      </c>
      <c r="AF908" s="3"/>
      <c r="AG908" s="3" t="str">
        <f t="shared" si="133"/>
        <v/>
      </c>
      <c r="AH908" s="3"/>
      <c r="AI908" s="7"/>
      <c r="AJ908" s="4"/>
      <c r="AK908" s="7"/>
      <c r="AL908" s="7"/>
      <c r="AM908" s="7"/>
      <c r="AN908" s="7"/>
      <c r="AO908" s="7"/>
      <c r="AP908" s="7"/>
      <c r="AQ908" s="7"/>
      <c r="AR908" s="7"/>
      <c r="AS908" s="7"/>
      <c r="AT908" s="7"/>
      <c r="AU908" s="7"/>
      <c r="AV908" s="7"/>
      <c r="AW908" s="7"/>
      <c r="AX908" s="7"/>
    </row>
    <row r="909" ht="12.75" customHeight="1">
      <c r="A909" s="4"/>
      <c r="B909" s="4"/>
      <c r="C909" s="4"/>
      <c r="D909" s="4"/>
      <c r="E909" s="4" t="str">
        <f>IF(ISBLANK(B909),,IFERROR(VLOOKUP(B909,CurrentRank!$B$2:$C$132,2,FALSE),0))</f>
        <v/>
      </c>
      <c r="F909" s="4"/>
      <c r="G909" s="4" t="str">
        <f>IF(ISBLANK(B909),,IFERROR(VLOOKUP(B909,CurrentRank!$B$2:$D$132,3,FALSE),130))</f>
        <v/>
      </c>
      <c r="H909" s="4"/>
      <c r="I909" s="4" t="str">
        <f>IF(ISBLANK(B909),,IFERROR(VLOOKUP(C909,CurrentRank!$B$2:$C$132,2,FALSE),0))</f>
        <v/>
      </c>
      <c r="J909" s="4"/>
      <c r="K909" s="4" t="str">
        <f>IF(ISBLANK(C909),,IFERROR(VLOOKUP(C909,CurrentRank!$B$2:$D$132,3,FALSE),130))</f>
        <v/>
      </c>
      <c r="L909" s="19" t="str">
        <f t="shared" si="279"/>
        <v/>
      </c>
      <c r="M909" s="19" t="str">
        <f t="shared" si="280"/>
        <v/>
      </c>
      <c r="N909" s="24" t="str">
        <f t="shared" si="276"/>
        <v/>
      </c>
      <c r="O909" s="21" t="str">
        <f t="shared" si="4"/>
        <v/>
      </c>
      <c r="P909" s="21" t="str">
        <f t="shared" si="282"/>
        <v/>
      </c>
      <c r="Q909" s="22" t="str">
        <f t="shared" si="6"/>
        <v/>
      </c>
      <c r="R909" s="25" t="str">
        <f t="shared" si="7"/>
        <v/>
      </c>
      <c r="S909" s="19" t="str">
        <f t="shared" si="8"/>
        <v/>
      </c>
      <c r="T909" s="19" t="str">
        <f t="shared" si="9"/>
        <v/>
      </c>
      <c r="U909" s="3"/>
      <c r="V909" s="4" t="str">
        <f>IF(ISBLANK(C909),,IFERROR(IF(VLOOKUP(B909,Standings!$A:$F, 6, 0)=VLOOKUP(C909,Standings!$A:$F, 6, 0), VLOOKUP(B909,Standings!$A:$F, 6, 0), "Non-con"), "FCS"))</f>
        <v/>
      </c>
      <c r="W909" s="3" t="str">
        <f t="shared" si="10"/>
        <v/>
      </c>
      <c r="X909" s="3" t="str">
        <f t="shared" si="11"/>
        <v/>
      </c>
      <c r="Y909" s="30" t="str">
        <f>IF(D909=0,,IF(ISBLANK(Q909),,VLOOKUP(X909,Week1,2,FALSE)/(VLOOKUP(X909,Week1,2,FALSE)+VLOOKUP(W909,Week1,2,FALSE)))*100)</f>
        <v/>
      </c>
      <c r="Z909" s="4"/>
      <c r="AA909" s="3"/>
      <c r="AB909" s="4" t="str">
        <f t="shared" si="20"/>
        <v/>
      </c>
      <c r="AC909" s="3"/>
      <c r="AD909" s="3"/>
      <c r="AE909" s="3" t="str">
        <f t="shared" si="13"/>
        <v/>
      </c>
      <c r="AF909" s="3"/>
      <c r="AG909" s="3" t="str">
        <f t="shared" si="133"/>
        <v/>
      </c>
      <c r="AH909" s="3"/>
      <c r="AI909" s="7"/>
      <c r="AJ909" s="4"/>
      <c r="AK909" s="7"/>
      <c r="AL909" s="7"/>
      <c r="AM909" s="7"/>
      <c r="AN909" s="7"/>
      <c r="AO909" s="7"/>
      <c r="AP909" s="7"/>
      <c r="AQ909" s="7"/>
      <c r="AR909" s="7"/>
      <c r="AS909" s="7"/>
      <c r="AT909" s="7"/>
      <c r="AU909" s="7"/>
      <c r="AV909" s="7"/>
      <c r="AW909" s="7"/>
      <c r="AX909" s="7"/>
    </row>
    <row r="910" ht="12.75" customHeight="1">
      <c r="A910" s="4"/>
      <c r="B910" s="4"/>
      <c r="C910" s="4"/>
      <c r="D910" s="4"/>
      <c r="E910" s="4" t="str">
        <f>IF(ISBLANK(B910),,IFERROR(VLOOKUP(B910,CurrentRank!$B$2:$C$132,2,FALSE),0))</f>
        <v/>
      </c>
      <c r="F910" s="4"/>
      <c r="G910" s="4" t="str">
        <f>IF(ISBLANK(B910),,IFERROR(VLOOKUP(B910,CurrentRank!$B$2:$D$132,3,FALSE),130))</f>
        <v/>
      </c>
      <c r="H910" s="4"/>
      <c r="I910" s="4" t="str">
        <f>IF(ISBLANK(B910),,IFERROR(VLOOKUP(C910,CurrentRank!$B$2:$C$132,2,FALSE),0))</f>
        <v/>
      </c>
      <c r="J910" s="4"/>
      <c r="K910" s="4" t="str">
        <f>IF(ISBLANK(C910),,IFERROR(VLOOKUP(C910,CurrentRank!$B$2:$D$132,3,FALSE),130))</f>
        <v/>
      </c>
      <c r="L910" s="19" t="str">
        <f t="shared" si="279"/>
        <v/>
      </c>
      <c r="M910" s="19" t="str">
        <f t="shared" si="280"/>
        <v/>
      </c>
      <c r="N910" s="24" t="str">
        <f t="shared" si="276"/>
        <v/>
      </c>
      <c r="O910" s="21" t="str">
        <f t="shared" si="4"/>
        <v/>
      </c>
      <c r="P910" s="21" t="str">
        <f t="shared" si="282"/>
        <v/>
      </c>
      <c r="Q910" s="22" t="str">
        <f t="shared" si="6"/>
        <v/>
      </c>
      <c r="R910" s="25" t="str">
        <f t="shared" si="7"/>
        <v/>
      </c>
      <c r="S910" s="19" t="str">
        <f t="shared" si="8"/>
        <v/>
      </c>
      <c r="T910" s="19" t="str">
        <f t="shared" si="9"/>
        <v/>
      </c>
      <c r="U910" s="3"/>
      <c r="V910" s="4" t="str">
        <f>IF(ISBLANK(C910),,IFERROR(IF(VLOOKUP(B910,Standings!$A:$F, 6, 0)=VLOOKUP(C910,Standings!$A:$F, 6, 0), VLOOKUP(B910,Standings!$A:$F, 6, 0), "Non-con"), "FCS"))</f>
        <v/>
      </c>
      <c r="W910" s="3" t="str">
        <f t="shared" si="10"/>
        <v/>
      </c>
      <c r="X910" s="3" t="str">
        <f t="shared" si="11"/>
        <v/>
      </c>
      <c r="Y910" s="30" t="str">
        <f>IF(D910=0,,IF(ISBLANK(Q910),,VLOOKUP(X910,Week1,2,FALSE)/(VLOOKUP(X910,Week1,2,FALSE)+VLOOKUP(W910,Week1,2,FALSE)))*100)</f>
        <v/>
      </c>
      <c r="Z910" s="4"/>
      <c r="AA910" s="3"/>
      <c r="AB910" s="4" t="str">
        <f t="shared" si="20"/>
        <v/>
      </c>
      <c r="AC910" s="3"/>
      <c r="AD910" s="3"/>
      <c r="AE910" s="3" t="str">
        <f t="shared" si="13"/>
        <v/>
      </c>
      <c r="AF910" s="3"/>
      <c r="AG910" s="3" t="str">
        <f t="shared" si="133"/>
        <v/>
      </c>
      <c r="AH910" s="3"/>
      <c r="AI910" s="7"/>
      <c r="AJ910" s="4"/>
      <c r="AK910" s="7"/>
      <c r="AL910" s="7"/>
      <c r="AM910" s="7"/>
      <c r="AN910" s="7"/>
      <c r="AO910" s="7"/>
      <c r="AP910" s="7"/>
      <c r="AQ910" s="7"/>
      <c r="AR910" s="7"/>
      <c r="AS910" s="7"/>
      <c r="AT910" s="7"/>
      <c r="AU910" s="7"/>
      <c r="AV910" s="7"/>
      <c r="AW910" s="7"/>
      <c r="AX910" s="7"/>
    </row>
    <row r="911" ht="12.75" customHeight="1">
      <c r="A911" s="4"/>
      <c r="B911" s="4"/>
      <c r="C911" s="4"/>
      <c r="D911" s="4"/>
      <c r="E911" s="4" t="str">
        <f>IF(ISBLANK(B911),,IFERROR(VLOOKUP(B911,CurrentRank!$B$2:$C$132,2,FALSE),0))</f>
        <v/>
      </c>
      <c r="F911" s="4"/>
      <c r="G911" s="4" t="str">
        <f>IF(ISBLANK(B911),,IFERROR(VLOOKUP(B911,CurrentRank!$B$2:$D$132,3,FALSE),130))</f>
        <v/>
      </c>
      <c r="H911" s="4"/>
      <c r="I911" s="4" t="str">
        <f>IF(ISBLANK(B911),,IFERROR(VLOOKUP(C911,CurrentRank!$B$2:$C$132,2,FALSE),0))</f>
        <v/>
      </c>
      <c r="J911" s="4"/>
      <c r="K911" s="4" t="str">
        <f>IF(ISBLANK(C911),,IFERROR(VLOOKUP(C911,CurrentRank!$B$2:$D$132,3,FALSE),130))</f>
        <v/>
      </c>
      <c r="L911" s="19" t="str">
        <f t="shared" si="279"/>
        <v/>
      </c>
      <c r="M911" s="19" t="str">
        <f t="shared" si="280"/>
        <v/>
      </c>
      <c r="N911" s="24" t="str">
        <f t="shared" si="276"/>
        <v/>
      </c>
      <c r="O911" s="21" t="str">
        <f t="shared" si="4"/>
        <v/>
      </c>
      <c r="P911" s="21" t="str">
        <f t="shared" si="282"/>
        <v/>
      </c>
      <c r="Q911" s="22" t="str">
        <f t="shared" si="6"/>
        <v/>
      </c>
      <c r="R911" s="25" t="str">
        <f t="shared" si="7"/>
        <v/>
      </c>
      <c r="S911" s="19" t="str">
        <f t="shared" si="8"/>
        <v/>
      </c>
      <c r="T911" s="19" t="str">
        <f t="shared" si="9"/>
        <v/>
      </c>
      <c r="U911" s="3"/>
      <c r="V911" s="4" t="str">
        <f>IF(ISBLANK(C911),,IFERROR(IF(VLOOKUP(B911,Standings!$A:$F, 6, 0)=VLOOKUP(C911,Standings!$A:$F, 6, 0), VLOOKUP(B911,Standings!$A:$F, 6, 0), "Non-con"), "FCS"))</f>
        <v/>
      </c>
      <c r="W911" s="3" t="str">
        <f t="shared" si="10"/>
        <v/>
      </c>
      <c r="X911" s="3" t="str">
        <f t="shared" si="11"/>
        <v/>
      </c>
      <c r="Y911" s="30" t="str">
        <f>IF(D911=0,,IF(ISBLANK(Q911),,VLOOKUP(X911,Week1,2,FALSE)/(VLOOKUP(X911,Week1,2,FALSE)+VLOOKUP(W911,Week1,2,FALSE)))*100)</f>
        <v/>
      </c>
      <c r="Z911" s="4"/>
      <c r="AA911" s="3"/>
      <c r="AB911" s="4" t="str">
        <f t="shared" si="20"/>
        <v/>
      </c>
      <c r="AC911" s="3"/>
      <c r="AD911" s="3"/>
      <c r="AE911" s="3" t="str">
        <f t="shared" si="13"/>
        <v/>
      </c>
      <c r="AF911" s="3"/>
      <c r="AG911" s="3" t="str">
        <f t="shared" si="133"/>
        <v/>
      </c>
      <c r="AH911" s="3"/>
      <c r="AI911" s="7"/>
      <c r="AJ911" s="4"/>
      <c r="AK911" s="7"/>
      <c r="AL911" s="7"/>
      <c r="AM911" s="7"/>
      <c r="AN911" s="7"/>
      <c r="AO911" s="7"/>
      <c r="AP911" s="7"/>
      <c r="AQ911" s="7"/>
      <c r="AR911" s="7"/>
      <c r="AS911" s="7"/>
      <c r="AT911" s="7"/>
      <c r="AU911" s="7"/>
      <c r="AV911" s="7"/>
      <c r="AW911" s="7"/>
      <c r="AX911" s="7"/>
    </row>
    <row r="912" ht="12.75" customHeight="1">
      <c r="A912" s="4"/>
      <c r="B912" s="4"/>
      <c r="C912" s="4"/>
      <c r="D912" s="4"/>
      <c r="E912" s="4" t="str">
        <f>IF(ISBLANK(B912),,IFERROR(VLOOKUP(B912,CurrentRank!$B$2:$C$132,2,FALSE),0))</f>
        <v/>
      </c>
      <c r="F912" s="4"/>
      <c r="G912" s="4" t="str">
        <f>IF(ISBLANK(B912),,IFERROR(VLOOKUP(B912,CurrentRank!$B$2:$D$132,3,FALSE),130))</f>
        <v/>
      </c>
      <c r="H912" s="4"/>
      <c r="I912" s="4" t="str">
        <f>IF(ISBLANK(B912),,IFERROR(VLOOKUP(C912,CurrentRank!$B$2:$C$132,2,FALSE),0))</f>
        <v/>
      </c>
      <c r="J912" s="4"/>
      <c r="K912" s="4" t="str">
        <f>IF(ISBLANK(C912),,IFERROR(VLOOKUP(C912,CurrentRank!$B$2:$D$132,3,FALSE),130))</f>
        <v/>
      </c>
      <c r="L912" s="19" t="str">
        <f t="shared" si="279"/>
        <v/>
      </c>
      <c r="M912" s="19" t="str">
        <f t="shared" si="280"/>
        <v/>
      </c>
      <c r="N912" s="24" t="str">
        <f t="shared" si="276"/>
        <v/>
      </c>
      <c r="O912" s="21" t="str">
        <f t="shared" si="4"/>
        <v/>
      </c>
      <c r="P912" s="21" t="str">
        <f t="shared" si="282"/>
        <v/>
      </c>
      <c r="Q912" s="22" t="str">
        <f t="shared" si="6"/>
        <v/>
      </c>
      <c r="R912" s="25" t="str">
        <f t="shared" si="7"/>
        <v/>
      </c>
      <c r="S912" s="19" t="str">
        <f t="shared" si="8"/>
        <v/>
      </c>
      <c r="T912" s="19" t="str">
        <f t="shared" si="9"/>
        <v/>
      </c>
      <c r="U912" s="3"/>
      <c r="V912" s="4" t="str">
        <f>IF(ISBLANK(C912),,IFERROR(IF(VLOOKUP(B912,Standings!$A:$F, 6, 0)=VLOOKUP(C912,Standings!$A:$F, 6, 0), VLOOKUP(B912,Standings!$A:$F, 6, 0), "Non-con"), "FCS"))</f>
        <v/>
      </c>
      <c r="W912" s="3" t="str">
        <f t="shared" si="10"/>
        <v/>
      </c>
      <c r="X912" s="3" t="str">
        <f t="shared" si="11"/>
        <v/>
      </c>
      <c r="Y912" s="30" t="str">
        <f>IF(D912=0,,IF(ISBLANK(Q912),,VLOOKUP(X912,Week1,2,FALSE)/(VLOOKUP(X912,Week1,2,FALSE)+VLOOKUP(W912,Week1,2,FALSE)))*100)</f>
        <v/>
      </c>
      <c r="Z912" s="4"/>
      <c r="AA912" s="3"/>
      <c r="AB912" s="4" t="str">
        <f t="shared" si="20"/>
        <v/>
      </c>
      <c r="AC912" s="3"/>
      <c r="AD912" s="3"/>
      <c r="AE912" s="3" t="str">
        <f t="shared" si="13"/>
        <v/>
      </c>
      <c r="AF912" s="3"/>
      <c r="AG912" s="3" t="str">
        <f t="shared" si="133"/>
        <v/>
      </c>
      <c r="AH912" s="3"/>
      <c r="AI912" s="7"/>
      <c r="AJ912" s="4"/>
      <c r="AK912" s="7"/>
      <c r="AL912" s="7"/>
      <c r="AM912" s="7"/>
      <c r="AN912" s="7"/>
      <c r="AO912" s="7"/>
      <c r="AP912" s="7"/>
      <c r="AQ912" s="7"/>
      <c r="AR912" s="7"/>
      <c r="AS912" s="7"/>
      <c r="AT912" s="7"/>
      <c r="AU912" s="7"/>
      <c r="AV912" s="7"/>
      <c r="AW912" s="7"/>
      <c r="AX912" s="7"/>
    </row>
    <row r="913" ht="12.75" customHeight="1">
      <c r="A913" s="4"/>
      <c r="B913" s="4"/>
      <c r="C913" s="4"/>
      <c r="D913" s="4"/>
      <c r="E913" s="4" t="str">
        <f>IF(ISBLANK(B913),,IFERROR(VLOOKUP(B913,CurrentRank!$B$2:$C$132,2,FALSE),0))</f>
        <v/>
      </c>
      <c r="F913" s="4"/>
      <c r="G913" s="4" t="str">
        <f>IF(ISBLANK(B913),,IFERROR(VLOOKUP(B913,CurrentRank!$B$2:$D$132,3,FALSE),130))</f>
        <v/>
      </c>
      <c r="H913" s="4"/>
      <c r="I913" s="4" t="str">
        <f>IF(ISBLANK(B913),,IFERROR(VLOOKUP(C913,CurrentRank!$B$2:$C$132,2,FALSE),0))</f>
        <v/>
      </c>
      <c r="J913" s="4"/>
      <c r="K913" s="4" t="str">
        <f>IF(ISBLANK(C913),,IFERROR(VLOOKUP(C913,CurrentRank!$B$2:$D$132,3,FALSE),130))</f>
        <v/>
      </c>
      <c r="L913" s="19" t="str">
        <f t="shared" si="279"/>
        <v/>
      </c>
      <c r="M913" s="19" t="str">
        <f t="shared" si="280"/>
        <v/>
      </c>
      <c r="N913" s="24" t="str">
        <f t="shared" si="276"/>
        <v/>
      </c>
      <c r="O913" s="21" t="str">
        <f t="shared" si="4"/>
        <v/>
      </c>
      <c r="P913" s="21" t="str">
        <f t="shared" si="282"/>
        <v/>
      </c>
      <c r="Q913" s="22" t="str">
        <f t="shared" si="6"/>
        <v/>
      </c>
      <c r="R913" s="25" t="str">
        <f t="shared" si="7"/>
        <v/>
      </c>
      <c r="S913" s="19" t="str">
        <f t="shared" si="8"/>
        <v/>
      </c>
      <c r="T913" s="19" t="str">
        <f t="shared" si="9"/>
        <v/>
      </c>
      <c r="U913" s="3"/>
      <c r="V913" s="4" t="str">
        <f>IF(ISBLANK(C913),,IFERROR(IF(VLOOKUP(B913,Standings!$A:$F, 6, 0)=VLOOKUP(C913,Standings!$A:$F, 6, 0), VLOOKUP(B913,Standings!$A:$F, 6, 0), "Non-con"), "FCS"))</f>
        <v/>
      </c>
      <c r="W913" s="3" t="str">
        <f t="shared" si="10"/>
        <v/>
      </c>
      <c r="X913" s="3" t="str">
        <f t="shared" si="11"/>
        <v/>
      </c>
      <c r="Y913" s="30" t="str">
        <f>IF(D913=0,,IF(ISBLANK(Q913),,VLOOKUP(X913,Week1,2,FALSE)/(VLOOKUP(X913,Week1,2,FALSE)+VLOOKUP(W913,Week1,2,FALSE)))*100)</f>
        <v/>
      </c>
      <c r="Z913" s="4"/>
      <c r="AA913" s="3"/>
      <c r="AB913" s="4" t="str">
        <f t="shared" si="20"/>
        <v/>
      </c>
      <c r="AC913" s="3"/>
      <c r="AD913" s="3"/>
      <c r="AE913" s="3" t="str">
        <f t="shared" si="13"/>
        <v/>
      </c>
      <c r="AF913" s="3"/>
      <c r="AG913" s="3" t="str">
        <f t="shared" si="133"/>
        <v/>
      </c>
      <c r="AH913" s="3"/>
      <c r="AI913" s="7"/>
      <c r="AJ913" s="4"/>
      <c r="AK913" s="7"/>
      <c r="AL913" s="7"/>
      <c r="AM913" s="7"/>
      <c r="AN913" s="7"/>
      <c r="AO913" s="7"/>
      <c r="AP913" s="7"/>
      <c r="AQ913" s="7"/>
      <c r="AR913" s="7"/>
      <c r="AS913" s="7"/>
      <c r="AT913" s="7"/>
      <c r="AU913" s="7"/>
      <c r="AV913" s="7"/>
      <c r="AW913" s="7"/>
      <c r="AX913" s="7"/>
    </row>
    <row r="914" ht="12.75" customHeight="1">
      <c r="A914" s="4"/>
      <c r="B914" s="4"/>
      <c r="C914" s="4"/>
      <c r="D914" s="4"/>
      <c r="E914" s="4" t="str">
        <f>IF(ISBLANK(B914),,IFERROR(VLOOKUP(B914,CurrentRank!$B$2:$C$132,2,FALSE),0))</f>
        <v/>
      </c>
      <c r="F914" s="4"/>
      <c r="G914" s="4" t="str">
        <f>IF(ISBLANK(B914),,IFERROR(VLOOKUP(B914,CurrentRank!$B$2:$D$132,3,FALSE),130))</f>
        <v/>
      </c>
      <c r="H914" s="4"/>
      <c r="I914" s="4" t="str">
        <f>IF(ISBLANK(B914),,IFERROR(VLOOKUP(C914,CurrentRank!$B$2:$C$132,2,FALSE),0))</f>
        <v/>
      </c>
      <c r="J914" s="4"/>
      <c r="K914" s="4" t="str">
        <f>IF(ISBLANK(C914),,IFERROR(VLOOKUP(C914,CurrentRank!$B$2:$D$132,3,FALSE),130))</f>
        <v/>
      </c>
      <c r="L914" s="19" t="str">
        <f t="shared" si="279"/>
        <v/>
      </c>
      <c r="M914" s="19" t="str">
        <f t="shared" si="280"/>
        <v/>
      </c>
      <c r="N914" s="24" t="str">
        <f t="shared" si="276"/>
        <v/>
      </c>
      <c r="O914" s="21" t="str">
        <f t="shared" si="4"/>
        <v/>
      </c>
      <c r="P914" s="21" t="str">
        <f t="shared" si="282"/>
        <v/>
      </c>
      <c r="Q914" s="22" t="str">
        <f t="shared" si="6"/>
        <v/>
      </c>
      <c r="R914" s="25" t="str">
        <f t="shared" si="7"/>
        <v/>
      </c>
      <c r="S914" s="19" t="str">
        <f t="shared" si="8"/>
        <v/>
      </c>
      <c r="T914" s="19" t="str">
        <f t="shared" si="9"/>
        <v/>
      </c>
      <c r="U914" s="3"/>
      <c r="V914" s="4" t="str">
        <f>IF(ISBLANK(C914),,IFERROR(IF(VLOOKUP(B914,Standings!$A:$F, 6, 0)=VLOOKUP(C914,Standings!$A:$F, 6, 0), VLOOKUP(B914,Standings!$A:$F, 6, 0), "Non-con"), "FCS"))</f>
        <v/>
      </c>
      <c r="W914" s="3" t="str">
        <f t="shared" si="10"/>
        <v/>
      </c>
      <c r="X914" s="3" t="str">
        <f t="shared" si="11"/>
        <v/>
      </c>
      <c r="Y914" s="30" t="str">
        <f>IF(D914=0,,IF(ISBLANK(Q914),,VLOOKUP(X914,Week1,2,FALSE)/(VLOOKUP(X914,Week1,2,FALSE)+VLOOKUP(W914,Week1,2,FALSE)))*100)</f>
        <v/>
      </c>
      <c r="Z914" s="4"/>
      <c r="AA914" s="3"/>
      <c r="AB914" s="4" t="str">
        <f t="shared" si="20"/>
        <v/>
      </c>
      <c r="AC914" s="3"/>
      <c r="AD914" s="3"/>
      <c r="AE914" s="3" t="str">
        <f t="shared" si="13"/>
        <v/>
      </c>
      <c r="AF914" s="3"/>
      <c r="AG914" s="3" t="str">
        <f t="shared" si="133"/>
        <v/>
      </c>
      <c r="AH914" s="3"/>
      <c r="AI914" s="7"/>
      <c r="AJ914" s="4"/>
      <c r="AK914" s="7"/>
      <c r="AL914" s="7"/>
      <c r="AM914" s="7"/>
      <c r="AN914" s="7"/>
      <c r="AO914" s="7"/>
      <c r="AP914" s="7"/>
      <c r="AQ914" s="7"/>
      <c r="AR914" s="7"/>
      <c r="AS914" s="7"/>
      <c r="AT914" s="7"/>
      <c r="AU914" s="7"/>
      <c r="AV914" s="7"/>
      <c r="AW914" s="7"/>
      <c r="AX914" s="7"/>
    </row>
    <row r="915" ht="12.75" customHeight="1">
      <c r="A915" s="4"/>
      <c r="B915" s="4"/>
      <c r="C915" s="4"/>
      <c r="D915" s="4"/>
      <c r="E915" s="4" t="str">
        <f>IF(ISBLANK(B915),,IFERROR(VLOOKUP(B915,CurrentRank!$B$2:$C$132,2,FALSE),0))</f>
        <v/>
      </c>
      <c r="F915" s="4"/>
      <c r="G915" s="4" t="str">
        <f>IF(ISBLANK(B915),,IFERROR(VLOOKUP(B915,CurrentRank!$B$2:$D$132,3,FALSE),130))</f>
        <v/>
      </c>
      <c r="H915" s="4"/>
      <c r="I915" s="4" t="str">
        <f>IF(ISBLANK(B915),,IFERROR(VLOOKUP(C915,CurrentRank!$B$2:$C$132,2,FALSE),0))</f>
        <v/>
      </c>
      <c r="J915" s="4"/>
      <c r="K915" s="4" t="str">
        <f>IF(ISBLANK(C915),,IFERROR(VLOOKUP(C915,CurrentRank!$B$2:$D$132,3,FALSE),130))</f>
        <v/>
      </c>
      <c r="L915" s="19" t="str">
        <f t="shared" si="279"/>
        <v/>
      </c>
      <c r="M915" s="19" t="str">
        <f t="shared" si="280"/>
        <v/>
      </c>
      <c r="N915" s="24" t="str">
        <f t="shared" si="276"/>
        <v/>
      </c>
      <c r="O915" s="21" t="str">
        <f t="shared" si="4"/>
        <v/>
      </c>
      <c r="P915" s="21" t="str">
        <f t="shared" si="282"/>
        <v/>
      </c>
      <c r="Q915" s="22" t="str">
        <f t="shared" si="6"/>
        <v/>
      </c>
      <c r="R915" s="25" t="str">
        <f t="shared" si="7"/>
        <v/>
      </c>
      <c r="S915" s="19" t="str">
        <f t="shared" si="8"/>
        <v/>
      </c>
      <c r="T915" s="19" t="str">
        <f t="shared" si="9"/>
        <v/>
      </c>
      <c r="U915" s="3"/>
      <c r="V915" s="4" t="str">
        <f>IF(ISBLANK(C915),,IFERROR(IF(VLOOKUP(B915,Standings!$A:$F, 6, 0)=VLOOKUP(C915,Standings!$A:$F, 6, 0), VLOOKUP(B915,Standings!$A:$F, 6, 0), "Non-con"), "FCS"))</f>
        <v/>
      </c>
      <c r="W915" s="3" t="str">
        <f t="shared" si="10"/>
        <v/>
      </c>
      <c r="X915" s="3" t="str">
        <f t="shared" si="11"/>
        <v/>
      </c>
      <c r="Y915" s="30" t="str">
        <f>IF(D915=0,,IF(ISBLANK(Q915),,VLOOKUP(X915,Week1,2,FALSE)/(VLOOKUP(X915,Week1,2,FALSE)+VLOOKUP(W915,Week1,2,FALSE)))*100)</f>
        <v/>
      </c>
      <c r="Z915" s="4"/>
      <c r="AA915" s="3"/>
      <c r="AB915" s="4" t="str">
        <f t="shared" si="20"/>
        <v/>
      </c>
      <c r="AC915" s="3"/>
      <c r="AD915" s="3"/>
      <c r="AE915" s="3" t="str">
        <f t="shared" si="13"/>
        <v/>
      </c>
      <c r="AF915" s="3"/>
      <c r="AG915" s="3" t="str">
        <f t="shared" si="133"/>
        <v/>
      </c>
      <c r="AH915" s="3"/>
      <c r="AI915" s="7"/>
      <c r="AJ915" s="4"/>
      <c r="AK915" s="7"/>
      <c r="AL915" s="7"/>
      <c r="AM915" s="7"/>
      <c r="AN915" s="7"/>
      <c r="AO915" s="7"/>
      <c r="AP915" s="7"/>
      <c r="AQ915" s="7"/>
      <c r="AR915" s="7"/>
      <c r="AS915" s="7"/>
      <c r="AT915" s="7"/>
      <c r="AU915" s="7"/>
      <c r="AV915" s="7"/>
      <c r="AW915" s="7"/>
      <c r="AX915" s="7"/>
    </row>
    <row r="916" ht="12.75" customHeight="1">
      <c r="A916" s="4"/>
      <c r="B916" s="4"/>
      <c r="C916" s="4"/>
      <c r="D916" s="4"/>
      <c r="E916" s="4" t="str">
        <f>IF(ISBLANK(B916),,IFERROR(VLOOKUP(B916,CurrentRank!$B$2:$C$132,2,FALSE),0))</f>
        <v/>
      </c>
      <c r="F916" s="4"/>
      <c r="G916" s="4" t="str">
        <f>IF(ISBLANK(B916),,IFERROR(VLOOKUP(B916,CurrentRank!$B$2:$D$132,3,FALSE),130))</f>
        <v/>
      </c>
      <c r="H916" s="4"/>
      <c r="I916" s="4" t="str">
        <f>IF(ISBLANK(B916),,IFERROR(VLOOKUP(C916,CurrentRank!$B$2:$C$132,2,FALSE),0))</f>
        <v/>
      </c>
      <c r="J916" s="4"/>
      <c r="K916" s="4" t="str">
        <f>IF(ISBLANK(C916),,IFERROR(VLOOKUP(C916,CurrentRank!$B$2:$D$132,3,FALSE),130))</f>
        <v/>
      </c>
      <c r="L916" s="19" t="str">
        <f t="shared" si="279"/>
        <v/>
      </c>
      <c r="M916" s="19" t="str">
        <f t="shared" si="280"/>
        <v/>
      </c>
      <c r="N916" s="24" t="str">
        <f t="shared" si="276"/>
        <v/>
      </c>
      <c r="O916" s="21" t="str">
        <f t="shared" si="4"/>
        <v/>
      </c>
      <c r="P916" s="21" t="str">
        <f t="shared" si="282"/>
        <v/>
      </c>
      <c r="Q916" s="22" t="str">
        <f t="shared" si="6"/>
        <v/>
      </c>
      <c r="R916" s="25" t="str">
        <f t="shared" si="7"/>
        <v/>
      </c>
      <c r="S916" s="19" t="str">
        <f t="shared" si="8"/>
        <v/>
      </c>
      <c r="T916" s="19" t="str">
        <f t="shared" si="9"/>
        <v/>
      </c>
      <c r="U916" s="3"/>
      <c r="V916" s="4" t="str">
        <f>IF(ISBLANK(C916),,IFERROR(IF(VLOOKUP(B916,Standings!$A:$F, 6, 0)=VLOOKUP(C916,Standings!$A:$F, 6, 0), VLOOKUP(B916,Standings!$A:$F, 6, 0), "Non-con"), "FCS"))</f>
        <v/>
      </c>
      <c r="W916" s="3" t="str">
        <f t="shared" si="10"/>
        <v/>
      </c>
      <c r="X916" s="3" t="str">
        <f t="shared" si="11"/>
        <v/>
      </c>
      <c r="Y916" s="30" t="str">
        <f>IF(D916=0,,IF(ISBLANK(Q916),,VLOOKUP(X916,Week1,2,FALSE)/(VLOOKUP(X916,Week1,2,FALSE)+VLOOKUP(W916,Week1,2,FALSE)))*100)</f>
        <v/>
      </c>
      <c r="Z916" s="4"/>
      <c r="AA916" s="3"/>
      <c r="AB916" s="4" t="str">
        <f t="shared" si="20"/>
        <v/>
      </c>
      <c r="AC916" s="3"/>
      <c r="AD916" s="3"/>
      <c r="AE916" s="3" t="str">
        <f t="shared" si="13"/>
        <v/>
      </c>
      <c r="AF916" s="3"/>
      <c r="AG916" s="3" t="str">
        <f t="shared" si="133"/>
        <v/>
      </c>
      <c r="AH916" s="3"/>
      <c r="AI916" s="7"/>
      <c r="AJ916" s="4"/>
      <c r="AK916" s="7"/>
      <c r="AL916" s="7"/>
      <c r="AM916" s="7"/>
      <c r="AN916" s="7"/>
      <c r="AO916" s="7"/>
      <c r="AP916" s="7"/>
      <c r="AQ916" s="7"/>
      <c r="AR916" s="7"/>
      <c r="AS916" s="7"/>
      <c r="AT916" s="7"/>
      <c r="AU916" s="7"/>
      <c r="AV916" s="7"/>
      <c r="AW916" s="7"/>
      <c r="AX916" s="7"/>
    </row>
    <row r="917" ht="12.75" customHeight="1">
      <c r="A917" s="4"/>
      <c r="B917" s="4"/>
      <c r="C917" s="4"/>
      <c r="D917" s="4"/>
      <c r="E917" s="4" t="str">
        <f>IF(ISBLANK(B917),,IFERROR(VLOOKUP(B917,CurrentRank!$B$2:$C$132,2,FALSE),0))</f>
        <v/>
      </c>
      <c r="F917" s="4"/>
      <c r="G917" s="4" t="str">
        <f>IF(ISBLANK(B917),,IFERROR(VLOOKUP(B917,CurrentRank!$B$2:$D$132,3,FALSE),130))</f>
        <v/>
      </c>
      <c r="H917" s="4"/>
      <c r="I917" s="4" t="str">
        <f>IF(ISBLANK(B917),,IFERROR(VLOOKUP(C917,CurrentRank!$B$2:$C$132,2,FALSE),0))</f>
        <v/>
      </c>
      <c r="J917" s="4"/>
      <c r="K917" s="4" t="str">
        <f>IF(ISBLANK(C917),,IFERROR(VLOOKUP(C917,CurrentRank!$B$2:$D$132,3,FALSE),130))</f>
        <v/>
      </c>
      <c r="L917" s="19" t="str">
        <f t="shared" si="279"/>
        <v/>
      </c>
      <c r="M917" s="19" t="str">
        <f t="shared" si="280"/>
        <v/>
      </c>
      <c r="N917" s="24" t="str">
        <f t="shared" si="276"/>
        <v/>
      </c>
      <c r="O917" s="21" t="str">
        <f t="shared" si="4"/>
        <v/>
      </c>
      <c r="P917" s="21" t="str">
        <f t="shared" si="282"/>
        <v/>
      </c>
      <c r="Q917" s="22" t="str">
        <f t="shared" si="6"/>
        <v/>
      </c>
      <c r="R917" s="25" t="str">
        <f t="shared" si="7"/>
        <v/>
      </c>
      <c r="S917" s="19" t="str">
        <f t="shared" si="8"/>
        <v/>
      </c>
      <c r="T917" s="19" t="str">
        <f t="shared" si="9"/>
        <v/>
      </c>
      <c r="U917" s="3"/>
      <c r="V917" s="4" t="str">
        <f>IF(ISBLANK(C917),,IFERROR(IF(VLOOKUP(B917,Standings!$A:$F, 6, 0)=VLOOKUP(C917,Standings!$A:$F, 6, 0), VLOOKUP(B917,Standings!$A:$F, 6, 0), "Non-con"), "FCS"))</f>
        <v/>
      </c>
      <c r="W917" s="3" t="str">
        <f t="shared" si="10"/>
        <v/>
      </c>
      <c r="X917" s="3" t="str">
        <f t="shared" si="11"/>
        <v/>
      </c>
      <c r="Y917" s="30" t="str">
        <f>IF(D917=0,,IF(ISBLANK(Q917),,VLOOKUP(X917,Week1,2,FALSE)/(VLOOKUP(X917,Week1,2,FALSE)+VLOOKUP(W917,Week1,2,FALSE)))*100)</f>
        <v/>
      </c>
      <c r="Z917" s="4"/>
      <c r="AA917" s="3"/>
      <c r="AB917" s="4" t="str">
        <f t="shared" si="20"/>
        <v/>
      </c>
      <c r="AC917" s="3"/>
      <c r="AD917" s="3"/>
      <c r="AE917" s="3" t="str">
        <f t="shared" si="13"/>
        <v/>
      </c>
      <c r="AF917" s="3"/>
      <c r="AG917" s="3" t="str">
        <f t="shared" si="133"/>
        <v/>
      </c>
      <c r="AH917" s="3"/>
      <c r="AI917" s="7"/>
      <c r="AJ917" s="4"/>
      <c r="AK917" s="7"/>
      <c r="AL917" s="7"/>
      <c r="AM917" s="7"/>
      <c r="AN917" s="7"/>
      <c r="AO917" s="7"/>
      <c r="AP917" s="7"/>
      <c r="AQ917" s="7"/>
      <c r="AR917" s="7"/>
      <c r="AS917" s="7"/>
      <c r="AT917" s="7"/>
      <c r="AU917" s="7"/>
      <c r="AV917" s="7"/>
      <c r="AW917" s="7"/>
      <c r="AX917" s="7"/>
    </row>
    <row r="918" ht="12.75" customHeight="1">
      <c r="A918" s="4"/>
      <c r="B918" s="4"/>
      <c r="C918" s="4"/>
      <c r="D918" s="4"/>
      <c r="E918" s="4" t="str">
        <f>IF(ISBLANK(B918),,IFERROR(VLOOKUP(B918,CurrentRank!$B$2:$C$132,2,FALSE),0))</f>
        <v/>
      </c>
      <c r="F918" s="4"/>
      <c r="G918" s="4" t="str">
        <f>IF(ISBLANK(B918),,IFERROR(VLOOKUP(B918,CurrentRank!$B$2:$D$132,3,FALSE),130))</f>
        <v/>
      </c>
      <c r="H918" s="4"/>
      <c r="I918" s="4" t="str">
        <f>IF(ISBLANK(B918),,IFERROR(VLOOKUP(C918,CurrentRank!$B$2:$C$132,2,FALSE),0))</f>
        <v/>
      </c>
      <c r="J918" s="4"/>
      <c r="K918" s="4" t="str">
        <f>IF(ISBLANK(C918),,IFERROR(VLOOKUP(C918,CurrentRank!$B$2:$D$132,3,FALSE),130))</f>
        <v/>
      </c>
      <c r="L918" s="19" t="str">
        <f t="shared" si="279"/>
        <v/>
      </c>
      <c r="M918" s="19" t="str">
        <f t="shared" si="280"/>
        <v/>
      </c>
      <c r="N918" s="24" t="str">
        <f t="shared" si="276"/>
        <v/>
      </c>
      <c r="O918" s="21" t="str">
        <f t="shared" si="4"/>
        <v/>
      </c>
      <c r="P918" s="21" t="str">
        <f t="shared" si="282"/>
        <v/>
      </c>
      <c r="Q918" s="22" t="str">
        <f t="shared" si="6"/>
        <v/>
      </c>
      <c r="R918" s="25" t="str">
        <f t="shared" si="7"/>
        <v/>
      </c>
      <c r="S918" s="19" t="str">
        <f t="shared" si="8"/>
        <v/>
      </c>
      <c r="T918" s="19" t="str">
        <f t="shared" si="9"/>
        <v/>
      </c>
      <c r="U918" s="3"/>
      <c r="V918" s="4" t="str">
        <f>IF(ISBLANK(C918),,IFERROR(IF(VLOOKUP(B918,Standings!$A:$F, 6, 0)=VLOOKUP(C918,Standings!$A:$F, 6, 0), VLOOKUP(B918,Standings!$A:$F, 6, 0), "Non-con"), "FCS"))</f>
        <v/>
      </c>
      <c r="W918" s="3" t="str">
        <f t="shared" si="10"/>
        <v/>
      </c>
      <c r="X918" s="3" t="str">
        <f t="shared" si="11"/>
        <v/>
      </c>
      <c r="Y918" s="30" t="str">
        <f>IF(D918=0,,IF(ISBLANK(Q918),,VLOOKUP(X918,Week1,2,FALSE)/(VLOOKUP(X918,Week1,2,FALSE)+VLOOKUP(W918,Week1,2,FALSE)))*100)</f>
        <v/>
      </c>
      <c r="Z918" s="4"/>
      <c r="AA918" s="3"/>
      <c r="AB918" s="4" t="str">
        <f t="shared" si="20"/>
        <v/>
      </c>
      <c r="AC918" s="3"/>
      <c r="AD918" s="3"/>
      <c r="AE918" s="3" t="str">
        <f t="shared" si="13"/>
        <v/>
      </c>
      <c r="AF918" s="3"/>
      <c r="AG918" s="3" t="str">
        <f t="shared" si="133"/>
        <v/>
      </c>
      <c r="AH918" s="3"/>
      <c r="AI918" s="7"/>
      <c r="AJ918" s="4"/>
      <c r="AK918" s="7"/>
      <c r="AL918" s="7"/>
      <c r="AM918" s="7"/>
      <c r="AN918" s="7"/>
      <c r="AO918" s="7"/>
      <c r="AP918" s="7"/>
      <c r="AQ918" s="7"/>
      <c r="AR918" s="7"/>
      <c r="AS918" s="7"/>
      <c r="AT918" s="7"/>
      <c r="AU918" s="7"/>
      <c r="AV918" s="7"/>
      <c r="AW918" s="7"/>
      <c r="AX918" s="7"/>
    </row>
    <row r="919" ht="12.75" customHeight="1">
      <c r="A919" s="4"/>
      <c r="B919" s="4"/>
      <c r="C919" s="4"/>
      <c r="D919" s="4"/>
      <c r="E919" s="4" t="str">
        <f>IF(ISBLANK(B919),,IFERROR(VLOOKUP(B919,CurrentRank!$B$2:$C$132,2,FALSE),0))</f>
        <v/>
      </c>
      <c r="F919" s="4"/>
      <c r="G919" s="4" t="str">
        <f>IF(ISBLANK(B919),,IFERROR(VLOOKUP(B919,CurrentRank!$B$2:$D$132,3,FALSE),130))</f>
        <v/>
      </c>
      <c r="H919" s="4"/>
      <c r="I919" s="4" t="str">
        <f>IF(ISBLANK(B919),,IFERROR(VLOOKUP(C919,CurrentRank!$B$2:$C$132,2,FALSE),0))</f>
        <v/>
      </c>
      <c r="J919" s="4"/>
      <c r="K919" s="4" t="str">
        <f>IF(ISBLANK(C919),,IFERROR(VLOOKUP(C919,CurrentRank!$B$2:$D$132,3,FALSE),130))</f>
        <v/>
      </c>
      <c r="L919" s="19" t="str">
        <f t="shared" si="279"/>
        <v/>
      </c>
      <c r="M919" s="19" t="str">
        <f t="shared" si="280"/>
        <v/>
      </c>
      <c r="N919" s="24" t="str">
        <f t="shared" si="276"/>
        <v/>
      </c>
      <c r="O919" s="21" t="str">
        <f t="shared" si="4"/>
        <v/>
      </c>
      <c r="P919" s="21" t="str">
        <f t="shared" si="282"/>
        <v/>
      </c>
      <c r="Q919" s="22" t="str">
        <f t="shared" si="6"/>
        <v/>
      </c>
      <c r="R919" s="25" t="str">
        <f t="shared" si="7"/>
        <v/>
      </c>
      <c r="S919" s="19" t="str">
        <f t="shared" si="8"/>
        <v/>
      </c>
      <c r="T919" s="19" t="str">
        <f t="shared" si="9"/>
        <v/>
      </c>
      <c r="U919" s="3"/>
      <c r="V919" s="4" t="str">
        <f>IF(ISBLANK(C919),,IFERROR(IF(VLOOKUP(B919,Standings!$A:$F, 6, 0)=VLOOKUP(C919,Standings!$A:$F, 6, 0), VLOOKUP(B919,Standings!$A:$F, 6, 0), "Non-con"), "FCS"))</f>
        <v/>
      </c>
      <c r="W919" s="3" t="str">
        <f t="shared" si="10"/>
        <v/>
      </c>
      <c r="X919" s="3" t="str">
        <f t="shared" si="11"/>
        <v/>
      </c>
      <c r="Y919" s="30" t="str">
        <f>IF(D919=0,,IF(ISBLANK(Q919),,VLOOKUP(X919,Week1,2,FALSE)/(VLOOKUP(X919,Week1,2,FALSE)+VLOOKUP(W919,Week1,2,FALSE)))*100)</f>
        <v/>
      </c>
      <c r="Z919" s="4"/>
      <c r="AA919" s="3"/>
      <c r="AB919" s="4" t="str">
        <f t="shared" si="20"/>
        <v/>
      </c>
      <c r="AC919" s="3"/>
      <c r="AD919" s="3"/>
      <c r="AE919" s="3" t="str">
        <f t="shared" si="13"/>
        <v/>
      </c>
      <c r="AF919" s="3"/>
      <c r="AG919" s="3" t="str">
        <f t="shared" si="133"/>
        <v/>
      </c>
      <c r="AH919" s="3"/>
      <c r="AI919" s="7"/>
      <c r="AJ919" s="4"/>
      <c r="AK919" s="7"/>
      <c r="AL919" s="7"/>
      <c r="AM919" s="7"/>
      <c r="AN919" s="7"/>
      <c r="AO919" s="7"/>
      <c r="AP919" s="7"/>
      <c r="AQ919" s="7"/>
      <c r="AR919" s="7"/>
      <c r="AS919" s="7"/>
      <c r="AT919" s="7"/>
      <c r="AU919" s="7"/>
      <c r="AV919" s="7"/>
      <c r="AW919" s="7"/>
      <c r="AX919" s="7"/>
    </row>
    <row r="920" ht="12.75" customHeight="1">
      <c r="A920" s="4"/>
      <c r="B920" s="4"/>
      <c r="C920" s="4"/>
      <c r="D920" s="4"/>
      <c r="E920" s="4" t="str">
        <f>IF(ISBLANK(B920),,IFERROR(VLOOKUP(B920,CurrentRank!$B$2:$C$132,2,FALSE),0))</f>
        <v/>
      </c>
      <c r="F920" s="4"/>
      <c r="G920" s="4" t="str">
        <f>IF(ISBLANK(B920),,IFERROR(VLOOKUP(B920,CurrentRank!$B$2:$D$132,3,FALSE),130))</f>
        <v/>
      </c>
      <c r="H920" s="4"/>
      <c r="I920" s="4" t="str">
        <f>IF(ISBLANK(B920),,IFERROR(VLOOKUP(C920,CurrentRank!$B$2:$C$132,2,FALSE),0))</f>
        <v/>
      </c>
      <c r="J920" s="4"/>
      <c r="K920" s="4" t="str">
        <f>IF(ISBLANK(C920),,IFERROR(VLOOKUP(C920,CurrentRank!$B$2:$D$132,3,FALSE),130))</f>
        <v/>
      </c>
      <c r="L920" s="19" t="str">
        <f t="shared" si="279"/>
        <v/>
      </c>
      <c r="M920" s="19" t="str">
        <f t="shared" si="280"/>
        <v/>
      </c>
      <c r="N920" s="24" t="str">
        <f t="shared" si="276"/>
        <v/>
      </c>
      <c r="O920" s="21" t="str">
        <f t="shared" si="4"/>
        <v/>
      </c>
      <c r="P920" s="21" t="str">
        <f t="shared" si="282"/>
        <v/>
      </c>
      <c r="Q920" s="22" t="str">
        <f t="shared" si="6"/>
        <v/>
      </c>
      <c r="R920" s="25" t="str">
        <f t="shared" si="7"/>
        <v/>
      </c>
      <c r="S920" s="19" t="str">
        <f t="shared" si="8"/>
        <v/>
      </c>
      <c r="T920" s="19" t="str">
        <f t="shared" si="9"/>
        <v/>
      </c>
      <c r="U920" s="3"/>
      <c r="V920" s="4" t="str">
        <f>IF(ISBLANK(C920),,IFERROR(IF(VLOOKUP(B920,Standings!$A:$F, 6, 0)=VLOOKUP(C920,Standings!$A:$F, 6, 0), VLOOKUP(B920,Standings!$A:$F, 6, 0), "Non-con"), "FCS"))</f>
        <v/>
      </c>
      <c r="W920" s="3" t="str">
        <f t="shared" si="10"/>
        <v/>
      </c>
      <c r="X920" s="3" t="str">
        <f t="shared" si="11"/>
        <v/>
      </c>
      <c r="Y920" s="30" t="str">
        <f>IF(D920=0,,IF(ISBLANK(Q920),,VLOOKUP(X920,Week1,2,FALSE)/(VLOOKUP(X920,Week1,2,FALSE)+VLOOKUP(W920,Week1,2,FALSE)))*100)</f>
        <v/>
      </c>
      <c r="Z920" s="4"/>
      <c r="AA920" s="3"/>
      <c r="AB920" s="4" t="str">
        <f t="shared" si="20"/>
        <v/>
      </c>
      <c r="AC920" s="3"/>
      <c r="AD920" s="3"/>
      <c r="AE920" s="3" t="str">
        <f t="shared" si="13"/>
        <v/>
      </c>
      <c r="AF920" s="3"/>
      <c r="AG920" s="3" t="str">
        <f t="shared" si="133"/>
        <v/>
      </c>
      <c r="AH920" s="3"/>
      <c r="AI920" s="7"/>
      <c r="AJ920" s="4"/>
      <c r="AK920" s="7"/>
      <c r="AL920" s="7"/>
      <c r="AM920" s="7"/>
      <c r="AN920" s="7"/>
      <c r="AO920" s="7"/>
      <c r="AP920" s="7"/>
      <c r="AQ920" s="7"/>
      <c r="AR920" s="7"/>
      <c r="AS920" s="7"/>
      <c r="AT920" s="7"/>
      <c r="AU920" s="7"/>
      <c r="AV920" s="7"/>
      <c r="AW920" s="7"/>
      <c r="AX920" s="7"/>
    </row>
    <row r="921" ht="12.75" customHeight="1">
      <c r="A921" s="4"/>
      <c r="B921" s="4"/>
      <c r="C921" s="4"/>
      <c r="D921" s="4"/>
      <c r="E921" s="4" t="str">
        <f>IF(ISBLANK(B921),,IFERROR(VLOOKUP(B921,CurrentRank!$B$2:$C$132,2,FALSE),0))</f>
        <v/>
      </c>
      <c r="F921" s="4"/>
      <c r="G921" s="4" t="str">
        <f>IF(ISBLANK(B921),,IFERROR(VLOOKUP(B921,CurrentRank!$B$2:$D$132,3,FALSE),130))</f>
        <v/>
      </c>
      <c r="H921" s="4"/>
      <c r="I921" s="4" t="str">
        <f>IF(ISBLANK(B921),,IFERROR(VLOOKUP(C921,CurrentRank!$B$2:$C$132,2,FALSE),0))</f>
        <v/>
      </c>
      <c r="J921" s="4"/>
      <c r="K921" s="4" t="str">
        <f>IF(ISBLANK(C921),,IFERROR(VLOOKUP(C921,CurrentRank!$B$2:$D$132,3,FALSE),130))</f>
        <v/>
      </c>
      <c r="L921" s="19" t="str">
        <f t="shared" si="279"/>
        <v/>
      </c>
      <c r="M921" s="19" t="str">
        <f t="shared" si="280"/>
        <v/>
      </c>
      <c r="N921" s="24" t="str">
        <f t="shared" si="276"/>
        <v/>
      </c>
      <c r="O921" s="21" t="str">
        <f t="shared" si="4"/>
        <v/>
      </c>
      <c r="P921" s="21" t="str">
        <f t="shared" si="282"/>
        <v/>
      </c>
      <c r="Q921" s="22" t="str">
        <f t="shared" si="6"/>
        <v/>
      </c>
      <c r="R921" s="25" t="str">
        <f t="shared" si="7"/>
        <v/>
      </c>
      <c r="S921" s="19" t="str">
        <f t="shared" si="8"/>
        <v/>
      </c>
      <c r="T921" s="19" t="str">
        <f t="shared" si="9"/>
        <v/>
      </c>
      <c r="U921" s="3"/>
      <c r="V921" s="4" t="str">
        <f>IF(ISBLANK(C921),,IFERROR(IF(VLOOKUP(B921,Standings!$A:$F, 6, 0)=VLOOKUP(C921,Standings!$A:$F, 6, 0), VLOOKUP(B921,Standings!$A:$F, 6, 0), "Non-con"), "FCS"))</f>
        <v/>
      </c>
      <c r="W921" s="3" t="str">
        <f t="shared" si="10"/>
        <v/>
      </c>
      <c r="X921" s="3" t="str">
        <f t="shared" si="11"/>
        <v/>
      </c>
      <c r="Y921" s="30" t="str">
        <f>IF(D921=0,,IF(ISBLANK(Q921),,VLOOKUP(X921,Week1,2,FALSE)/(VLOOKUP(X921,Week1,2,FALSE)+VLOOKUP(W921,Week1,2,FALSE)))*100)</f>
        <v/>
      </c>
      <c r="Z921" s="4"/>
      <c r="AA921" s="3"/>
      <c r="AB921" s="4" t="str">
        <f t="shared" si="20"/>
        <v/>
      </c>
      <c r="AC921" s="3"/>
      <c r="AD921" s="3"/>
      <c r="AE921" s="3" t="str">
        <f t="shared" si="13"/>
        <v/>
      </c>
      <c r="AF921" s="3"/>
      <c r="AG921" s="3" t="str">
        <f t="shared" si="133"/>
        <v/>
      </c>
      <c r="AH921" s="3"/>
      <c r="AI921" s="7"/>
      <c r="AJ921" s="4"/>
      <c r="AK921" s="7"/>
      <c r="AL921" s="7"/>
      <c r="AM921" s="7"/>
      <c r="AN921" s="7"/>
      <c r="AO921" s="7"/>
      <c r="AP921" s="7"/>
      <c r="AQ921" s="7"/>
      <c r="AR921" s="7"/>
      <c r="AS921" s="7"/>
      <c r="AT921" s="7"/>
      <c r="AU921" s="7"/>
      <c r="AV921" s="7"/>
      <c r="AW921" s="7"/>
      <c r="AX921" s="7"/>
    </row>
    <row r="922" ht="12.75" customHeight="1">
      <c r="A922" s="4"/>
      <c r="B922" s="4"/>
      <c r="C922" s="4"/>
      <c r="D922" s="4"/>
      <c r="E922" s="4" t="str">
        <f>IF(ISBLANK(B922),,IFERROR(VLOOKUP(B922,CurrentRank!$B$2:$C$132,2,FALSE),0))</f>
        <v/>
      </c>
      <c r="F922" s="4"/>
      <c r="G922" s="4" t="str">
        <f>IF(ISBLANK(B922),,IFERROR(VLOOKUP(B922,CurrentRank!$B$2:$D$132,3,FALSE),130))</f>
        <v/>
      </c>
      <c r="H922" s="4"/>
      <c r="I922" s="4" t="str">
        <f>IF(ISBLANK(B922),,IFERROR(VLOOKUP(C922,CurrentRank!$B$2:$C$132,2,FALSE),0))</f>
        <v/>
      </c>
      <c r="J922" s="4"/>
      <c r="K922" s="4" t="str">
        <f>IF(ISBLANK(C922),,IFERROR(VLOOKUP(C922,CurrentRank!$B$2:$D$132,3,FALSE),130))</f>
        <v/>
      </c>
      <c r="L922" s="19" t="str">
        <f t="shared" si="279"/>
        <v/>
      </c>
      <c r="M922" s="19" t="str">
        <f t="shared" si="280"/>
        <v/>
      </c>
      <c r="N922" s="24" t="str">
        <f t="shared" si="276"/>
        <v/>
      </c>
      <c r="O922" s="21" t="str">
        <f t="shared" si="4"/>
        <v/>
      </c>
      <c r="P922" s="21" t="str">
        <f t="shared" si="282"/>
        <v/>
      </c>
      <c r="Q922" s="22" t="str">
        <f t="shared" si="6"/>
        <v/>
      </c>
      <c r="R922" s="25" t="str">
        <f t="shared" si="7"/>
        <v/>
      </c>
      <c r="S922" s="19" t="str">
        <f t="shared" si="8"/>
        <v/>
      </c>
      <c r="T922" s="19" t="str">
        <f t="shared" si="9"/>
        <v/>
      </c>
      <c r="U922" s="3"/>
      <c r="V922" s="4" t="str">
        <f>IF(ISBLANK(C922),,IFERROR(IF(VLOOKUP(B922,Standings!$A:$F, 6, 0)=VLOOKUP(C922,Standings!$A:$F, 6, 0), VLOOKUP(B922,Standings!$A:$F, 6, 0), "Non-con"), "FCS"))</f>
        <v/>
      </c>
      <c r="W922" s="3" t="str">
        <f t="shared" si="10"/>
        <v/>
      </c>
      <c r="X922" s="3" t="str">
        <f t="shared" si="11"/>
        <v/>
      </c>
      <c r="Y922" s="30" t="str">
        <f>IF(D922=0,,IF(ISBLANK(Q922),,VLOOKUP(X922,Week1,2,FALSE)/(VLOOKUP(X922,Week1,2,FALSE)+VLOOKUP(W922,Week1,2,FALSE)))*100)</f>
        <v/>
      </c>
      <c r="Z922" s="4"/>
      <c r="AA922" s="3"/>
      <c r="AB922" s="4" t="str">
        <f t="shared" si="20"/>
        <v/>
      </c>
      <c r="AC922" s="3"/>
      <c r="AD922" s="3"/>
      <c r="AE922" s="3" t="str">
        <f t="shared" si="13"/>
        <v/>
      </c>
      <c r="AF922" s="3"/>
      <c r="AG922" s="3" t="str">
        <f t="shared" si="133"/>
        <v/>
      </c>
      <c r="AH922" s="3"/>
      <c r="AI922" s="7"/>
      <c r="AJ922" s="4"/>
      <c r="AK922" s="7"/>
      <c r="AL922" s="7"/>
      <c r="AM922" s="7"/>
      <c r="AN922" s="7"/>
      <c r="AO922" s="7"/>
      <c r="AP922" s="7"/>
      <c r="AQ922" s="7"/>
      <c r="AR922" s="7"/>
      <c r="AS922" s="7"/>
      <c r="AT922" s="7"/>
      <c r="AU922" s="7"/>
      <c r="AV922" s="7"/>
      <c r="AW922" s="7"/>
      <c r="AX922" s="7"/>
    </row>
    <row r="923" ht="12.75" customHeight="1">
      <c r="A923" s="4"/>
      <c r="B923" s="4"/>
      <c r="C923" s="4"/>
      <c r="D923" s="4"/>
      <c r="E923" s="4" t="str">
        <f>IF(ISBLANK(B923),,IFERROR(VLOOKUP(B923,CurrentRank!$B$2:$C$132,2,FALSE),0))</f>
        <v/>
      </c>
      <c r="F923" s="4"/>
      <c r="G923" s="4" t="str">
        <f>IF(ISBLANK(B923),,IFERROR(VLOOKUP(B923,CurrentRank!$B$2:$D$132,3,FALSE),130))</f>
        <v/>
      </c>
      <c r="H923" s="4"/>
      <c r="I923" s="4" t="str">
        <f>IF(ISBLANK(B923),,IFERROR(VLOOKUP(C923,CurrentRank!$B$2:$C$132,2,FALSE),0))</f>
        <v/>
      </c>
      <c r="J923" s="4"/>
      <c r="K923" s="4" t="str">
        <f>IF(ISBLANK(C923),,IFERROR(VLOOKUP(C923,CurrentRank!$B$2:$D$132,3,FALSE),130))</f>
        <v/>
      </c>
      <c r="L923" s="19" t="str">
        <f t="shared" si="279"/>
        <v/>
      </c>
      <c r="M923" s="19" t="str">
        <f t="shared" si="280"/>
        <v/>
      </c>
      <c r="N923" s="24" t="str">
        <f t="shared" si="276"/>
        <v/>
      </c>
      <c r="O923" s="21" t="str">
        <f t="shared" si="4"/>
        <v/>
      </c>
      <c r="P923" s="21" t="str">
        <f t="shared" si="282"/>
        <v/>
      </c>
      <c r="Q923" s="22" t="str">
        <f t="shared" si="6"/>
        <v/>
      </c>
      <c r="R923" s="25" t="str">
        <f t="shared" si="7"/>
        <v/>
      </c>
      <c r="S923" s="19" t="str">
        <f t="shared" si="8"/>
        <v/>
      </c>
      <c r="T923" s="19" t="str">
        <f t="shared" si="9"/>
        <v/>
      </c>
      <c r="U923" s="3"/>
      <c r="V923" s="4" t="str">
        <f>IF(ISBLANK(C923),,IFERROR(IF(VLOOKUP(B923,Standings!$A:$F, 6, 0)=VLOOKUP(C923,Standings!$A:$F, 6, 0), VLOOKUP(B923,Standings!$A:$F, 6, 0), "Non-con"), "FCS"))</f>
        <v/>
      </c>
      <c r="W923" s="3" t="str">
        <f t="shared" si="10"/>
        <v/>
      </c>
      <c r="X923" s="3" t="str">
        <f t="shared" si="11"/>
        <v/>
      </c>
      <c r="Y923" s="30" t="str">
        <f>IF(D923=0,,IF(ISBLANK(Q923),,VLOOKUP(X923,Week1,2,FALSE)/(VLOOKUP(X923,Week1,2,FALSE)+VLOOKUP(W923,Week1,2,FALSE)))*100)</f>
        <v/>
      </c>
      <c r="Z923" s="4"/>
      <c r="AA923" s="3"/>
      <c r="AB923" s="4" t="str">
        <f t="shared" si="20"/>
        <v/>
      </c>
      <c r="AC923" s="3"/>
      <c r="AD923" s="3"/>
      <c r="AE923" s="3" t="str">
        <f t="shared" si="13"/>
        <v/>
      </c>
      <c r="AF923" s="3"/>
      <c r="AG923" s="3" t="str">
        <f t="shared" si="133"/>
        <v/>
      </c>
      <c r="AH923" s="3"/>
      <c r="AI923" s="7"/>
      <c r="AJ923" s="4"/>
      <c r="AK923" s="7"/>
      <c r="AL923" s="7"/>
      <c r="AM923" s="7"/>
      <c r="AN923" s="7"/>
      <c r="AO923" s="7"/>
      <c r="AP923" s="7"/>
      <c r="AQ923" s="7"/>
      <c r="AR923" s="7"/>
      <c r="AS923" s="7"/>
      <c r="AT923" s="7"/>
      <c r="AU923" s="7"/>
      <c r="AV923" s="7"/>
      <c r="AW923" s="7"/>
      <c r="AX923" s="7"/>
    </row>
    <row r="924" ht="12.75" customHeight="1">
      <c r="A924" s="4"/>
      <c r="B924" s="4"/>
      <c r="C924" s="4"/>
      <c r="D924" s="4"/>
      <c r="E924" s="4" t="str">
        <f>IF(ISBLANK(B924),,IFERROR(VLOOKUP(B924,CurrentRank!$B$2:$C$132,2,FALSE),0))</f>
        <v/>
      </c>
      <c r="F924" s="4"/>
      <c r="G924" s="4" t="str">
        <f>IF(ISBLANK(B924),,IFERROR(VLOOKUP(B924,CurrentRank!$B$2:$D$132,3,FALSE),130))</f>
        <v/>
      </c>
      <c r="H924" s="4"/>
      <c r="I924" s="4" t="str">
        <f>IF(ISBLANK(B924),,IFERROR(VLOOKUP(C924,CurrentRank!$B$2:$C$132,2,FALSE),0))</f>
        <v/>
      </c>
      <c r="J924" s="4"/>
      <c r="K924" s="4" t="str">
        <f>IF(ISBLANK(C924),,IFERROR(VLOOKUP(C924,CurrentRank!$B$2:$D$132,3,FALSE),130))</f>
        <v/>
      </c>
      <c r="L924" s="19" t="str">
        <f t="shared" si="279"/>
        <v/>
      </c>
      <c r="M924" s="19" t="str">
        <f t="shared" si="280"/>
        <v/>
      </c>
      <c r="N924" s="24" t="str">
        <f t="shared" si="276"/>
        <v/>
      </c>
      <c r="O924" s="21" t="str">
        <f t="shared" si="4"/>
        <v/>
      </c>
      <c r="P924" s="21" t="str">
        <f t="shared" si="282"/>
        <v/>
      </c>
      <c r="Q924" s="22" t="str">
        <f t="shared" si="6"/>
        <v/>
      </c>
      <c r="R924" s="25" t="str">
        <f t="shared" si="7"/>
        <v/>
      </c>
      <c r="S924" s="19" t="str">
        <f t="shared" si="8"/>
        <v/>
      </c>
      <c r="T924" s="19" t="str">
        <f t="shared" si="9"/>
        <v/>
      </c>
      <c r="U924" s="3"/>
      <c r="V924" s="4" t="str">
        <f>IF(ISBLANK(C924),,IFERROR(IF(VLOOKUP(B924,Standings!$A:$F, 6, 0)=VLOOKUP(C924,Standings!$A:$F, 6, 0), VLOOKUP(B924,Standings!$A:$F, 6, 0), "Non-con"), "FCS"))</f>
        <v/>
      </c>
      <c r="W924" s="3" t="str">
        <f t="shared" si="10"/>
        <v/>
      </c>
      <c r="X924" s="3" t="str">
        <f t="shared" si="11"/>
        <v/>
      </c>
      <c r="Y924" s="30" t="str">
        <f>IF(D924=0,,IF(ISBLANK(Q924),,VLOOKUP(X924,Week1,2,FALSE)/(VLOOKUP(X924,Week1,2,FALSE)+VLOOKUP(W924,Week1,2,FALSE)))*100)</f>
        <v/>
      </c>
      <c r="Z924" s="4"/>
      <c r="AA924" s="3"/>
      <c r="AB924" s="4" t="str">
        <f t="shared" si="20"/>
        <v/>
      </c>
      <c r="AC924" s="3"/>
      <c r="AD924" s="3"/>
      <c r="AE924" s="3" t="str">
        <f t="shared" si="13"/>
        <v/>
      </c>
      <c r="AF924" s="3"/>
      <c r="AG924" s="3" t="str">
        <f t="shared" si="133"/>
        <v/>
      </c>
      <c r="AH924" s="3"/>
      <c r="AI924" s="7"/>
      <c r="AJ924" s="4"/>
      <c r="AK924" s="7"/>
      <c r="AL924" s="7"/>
      <c r="AM924" s="7"/>
      <c r="AN924" s="7"/>
      <c r="AO924" s="7"/>
      <c r="AP924" s="7"/>
      <c r="AQ924" s="7"/>
      <c r="AR924" s="7"/>
      <c r="AS924" s="7"/>
      <c r="AT924" s="7"/>
      <c r="AU924" s="7"/>
      <c r="AV924" s="7"/>
      <c r="AW924" s="7"/>
      <c r="AX924" s="7"/>
    </row>
    <row r="925" ht="12.75" customHeight="1">
      <c r="A925" s="4"/>
      <c r="B925" s="4"/>
      <c r="C925" s="4"/>
      <c r="D925" s="4"/>
      <c r="E925" s="4" t="str">
        <f>IF(ISBLANK(B925),,IFERROR(VLOOKUP(B925,CurrentRank!$B$2:$C$132,2,FALSE),0))</f>
        <v/>
      </c>
      <c r="F925" s="4"/>
      <c r="G925" s="4" t="str">
        <f>IF(ISBLANK(B925),,IFERROR(VLOOKUP(B925,CurrentRank!$B$2:$D$132,3,FALSE),130))</f>
        <v/>
      </c>
      <c r="H925" s="4"/>
      <c r="I925" s="4" t="str">
        <f>IF(ISBLANK(B925),,IFERROR(VLOOKUP(C925,CurrentRank!$B$2:$C$132,2,FALSE),0))</f>
        <v/>
      </c>
      <c r="J925" s="4"/>
      <c r="K925" s="4" t="str">
        <f>IF(ISBLANK(C925),,IFERROR(VLOOKUP(C925,CurrentRank!$B$2:$D$132,3,FALSE),130))</f>
        <v/>
      </c>
      <c r="L925" s="19" t="str">
        <f t="shared" si="279"/>
        <v/>
      </c>
      <c r="M925" s="19" t="str">
        <f t="shared" si="280"/>
        <v/>
      </c>
      <c r="N925" s="24" t="str">
        <f t="shared" si="276"/>
        <v/>
      </c>
      <c r="O925" s="21" t="str">
        <f t="shared" si="4"/>
        <v/>
      </c>
      <c r="P925" s="21" t="str">
        <f t="shared" si="282"/>
        <v/>
      </c>
      <c r="Q925" s="22" t="str">
        <f t="shared" si="6"/>
        <v/>
      </c>
      <c r="R925" s="25" t="str">
        <f t="shared" si="7"/>
        <v/>
      </c>
      <c r="S925" s="19" t="str">
        <f t="shared" si="8"/>
        <v/>
      </c>
      <c r="T925" s="19" t="str">
        <f t="shared" si="9"/>
        <v/>
      </c>
      <c r="U925" s="3"/>
      <c r="V925" s="4" t="str">
        <f>IF(ISBLANK(C925),,IFERROR(IF(VLOOKUP(B925,Standings!$A:$F, 6, 0)=VLOOKUP(C925,Standings!$A:$F, 6, 0), VLOOKUP(B925,Standings!$A:$F, 6, 0), "Non-con"), "FCS"))</f>
        <v/>
      </c>
      <c r="W925" s="3" t="str">
        <f t="shared" si="10"/>
        <v/>
      </c>
      <c r="X925" s="3" t="str">
        <f t="shared" si="11"/>
        <v/>
      </c>
      <c r="Y925" s="30" t="str">
        <f>IF(D925=0,,IF(ISBLANK(Q925),,VLOOKUP(X925,Week1,2,FALSE)/(VLOOKUP(X925,Week1,2,FALSE)+VLOOKUP(W925,Week1,2,FALSE)))*100)</f>
        <v/>
      </c>
      <c r="Z925" s="4"/>
      <c r="AA925" s="3"/>
      <c r="AB925" s="4" t="str">
        <f t="shared" si="20"/>
        <v/>
      </c>
      <c r="AC925" s="3"/>
      <c r="AD925" s="3"/>
      <c r="AE925" s="3" t="str">
        <f t="shared" si="13"/>
        <v/>
      </c>
      <c r="AF925" s="3"/>
      <c r="AG925" s="3" t="str">
        <f t="shared" si="133"/>
        <v/>
      </c>
      <c r="AH925" s="3"/>
      <c r="AI925" s="7"/>
      <c r="AJ925" s="4"/>
      <c r="AK925" s="7"/>
      <c r="AL925" s="7"/>
      <c r="AM925" s="7"/>
      <c r="AN925" s="7"/>
      <c r="AO925" s="7"/>
      <c r="AP925" s="7"/>
      <c r="AQ925" s="7"/>
      <c r="AR925" s="7"/>
      <c r="AS925" s="7"/>
      <c r="AT925" s="7"/>
      <c r="AU925" s="7"/>
      <c r="AV925" s="7"/>
      <c r="AW925" s="7"/>
      <c r="AX925" s="7"/>
    </row>
    <row r="926" ht="12.75" customHeight="1">
      <c r="A926" s="4"/>
      <c r="B926" s="4"/>
      <c r="C926" s="4"/>
      <c r="D926" s="4"/>
      <c r="E926" s="4" t="str">
        <f>IF(ISBLANK(B926),,IFERROR(VLOOKUP(B926,CurrentRank!$B$2:$C$132,2,FALSE),0))</f>
        <v/>
      </c>
      <c r="F926" s="4"/>
      <c r="G926" s="4" t="str">
        <f>IF(ISBLANK(B926),,IFERROR(VLOOKUP(B926,CurrentRank!$B$2:$D$132,3,FALSE),130))</f>
        <v/>
      </c>
      <c r="H926" s="4"/>
      <c r="I926" s="4" t="str">
        <f>IF(ISBLANK(B926),,IFERROR(VLOOKUP(C926,CurrentRank!$B$2:$C$132,2,FALSE),0))</f>
        <v/>
      </c>
      <c r="J926" s="4"/>
      <c r="K926" s="4" t="str">
        <f>IF(ISBLANK(C926),,IFERROR(VLOOKUP(C926,CurrentRank!$B$2:$D$132,3,FALSE),130))</f>
        <v/>
      </c>
      <c r="L926" s="19" t="str">
        <f t="shared" si="279"/>
        <v/>
      </c>
      <c r="M926" s="19" t="str">
        <f t="shared" si="280"/>
        <v/>
      </c>
      <c r="N926" s="24" t="str">
        <f t="shared" si="276"/>
        <v/>
      </c>
      <c r="O926" s="21" t="str">
        <f t="shared" si="4"/>
        <v/>
      </c>
      <c r="P926" s="21" t="str">
        <f t="shared" si="282"/>
        <v/>
      </c>
      <c r="Q926" s="22" t="str">
        <f t="shared" si="6"/>
        <v/>
      </c>
      <c r="R926" s="25" t="str">
        <f t="shared" si="7"/>
        <v/>
      </c>
      <c r="S926" s="19" t="str">
        <f t="shared" si="8"/>
        <v/>
      </c>
      <c r="T926" s="19" t="str">
        <f t="shared" si="9"/>
        <v/>
      </c>
      <c r="U926" s="3"/>
      <c r="V926" s="4" t="str">
        <f>IF(ISBLANK(C926),,IFERROR(IF(VLOOKUP(B926,Standings!$A:$F, 6, 0)=VLOOKUP(C926,Standings!$A:$F, 6, 0), VLOOKUP(B926,Standings!$A:$F, 6, 0), "Non-con"), "FCS"))</f>
        <v/>
      </c>
      <c r="W926" s="3" t="str">
        <f t="shared" si="10"/>
        <v/>
      </c>
      <c r="X926" s="3" t="str">
        <f t="shared" si="11"/>
        <v/>
      </c>
      <c r="Y926" s="30" t="str">
        <f>IF(D926=0,,IF(ISBLANK(Q926),,VLOOKUP(X926,Week1,2,FALSE)/(VLOOKUP(X926,Week1,2,FALSE)+VLOOKUP(W926,Week1,2,FALSE)))*100)</f>
        <v/>
      </c>
      <c r="Z926" s="4"/>
      <c r="AA926" s="3"/>
      <c r="AB926" s="4" t="str">
        <f t="shared" si="20"/>
        <v/>
      </c>
      <c r="AC926" s="3"/>
      <c r="AD926" s="3"/>
      <c r="AE926" s="3" t="str">
        <f t="shared" si="13"/>
        <v/>
      </c>
      <c r="AF926" s="3"/>
      <c r="AG926" s="3" t="str">
        <f t="shared" si="133"/>
        <v/>
      </c>
      <c r="AH926" s="3"/>
      <c r="AI926" s="7"/>
      <c r="AJ926" s="4"/>
      <c r="AK926" s="7"/>
      <c r="AL926" s="7"/>
      <c r="AM926" s="7"/>
      <c r="AN926" s="7"/>
      <c r="AO926" s="7"/>
      <c r="AP926" s="7"/>
      <c r="AQ926" s="7"/>
      <c r="AR926" s="7"/>
      <c r="AS926" s="7"/>
      <c r="AT926" s="7"/>
      <c r="AU926" s="7"/>
      <c r="AV926" s="7"/>
      <c r="AW926" s="7"/>
      <c r="AX926" s="7"/>
    </row>
    <row r="927" ht="12.75" customHeight="1">
      <c r="A927" s="4"/>
      <c r="B927" s="4"/>
      <c r="C927" s="4"/>
      <c r="D927" s="4"/>
      <c r="E927" s="4" t="str">
        <f>IF(ISBLANK(B927),,IFERROR(VLOOKUP(B927,CurrentRank!$B$2:$C$132,2,FALSE),0))</f>
        <v/>
      </c>
      <c r="F927" s="4"/>
      <c r="G927" s="4" t="str">
        <f>IF(ISBLANK(B927),,IFERROR(VLOOKUP(B927,CurrentRank!$B$2:$D$132,3,FALSE),130))</f>
        <v/>
      </c>
      <c r="H927" s="4"/>
      <c r="I927" s="4" t="str">
        <f>IF(ISBLANK(B927),,IFERROR(VLOOKUP(C927,CurrentRank!$B$2:$C$132,2,FALSE),0))</f>
        <v/>
      </c>
      <c r="J927" s="4"/>
      <c r="K927" s="4" t="str">
        <f>IF(ISBLANK(C927),,IFERROR(VLOOKUP(C927,CurrentRank!$B$2:$D$132,3,FALSE),130))</f>
        <v/>
      </c>
      <c r="L927" s="19" t="str">
        <f t="shared" si="279"/>
        <v/>
      </c>
      <c r="M927" s="19" t="str">
        <f t="shared" si="280"/>
        <v/>
      </c>
      <c r="N927" s="24" t="str">
        <f t="shared" si="276"/>
        <v/>
      </c>
      <c r="O927" s="21" t="str">
        <f t="shared" si="4"/>
        <v/>
      </c>
      <c r="P927" s="21" t="str">
        <f t="shared" si="282"/>
        <v/>
      </c>
      <c r="Q927" s="22" t="str">
        <f t="shared" si="6"/>
        <v/>
      </c>
      <c r="R927" s="25" t="str">
        <f t="shared" si="7"/>
        <v/>
      </c>
      <c r="S927" s="19" t="str">
        <f t="shared" si="8"/>
        <v/>
      </c>
      <c r="T927" s="19" t="str">
        <f t="shared" si="9"/>
        <v/>
      </c>
      <c r="U927" s="3"/>
      <c r="V927" s="4" t="str">
        <f>IF(ISBLANK(C927),,IFERROR(IF(VLOOKUP(B927,Standings!$A:$F, 6, 0)=VLOOKUP(C927,Standings!$A:$F, 6, 0), VLOOKUP(B927,Standings!$A:$F, 6, 0), "Non-con"), "FCS"))</f>
        <v/>
      </c>
      <c r="W927" s="3" t="str">
        <f t="shared" si="10"/>
        <v/>
      </c>
      <c r="X927" s="3" t="str">
        <f t="shared" si="11"/>
        <v/>
      </c>
      <c r="Y927" s="30" t="str">
        <f>IF(D927=0,,IF(ISBLANK(Q927),,VLOOKUP(X927,Week1,2,FALSE)/(VLOOKUP(X927,Week1,2,FALSE)+VLOOKUP(W927,Week1,2,FALSE)))*100)</f>
        <v/>
      </c>
      <c r="Z927" s="4"/>
      <c r="AA927" s="3"/>
      <c r="AB927" s="4" t="str">
        <f t="shared" si="20"/>
        <v/>
      </c>
      <c r="AC927" s="3"/>
      <c r="AD927" s="3"/>
      <c r="AE927" s="3" t="str">
        <f t="shared" si="13"/>
        <v/>
      </c>
      <c r="AF927" s="3"/>
      <c r="AG927" s="3" t="str">
        <f t="shared" si="133"/>
        <v/>
      </c>
      <c r="AH927" s="3"/>
      <c r="AI927" s="7"/>
      <c r="AJ927" s="4"/>
      <c r="AK927" s="7"/>
      <c r="AL927" s="7"/>
      <c r="AM927" s="7"/>
      <c r="AN927" s="7"/>
      <c r="AO927" s="7"/>
      <c r="AP927" s="7"/>
      <c r="AQ927" s="7"/>
      <c r="AR927" s="7"/>
      <c r="AS927" s="7"/>
      <c r="AT927" s="7"/>
      <c r="AU927" s="7"/>
      <c r="AV927" s="7"/>
      <c r="AW927" s="7"/>
      <c r="AX927" s="7"/>
    </row>
    <row r="928" ht="12.75" customHeight="1">
      <c r="A928" s="4"/>
      <c r="B928" s="4"/>
      <c r="C928" s="4"/>
      <c r="D928" s="4"/>
      <c r="E928" s="4" t="str">
        <f>IF(ISBLANK(B928),,IFERROR(VLOOKUP(B928,CurrentRank!$B$2:$C$132,2,FALSE),0))</f>
        <v/>
      </c>
      <c r="F928" s="4"/>
      <c r="G928" s="4" t="str">
        <f>IF(ISBLANK(B928),,IFERROR(VLOOKUP(B928,CurrentRank!$B$2:$D$132,3,FALSE),130))</f>
        <v/>
      </c>
      <c r="H928" s="4"/>
      <c r="I928" s="4" t="str">
        <f>IF(ISBLANK(B928),,IFERROR(VLOOKUP(C928,CurrentRank!$B$2:$C$132,2,FALSE),0))</f>
        <v/>
      </c>
      <c r="J928" s="4"/>
      <c r="K928" s="4" t="str">
        <f>IF(ISBLANK(C928),,IFERROR(VLOOKUP(C928,CurrentRank!$B$2:$D$132,3,FALSE),130))</f>
        <v/>
      </c>
      <c r="L928" s="19" t="str">
        <f t="shared" si="279"/>
        <v/>
      </c>
      <c r="M928" s="19" t="str">
        <f t="shared" si="280"/>
        <v/>
      </c>
      <c r="N928" s="24" t="str">
        <f t="shared" si="276"/>
        <v/>
      </c>
      <c r="O928" s="21" t="str">
        <f t="shared" si="4"/>
        <v/>
      </c>
      <c r="P928" s="21" t="str">
        <f t="shared" si="282"/>
        <v/>
      </c>
      <c r="Q928" s="22" t="str">
        <f t="shared" si="6"/>
        <v/>
      </c>
      <c r="R928" s="25" t="str">
        <f t="shared" si="7"/>
        <v/>
      </c>
      <c r="S928" s="19" t="str">
        <f t="shared" si="8"/>
        <v/>
      </c>
      <c r="T928" s="19" t="str">
        <f t="shared" si="9"/>
        <v/>
      </c>
      <c r="U928" s="3"/>
      <c r="V928" s="4" t="str">
        <f>IF(ISBLANK(C928),,IFERROR(IF(VLOOKUP(B928,Standings!$A:$F, 6, 0)=VLOOKUP(C928,Standings!$A:$F, 6, 0), VLOOKUP(B928,Standings!$A:$F, 6, 0), "Non-con"), "FCS"))</f>
        <v/>
      </c>
      <c r="W928" s="3" t="str">
        <f t="shared" si="10"/>
        <v/>
      </c>
      <c r="X928" s="3" t="str">
        <f t="shared" si="11"/>
        <v/>
      </c>
      <c r="Y928" s="30" t="str">
        <f>IF(D928=0,,IF(ISBLANK(Q928),,VLOOKUP(X928,Week1,2,FALSE)/(VLOOKUP(X928,Week1,2,FALSE)+VLOOKUP(W928,Week1,2,FALSE)))*100)</f>
        <v/>
      </c>
      <c r="Z928" s="4"/>
      <c r="AA928" s="3"/>
      <c r="AB928" s="4" t="str">
        <f t="shared" si="20"/>
        <v/>
      </c>
      <c r="AC928" s="3"/>
      <c r="AD928" s="3"/>
      <c r="AE928" s="3" t="str">
        <f t="shared" si="13"/>
        <v/>
      </c>
      <c r="AF928" s="3"/>
      <c r="AG928" s="3" t="str">
        <f t="shared" si="133"/>
        <v/>
      </c>
      <c r="AH928" s="3"/>
      <c r="AI928" s="7"/>
      <c r="AJ928" s="4"/>
      <c r="AK928" s="7"/>
      <c r="AL928" s="7"/>
      <c r="AM928" s="7"/>
      <c r="AN928" s="7"/>
      <c r="AO928" s="7"/>
      <c r="AP928" s="7"/>
      <c r="AQ928" s="7"/>
      <c r="AR928" s="7"/>
      <c r="AS928" s="7"/>
      <c r="AT928" s="7"/>
      <c r="AU928" s="7"/>
      <c r="AV928" s="7"/>
      <c r="AW928" s="7"/>
      <c r="AX928" s="7"/>
    </row>
    <row r="929" ht="12.75" customHeight="1">
      <c r="A929" s="4"/>
      <c r="B929" s="4"/>
      <c r="C929" s="4"/>
      <c r="D929" s="4"/>
      <c r="E929" s="4" t="str">
        <f>IF(ISBLANK(B929),,IFERROR(VLOOKUP(B929,CurrentRank!$B$2:$C$132,2,FALSE),0))</f>
        <v/>
      </c>
      <c r="F929" s="4"/>
      <c r="G929" s="4" t="str">
        <f>IF(ISBLANK(B929),,IFERROR(VLOOKUP(B929,CurrentRank!$B$2:$D$132,3,FALSE),130))</f>
        <v/>
      </c>
      <c r="H929" s="4"/>
      <c r="I929" s="4" t="str">
        <f>IF(ISBLANK(B929),,IFERROR(VLOOKUP(C929,CurrentRank!$B$2:$C$132,2,FALSE),0))</f>
        <v/>
      </c>
      <c r="J929" s="4"/>
      <c r="K929" s="4" t="str">
        <f>IF(ISBLANK(C929),,IFERROR(VLOOKUP(C929,CurrentRank!$B$2:$D$132,3,FALSE),130))</f>
        <v/>
      </c>
      <c r="L929" s="19" t="str">
        <f t="shared" si="279"/>
        <v/>
      </c>
      <c r="M929" s="19" t="str">
        <f t="shared" si="280"/>
        <v/>
      </c>
      <c r="N929" s="24" t="str">
        <f t="shared" si="276"/>
        <v/>
      </c>
      <c r="O929" s="21" t="str">
        <f t="shared" si="4"/>
        <v/>
      </c>
      <c r="P929" s="21" t="str">
        <f t="shared" si="282"/>
        <v/>
      </c>
      <c r="Q929" s="22" t="str">
        <f t="shared" si="6"/>
        <v/>
      </c>
      <c r="R929" s="25" t="str">
        <f t="shared" si="7"/>
        <v/>
      </c>
      <c r="S929" s="19" t="str">
        <f t="shared" si="8"/>
        <v/>
      </c>
      <c r="T929" s="19" t="str">
        <f t="shared" si="9"/>
        <v/>
      </c>
      <c r="U929" s="3"/>
      <c r="V929" s="4" t="str">
        <f>IF(ISBLANK(C929),,IFERROR(IF(VLOOKUP(B929,Standings!$A:$F, 6, 0)=VLOOKUP(C929,Standings!$A:$F, 6, 0), VLOOKUP(B929,Standings!$A:$F, 6, 0), "Non-con"), "FCS"))</f>
        <v/>
      </c>
      <c r="W929" s="3" t="str">
        <f t="shared" si="10"/>
        <v/>
      </c>
      <c r="X929" s="3" t="str">
        <f t="shared" si="11"/>
        <v/>
      </c>
      <c r="Y929" s="30" t="str">
        <f>IF(D929=0,,IF(ISBLANK(Q929),,VLOOKUP(X929,Week1,2,FALSE)/(VLOOKUP(X929,Week1,2,FALSE)+VLOOKUP(W929,Week1,2,FALSE)))*100)</f>
        <v/>
      </c>
      <c r="Z929" s="4"/>
      <c r="AA929" s="3"/>
      <c r="AB929" s="4" t="str">
        <f t="shared" si="20"/>
        <v/>
      </c>
      <c r="AC929" s="3"/>
      <c r="AD929" s="3"/>
      <c r="AE929" s="3" t="str">
        <f t="shared" si="13"/>
        <v/>
      </c>
      <c r="AF929" s="3"/>
      <c r="AG929" s="3" t="str">
        <f t="shared" si="133"/>
        <v/>
      </c>
      <c r="AH929" s="3"/>
      <c r="AI929" s="7"/>
      <c r="AJ929" s="4"/>
      <c r="AK929" s="7"/>
      <c r="AL929" s="7"/>
      <c r="AM929" s="7"/>
      <c r="AN929" s="7"/>
      <c r="AO929" s="7"/>
      <c r="AP929" s="7"/>
      <c r="AQ929" s="7"/>
      <c r="AR929" s="7"/>
      <c r="AS929" s="7"/>
      <c r="AT929" s="7"/>
      <c r="AU929" s="7"/>
      <c r="AV929" s="7"/>
      <c r="AW929" s="7"/>
      <c r="AX929" s="7"/>
    </row>
    <row r="930" ht="12.75" customHeight="1">
      <c r="A930" s="4"/>
      <c r="B930" s="4"/>
      <c r="C930" s="4"/>
      <c r="D930" s="4"/>
      <c r="E930" s="4" t="str">
        <f>IF(ISBLANK(B930),,IFERROR(VLOOKUP(B930,CurrentRank!$B$2:$C$132,2,FALSE),0))</f>
        <v/>
      </c>
      <c r="F930" s="4"/>
      <c r="G930" s="4" t="str">
        <f>IF(ISBLANK(B930),,IFERROR(VLOOKUP(B930,CurrentRank!$B$2:$D$132,3,FALSE),130))</f>
        <v/>
      </c>
      <c r="H930" s="4"/>
      <c r="I930" s="4" t="str">
        <f>IF(ISBLANK(B930),,IFERROR(VLOOKUP(C930,CurrentRank!$B$2:$C$132,2,FALSE),0))</f>
        <v/>
      </c>
      <c r="J930" s="4"/>
      <c r="K930" s="4" t="str">
        <f>IF(ISBLANK(C930),,IFERROR(VLOOKUP(C930,CurrentRank!$B$2:$D$132,3,FALSE),130))</f>
        <v/>
      </c>
      <c r="L930" s="19" t="str">
        <f t="shared" si="279"/>
        <v/>
      </c>
      <c r="M930" s="19" t="str">
        <f t="shared" si="280"/>
        <v/>
      </c>
      <c r="N930" s="24" t="str">
        <f t="shared" si="276"/>
        <v/>
      </c>
      <c r="O930" s="21" t="str">
        <f t="shared" si="4"/>
        <v/>
      </c>
      <c r="P930" s="21" t="str">
        <f t="shared" si="282"/>
        <v/>
      </c>
      <c r="Q930" s="22" t="str">
        <f t="shared" si="6"/>
        <v/>
      </c>
      <c r="R930" s="25" t="str">
        <f t="shared" si="7"/>
        <v/>
      </c>
      <c r="S930" s="19" t="str">
        <f t="shared" si="8"/>
        <v/>
      </c>
      <c r="T930" s="19" t="str">
        <f t="shared" si="9"/>
        <v/>
      </c>
      <c r="U930" s="3"/>
      <c r="V930" s="4" t="str">
        <f>IF(ISBLANK(C930),,IFERROR(IF(VLOOKUP(B930,Standings!$A:$F, 6, 0)=VLOOKUP(C930,Standings!$A:$F, 6, 0), VLOOKUP(B930,Standings!$A:$F, 6, 0), "Non-con"), "FCS"))</f>
        <v/>
      </c>
      <c r="W930" s="3" t="str">
        <f t="shared" si="10"/>
        <v/>
      </c>
      <c r="X930" s="3" t="str">
        <f t="shared" si="11"/>
        <v/>
      </c>
      <c r="Y930" s="30" t="str">
        <f>IF(D930=0,,IF(ISBLANK(Q930),,VLOOKUP(X930,Week1,2,FALSE)/(VLOOKUP(X930,Week1,2,FALSE)+VLOOKUP(W930,Week1,2,FALSE)))*100)</f>
        <v/>
      </c>
      <c r="Z930" s="4"/>
      <c r="AA930" s="3"/>
      <c r="AB930" s="4" t="str">
        <f t="shared" si="20"/>
        <v/>
      </c>
      <c r="AC930" s="3"/>
      <c r="AD930" s="3"/>
      <c r="AE930" s="3" t="str">
        <f t="shared" si="13"/>
        <v/>
      </c>
      <c r="AF930" s="3"/>
      <c r="AG930" s="3" t="str">
        <f t="shared" si="133"/>
        <v/>
      </c>
      <c r="AH930" s="3"/>
      <c r="AI930" s="7"/>
      <c r="AJ930" s="4"/>
      <c r="AK930" s="7"/>
      <c r="AL930" s="7"/>
      <c r="AM930" s="7"/>
      <c r="AN930" s="7"/>
      <c r="AO930" s="7"/>
      <c r="AP930" s="7"/>
      <c r="AQ930" s="7"/>
      <c r="AR930" s="7"/>
      <c r="AS930" s="7"/>
      <c r="AT930" s="7"/>
      <c r="AU930" s="7"/>
      <c r="AV930" s="7"/>
      <c r="AW930" s="7"/>
      <c r="AX930" s="7"/>
    </row>
    <row r="931" ht="12.75" customHeight="1">
      <c r="A931" s="4"/>
      <c r="B931" s="4"/>
      <c r="C931" s="4"/>
      <c r="D931" s="4"/>
      <c r="E931" s="4" t="str">
        <f>IF(ISBLANK(B931),,IFERROR(VLOOKUP(B931,CurrentRank!$B$2:$C$132,2,FALSE),0))</f>
        <v/>
      </c>
      <c r="F931" s="4"/>
      <c r="G931" s="4" t="str">
        <f>IF(ISBLANK(B931),,IFERROR(VLOOKUP(B931,CurrentRank!$B$2:$D$132,3,FALSE),130))</f>
        <v/>
      </c>
      <c r="H931" s="4"/>
      <c r="I931" s="4" t="str">
        <f>IF(ISBLANK(B931),,IFERROR(VLOOKUP(C931,CurrentRank!$B$2:$C$132,2,FALSE),0))</f>
        <v/>
      </c>
      <c r="J931" s="4"/>
      <c r="K931" s="4" t="str">
        <f>IF(ISBLANK(C931),,IFERROR(VLOOKUP(C931,CurrentRank!$B$2:$D$132,3,FALSE),130))</f>
        <v/>
      </c>
      <c r="L931" s="19" t="str">
        <f t="shared" si="279"/>
        <v/>
      </c>
      <c r="M931" s="19" t="str">
        <f t="shared" si="280"/>
        <v/>
      </c>
      <c r="N931" s="24" t="str">
        <f t="shared" si="276"/>
        <v/>
      </c>
      <c r="O931" s="21" t="str">
        <f t="shared" si="4"/>
        <v/>
      </c>
      <c r="P931" s="21" t="str">
        <f t="shared" si="282"/>
        <v/>
      </c>
      <c r="Q931" s="22" t="str">
        <f t="shared" si="6"/>
        <v/>
      </c>
      <c r="R931" s="25" t="str">
        <f t="shared" si="7"/>
        <v/>
      </c>
      <c r="S931" s="19" t="str">
        <f t="shared" si="8"/>
        <v/>
      </c>
      <c r="T931" s="19" t="str">
        <f t="shared" si="9"/>
        <v/>
      </c>
      <c r="U931" s="3"/>
      <c r="V931" s="4" t="str">
        <f>IF(ISBLANK(C931),,IFERROR(IF(VLOOKUP(B931,Standings!$A:$F, 6, 0)=VLOOKUP(C931,Standings!$A:$F, 6, 0), VLOOKUP(B931,Standings!$A:$F, 6, 0), "Non-con"), "FCS"))</f>
        <v/>
      </c>
      <c r="W931" s="3" t="str">
        <f t="shared" si="10"/>
        <v/>
      </c>
      <c r="X931" s="3" t="str">
        <f t="shared" si="11"/>
        <v/>
      </c>
      <c r="Y931" s="30" t="str">
        <f>IF(D931=0,,IF(ISBLANK(Q931),,VLOOKUP(X931,Week1,2,FALSE)/(VLOOKUP(X931,Week1,2,FALSE)+VLOOKUP(W931,Week1,2,FALSE)))*100)</f>
        <v/>
      </c>
      <c r="Z931" s="4"/>
      <c r="AA931" s="3"/>
      <c r="AB931" s="4" t="str">
        <f t="shared" si="20"/>
        <v/>
      </c>
      <c r="AC931" s="3"/>
      <c r="AD931" s="3"/>
      <c r="AE931" s="3" t="str">
        <f t="shared" si="13"/>
        <v/>
      </c>
      <c r="AF931" s="3"/>
      <c r="AG931" s="3" t="str">
        <f t="shared" si="133"/>
        <v/>
      </c>
      <c r="AH931" s="3"/>
      <c r="AI931" s="7"/>
      <c r="AJ931" s="4"/>
      <c r="AK931" s="7"/>
      <c r="AL931" s="7"/>
      <c r="AM931" s="7"/>
      <c r="AN931" s="7"/>
      <c r="AO931" s="7"/>
      <c r="AP931" s="7"/>
      <c r="AQ931" s="7"/>
      <c r="AR931" s="7"/>
      <c r="AS931" s="7"/>
      <c r="AT931" s="7"/>
      <c r="AU931" s="7"/>
      <c r="AV931" s="7"/>
      <c r="AW931" s="7"/>
      <c r="AX931" s="7"/>
    </row>
    <row r="932" ht="12.75" customHeight="1">
      <c r="A932" s="4"/>
      <c r="B932" s="4"/>
      <c r="C932" s="4"/>
      <c r="D932" s="4"/>
      <c r="E932" s="4" t="str">
        <f>IF(ISBLANK(B932),,IFERROR(VLOOKUP(B932,CurrentRank!$B$2:$C$132,2,FALSE),0))</f>
        <v/>
      </c>
      <c r="F932" s="4"/>
      <c r="G932" s="4" t="str">
        <f>IF(ISBLANK(B932),,IFERROR(VLOOKUP(B932,CurrentRank!$B$2:$D$132,3,FALSE),130))</f>
        <v/>
      </c>
      <c r="H932" s="4"/>
      <c r="I932" s="4" t="str">
        <f>IF(ISBLANK(B932),,IFERROR(VLOOKUP(C932,CurrentRank!$B$2:$C$132,2,FALSE),0))</f>
        <v/>
      </c>
      <c r="J932" s="4"/>
      <c r="K932" s="4" t="str">
        <f>IF(ISBLANK(C932),,IFERROR(VLOOKUP(C932,CurrentRank!$B$2:$D$132,3,FALSE),130))</f>
        <v/>
      </c>
      <c r="L932" s="19" t="str">
        <f t="shared" si="279"/>
        <v/>
      </c>
      <c r="M932" s="19" t="str">
        <f t="shared" si="280"/>
        <v/>
      </c>
      <c r="N932" s="24" t="str">
        <f t="shared" si="276"/>
        <v/>
      </c>
      <c r="O932" s="21" t="str">
        <f t="shared" si="4"/>
        <v/>
      </c>
      <c r="P932" s="21" t="str">
        <f t="shared" si="282"/>
        <v/>
      </c>
      <c r="Q932" s="22" t="str">
        <f t="shared" si="6"/>
        <v/>
      </c>
      <c r="R932" s="25" t="str">
        <f t="shared" si="7"/>
        <v/>
      </c>
      <c r="S932" s="19" t="str">
        <f t="shared" si="8"/>
        <v/>
      </c>
      <c r="T932" s="19" t="str">
        <f t="shared" si="9"/>
        <v/>
      </c>
      <c r="U932" s="3"/>
      <c r="V932" s="4" t="str">
        <f>IF(ISBLANK(C932),,IFERROR(IF(VLOOKUP(B932,Standings!$A:$F, 6, 0)=VLOOKUP(C932,Standings!$A:$F, 6, 0), VLOOKUP(B932,Standings!$A:$F, 6, 0), "Non-con"), "FCS"))</f>
        <v/>
      </c>
      <c r="W932" s="3" t="str">
        <f t="shared" si="10"/>
        <v/>
      </c>
      <c r="X932" s="3" t="str">
        <f t="shared" si="11"/>
        <v/>
      </c>
      <c r="Y932" s="30" t="str">
        <f>IF(D932=0,,IF(ISBLANK(Q932),,VLOOKUP(X932,Week1,2,FALSE)/(VLOOKUP(X932,Week1,2,FALSE)+VLOOKUP(W932,Week1,2,FALSE)))*100)</f>
        <v/>
      </c>
      <c r="Z932" s="4"/>
      <c r="AA932" s="3"/>
      <c r="AB932" s="4" t="str">
        <f t="shared" si="20"/>
        <v/>
      </c>
      <c r="AC932" s="3"/>
      <c r="AD932" s="3"/>
      <c r="AE932" s="3" t="str">
        <f t="shared" si="13"/>
        <v/>
      </c>
      <c r="AF932" s="3"/>
      <c r="AG932" s="3" t="str">
        <f t="shared" si="133"/>
        <v/>
      </c>
      <c r="AH932" s="3"/>
      <c r="AI932" s="7"/>
      <c r="AJ932" s="4"/>
      <c r="AK932" s="7"/>
      <c r="AL932" s="7"/>
      <c r="AM932" s="7"/>
      <c r="AN932" s="7"/>
      <c r="AO932" s="7"/>
      <c r="AP932" s="7"/>
      <c r="AQ932" s="7"/>
      <c r="AR932" s="7"/>
      <c r="AS932" s="7"/>
      <c r="AT932" s="7"/>
      <c r="AU932" s="7"/>
      <c r="AV932" s="7"/>
      <c r="AW932" s="7"/>
      <c r="AX932" s="7"/>
    </row>
    <row r="933" ht="12.75" customHeight="1">
      <c r="A933" s="4"/>
      <c r="B933" s="4"/>
      <c r="C933" s="4"/>
      <c r="D933" s="4"/>
      <c r="E933" s="4" t="str">
        <f>IF(ISBLANK(B933),,IFERROR(VLOOKUP(B933,CurrentRank!$B$2:$C$132,2,FALSE),0))</f>
        <v/>
      </c>
      <c r="F933" s="4"/>
      <c r="G933" s="4" t="str">
        <f>IF(ISBLANK(B933),,IFERROR(VLOOKUP(B933,CurrentRank!$B$2:$D$132,3,FALSE),130))</f>
        <v/>
      </c>
      <c r="H933" s="4"/>
      <c r="I933" s="4" t="str">
        <f>IF(ISBLANK(B933),,IFERROR(VLOOKUP(C933,CurrentRank!$B$2:$C$132,2,FALSE),0))</f>
        <v/>
      </c>
      <c r="J933" s="4"/>
      <c r="K933" s="4" t="str">
        <f>IF(ISBLANK(C933),,IFERROR(VLOOKUP(C933,CurrentRank!$B$2:$D$132,3,FALSE),130))</f>
        <v/>
      </c>
      <c r="L933" s="19" t="str">
        <f t="shared" si="279"/>
        <v/>
      </c>
      <c r="M933" s="19" t="str">
        <f t="shared" si="280"/>
        <v/>
      </c>
      <c r="N933" s="24" t="str">
        <f t="shared" si="276"/>
        <v/>
      </c>
      <c r="O933" s="21" t="str">
        <f t="shared" si="4"/>
        <v/>
      </c>
      <c r="P933" s="21" t="str">
        <f t="shared" si="282"/>
        <v/>
      </c>
      <c r="Q933" s="22" t="str">
        <f t="shared" si="6"/>
        <v/>
      </c>
      <c r="R933" s="25" t="str">
        <f t="shared" si="7"/>
        <v/>
      </c>
      <c r="S933" s="19" t="str">
        <f t="shared" si="8"/>
        <v/>
      </c>
      <c r="T933" s="19" t="str">
        <f t="shared" si="9"/>
        <v/>
      </c>
      <c r="U933" s="3"/>
      <c r="V933" s="4" t="str">
        <f>IF(ISBLANK(C933),,IFERROR(IF(VLOOKUP(B933,Standings!$A:$F, 6, 0)=VLOOKUP(C933,Standings!$A:$F, 6, 0), VLOOKUP(B933,Standings!$A:$F, 6, 0), "Non-con"), "FCS"))</f>
        <v/>
      </c>
      <c r="W933" s="3" t="str">
        <f t="shared" si="10"/>
        <v/>
      </c>
      <c r="X933" s="3" t="str">
        <f t="shared" si="11"/>
        <v/>
      </c>
      <c r="Y933" s="30" t="str">
        <f>IF(D933=0,,IF(ISBLANK(Q933),,VLOOKUP(X933,Week1,2,FALSE)/(VLOOKUP(X933,Week1,2,FALSE)+VLOOKUP(W933,Week1,2,FALSE)))*100)</f>
        <v/>
      </c>
      <c r="Z933" s="4"/>
      <c r="AA933" s="3"/>
      <c r="AB933" s="4" t="str">
        <f t="shared" si="20"/>
        <v/>
      </c>
      <c r="AC933" s="3"/>
      <c r="AD933" s="3"/>
      <c r="AE933" s="3" t="str">
        <f t="shared" si="13"/>
        <v/>
      </c>
      <c r="AF933" s="3"/>
      <c r="AG933" s="3" t="str">
        <f t="shared" si="133"/>
        <v/>
      </c>
      <c r="AH933" s="3"/>
      <c r="AI933" s="7"/>
      <c r="AJ933" s="4"/>
      <c r="AK933" s="7"/>
      <c r="AL933" s="7"/>
      <c r="AM933" s="7"/>
      <c r="AN933" s="7"/>
      <c r="AO933" s="7"/>
      <c r="AP933" s="7"/>
      <c r="AQ933" s="7"/>
      <c r="AR933" s="7"/>
      <c r="AS933" s="7"/>
      <c r="AT933" s="7"/>
      <c r="AU933" s="7"/>
      <c r="AV933" s="7"/>
      <c r="AW933" s="7"/>
      <c r="AX933" s="7"/>
    </row>
    <row r="934" ht="12.75" customHeight="1">
      <c r="A934" s="4"/>
      <c r="B934" s="4"/>
      <c r="C934" s="4"/>
      <c r="D934" s="4"/>
      <c r="E934" s="4" t="str">
        <f>IF(ISBLANK(B934),,IFERROR(VLOOKUP(B934,CurrentRank!$B$2:$C$132,2,FALSE),0))</f>
        <v/>
      </c>
      <c r="F934" s="4"/>
      <c r="G934" s="4" t="str">
        <f>IF(ISBLANK(B934),,IFERROR(VLOOKUP(B934,CurrentRank!$B$2:$D$132,3,FALSE),130))</f>
        <v/>
      </c>
      <c r="H934" s="4"/>
      <c r="I934" s="4" t="str">
        <f>IF(ISBLANK(B934),,IFERROR(VLOOKUP(C934,CurrentRank!$B$2:$C$132,2,FALSE),0))</f>
        <v/>
      </c>
      <c r="J934" s="4"/>
      <c r="K934" s="4" t="str">
        <f>IF(ISBLANK(C934),,IFERROR(VLOOKUP(C934,CurrentRank!$B$2:$D$132,3,FALSE),130))</f>
        <v/>
      </c>
      <c r="L934" s="19" t="str">
        <f t="shared" si="279"/>
        <v/>
      </c>
      <c r="M934" s="19" t="str">
        <f t="shared" si="280"/>
        <v/>
      </c>
      <c r="N934" s="24" t="str">
        <f t="shared" si="276"/>
        <v/>
      </c>
      <c r="O934" s="21" t="str">
        <f t="shared" si="4"/>
        <v/>
      </c>
      <c r="P934" s="21" t="str">
        <f t="shared" si="282"/>
        <v/>
      </c>
      <c r="Q934" s="22" t="str">
        <f t="shared" si="6"/>
        <v/>
      </c>
      <c r="R934" s="25" t="str">
        <f t="shared" si="7"/>
        <v/>
      </c>
      <c r="S934" s="19" t="str">
        <f t="shared" si="8"/>
        <v/>
      </c>
      <c r="T934" s="19" t="str">
        <f t="shared" si="9"/>
        <v/>
      </c>
      <c r="U934" s="3"/>
      <c r="V934" s="4" t="str">
        <f>IF(ISBLANK(C934),,IFERROR(IF(VLOOKUP(B934,Standings!$A:$F, 6, 0)=VLOOKUP(C934,Standings!$A:$F, 6, 0), VLOOKUP(B934,Standings!$A:$F, 6, 0), "Non-con"), "FCS"))</f>
        <v/>
      </c>
      <c r="W934" s="3" t="str">
        <f t="shared" si="10"/>
        <v/>
      </c>
      <c r="X934" s="3" t="str">
        <f t="shared" si="11"/>
        <v/>
      </c>
      <c r="Y934" s="30" t="str">
        <f>IF(D934=0,,IF(ISBLANK(Q934),,VLOOKUP(X934,Week1,2,FALSE)/(VLOOKUP(X934,Week1,2,FALSE)+VLOOKUP(W934,Week1,2,FALSE)))*100)</f>
        <v/>
      </c>
      <c r="Z934" s="4"/>
      <c r="AA934" s="3"/>
      <c r="AB934" s="4" t="str">
        <f t="shared" si="20"/>
        <v/>
      </c>
      <c r="AC934" s="3"/>
      <c r="AD934" s="3"/>
      <c r="AE934" s="3" t="str">
        <f t="shared" si="13"/>
        <v/>
      </c>
      <c r="AF934" s="3"/>
      <c r="AG934" s="3" t="str">
        <f t="shared" si="133"/>
        <v/>
      </c>
      <c r="AH934" s="3"/>
      <c r="AI934" s="7"/>
      <c r="AJ934" s="4"/>
      <c r="AK934" s="7"/>
      <c r="AL934" s="7"/>
      <c r="AM934" s="7"/>
      <c r="AN934" s="7"/>
      <c r="AO934" s="7"/>
      <c r="AP934" s="7"/>
      <c r="AQ934" s="7"/>
      <c r="AR934" s="7"/>
      <c r="AS934" s="7"/>
      <c r="AT934" s="7"/>
      <c r="AU934" s="7"/>
      <c r="AV934" s="7"/>
      <c r="AW934" s="7"/>
      <c r="AX934" s="7"/>
    </row>
    <row r="935" ht="12.75" customHeight="1">
      <c r="A935" s="4"/>
      <c r="B935" s="4"/>
      <c r="C935" s="4"/>
      <c r="D935" s="4"/>
      <c r="E935" s="4" t="str">
        <f>IF(ISBLANK(B935),,IFERROR(VLOOKUP(B935,CurrentRank!$B$2:$C$132,2,FALSE),0))</f>
        <v/>
      </c>
      <c r="F935" s="4"/>
      <c r="G935" s="4" t="str">
        <f>IF(ISBLANK(B935),,IFERROR(VLOOKUP(B935,CurrentRank!$B$2:$D$132,3,FALSE),130))</f>
        <v/>
      </c>
      <c r="H935" s="4"/>
      <c r="I935" s="4" t="str">
        <f>IF(ISBLANK(B935),,IFERROR(VLOOKUP(C935,CurrentRank!$B$2:$C$132,2,FALSE),0))</f>
        <v/>
      </c>
      <c r="J935" s="4"/>
      <c r="K935" s="4" t="str">
        <f>IF(ISBLANK(C935),,IFERROR(VLOOKUP(C935,CurrentRank!$B$2:$D$132,3,FALSE),130))</f>
        <v/>
      </c>
      <c r="L935" s="19" t="str">
        <f t="shared" si="279"/>
        <v/>
      </c>
      <c r="M935" s="19" t="str">
        <f t="shared" si="280"/>
        <v/>
      </c>
      <c r="N935" s="24" t="str">
        <f t="shared" si="276"/>
        <v/>
      </c>
      <c r="O935" s="21" t="str">
        <f t="shared" si="4"/>
        <v/>
      </c>
      <c r="P935" s="21" t="str">
        <f t="shared" si="282"/>
        <v/>
      </c>
      <c r="Q935" s="22" t="str">
        <f t="shared" si="6"/>
        <v/>
      </c>
      <c r="R935" s="25" t="str">
        <f t="shared" si="7"/>
        <v/>
      </c>
      <c r="S935" s="19" t="str">
        <f t="shared" si="8"/>
        <v/>
      </c>
      <c r="T935" s="19" t="str">
        <f t="shared" si="9"/>
        <v/>
      </c>
      <c r="U935" s="3"/>
      <c r="V935" s="4" t="str">
        <f>IF(ISBLANK(C935),,IFERROR(IF(VLOOKUP(B935,Standings!$A:$F, 6, 0)=VLOOKUP(C935,Standings!$A:$F, 6, 0), VLOOKUP(B935,Standings!$A:$F, 6, 0), "Non-con"), "FCS"))</f>
        <v/>
      </c>
      <c r="W935" s="3" t="str">
        <f t="shared" si="10"/>
        <v/>
      </c>
      <c r="X935" s="3" t="str">
        <f t="shared" si="11"/>
        <v/>
      </c>
      <c r="Y935" s="30" t="str">
        <f>IF(D935=0,,IF(ISBLANK(Q935),,VLOOKUP(X935,Week1,2,FALSE)/(VLOOKUP(X935,Week1,2,FALSE)+VLOOKUP(W935,Week1,2,FALSE)))*100)</f>
        <v/>
      </c>
      <c r="Z935" s="4"/>
      <c r="AA935" s="3"/>
      <c r="AB935" s="4" t="str">
        <f t="shared" si="20"/>
        <v/>
      </c>
      <c r="AC935" s="3"/>
      <c r="AD935" s="3"/>
      <c r="AE935" s="3" t="str">
        <f t="shared" si="13"/>
        <v/>
      </c>
      <c r="AF935" s="3"/>
      <c r="AG935" s="3" t="str">
        <f t="shared" si="133"/>
        <v/>
      </c>
      <c r="AH935" s="3"/>
      <c r="AI935" s="7"/>
      <c r="AJ935" s="4"/>
      <c r="AK935" s="7"/>
      <c r="AL935" s="7"/>
      <c r="AM935" s="7"/>
      <c r="AN935" s="7"/>
      <c r="AO935" s="7"/>
      <c r="AP935" s="7"/>
      <c r="AQ935" s="7"/>
      <c r="AR935" s="7"/>
      <c r="AS935" s="7"/>
      <c r="AT935" s="7"/>
      <c r="AU935" s="7"/>
      <c r="AV935" s="7"/>
      <c r="AW935" s="7"/>
      <c r="AX935" s="7"/>
    </row>
    <row r="936" ht="12.75" customHeight="1">
      <c r="A936" s="4"/>
      <c r="B936" s="4"/>
      <c r="C936" s="4"/>
      <c r="D936" s="4"/>
      <c r="E936" s="4" t="str">
        <f>IF(ISBLANK(B936),,IFERROR(VLOOKUP(B936,CurrentRank!$B$2:$C$132,2,FALSE),0))</f>
        <v/>
      </c>
      <c r="F936" s="4"/>
      <c r="G936" s="4" t="str">
        <f>IF(ISBLANK(B936),,IFERROR(VLOOKUP(B936,CurrentRank!$B$2:$D$132,3,FALSE),130))</f>
        <v/>
      </c>
      <c r="H936" s="4"/>
      <c r="I936" s="4" t="str">
        <f>IF(ISBLANK(B936),,IFERROR(VLOOKUP(C936,CurrentRank!$B$2:$C$132,2,FALSE),0))</f>
        <v/>
      </c>
      <c r="J936" s="4"/>
      <c r="K936" s="4" t="str">
        <f>IF(ISBLANK(C936),,IFERROR(VLOOKUP(C936,CurrentRank!$B$2:$D$132,3,FALSE),130))</f>
        <v/>
      </c>
      <c r="L936" s="19" t="str">
        <f t="shared" si="279"/>
        <v/>
      </c>
      <c r="M936" s="19" t="str">
        <f t="shared" si="280"/>
        <v/>
      </c>
      <c r="N936" s="24" t="str">
        <f t="shared" si="276"/>
        <v/>
      </c>
      <c r="O936" s="21" t="str">
        <f t="shared" si="4"/>
        <v/>
      </c>
      <c r="P936" s="21" t="str">
        <f t="shared" si="282"/>
        <v/>
      </c>
      <c r="Q936" s="22" t="str">
        <f t="shared" si="6"/>
        <v/>
      </c>
      <c r="R936" s="25" t="str">
        <f t="shared" si="7"/>
        <v/>
      </c>
      <c r="S936" s="19" t="str">
        <f t="shared" si="8"/>
        <v/>
      </c>
      <c r="T936" s="19" t="str">
        <f t="shared" si="9"/>
        <v/>
      </c>
      <c r="U936" s="3"/>
      <c r="V936" s="4" t="str">
        <f>IF(ISBLANK(C936),,IFERROR(IF(VLOOKUP(B936,Standings!$A:$F, 6, 0)=VLOOKUP(C936,Standings!$A:$F, 6, 0), VLOOKUP(B936,Standings!$A:$F, 6, 0), "Non-con"), "FCS"))</f>
        <v/>
      </c>
      <c r="W936" s="3" t="str">
        <f t="shared" si="10"/>
        <v/>
      </c>
      <c r="X936" s="3" t="str">
        <f t="shared" si="11"/>
        <v/>
      </c>
      <c r="Y936" s="30" t="str">
        <f>IF(D936=0,,IF(ISBLANK(Q936),,VLOOKUP(X936,Week1,2,FALSE)/(VLOOKUP(X936,Week1,2,FALSE)+VLOOKUP(W936,Week1,2,FALSE)))*100)</f>
        <v/>
      </c>
      <c r="Z936" s="4"/>
      <c r="AA936" s="3"/>
      <c r="AB936" s="4" t="str">
        <f t="shared" si="20"/>
        <v/>
      </c>
      <c r="AC936" s="3"/>
      <c r="AD936" s="3"/>
      <c r="AE936" s="3" t="str">
        <f t="shared" si="13"/>
        <v/>
      </c>
      <c r="AF936" s="3"/>
      <c r="AG936" s="3" t="str">
        <f t="shared" si="133"/>
        <v/>
      </c>
      <c r="AH936" s="3"/>
      <c r="AI936" s="7"/>
      <c r="AJ936" s="4"/>
      <c r="AK936" s="7"/>
      <c r="AL936" s="7"/>
      <c r="AM936" s="7"/>
      <c r="AN936" s="7"/>
      <c r="AO936" s="7"/>
      <c r="AP936" s="7"/>
      <c r="AQ936" s="7"/>
      <c r="AR936" s="7"/>
      <c r="AS936" s="7"/>
      <c r="AT936" s="7"/>
      <c r="AU936" s="7"/>
      <c r="AV936" s="7"/>
      <c r="AW936" s="7"/>
      <c r="AX936" s="7"/>
    </row>
    <row r="937" ht="12.75" customHeight="1">
      <c r="A937" s="4"/>
      <c r="B937" s="4"/>
      <c r="C937" s="4"/>
      <c r="D937" s="4"/>
      <c r="E937" s="4" t="str">
        <f>IF(ISBLANK(B937),,IFERROR(VLOOKUP(B937,CurrentRank!$B$2:$C$132,2,FALSE),0))</f>
        <v/>
      </c>
      <c r="F937" s="4"/>
      <c r="G937" s="4" t="str">
        <f>IF(ISBLANK(B937),,IFERROR(VLOOKUP(B937,CurrentRank!$B$2:$D$132,3,FALSE),130))</f>
        <v/>
      </c>
      <c r="H937" s="4"/>
      <c r="I937" s="4" t="str">
        <f>IF(ISBLANK(B937),,IFERROR(VLOOKUP(C937,CurrentRank!$B$2:$C$132,2,FALSE),0))</f>
        <v/>
      </c>
      <c r="J937" s="4"/>
      <c r="K937" s="4" t="str">
        <f>IF(ISBLANK(C937),,IFERROR(VLOOKUP(C937,CurrentRank!$B$2:$D$132,3,FALSE),130))</f>
        <v/>
      </c>
      <c r="L937" s="19" t="str">
        <f t="shared" si="279"/>
        <v/>
      </c>
      <c r="M937" s="19" t="str">
        <f t="shared" si="280"/>
        <v/>
      </c>
      <c r="N937" s="24" t="str">
        <f t="shared" si="276"/>
        <v/>
      </c>
      <c r="O937" s="21" t="str">
        <f t="shared" si="4"/>
        <v/>
      </c>
      <c r="P937" s="21" t="str">
        <f t="shared" si="282"/>
        <v/>
      </c>
      <c r="Q937" s="22" t="str">
        <f t="shared" si="6"/>
        <v/>
      </c>
      <c r="R937" s="25" t="str">
        <f t="shared" si="7"/>
        <v/>
      </c>
      <c r="S937" s="19" t="str">
        <f t="shared" si="8"/>
        <v/>
      </c>
      <c r="T937" s="19" t="str">
        <f t="shared" si="9"/>
        <v/>
      </c>
      <c r="U937" s="3"/>
      <c r="V937" s="4" t="str">
        <f>IF(ISBLANK(C937),,IFERROR(IF(VLOOKUP(B937,Standings!$A:$F, 6, 0)=VLOOKUP(C937,Standings!$A:$F, 6, 0), VLOOKUP(B937,Standings!$A:$F, 6, 0), "Non-con"), "FCS"))</f>
        <v/>
      </c>
      <c r="W937" s="3" t="str">
        <f t="shared" si="10"/>
        <v/>
      </c>
      <c r="X937" s="3" t="str">
        <f t="shared" si="11"/>
        <v/>
      </c>
      <c r="Y937" s="30" t="str">
        <f>IF(D937=0,,IF(ISBLANK(Q937),,VLOOKUP(X937,Week1,2,FALSE)/(VLOOKUP(X937,Week1,2,FALSE)+VLOOKUP(W937,Week1,2,FALSE)))*100)</f>
        <v/>
      </c>
      <c r="Z937" s="4"/>
      <c r="AA937" s="3"/>
      <c r="AB937" s="4" t="str">
        <f t="shared" si="20"/>
        <v/>
      </c>
      <c r="AC937" s="3"/>
      <c r="AD937" s="3"/>
      <c r="AE937" s="3" t="str">
        <f t="shared" si="13"/>
        <v/>
      </c>
      <c r="AF937" s="3"/>
      <c r="AG937" s="3" t="str">
        <f t="shared" si="133"/>
        <v/>
      </c>
      <c r="AH937" s="3"/>
      <c r="AI937" s="7"/>
      <c r="AJ937" s="4"/>
      <c r="AK937" s="7"/>
      <c r="AL937" s="7"/>
      <c r="AM937" s="7"/>
      <c r="AN937" s="7"/>
      <c r="AO937" s="7"/>
      <c r="AP937" s="7"/>
      <c r="AQ937" s="7"/>
      <c r="AR937" s="7"/>
      <c r="AS937" s="7"/>
      <c r="AT937" s="7"/>
      <c r="AU937" s="7"/>
      <c r="AV937" s="7"/>
      <c r="AW937" s="7"/>
      <c r="AX937" s="7"/>
    </row>
    <row r="938" ht="12.75" customHeight="1">
      <c r="A938" s="4"/>
      <c r="B938" s="4"/>
      <c r="C938" s="4"/>
      <c r="D938" s="4"/>
      <c r="E938" s="4" t="str">
        <f>IF(ISBLANK(B938),,IFERROR(VLOOKUP(B938,CurrentRank!$B$2:$C$132,2,FALSE),0))</f>
        <v/>
      </c>
      <c r="F938" s="4"/>
      <c r="G938" s="4" t="str">
        <f>IF(ISBLANK(B938),,IFERROR(VLOOKUP(B938,CurrentRank!$B$2:$D$132,3,FALSE),130))</f>
        <v/>
      </c>
      <c r="H938" s="4"/>
      <c r="I938" s="4" t="str">
        <f>IF(ISBLANK(B938),,IFERROR(VLOOKUP(C938,CurrentRank!$B$2:$C$132,2,FALSE),0))</f>
        <v/>
      </c>
      <c r="J938" s="4"/>
      <c r="K938" s="4" t="str">
        <f>IF(ISBLANK(C938),,IFERROR(VLOOKUP(C938,CurrentRank!$B$2:$D$132,3,FALSE),130))</f>
        <v/>
      </c>
      <c r="L938" s="19" t="str">
        <f t="shared" si="279"/>
        <v/>
      </c>
      <c r="M938" s="19" t="str">
        <f t="shared" si="280"/>
        <v/>
      </c>
      <c r="N938" s="24" t="str">
        <f t="shared" si="276"/>
        <v/>
      </c>
      <c r="O938" s="21" t="str">
        <f t="shared" si="4"/>
        <v/>
      </c>
      <c r="P938" s="21" t="str">
        <f t="shared" si="282"/>
        <v/>
      </c>
      <c r="Q938" s="22" t="str">
        <f t="shared" si="6"/>
        <v/>
      </c>
      <c r="R938" s="25" t="str">
        <f t="shared" si="7"/>
        <v/>
      </c>
      <c r="S938" s="19" t="str">
        <f t="shared" si="8"/>
        <v/>
      </c>
      <c r="T938" s="19" t="str">
        <f t="shared" si="9"/>
        <v/>
      </c>
      <c r="U938" s="3"/>
      <c r="V938" s="4" t="str">
        <f>IF(ISBLANK(C938),,IFERROR(IF(VLOOKUP(B938,Standings!$A:$F, 6, 0)=VLOOKUP(C938,Standings!$A:$F, 6, 0), VLOOKUP(B938,Standings!$A:$F, 6, 0), "Non-con"), "FCS"))</f>
        <v/>
      </c>
      <c r="W938" s="3" t="str">
        <f t="shared" si="10"/>
        <v/>
      </c>
      <c r="X938" s="3" t="str">
        <f t="shared" si="11"/>
        <v/>
      </c>
      <c r="Y938" s="30" t="str">
        <f>IF(D938=0,,IF(ISBLANK(Q938),,VLOOKUP(X938,Week1,2,FALSE)/(VLOOKUP(X938,Week1,2,FALSE)+VLOOKUP(W938,Week1,2,FALSE)))*100)</f>
        <v/>
      </c>
      <c r="Z938" s="4"/>
      <c r="AA938" s="3"/>
      <c r="AB938" s="4" t="str">
        <f t="shared" si="20"/>
        <v/>
      </c>
      <c r="AC938" s="3"/>
      <c r="AD938" s="3"/>
      <c r="AE938" s="3" t="str">
        <f t="shared" si="13"/>
        <v/>
      </c>
      <c r="AF938" s="3"/>
      <c r="AG938" s="3" t="str">
        <f t="shared" si="133"/>
        <v/>
      </c>
      <c r="AH938" s="3"/>
      <c r="AI938" s="7"/>
      <c r="AJ938" s="4"/>
      <c r="AK938" s="7"/>
      <c r="AL938" s="7"/>
      <c r="AM938" s="7"/>
      <c r="AN938" s="7"/>
      <c r="AO938" s="7"/>
      <c r="AP938" s="7"/>
      <c r="AQ938" s="7"/>
      <c r="AR938" s="7"/>
      <c r="AS938" s="7"/>
      <c r="AT938" s="7"/>
      <c r="AU938" s="7"/>
      <c r="AV938" s="7"/>
      <c r="AW938" s="7"/>
      <c r="AX938" s="7"/>
    </row>
    <row r="939" ht="12.75" customHeight="1">
      <c r="A939" s="4"/>
      <c r="B939" s="4"/>
      <c r="C939" s="4"/>
      <c r="D939" s="4"/>
      <c r="E939" s="4" t="str">
        <f>IF(ISBLANK(B939),,IFERROR(VLOOKUP(B939,CurrentRank!$B$2:$C$132,2,FALSE),0))</f>
        <v/>
      </c>
      <c r="F939" s="4"/>
      <c r="G939" s="4" t="str">
        <f>IF(ISBLANK(B939),,IFERROR(VLOOKUP(B939,CurrentRank!$B$2:$D$132,3,FALSE),130))</f>
        <v/>
      </c>
      <c r="H939" s="4"/>
      <c r="I939" s="4" t="str">
        <f>IF(ISBLANK(B939),,IFERROR(VLOOKUP(C939,CurrentRank!$B$2:$C$132,2,FALSE),0))</f>
        <v/>
      </c>
      <c r="J939" s="4"/>
      <c r="K939" s="4" t="str">
        <f>IF(ISBLANK(C939),,IFERROR(VLOOKUP(C939,CurrentRank!$B$2:$D$132,3,FALSE),130))</f>
        <v/>
      </c>
      <c r="L939" s="19" t="str">
        <f t="shared" si="279"/>
        <v/>
      </c>
      <c r="M939" s="19" t="str">
        <f t="shared" si="280"/>
        <v/>
      </c>
      <c r="N939" s="24" t="str">
        <f t="shared" si="276"/>
        <v/>
      </c>
      <c r="O939" s="21" t="str">
        <f t="shared" si="4"/>
        <v/>
      </c>
      <c r="P939" s="21" t="str">
        <f t="shared" si="282"/>
        <v/>
      </c>
      <c r="Q939" s="22" t="str">
        <f t="shared" si="6"/>
        <v/>
      </c>
      <c r="R939" s="25" t="str">
        <f t="shared" si="7"/>
        <v/>
      </c>
      <c r="S939" s="19" t="str">
        <f t="shared" si="8"/>
        <v/>
      </c>
      <c r="T939" s="19" t="str">
        <f t="shared" si="9"/>
        <v/>
      </c>
      <c r="U939" s="3"/>
      <c r="V939" s="4" t="str">
        <f>IF(ISBLANK(C939),,IFERROR(IF(VLOOKUP(B939,Standings!$A:$F, 6, 0)=VLOOKUP(C939,Standings!$A:$F, 6, 0), VLOOKUP(B939,Standings!$A:$F, 6, 0), "Non-con"), "FCS"))</f>
        <v/>
      </c>
      <c r="W939" s="3" t="str">
        <f t="shared" si="10"/>
        <v/>
      </c>
      <c r="X939" s="3" t="str">
        <f t="shared" si="11"/>
        <v/>
      </c>
      <c r="Y939" s="30" t="str">
        <f>IF(D939=0,,IF(ISBLANK(Q939),,VLOOKUP(X939,Week1,2,FALSE)/(VLOOKUP(X939,Week1,2,FALSE)+VLOOKUP(W939,Week1,2,FALSE)))*100)</f>
        <v/>
      </c>
      <c r="Z939" s="4"/>
      <c r="AA939" s="3"/>
      <c r="AB939" s="4" t="str">
        <f t="shared" si="20"/>
        <v/>
      </c>
      <c r="AC939" s="3"/>
      <c r="AD939" s="3"/>
      <c r="AE939" s="3" t="str">
        <f t="shared" si="13"/>
        <v/>
      </c>
      <c r="AF939" s="3"/>
      <c r="AG939" s="3" t="str">
        <f t="shared" si="133"/>
        <v/>
      </c>
      <c r="AH939" s="3"/>
      <c r="AI939" s="7"/>
      <c r="AJ939" s="4"/>
      <c r="AK939" s="7"/>
      <c r="AL939" s="7"/>
      <c r="AM939" s="7"/>
      <c r="AN939" s="7"/>
      <c r="AO939" s="7"/>
      <c r="AP939" s="7"/>
      <c r="AQ939" s="7"/>
      <c r="AR939" s="7"/>
      <c r="AS939" s="7"/>
      <c r="AT939" s="7"/>
      <c r="AU939" s="7"/>
      <c r="AV939" s="7"/>
      <c r="AW939" s="7"/>
      <c r="AX939" s="7"/>
    </row>
    <row r="940" ht="12.75" customHeight="1">
      <c r="A940" s="4"/>
      <c r="B940" s="4"/>
      <c r="C940" s="4"/>
      <c r="D940" s="4"/>
      <c r="E940" s="4" t="str">
        <f>IF(ISBLANK(B940),,IFERROR(VLOOKUP(B940,CurrentRank!$B$2:$C$132,2,FALSE),0))</f>
        <v/>
      </c>
      <c r="F940" s="4"/>
      <c r="G940" s="4" t="str">
        <f>IF(ISBLANK(B940),,IFERROR(VLOOKUP(B940,CurrentRank!$B$2:$D$132,3,FALSE),130))</f>
        <v/>
      </c>
      <c r="H940" s="4"/>
      <c r="I940" s="4" t="str">
        <f>IF(ISBLANK(B940),,IFERROR(VLOOKUP(C940,CurrentRank!$B$2:$C$132,2,FALSE),0))</f>
        <v/>
      </c>
      <c r="J940" s="4"/>
      <c r="K940" s="4" t="str">
        <f>IF(ISBLANK(C940),,IFERROR(VLOOKUP(C940,CurrentRank!$B$2:$D$132,3,FALSE),130))</f>
        <v/>
      </c>
      <c r="L940" s="19" t="str">
        <f t="shared" si="279"/>
        <v/>
      </c>
      <c r="M940" s="19" t="str">
        <f t="shared" si="280"/>
        <v/>
      </c>
      <c r="N940" s="24" t="str">
        <f t="shared" si="276"/>
        <v/>
      </c>
      <c r="O940" s="21" t="str">
        <f t="shared" si="4"/>
        <v/>
      </c>
      <c r="P940" s="21" t="str">
        <f t="shared" si="282"/>
        <v/>
      </c>
      <c r="Q940" s="22" t="str">
        <f t="shared" si="6"/>
        <v/>
      </c>
      <c r="R940" s="25" t="str">
        <f t="shared" si="7"/>
        <v/>
      </c>
      <c r="S940" s="19" t="str">
        <f t="shared" si="8"/>
        <v/>
      </c>
      <c r="T940" s="19" t="str">
        <f t="shared" si="9"/>
        <v/>
      </c>
      <c r="U940" s="3"/>
      <c r="V940" s="4" t="str">
        <f>IF(ISBLANK(C940),,IFERROR(IF(VLOOKUP(B940,Standings!$A:$F, 6, 0)=VLOOKUP(C940,Standings!$A:$F, 6, 0), VLOOKUP(B940,Standings!$A:$F, 6, 0), "Non-con"), "FCS"))</f>
        <v/>
      </c>
      <c r="W940" s="3" t="str">
        <f t="shared" si="10"/>
        <v/>
      </c>
      <c r="X940" s="3" t="str">
        <f t="shared" si="11"/>
        <v/>
      </c>
      <c r="Y940" s="30" t="str">
        <f>IF(D940=0,,IF(ISBLANK(Q940),,VLOOKUP(X940,Week1,2,FALSE)/(VLOOKUP(X940,Week1,2,FALSE)+VLOOKUP(W940,Week1,2,FALSE)))*100)</f>
        <v/>
      </c>
      <c r="Z940" s="4"/>
      <c r="AA940" s="3"/>
      <c r="AB940" s="4" t="str">
        <f t="shared" si="20"/>
        <v/>
      </c>
      <c r="AC940" s="3"/>
      <c r="AD940" s="3"/>
      <c r="AE940" s="3" t="str">
        <f t="shared" si="13"/>
        <v/>
      </c>
      <c r="AF940" s="3"/>
      <c r="AG940" s="3" t="str">
        <f t="shared" si="133"/>
        <v/>
      </c>
      <c r="AH940" s="3"/>
      <c r="AI940" s="7"/>
      <c r="AJ940" s="4"/>
      <c r="AK940" s="7"/>
      <c r="AL940" s="7"/>
      <c r="AM940" s="7"/>
      <c r="AN940" s="7"/>
      <c r="AO940" s="7"/>
      <c r="AP940" s="7"/>
      <c r="AQ940" s="7"/>
      <c r="AR940" s="7"/>
      <c r="AS940" s="7"/>
      <c r="AT940" s="7"/>
      <c r="AU940" s="7"/>
      <c r="AV940" s="7"/>
      <c r="AW940" s="7"/>
      <c r="AX940" s="7"/>
    </row>
    <row r="941" ht="12.75" customHeight="1">
      <c r="A941" s="4"/>
      <c r="B941" s="4"/>
      <c r="C941" s="4"/>
      <c r="D941" s="4"/>
      <c r="E941" s="4" t="str">
        <f>IF(ISBLANK(B941),,IFERROR(VLOOKUP(B941,CurrentRank!$B$2:$C$132,2,FALSE),0))</f>
        <v/>
      </c>
      <c r="F941" s="4"/>
      <c r="G941" s="4" t="str">
        <f>IF(ISBLANK(B941),,IFERROR(VLOOKUP(B941,CurrentRank!$B$2:$D$132,3,FALSE),130))</f>
        <v/>
      </c>
      <c r="H941" s="4"/>
      <c r="I941" s="4" t="str">
        <f>IF(ISBLANK(B941),,IFERROR(VLOOKUP(C941,CurrentRank!$B$2:$C$132,2,FALSE),0))</f>
        <v/>
      </c>
      <c r="J941" s="4"/>
      <c r="K941" s="4" t="str">
        <f>IF(ISBLANK(C941),,IFERROR(VLOOKUP(C941,CurrentRank!$B$2:$D$132,3,FALSE),130))</f>
        <v/>
      </c>
      <c r="L941" s="19" t="str">
        <f t="shared" si="279"/>
        <v/>
      </c>
      <c r="M941" s="19" t="str">
        <f t="shared" si="280"/>
        <v/>
      </c>
      <c r="N941" s="24" t="str">
        <f t="shared" si="276"/>
        <v/>
      </c>
      <c r="O941" s="21" t="str">
        <f t="shared" si="4"/>
        <v/>
      </c>
      <c r="P941" s="21" t="str">
        <f t="shared" si="282"/>
        <v/>
      </c>
      <c r="Q941" s="22" t="str">
        <f t="shared" si="6"/>
        <v/>
      </c>
      <c r="R941" s="25" t="str">
        <f t="shared" si="7"/>
        <v/>
      </c>
      <c r="S941" s="19" t="str">
        <f t="shared" si="8"/>
        <v/>
      </c>
      <c r="T941" s="19" t="str">
        <f t="shared" si="9"/>
        <v/>
      </c>
      <c r="U941" s="3"/>
      <c r="V941" s="4" t="str">
        <f>IF(ISBLANK(C941),,IFERROR(IF(VLOOKUP(B941,Standings!$A:$F, 6, 0)=VLOOKUP(C941,Standings!$A:$F, 6, 0), VLOOKUP(B941,Standings!$A:$F, 6, 0), "Non-con"), "FCS"))</f>
        <v/>
      </c>
      <c r="W941" s="3" t="str">
        <f t="shared" si="10"/>
        <v/>
      </c>
      <c r="X941" s="3" t="str">
        <f t="shared" si="11"/>
        <v/>
      </c>
      <c r="Y941" s="30" t="str">
        <f>IF(D941=0,,IF(ISBLANK(Q941),,VLOOKUP(X941,Week1,2,FALSE)/(VLOOKUP(X941,Week1,2,FALSE)+VLOOKUP(W941,Week1,2,FALSE)))*100)</f>
        <v/>
      </c>
      <c r="Z941" s="4"/>
      <c r="AA941" s="3"/>
      <c r="AB941" s="4" t="str">
        <f t="shared" si="20"/>
        <v/>
      </c>
      <c r="AC941" s="3"/>
      <c r="AD941" s="3"/>
      <c r="AE941" s="3" t="str">
        <f t="shared" si="13"/>
        <v/>
      </c>
      <c r="AF941" s="3"/>
      <c r="AG941" s="3" t="str">
        <f t="shared" si="133"/>
        <v/>
      </c>
      <c r="AH941" s="3"/>
      <c r="AI941" s="7"/>
      <c r="AJ941" s="4"/>
      <c r="AK941" s="7"/>
      <c r="AL941" s="7"/>
      <c r="AM941" s="7"/>
      <c r="AN941" s="7"/>
      <c r="AO941" s="7"/>
      <c r="AP941" s="7"/>
      <c r="AQ941" s="7"/>
      <c r="AR941" s="7"/>
      <c r="AS941" s="7"/>
      <c r="AT941" s="7"/>
      <c r="AU941" s="7"/>
      <c r="AV941" s="7"/>
      <c r="AW941" s="7"/>
      <c r="AX941" s="7"/>
    </row>
    <row r="942" ht="12.75" customHeight="1">
      <c r="A942" s="4"/>
      <c r="B942" s="4"/>
      <c r="C942" s="4"/>
      <c r="D942" s="4"/>
      <c r="E942" s="4" t="str">
        <f>IF(ISBLANK(B942),,IFERROR(VLOOKUP(B942,CurrentRank!$B$2:$C$132,2,FALSE),0))</f>
        <v/>
      </c>
      <c r="F942" s="4"/>
      <c r="G942" s="4" t="str">
        <f>IF(ISBLANK(B942),,IFERROR(VLOOKUP(B942,CurrentRank!$B$2:$D$132,3,FALSE),130))</f>
        <v/>
      </c>
      <c r="H942" s="4"/>
      <c r="I942" s="4" t="str">
        <f>IF(ISBLANK(B942),,IFERROR(VLOOKUP(C942,CurrentRank!$B$2:$C$132,2,FALSE),0))</f>
        <v/>
      </c>
      <c r="J942" s="4"/>
      <c r="K942" s="4" t="str">
        <f>IF(ISBLANK(C942),,IFERROR(VLOOKUP(C942,CurrentRank!$B$2:$D$132,3,FALSE),130))</f>
        <v/>
      </c>
      <c r="L942" s="19" t="str">
        <f t="shared" si="279"/>
        <v/>
      </c>
      <c r="M942" s="19" t="str">
        <f t="shared" si="280"/>
        <v/>
      </c>
      <c r="N942" s="24" t="str">
        <f t="shared" si="276"/>
        <v/>
      </c>
      <c r="O942" s="21" t="str">
        <f t="shared" si="4"/>
        <v/>
      </c>
      <c r="P942" s="21" t="str">
        <f t="shared" si="282"/>
        <v/>
      </c>
      <c r="Q942" s="22" t="str">
        <f t="shared" si="6"/>
        <v/>
      </c>
      <c r="R942" s="25" t="str">
        <f t="shared" si="7"/>
        <v/>
      </c>
      <c r="S942" s="19" t="str">
        <f t="shared" si="8"/>
        <v/>
      </c>
      <c r="T942" s="19" t="str">
        <f t="shared" si="9"/>
        <v/>
      </c>
      <c r="U942" s="3"/>
      <c r="V942" s="4" t="str">
        <f>IF(ISBLANK(C942),,IFERROR(IF(VLOOKUP(B942,Standings!$A:$F, 6, 0)=VLOOKUP(C942,Standings!$A:$F, 6, 0), VLOOKUP(B942,Standings!$A:$F, 6, 0), "Non-con"), "FCS"))</f>
        <v/>
      </c>
      <c r="W942" s="3" t="str">
        <f t="shared" si="10"/>
        <v/>
      </c>
      <c r="X942" s="3" t="str">
        <f t="shared" si="11"/>
        <v/>
      </c>
      <c r="Y942" s="30" t="str">
        <f>IF(D942=0,,IF(ISBLANK(Q942),,VLOOKUP(X942,Week1,2,FALSE)/(VLOOKUP(X942,Week1,2,FALSE)+VLOOKUP(W942,Week1,2,FALSE)))*100)</f>
        <v/>
      </c>
      <c r="Z942" s="4"/>
      <c r="AA942" s="3"/>
      <c r="AB942" s="4" t="str">
        <f t="shared" si="20"/>
        <v/>
      </c>
      <c r="AC942" s="3"/>
      <c r="AD942" s="3"/>
      <c r="AE942" s="3" t="str">
        <f t="shared" si="13"/>
        <v/>
      </c>
      <c r="AF942" s="3"/>
      <c r="AG942" s="3" t="str">
        <f t="shared" si="133"/>
        <v/>
      </c>
      <c r="AH942" s="3"/>
      <c r="AI942" s="7"/>
      <c r="AJ942" s="4"/>
      <c r="AK942" s="7"/>
      <c r="AL942" s="7"/>
      <c r="AM942" s="7"/>
      <c r="AN942" s="7"/>
      <c r="AO942" s="7"/>
      <c r="AP942" s="7"/>
      <c r="AQ942" s="7"/>
      <c r="AR942" s="7"/>
      <c r="AS942" s="7"/>
      <c r="AT942" s="7"/>
      <c r="AU942" s="7"/>
      <c r="AV942" s="7"/>
      <c r="AW942" s="7"/>
      <c r="AX942" s="7"/>
    </row>
    <row r="943" ht="12.75" customHeight="1">
      <c r="A943" s="4"/>
      <c r="B943" s="4"/>
      <c r="C943" s="4"/>
      <c r="D943" s="4"/>
      <c r="E943" s="4" t="str">
        <f>IF(ISBLANK(B943),,IFERROR(VLOOKUP(B943,CurrentRank!$B$2:$C$132,2,FALSE),0))</f>
        <v/>
      </c>
      <c r="F943" s="4"/>
      <c r="G943" s="4" t="str">
        <f>IF(ISBLANK(B943),,IFERROR(VLOOKUP(B943,CurrentRank!$B$2:$D$132,3,FALSE),130))</f>
        <v/>
      </c>
      <c r="H943" s="4"/>
      <c r="I943" s="4" t="str">
        <f>IF(ISBLANK(B943),,IFERROR(VLOOKUP(C943,CurrentRank!$B$2:$C$132,2,FALSE),0))</f>
        <v/>
      </c>
      <c r="J943" s="4"/>
      <c r="K943" s="4" t="str">
        <f>IF(ISBLANK(C943),,IFERROR(VLOOKUP(C943,CurrentRank!$B$2:$D$132,3,FALSE),130))</f>
        <v/>
      </c>
      <c r="L943" s="19" t="str">
        <f t="shared" si="279"/>
        <v/>
      </c>
      <c r="M943" s="19" t="str">
        <f t="shared" si="280"/>
        <v/>
      </c>
      <c r="N943" s="24" t="str">
        <f t="shared" si="276"/>
        <v/>
      </c>
      <c r="O943" s="21" t="str">
        <f t="shared" si="4"/>
        <v/>
      </c>
      <c r="P943" s="21" t="str">
        <f t="shared" si="282"/>
        <v/>
      </c>
      <c r="Q943" s="22" t="str">
        <f t="shared" si="6"/>
        <v/>
      </c>
      <c r="R943" s="25" t="str">
        <f t="shared" si="7"/>
        <v/>
      </c>
      <c r="S943" s="19" t="str">
        <f t="shared" si="8"/>
        <v/>
      </c>
      <c r="T943" s="19" t="str">
        <f t="shared" si="9"/>
        <v/>
      </c>
      <c r="U943" s="3"/>
      <c r="V943" s="4" t="str">
        <f>IF(ISBLANK(C943),,IFERROR(IF(VLOOKUP(B943,Standings!$A:$F, 6, 0)=VLOOKUP(C943,Standings!$A:$F, 6, 0), VLOOKUP(B943,Standings!$A:$F, 6, 0), "Non-con"), "FCS"))</f>
        <v/>
      </c>
      <c r="W943" s="3" t="str">
        <f t="shared" si="10"/>
        <v/>
      </c>
      <c r="X943" s="3" t="str">
        <f t="shared" si="11"/>
        <v/>
      </c>
      <c r="Y943" s="30" t="str">
        <f>IF(D943=0,,IF(ISBLANK(Q943),,VLOOKUP(X943,Week1,2,FALSE)/(VLOOKUP(X943,Week1,2,FALSE)+VLOOKUP(W943,Week1,2,FALSE)))*100)</f>
        <v/>
      </c>
      <c r="Z943" s="4"/>
      <c r="AA943" s="3"/>
      <c r="AB943" s="4" t="str">
        <f t="shared" si="20"/>
        <v/>
      </c>
      <c r="AC943" s="3"/>
      <c r="AD943" s="3"/>
      <c r="AE943" s="3" t="str">
        <f t="shared" si="13"/>
        <v/>
      </c>
      <c r="AF943" s="3"/>
      <c r="AG943" s="3" t="str">
        <f t="shared" si="133"/>
        <v/>
      </c>
      <c r="AH943" s="3"/>
      <c r="AI943" s="7"/>
      <c r="AJ943" s="4"/>
      <c r="AK943" s="7"/>
      <c r="AL943" s="7"/>
      <c r="AM943" s="7"/>
      <c r="AN943" s="7"/>
      <c r="AO943" s="7"/>
      <c r="AP943" s="7"/>
      <c r="AQ943" s="7"/>
      <c r="AR943" s="7"/>
      <c r="AS943" s="7"/>
      <c r="AT943" s="7"/>
      <c r="AU943" s="7"/>
      <c r="AV943" s="7"/>
      <c r="AW943" s="7"/>
      <c r="AX943" s="7"/>
    </row>
    <row r="944" ht="12.75" customHeight="1">
      <c r="A944" s="4"/>
      <c r="B944" s="4"/>
      <c r="C944" s="4"/>
      <c r="D944" s="4"/>
      <c r="E944" s="4" t="str">
        <f>IF(ISBLANK(B944),,IFERROR(VLOOKUP(B944,CurrentRank!$B$2:$C$132,2,FALSE),0))</f>
        <v/>
      </c>
      <c r="F944" s="4"/>
      <c r="G944" s="4" t="str">
        <f>IF(ISBLANK(B944),,IFERROR(VLOOKUP(B944,CurrentRank!$B$2:$D$132,3,FALSE),130))</f>
        <v/>
      </c>
      <c r="H944" s="4"/>
      <c r="I944" s="4" t="str">
        <f>IF(ISBLANK(B944),,IFERROR(VLOOKUP(C944,CurrentRank!$B$2:$C$132,2,FALSE),0))</f>
        <v/>
      </c>
      <c r="J944" s="4"/>
      <c r="K944" s="4" t="str">
        <f>IF(ISBLANK(C944),,IFERROR(VLOOKUP(C944,CurrentRank!$B$2:$D$132,3,FALSE),130))</f>
        <v/>
      </c>
      <c r="L944" s="19" t="str">
        <f t="shared" si="279"/>
        <v/>
      </c>
      <c r="M944" s="19" t="str">
        <f t="shared" si="280"/>
        <v/>
      </c>
      <c r="N944" s="24" t="str">
        <f t="shared" si="276"/>
        <v/>
      </c>
      <c r="O944" s="21" t="str">
        <f t="shared" si="4"/>
        <v/>
      </c>
      <c r="P944" s="21" t="str">
        <f t="shared" si="282"/>
        <v/>
      </c>
      <c r="Q944" s="22" t="str">
        <f t="shared" si="6"/>
        <v/>
      </c>
      <c r="R944" s="25" t="str">
        <f t="shared" si="7"/>
        <v/>
      </c>
      <c r="S944" s="19" t="str">
        <f t="shared" si="8"/>
        <v/>
      </c>
      <c r="T944" s="19" t="str">
        <f t="shared" si="9"/>
        <v/>
      </c>
      <c r="U944" s="3"/>
      <c r="V944" s="4" t="str">
        <f>IF(ISBLANK(C944),,IFERROR(IF(VLOOKUP(B944,Standings!$A:$F, 6, 0)=VLOOKUP(C944,Standings!$A:$F, 6, 0), VLOOKUP(B944,Standings!$A:$F, 6, 0), "Non-con"), "FCS"))</f>
        <v/>
      </c>
      <c r="W944" s="3" t="str">
        <f t="shared" si="10"/>
        <v/>
      </c>
      <c r="X944" s="3" t="str">
        <f t="shared" si="11"/>
        <v/>
      </c>
      <c r="Y944" s="30" t="str">
        <f>IF(D944=0,,IF(ISBLANK(Q944),,VLOOKUP(X944,Week1,2,FALSE)/(VLOOKUP(X944,Week1,2,FALSE)+VLOOKUP(W944,Week1,2,FALSE)))*100)</f>
        <v/>
      </c>
      <c r="Z944" s="4"/>
      <c r="AA944" s="3"/>
      <c r="AB944" s="4" t="str">
        <f t="shared" si="20"/>
        <v/>
      </c>
      <c r="AC944" s="3"/>
      <c r="AD944" s="3"/>
      <c r="AE944" s="3" t="str">
        <f t="shared" si="13"/>
        <v/>
      </c>
      <c r="AF944" s="3"/>
      <c r="AG944" s="3" t="str">
        <f t="shared" si="133"/>
        <v/>
      </c>
      <c r="AH944" s="3"/>
      <c r="AI944" s="7"/>
      <c r="AJ944" s="4"/>
      <c r="AK944" s="7"/>
      <c r="AL944" s="7"/>
      <c r="AM944" s="7"/>
      <c r="AN944" s="7"/>
      <c r="AO944" s="7"/>
      <c r="AP944" s="7"/>
      <c r="AQ944" s="7"/>
      <c r="AR944" s="7"/>
      <c r="AS944" s="7"/>
      <c r="AT944" s="7"/>
      <c r="AU944" s="7"/>
      <c r="AV944" s="7"/>
      <c r="AW944" s="7"/>
      <c r="AX944" s="7"/>
    </row>
    <row r="945" ht="12.75" customHeight="1">
      <c r="A945" s="4"/>
      <c r="B945" s="4"/>
      <c r="C945" s="4"/>
      <c r="D945" s="4"/>
      <c r="E945" s="4" t="str">
        <f>IF(ISBLANK(B945),,IFERROR(VLOOKUP(B945,CurrentRank!$B$2:$C$132,2,FALSE),0))</f>
        <v/>
      </c>
      <c r="F945" s="4"/>
      <c r="G945" s="4" t="str">
        <f>IF(ISBLANK(B945),,IFERROR(VLOOKUP(B945,CurrentRank!$B$2:$D$132,3,FALSE),130))</f>
        <v/>
      </c>
      <c r="H945" s="4"/>
      <c r="I945" s="4" t="str">
        <f>IF(ISBLANK(B945),,IFERROR(VLOOKUP(C945,CurrentRank!$B$2:$C$132,2,FALSE),0))</f>
        <v/>
      </c>
      <c r="J945" s="4"/>
      <c r="K945" s="4" t="str">
        <f>IF(ISBLANK(C945),,IFERROR(VLOOKUP(C945,CurrentRank!$B$2:$D$132,3,FALSE),130))</f>
        <v/>
      </c>
      <c r="L945" s="19" t="str">
        <f t="shared" si="279"/>
        <v/>
      </c>
      <c r="M945" s="19" t="str">
        <f t="shared" si="280"/>
        <v/>
      </c>
      <c r="N945" s="24" t="str">
        <f t="shared" si="276"/>
        <v/>
      </c>
      <c r="O945" s="21" t="str">
        <f t="shared" si="4"/>
        <v/>
      </c>
      <c r="P945" s="21" t="str">
        <f t="shared" si="282"/>
        <v/>
      </c>
      <c r="Q945" s="22" t="str">
        <f t="shared" si="6"/>
        <v/>
      </c>
      <c r="R945" s="25" t="str">
        <f t="shared" si="7"/>
        <v/>
      </c>
      <c r="S945" s="19" t="str">
        <f t="shared" si="8"/>
        <v/>
      </c>
      <c r="T945" s="19" t="str">
        <f t="shared" si="9"/>
        <v/>
      </c>
      <c r="U945" s="3"/>
      <c r="V945" s="4" t="str">
        <f>IF(ISBLANK(C945),,IFERROR(IF(VLOOKUP(B945,Standings!$A:$F, 6, 0)=VLOOKUP(C945,Standings!$A:$F, 6, 0), VLOOKUP(B945,Standings!$A:$F, 6, 0), "Non-con"), "FCS"))</f>
        <v/>
      </c>
      <c r="W945" s="3" t="str">
        <f t="shared" si="10"/>
        <v/>
      </c>
      <c r="X945" s="3" t="str">
        <f t="shared" si="11"/>
        <v/>
      </c>
      <c r="Y945" s="30" t="str">
        <f>IF(D945=0,,IF(ISBLANK(Q945),,VLOOKUP(X945,Week1,2,FALSE)/(VLOOKUP(X945,Week1,2,FALSE)+VLOOKUP(W945,Week1,2,FALSE)))*100)</f>
        <v/>
      </c>
      <c r="Z945" s="4"/>
      <c r="AA945" s="3"/>
      <c r="AB945" s="4" t="str">
        <f t="shared" si="20"/>
        <v/>
      </c>
      <c r="AC945" s="3"/>
      <c r="AD945" s="3"/>
      <c r="AE945" s="3" t="str">
        <f t="shared" si="13"/>
        <v/>
      </c>
      <c r="AF945" s="3"/>
      <c r="AG945" s="3" t="str">
        <f t="shared" si="133"/>
        <v/>
      </c>
      <c r="AH945" s="3"/>
      <c r="AI945" s="7"/>
      <c r="AJ945" s="4"/>
      <c r="AK945" s="7"/>
      <c r="AL945" s="7"/>
      <c r="AM945" s="7"/>
      <c r="AN945" s="7"/>
      <c r="AO945" s="7"/>
      <c r="AP945" s="7"/>
      <c r="AQ945" s="7"/>
      <c r="AR945" s="7"/>
      <c r="AS945" s="7"/>
      <c r="AT945" s="7"/>
      <c r="AU945" s="7"/>
      <c r="AV945" s="7"/>
      <c r="AW945" s="7"/>
      <c r="AX945" s="7"/>
    </row>
    <row r="946" ht="12.75" customHeight="1">
      <c r="A946" s="4"/>
      <c r="B946" s="4"/>
      <c r="C946" s="4"/>
      <c r="D946" s="4"/>
      <c r="E946" s="4" t="str">
        <f>IF(ISBLANK(B946),,IFERROR(VLOOKUP(B946,CurrentRank!$B$2:$C$132,2,FALSE),0))</f>
        <v/>
      </c>
      <c r="F946" s="4"/>
      <c r="G946" s="4" t="str">
        <f>IF(ISBLANK(B946),,IFERROR(VLOOKUP(B946,CurrentRank!$B$2:$D$132,3,FALSE),130))</f>
        <v/>
      </c>
      <c r="H946" s="4"/>
      <c r="I946" s="4" t="str">
        <f>IF(ISBLANK(B946),,IFERROR(VLOOKUP(C946,CurrentRank!$B$2:$C$132,2,FALSE),0))</f>
        <v/>
      </c>
      <c r="J946" s="4"/>
      <c r="K946" s="4" t="str">
        <f>IF(ISBLANK(C946),,IFERROR(VLOOKUP(C946,CurrentRank!$B$2:$D$132,3,FALSE),130))</f>
        <v/>
      </c>
      <c r="L946" s="19" t="str">
        <f t="shared" si="279"/>
        <v/>
      </c>
      <c r="M946" s="19" t="str">
        <f t="shared" si="280"/>
        <v/>
      </c>
      <c r="N946" s="24" t="str">
        <f t="shared" si="276"/>
        <v/>
      </c>
      <c r="O946" s="21" t="str">
        <f t="shared" si="4"/>
        <v/>
      </c>
      <c r="P946" s="21" t="str">
        <f t="shared" si="282"/>
        <v/>
      </c>
      <c r="Q946" s="22" t="str">
        <f t="shared" si="6"/>
        <v/>
      </c>
      <c r="R946" s="25" t="str">
        <f t="shared" si="7"/>
        <v/>
      </c>
      <c r="S946" s="19" t="str">
        <f t="shared" si="8"/>
        <v/>
      </c>
      <c r="T946" s="19" t="str">
        <f t="shared" si="9"/>
        <v/>
      </c>
      <c r="U946" s="3"/>
      <c r="V946" s="4" t="str">
        <f>IF(ISBLANK(C946),,IFERROR(IF(VLOOKUP(B946,Standings!$A:$F, 6, 0)=VLOOKUP(C946,Standings!$A:$F, 6, 0), VLOOKUP(B946,Standings!$A:$F, 6, 0), "Non-con"), "FCS"))</f>
        <v/>
      </c>
      <c r="W946" s="3" t="str">
        <f t="shared" si="10"/>
        <v/>
      </c>
      <c r="X946" s="3" t="str">
        <f t="shared" si="11"/>
        <v/>
      </c>
      <c r="Y946" s="30" t="str">
        <f>IF(D946=0,,IF(ISBLANK(Q946),,VLOOKUP(X946,Week1,2,FALSE)/(VLOOKUP(X946,Week1,2,FALSE)+VLOOKUP(W946,Week1,2,FALSE)))*100)</f>
        <v/>
      </c>
      <c r="Z946" s="4"/>
      <c r="AA946" s="3"/>
      <c r="AB946" s="4" t="str">
        <f t="shared" si="20"/>
        <v/>
      </c>
      <c r="AC946" s="3"/>
      <c r="AD946" s="3"/>
      <c r="AE946" s="3" t="str">
        <f t="shared" si="13"/>
        <v/>
      </c>
      <c r="AF946" s="3"/>
      <c r="AG946" s="3" t="str">
        <f t="shared" si="133"/>
        <v/>
      </c>
      <c r="AH946" s="3"/>
      <c r="AI946" s="7"/>
      <c r="AJ946" s="4"/>
      <c r="AK946" s="7"/>
      <c r="AL946" s="7"/>
      <c r="AM946" s="7"/>
      <c r="AN946" s="7"/>
      <c r="AO946" s="7"/>
      <c r="AP946" s="7"/>
      <c r="AQ946" s="7"/>
      <c r="AR946" s="7"/>
      <c r="AS946" s="7"/>
      <c r="AT946" s="7"/>
      <c r="AU946" s="7"/>
      <c r="AV946" s="7"/>
      <c r="AW946" s="7"/>
      <c r="AX946" s="7"/>
    </row>
    <row r="947" ht="12.75" customHeight="1">
      <c r="A947" s="4"/>
      <c r="B947" s="4"/>
      <c r="C947" s="4"/>
      <c r="D947" s="4"/>
      <c r="E947" s="4" t="str">
        <f>IF(ISBLANK(B947),,IFERROR(VLOOKUP(B947,CurrentRank!$B$2:$C$132,2,FALSE),0))</f>
        <v/>
      </c>
      <c r="F947" s="4"/>
      <c r="G947" s="4" t="str">
        <f>IF(ISBLANK(B947),,IFERROR(VLOOKUP(B947,CurrentRank!$B$2:$D$132,3,FALSE),130))</f>
        <v/>
      </c>
      <c r="H947" s="4"/>
      <c r="I947" s="4" t="str">
        <f>IF(ISBLANK(B947),,IFERROR(VLOOKUP(C947,CurrentRank!$B$2:$C$132,2,FALSE),0))</f>
        <v/>
      </c>
      <c r="J947" s="4"/>
      <c r="K947" s="4" t="str">
        <f>IF(ISBLANK(C947),,IFERROR(VLOOKUP(C947,CurrentRank!$B$2:$D$132,3,FALSE),130))</f>
        <v/>
      </c>
      <c r="L947" s="19" t="str">
        <f t="shared" si="279"/>
        <v/>
      </c>
      <c r="M947" s="19" t="str">
        <f t="shared" si="280"/>
        <v/>
      </c>
      <c r="N947" s="24" t="str">
        <f t="shared" si="276"/>
        <v/>
      </c>
      <c r="O947" s="21" t="str">
        <f t="shared" si="4"/>
        <v/>
      </c>
      <c r="P947" s="21" t="str">
        <f t="shared" si="282"/>
        <v/>
      </c>
      <c r="Q947" s="22" t="str">
        <f t="shared" si="6"/>
        <v/>
      </c>
      <c r="R947" s="25" t="str">
        <f t="shared" si="7"/>
        <v/>
      </c>
      <c r="S947" s="19" t="str">
        <f t="shared" si="8"/>
        <v/>
      </c>
      <c r="T947" s="19" t="str">
        <f t="shared" si="9"/>
        <v/>
      </c>
      <c r="U947" s="3"/>
      <c r="V947" s="4" t="str">
        <f>IF(ISBLANK(C947),,IFERROR(IF(VLOOKUP(B947,Standings!$A:$F, 6, 0)=VLOOKUP(C947,Standings!$A:$F, 6, 0), VLOOKUP(B947,Standings!$A:$F, 6, 0), "Non-con"), "FCS"))</f>
        <v/>
      </c>
      <c r="W947" s="3" t="str">
        <f t="shared" si="10"/>
        <v/>
      </c>
      <c r="X947" s="3" t="str">
        <f t="shared" si="11"/>
        <v/>
      </c>
      <c r="Y947" s="30" t="str">
        <f>IF(D947=0,,IF(ISBLANK(Q947),,VLOOKUP(X947,Week1,2,FALSE)/(VLOOKUP(X947,Week1,2,FALSE)+VLOOKUP(W947,Week1,2,FALSE)))*100)</f>
        <v/>
      </c>
      <c r="Z947" s="4"/>
      <c r="AA947" s="3"/>
      <c r="AB947" s="4" t="str">
        <f t="shared" si="20"/>
        <v/>
      </c>
      <c r="AC947" s="3"/>
      <c r="AD947" s="3"/>
      <c r="AE947" s="3" t="str">
        <f t="shared" si="13"/>
        <v/>
      </c>
      <c r="AF947" s="3"/>
      <c r="AG947" s="3" t="str">
        <f t="shared" si="133"/>
        <v/>
      </c>
      <c r="AH947" s="3"/>
      <c r="AI947" s="7"/>
      <c r="AJ947" s="4"/>
      <c r="AK947" s="7"/>
      <c r="AL947" s="7"/>
      <c r="AM947" s="7"/>
      <c r="AN947" s="7"/>
      <c r="AO947" s="7"/>
      <c r="AP947" s="7"/>
      <c r="AQ947" s="7"/>
      <c r="AR947" s="7"/>
      <c r="AS947" s="7"/>
      <c r="AT947" s="7"/>
      <c r="AU947" s="7"/>
      <c r="AV947" s="7"/>
      <c r="AW947" s="7"/>
      <c r="AX947" s="7"/>
    </row>
    <row r="948" ht="12.75" customHeight="1">
      <c r="A948" s="4"/>
      <c r="B948" s="4"/>
      <c r="C948" s="4"/>
      <c r="D948" s="4"/>
      <c r="E948" s="4" t="str">
        <f>IF(ISBLANK(B948),,IFERROR(VLOOKUP(B948,CurrentRank!$B$2:$C$132,2,FALSE),0))</f>
        <v/>
      </c>
      <c r="F948" s="4"/>
      <c r="G948" s="4" t="str">
        <f>IF(ISBLANK(B948),,IFERROR(VLOOKUP(B948,CurrentRank!$B$2:$D$132,3,FALSE),130))</f>
        <v/>
      </c>
      <c r="H948" s="4"/>
      <c r="I948" s="4" t="str">
        <f>IF(ISBLANK(B948),,IFERROR(VLOOKUP(C948,CurrentRank!$B$2:$C$132,2,FALSE),0))</f>
        <v/>
      </c>
      <c r="J948" s="4"/>
      <c r="K948" s="4" t="str">
        <f>IF(ISBLANK(C948),,IFERROR(VLOOKUP(C948,CurrentRank!$B$2:$D$132,3,FALSE),130))</f>
        <v/>
      </c>
      <c r="L948" s="19" t="str">
        <f t="shared" si="279"/>
        <v/>
      </c>
      <c r="M948" s="19" t="str">
        <f t="shared" si="280"/>
        <v/>
      </c>
      <c r="N948" s="24" t="str">
        <f t="shared" si="276"/>
        <v/>
      </c>
      <c r="O948" s="21" t="str">
        <f t="shared" si="4"/>
        <v/>
      </c>
      <c r="P948" s="21" t="str">
        <f t="shared" si="282"/>
        <v/>
      </c>
      <c r="Q948" s="22" t="str">
        <f t="shared" si="6"/>
        <v/>
      </c>
      <c r="R948" s="25" t="str">
        <f t="shared" si="7"/>
        <v/>
      </c>
      <c r="S948" s="19" t="str">
        <f t="shared" si="8"/>
        <v/>
      </c>
      <c r="T948" s="19" t="str">
        <f t="shared" si="9"/>
        <v/>
      </c>
      <c r="U948" s="3"/>
      <c r="V948" s="4" t="str">
        <f>IF(ISBLANK(C948),,IFERROR(IF(VLOOKUP(B948,Standings!$A:$F, 6, 0)=VLOOKUP(C948,Standings!$A:$F, 6, 0), VLOOKUP(B948,Standings!$A:$F, 6, 0), "Non-con"), "FCS"))</f>
        <v/>
      </c>
      <c r="W948" s="3" t="str">
        <f t="shared" si="10"/>
        <v/>
      </c>
      <c r="X948" s="3" t="str">
        <f t="shared" si="11"/>
        <v/>
      </c>
      <c r="Y948" s="30" t="str">
        <f>IF(D948=0,,IF(ISBLANK(Q948),,VLOOKUP(X948,Week1,2,FALSE)/(VLOOKUP(X948,Week1,2,FALSE)+VLOOKUP(W948,Week1,2,FALSE)))*100)</f>
        <v/>
      </c>
      <c r="Z948" s="4"/>
      <c r="AA948" s="3"/>
      <c r="AB948" s="4" t="str">
        <f t="shared" si="20"/>
        <v/>
      </c>
      <c r="AC948" s="3"/>
      <c r="AD948" s="3"/>
      <c r="AE948" s="3" t="str">
        <f t="shared" si="13"/>
        <v/>
      </c>
      <c r="AF948" s="3"/>
      <c r="AG948" s="3" t="str">
        <f t="shared" si="133"/>
        <v/>
      </c>
      <c r="AH948" s="3"/>
      <c r="AI948" s="7"/>
      <c r="AJ948" s="4"/>
      <c r="AK948" s="7"/>
      <c r="AL948" s="7"/>
      <c r="AM948" s="7"/>
      <c r="AN948" s="7"/>
      <c r="AO948" s="7"/>
      <c r="AP948" s="7"/>
      <c r="AQ948" s="7"/>
      <c r="AR948" s="7"/>
      <c r="AS948" s="7"/>
      <c r="AT948" s="7"/>
      <c r="AU948" s="7"/>
      <c r="AV948" s="7"/>
      <c r="AW948" s="7"/>
      <c r="AX948" s="7"/>
    </row>
    <row r="949" ht="12.75" customHeight="1">
      <c r="A949" s="4"/>
      <c r="B949" s="4"/>
      <c r="C949" s="4"/>
      <c r="D949" s="4"/>
      <c r="E949" s="4" t="str">
        <f>IF(ISBLANK(B949),,IFERROR(VLOOKUP(B949,CurrentRank!$B$2:$C$132,2,FALSE),0))</f>
        <v/>
      </c>
      <c r="F949" s="4"/>
      <c r="G949" s="4" t="str">
        <f>IF(ISBLANK(B949),,IFERROR(VLOOKUP(B949,CurrentRank!$B$2:$D$132,3,FALSE),130))</f>
        <v/>
      </c>
      <c r="H949" s="4"/>
      <c r="I949" s="4" t="str">
        <f>IF(ISBLANK(B949),,IFERROR(VLOOKUP(C949,CurrentRank!$B$2:$C$132,2,FALSE),0))</f>
        <v/>
      </c>
      <c r="J949" s="4"/>
      <c r="K949" s="4" t="str">
        <f>IF(ISBLANK(C949),,IFERROR(VLOOKUP(C949,CurrentRank!$B$2:$D$132,3,FALSE),130))</f>
        <v/>
      </c>
      <c r="L949" s="19" t="str">
        <f t="shared" si="279"/>
        <v/>
      </c>
      <c r="M949" s="19" t="str">
        <f t="shared" si="280"/>
        <v/>
      </c>
      <c r="N949" s="24" t="str">
        <f t="shared" si="276"/>
        <v/>
      </c>
      <c r="O949" s="21" t="str">
        <f t="shared" si="4"/>
        <v/>
      </c>
      <c r="P949" s="21" t="str">
        <f t="shared" si="282"/>
        <v/>
      </c>
      <c r="Q949" s="22" t="str">
        <f t="shared" si="6"/>
        <v/>
      </c>
      <c r="R949" s="25" t="str">
        <f t="shared" si="7"/>
        <v/>
      </c>
      <c r="S949" s="19" t="str">
        <f t="shared" si="8"/>
        <v/>
      </c>
      <c r="T949" s="19" t="str">
        <f t="shared" si="9"/>
        <v/>
      </c>
      <c r="U949" s="3"/>
      <c r="V949" s="4" t="str">
        <f>IF(ISBLANK(C949),,IFERROR(IF(VLOOKUP(B949,Standings!$A:$F, 6, 0)=VLOOKUP(C949,Standings!$A:$F, 6, 0), VLOOKUP(B949,Standings!$A:$F, 6, 0), "Non-con"), "FCS"))</f>
        <v/>
      </c>
      <c r="W949" s="3" t="str">
        <f t="shared" si="10"/>
        <v/>
      </c>
      <c r="X949" s="3" t="str">
        <f t="shared" si="11"/>
        <v/>
      </c>
      <c r="Y949" s="30" t="str">
        <f>IF(D949=0,,IF(ISBLANK(Q949),,VLOOKUP(X949,Week1,2,FALSE)/(VLOOKUP(X949,Week1,2,FALSE)+VLOOKUP(W949,Week1,2,FALSE)))*100)</f>
        <v/>
      </c>
      <c r="Z949" s="4"/>
      <c r="AA949" s="3"/>
      <c r="AB949" s="4" t="str">
        <f t="shared" si="20"/>
        <v/>
      </c>
      <c r="AC949" s="3"/>
      <c r="AD949" s="3"/>
      <c r="AE949" s="3" t="str">
        <f t="shared" si="13"/>
        <v/>
      </c>
      <c r="AF949" s="3"/>
      <c r="AG949" s="3" t="str">
        <f t="shared" si="133"/>
        <v/>
      </c>
      <c r="AH949" s="3"/>
      <c r="AI949" s="7"/>
      <c r="AJ949" s="4"/>
      <c r="AK949" s="7"/>
      <c r="AL949" s="7"/>
      <c r="AM949" s="7"/>
      <c r="AN949" s="7"/>
      <c r="AO949" s="7"/>
      <c r="AP949" s="7"/>
      <c r="AQ949" s="7"/>
      <c r="AR949" s="7"/>
      <c r="AS949" s="7"/>
      <c r="AT949" s="7"/>
      <c r="AU949" s="7"/>
      <c r="AV949" s="7"/>
      <c r="AW949" s="7"/>
      <c r="AX949" s="7"/>
    </row>
    <row r="950" ht="12.75" customHeight="1">
      <c r="A950" s="4"/>
      <c r="B950" s="4"/>
      <c r="C950" s="4"/>
      <c r="D950" s="4"/>
      <c r="E950" s="4" t="str">
        <f>IF(ISBLANK(B950),,IFERROR(VLOOKUP(B950,CurrentRank!$B$2:$C$132,2,FALSE),0))</f>
        <v/>
      </c>
      <c r="F950" s="4"/>
      <c r="G950" s="4" t="str">
        <f>IF(ISBLANK(B950),,IFERROR(VLOOKUP(B950,CurrentRank!$B$2:$D$132,3,FALSE),130))</f>
        <v/>
      </c>
      <c r="H950" s="4"/>
      <c r="I950" s="4" t="str">
        <f>IF(ISBLANK(B950),,IFERROR(VLOOKUP(C950,CurrentRank!$B$2:$C$132,2,FALSE),0))</f>
        <v/>
      </c>
      <c r="J950" s="4"/>
      <c r="K950" s="4" t="str">
        <f>IF(ISBLANK(C950),,IFERROR(VLOOKUP(C950,CurrentRank!$B$2:$D$132,3,FALSE),130))</f>
        <v/>
      </c>
      <c r="L950" s="19" t="str">
        <f t="shared" si="279"/>
        <v/>
      </c>
      <c r="M950" s="19" t="str">
        <f t="shared" si="280"/>
        <v/>
      </c>
      <c r="N950" s="24" t="str">
        <f t="shared" si="276"/>
        <v/>
      </c>
      <c r="O950" s="21" t="str">
        <f t="shared" si="4"/>
        <v/>
      </c>
      <c r="P950" s="21" t="str">
        <f t="shared" si="282"/>
        <v/>
      </c>
      <c r="Q950" s="22" t="str">
        <f t="shared" si="6"/>
        <v/>
      </c>
      <c r="R950" s="25" t="str">
        <f t="shared" si="7"/>
        <v/>
      </c>
      <c r="S950" s="19" t="str">
        <f t="shared" si="8"/>
        <v/>
      </c>
      <c r="T950" s="19" t="str">
        <f t="shared" si="9"/>
        <v/>
      </c>
      <c r="U950" s="3"/>
      <c r="V950" s="4" t="str">
        <f>IF(ISBLANK(C950),,IFERROR(IF(VLOOKUP(B950,Standings!$A:$F, 6, 0)=VLOOKUP(C950,Standings!$A:$F, 6, 0), VLOOKUP(B950,Standings!$A:$F, 6, 0), "Non-con"), "FCS"))</f>
        <v/>
      </c>
      <c r="W950" s="3" t="str">
        <f t="shared" si="10"/>
        <v/>
      </c>
      <c r="X950" s="3" t="str">
        <f t="shared" si="11"/>
        <v/>
      </c>
      <c r="Y950" s="30" t="str">
        <f>IF(D950=0,,IF(ISBLANK(Q950),,VLOOKUP(X950,Week1,2,FALSE)/(VLOOKUP(X950,Week1,2,FALSE)+VLOOKUP(W950,Week1,2,FALSE)))*100)</f>
        <v/>
      </c>
      <c r="Z950" s="4"/>
      <c r="AA950" s="3"/>
      <c r="AB950" s="4" t="str">
        <f t="shared" si="20"/>
        <v/>
      </c>
      <c r="AC950" s="3"/>
      <c r="AD950" s="3"/>
      <c r="AE950" s="3" t="str">
        <f t="shared" si="13"/>
        <v/>
      </c>
      <c r="AF950" s="3"/>
      <c r="AG950" s="3" t="str">
        <f t="shared" si="133"/>
        <v/>
      </c>
      <c r="AH950" s="3"/>
      <c r="AI950" s="7"/>
      <c r="AJ950" s="4"/>
      <c r="AK950" s="7"/>
      <c r="AL950" s="7"/>
      <c r="AM950" s="7"/>
      <c r="AN950" s="7"/>
      <c r="AO950" s="7"/>
      <c r="AP950" s="7"/>
      <c r="AQ950" s="7"/>
      <c r="AR950" s="7"/>
      <c r="AS950" s="7"/>
      <c r="AT950" s="7"/>
      <c r="AU950" s="7"/>
      <c r="AV950" s="7"/>
      <c r="AW950" s="7"/>
      <c r="AX950" s="7"/>
    </row>
    <row r="951" ht="12.75" customHeight="1">
      <c r="A951" s="4"/>
      <c r="B951" s="4"/>
      <c r="C951" s="4"/>
      <c r="D951" s="4"/>
      <c r="E951" s="4" t="str">
        <f>IF(ISBLANK(B951),,IFERROR(VLOOKUP(B951,CurrentRank!$B$2:$C$132,2,FALSE),0))</f>
        <v/>
      </c>
      <c r="F951" s="4"/>
      <c r="G951" s="4" t="str">
        <f>IF(ISBLANK(B951),,IFERROR(VLOOKUP(B951,CurrentRank!$B$2:$D$132,3,FALSE),130))</f>
        <v/>
      </c>
      <c r="H951" s="4"/>
      <c r="I951" s="4" t="str">
        <f>IF(ISBLANK(B951),,IFERROR(VLOOKUP(C951,CurrentRank!$B$2:$C$132,2,FALSE),0))</f>
        <v/>
      </c>
      <c r="J951" s="4"/>
      <c r="K951" s="4" t="str">
        <f>IF(ISBLANK(C951),,IFERROR(VLOOKUP(C951,CurrentRank!$B$2:$D$132,3,FALSE),130))</f>
        <v/>
      </c>
      <c r="L951" s="19" t="str">
        <f t="shared" si="279"/>
        <v/>
      </c>
      <c r="M951" s="19" t="str">
        <f t="shared" si="280"/>
        <v/>
      </c>
      <c r="N951" s="24" t="str">
        <f t="shared" si="276"/>
        <v/>
      </c>
      <c r="O951" s="21" t="str">
        <f t="shared" si="4"/>
        <v/>
      </c>
      <c r="P951" s="21" t="str">
        <f t="shared" si="282"/>
        <v/>
      </c>
      <c r="Q951" s="22" t="str">
        <f t="shared" si="6"/>
        <v/>
      </c>
      <c r="R951" s="25" t="str">
        <f t="shared" si="7"/>
        <v/>
      </c>
      <c r="S951" s="19" t="str">
        <f t="shared" si="8"/>
        <v/>
      </c>
      <c r="T951" s="19" t="str">
        <f t="shared" si="9"/>
        <v/>
      </c>
      <c r="U951" s="3"/>
      <c r="V951" s="4" t="str">
        <f>IF(ISBLANK(C951),,IFERROR(IF(VLOOKUP(B951,Standings!$A:$F, 6, 0)=VLOOKUP(C951,Standings!$A:$F, 6, 0), VLOOKUP(B951,Standings!$A:$F, 6, 0), "Non-con"), "FCS"))</f>
        <v/>
      </c>
      <c r="W951" s="3" t="str">
        <f t="shared" si="10"/>
        <v/>
      </c>
      <c r="X951" s="3" t="str">
        <f t="shared" si="11"/>
        <v/>
      </c>
      <c r="Y951" s="30" t="str">
        <f>IF(D951=0,,IF(ISBLANK(Q951),,VLOOKUP(X951,Week1,2,FALSE)/(VLOOKUP(X951,Week1,2,FALSE)+VLOOKUP(W951,Week1,2,FALSE)))*100)</f>
        <v/>
      </c>
      <c r="Z951" s="4"/>
      <c r="AA951" s="3"/>
      <c r="AB951" s="4" t="str">
        <f t="shared" si="20"/>
        <v/>
      </c>
      <c r="AC951" s="3"/>
      <c r="AD951" s="3"/>
      <c r="AE951" s="3" t="str">
        <f t="shared" si="13"/>
        <v/>
      </c>
      <c r="AF951" s="3"/>
      <c r="AG951" s="3" t="str">
        <f t="shared" si="133"/>
        <v/>
      </c>
      <c r="AH951" s="3"/>
      <c r="AI951" s="7"/>
      <c r="AJ951" s="4"/>
      <c r="AK951" s="7"/>
      <c r="AL951" s="7"/>
      <c r="AM951" s="7"/>
      <c r="AN951" s="7"/>
      <c r="AO951" s="7"/>
      <c r="AP951" s="7"/>
      <c r="AQ951" s="7"/>
      <c r="AR951" s="7"/>
      <c r="AS951" s="7"/>
      <c r="AT951" s="7"/>
      <c r="AU951" s="7"/>
      <c r="AV951" s="7"/>
      <c r="AW951" s="7"/>
      <c r="AX951" s="7"/>
    </row>
    <row r="952" ht="12.75" customHeight="1">
      <c r="A952" s="4"/>
      <c r="B952" s="4"/>
      <c r="C952" s="4"/>
      <c r="D952" s="4"/>
      <c r="E952" s="4" t="str">
        <f>IF(ISBLANK(B952),,IFERROR(VLOOKUP(B952,CurrentRank!$B$2:$C$132,2,FALSE),0))</f>
        <v/>
      </c>
      <c r="F952" s="4"/>
      <c r="G952" s="4" t="str">
        <f>IF(ISBLANK(B952),,IFERROR(VLOOKUP(B952,CurrentRank!$B$2:$D$132,3,FALSE),130))</f>
        <v/>
      </c>
      <c r="H952" s="4"/>
      <c r="I952" s="4" t="str">
        <f>IF(ISBLANK(B952),,IFERROR(VLOOKUP(C952,CurrentRank!$B$2:$C$132,2,FALSE),0))</f>
        <v/>
      </c>
      <c r="J952" s="4"/>
      <c r="K952" s="4" t="str">
        <f>IF(ISBLANK(C952),,IFERROR(VLOOKUP(C952,CurrentRank!$B$2:$D$132,3,FALSE),130))</f>
        <v/>
      </c>
      <c r="L952" s="19" t="str">
        <f t="shared" si="279"/>
        <v/>
      </c>
      <c r="M952" s="19" t="str">
        <f t="shared" si="280"/>
        <v/>
      </c>
      <c r="N952" s="24" t="str">
        <f t="shared" si="276"/>
        <v/>
      </c>
      <c r="O952" s="21" t="str">
        <f t="shared" si="4"/>
        <v/>
      </c>
      <c r="P952" s="21" t="str">
        <f t="shared" si="282"/>
        <v/>
      </c>
      <c r="Q952" s="22" t="str">
        <f t="shared" si="6"/>
        <v/>
      </c>
      <c r="R952" s="25" t="str">
        <f t="shared" si="7"/>
        <v/>
      </c>
      <c r="S952" s="19" t="str">
        <f t="shared" si="8"/>
        <v/>
      </c>
      <c r="T952" s="19" t="str">
        <f t="shared" si="9"/>
        <v/>
      </c>
      <c r="U952" s="3"/>
      <c r="V952" s="4" t="str">
        <f>IF(ISBLANK(C952),,IFERROR(IF(VLOOKUP(B952,Standings!$A:$F, 6, 0)=VLOOKUP(C952,Standings!$A:$F, 6, 0), VLOOKUP(B952,Standings!$A:$F, 6, 0), "Non-con"), "FCS"))</f>
        <v/>
      </c>
      <c r="W952" s="3" t="str">
        <f t="shared" si="10"/>
        <v/>
      </c>
      <c r="X952" s="3" t="str">
        <f t="shared" si="11"/>
        <v/>
      </c>
      <c r="Y952" s="30" t="str">
        <f>IF(D952=0,,IF(ISBLANK(Q952),,VLOOKUP(X952,Week1,2,FALSE)/(VLOOKUP(X952,Week1,2,FALSE)+VLOOKUP(W952,Week1,2,FALSE)))*100)</f>
        <v/>
      </c>
      <c r="Z952" s="4"/>
      <c r="AA952" s="3"/>
      <c r="AB952" s="4" t="str">
        <f t="shared" si="20"/>
        <v/>
      </c>
      <c r="AC952" s="3"/>
      <c r="AD952" s="3"/>
      <c r="AE952" s="3" t="str">
        <f t="shared" si="13"/>
        <v/>
      </c>
      <c r="AF952" s="3"/>
      <c r="AG952" s="3" t="str">
        <f t="shared" si="133"/>
        <v/>
      </c>
      <c r="AH952" s="3"/>
      <c r="AI952" s="7"/>
      <c r="AJ952" s="4"/>
      <c r="AK952" s="7"/>
      <c r="AL952" s="7"/>
      <c r="AM952" s="7"/>
      <c r="AN952" s="7"/>
      <c r="AO952" s="7"/>
      <c r="AP952" s="7"/>
      <c r="AQ952" s="7"/>
      <c r="AR952" s="7"/>
      <c r="AS952" s="7"/>
      <c r="AT952" s="7"/>
      <c r="AU952" s="7"/>
      <c r="AV952" s="7"/>
      <c r="AW952" s="7"/>
      <c r="AX952" s="7"/>
    </row>
    <row r="953" ht="12.75" customHeight="1">
      <c r="A953" s="4"/>
      <c r="B953" s="4"/>
      <c r="C953" s="4"/>
      <c r="D953" s="4"/>
      <c r="E953" s="4" t="str">
        <f>IF(ISBLANK(B953),,IFERROR(VLOOKUP(B953,CurrentRank!$B$2:$C$132,2,FALSE),0))</f>
        <v/>
      </c>
      <c r="F953" s="4"/>
      <c r="G953" s="4" t="str">
        <f>IF(ISBLANK(B953),,IFERROR(VLOOKUP(B953,CurrentRank!$B$2:$D$132,3,FALSE),130))</f>
        <v/>
      </c>
      <c r="H953" s="4"/>
      <c r="I953" s="4" t="str">
        <f>IF(ISBLANK(B953),,IFERROR(VLOOKUP(C953,CurrentRank!$B$2:$C$132,2,FALSE),0))</f>
        <v/>
      </c>
      <c r="J953" s="4"/>
      <c r="K953" s="4" t="str">
        <f>IF(ISBLANK(C953),,IFERROR(VLOOKUP(C953,CurrentRank!$B$2:$D$132,3,FALSE),130))</f>
        <v/>
      </c>
      <c r="L953" s="19" t="str">
        <f t="shared" si="279"/>
        <v/>
      </c>
      <c r="M953" s="19" t="str">
        <f t="shared" si="280"/>
        <v/>
      </c>
      <c r="N953" s="24" t="str">
        <f t="shared" si="276"/>
        <v/>
      </c>
      <c r="O953" s="21" t="str">
        <f t="shared" si="4"/>
        <v/>
      </c>
      <c r="P953" s="21" t="str">
        <f t="shared" si="282"/>
        <v/>
      </c>
      <c r="Q953" s="22" t="str">
        <f t="shared" si="6"/>
        <v/>
      </c>
      <c r="R953" s="25" t="str">
        <f t="shared" si="7"/>
        <v/>
      </c>
      <c r="S953" s="19" t="str">
        <f t="shared" si="8"/>
        <v/>
      </c>
      <c r="T953" s="19" t="str">
        <f t="shared" si="9"/>
        <v/>
      </c>
      <c r="U953" s="3"/>
      <c r="V953" s="4" t="str">
        <f>IF(ISBLANK(C953),,IFERROR(IF(VLOOKUP(B953,Standings!$A:$F, 6, 0)=VLOOKUP(C953,Standings!$A:$F, 6, 0), VLOOKUP(B953,Standings!$A:$F, 6, 0), "Non-con"), "FCS"))</f>
        <v/>
      </c>
      <c r="W953" s="3" t="str">
        <f t="shared" si="10"/>
        <v/>
      </c>
      <c r="X953" s="3" t="str">
        <f t="shared" si="11"/>
        <v/>
      </c>
      <c r="Y953" s="30" t="str">
        <f>IF(D953=0,,IF(ISBLANK(Q953),,VLOOKUP(X953,Week1,2,FALSE)/(VLOOKUP(X953,Week1,2,FALSE)+VLOOKUP(W953,Week1,2,FALSE)))*100)</f>
        <v/>
      </c>
      <c r="Z953" s="4"/>
      <c r="AA953" s="3"/>
      <c r="AB953" s="4" t="str">
        <f t="shared" si="20"/>
        <v/>
      </c>
      <c r="AC953" s="3"/>
      <c r="AD953" s="3"/>
      <c r="AE953" s="3" t="str">
        <f t="shared" si="13"/>
        <v/>
      </c>
      <c r="AF953" s="3"/>
      <c r="AG953" s="3" t="str">
        <f t="shared" si="133"/>
        <v/>
      </c>
      <c r="AH953" s="3"/>
      <c r="AI953" s="7"/>
      <c r="AJ953" s="4"/>
      <c r="AK953" s="7"/>
      <c r="AL953" s="7"/>
      <c r="AM953" s="7"/>
      <c r="AN953" s="7"/>
      <c r="AO953" s="7"/>
      <c r="AP953" s="7"/>
      <c r="AQ953" s="7"/>
      <c r="AR953" s="7"/>
      <c r="AS953" s="7"/>
      <c r="AT953" s="7"/>
      <c r="AU953" s="7"/>
      <c r="AV953" s="7"/>
      <c r="AW953" s="7"/>
      <c r="AX953" s="7"/>
    </row>
    <row r="954" ht="12.75" customHeight="1">
      <c r="A954" s="4"/>
      <c r="B954" s="4"/>
      <c r="C954" s="4"/>
      <c r="D954" s="4"/>
      <c r="E954" s="4" t="str">
        <f>IF(ISBLANK(B954),,IFERROR(VLOOKUP(B954,CurrentRank!$B$2:$C$132,2,FALSE),0))</f>
        <v/>
      </c>
      <c r="F954" s="4"/>
      <c r="G954" s="4" t="str">
        <f>IF(ISBLANK(B954),,IFERROR(VLOOKUP(B954,CurrentRank!$B$2:$D$132,3,FALSE),130))</f>
        <v/>
      </c>
      <c r="H954" s="4"/>
      <c r="I954" s="4" t="str">
        <f>IF(ISBLANK(B954),,IFERROR(VLOOKUP(C954,CurrentRank!$B$2:$C$132,2,FALSE),0))</f>
        <v/>
      </c>
      <c r="J954" s="4"/>
      <c r="K954" s="4" t="str">
        <f>IF(ISBLANK(C954),,IFERROR(VLOOKUP(C954,CurrentRank!$B$2:$D$132,3,FALSE),130))</f>
        <v/>
      </c>
      <c r="L954" s="19" t="str">
        <f t="shared" si="279"/>
        <v/>
      </c>
      <c r="M954" s="19" t="str">
        <f t="shared" si="280"/>
        <v/>
      </c>
      <c r="N954" s="24" t="str">
        <f t="shared" si="276"/>
        <v/>
      </c>
      <c r="O954" s="21" t="str">
        <f t="shared" si="4"/>
        <v/>
      </c>
      <c r="P954" s="21" t="str">
        <f t="shared" si="282"/>
        <v/>
      </c>
      <c r="Q954" s="22" t="str">
        <f t="shared" si="6"/>
        <v/>
      </c>
      <c r="R954" s="25" t="str">
        <f t="shared" si="7"/>
        <v/>
      </c>
      <c r="S954" s="19" t="str">
        <f t="shared" si="8"/>
        <v/>
      </c>
      <c r="T954" s="19" t="str">
        <f t="shared" si="9"/>
        <v/>
      </c>
      <c r="U954" s="3"/>
      <c r="V954" s="4" t="str">
        <f>IF(ISBLANK(C954),,IFERROR(IF(VLOOKUP(B954,Standings!$A:$F, 6, 0)=VLOOKUP(C954,Standings!$A:$F, 6, 0), VLOOKUP(B954,Standings!$A:$F, 6, 0), "Non-con"), "FCS"))</f>
        <v/>
      </c>
      <c r="W954" s="3" t="str">
        <f t="shared" si="10"/>
        <v/>
      </c>
      <c r="X954" s="3" t="str">
        <f t="shared" si="11"/>
        <v/>
      </c>
      <c r="Y954" s="30" t="str">
        <f>IF(D954=0,,IF(ISBLANK(Q954),,VLOOKUP(X954,Week1,2,FALSE)/(VLOOKUP(X954,Week1,2,FALSE)+VLOOKUP(W954,Week1,2,FALSE)))*100)</f>
        <v/>
      </c>
      <c r="Z954" s="4"/>
      <c r="AA954" s="3"/>
      <c r="AB954" s="4" t="str">
        <f t="shared" si="20"/>
        <v/>
      </c>
      <c r="AC954" s="3"/>
      <c r="AD954" s="3"/>
      <c r="AE954" s="3" t="str">
        <f t="shared" si="13"/>
        <v/>
      </c>
      <c r="AF954" s="3"/>
      <c r="AG954" s="3" t="str">
        <f t="shared" si="133"/>
        <v/>
      </c>
      <c r="AH954" s="3"/>
      <c r="AI954" s="7"/>
      <c r="AJ954" s="4"/>
      <c r="AK954" s="7"/>
      <c r="AL954" s="7"/>
      <c r="AM954" s="7"/>
      <c r="AN954" s="7"/>
      <c r="AO954" s="7"/>
      <c r="AP954" s="7"/>
      <c r="AQ954" s="7"/>
      <c r="AR954" s="7"/>
      <c r="AS954" s="7"/>
      <c r="AT954" s="7"/>
      <c r="AU954" s="7"/>
      <c r="AV954" s="7"/>
      <c r="AW954" s="7"/>
      <c r="AX954" s="7"/>
    </row>
    <row r="955" ht="12.75" customHeight="1">
      <c r="A955" s="4"/>
      <c r="B955" s="4"/>
      <c r="C955" s="4"/>
      <c r="D955" s="4"/>
      <c r="E955" s="4" t="str">
        <f>IF(ISBLANK(B955),,IFERROR(VLOOKUP(B955,CurrentRank!$B$2:$C$132,2,FALSE),0))</f>
        <v/>
      </c>
      <c r="F955" s="4"/>
      <c r="G955" s="4" t="str">
        <f>IF(ISBLANK(B955),,IFERROR(VLOOKUP(B955,CurrentRank!$B$2:$D$132,3,FALSE),130))</f>
        <v/>
      </c>
      <c r="H955" s="4"/>
      <c r="I955" s="4" t="str">
        <f>IF(ISBLANK(B955),,IFERROR(VLOOKUP(C955,CurrentRank!$B$2:$C$132,2,FALSE),0))</f>
        <v/>
      </c>
      <c r="J955" s="4"/>
      <c r="K955" s="4" t="str">
        <f>IF(ISBLANK(C955),,IFERROR(VLOOKUP(C955,CurrentRank!$B$2:$D$132,3,FALSE),130))</f>
        <v/>
      </c>
      <c r="L955" s="19" t="str">
        <f t="shared" si="279"/>
        <v/>
      </c>
      <c r="M955" s="19" t="str">
        <f t="shared" si="280"/>
        <v/>
      </c>
      <c r="N955" s="24" t="str">
        <f t="shared" si="276"/>
        <v/>
      </c>
      <c r="O955" s="21" t="str">
        <f t="shared" si="4"/>
        <v/>
      </c>
      <c r="P955" s="21" t="str">
        <f t="shared" si="282"/>
        <v/>
      </c>
      <c r="Q955" s="22" t="str">
        <f t="shared" si="6"/>
        <v/>
      </c>
      <c r="R955" s="25" t="str">
        <f t="shared" si="7"/>
        <v/>
      </c>
      <c r="S955" s="19" t="str">
        <f t="shared" si="8"/>
        <v/>
      </c>
      <c r="T955" s="19" t="str">
        <f t="shared" si="9"/>
        <v/>
      </c>
      <c r="U955" s="3"/>
      <c r="V955" s="4" t="str">
        <f>IF(ISBLANK(C955),,IFERROR(IF(VLOOKUP(B955,Standings!$A:$F, 6, 0)=VLOOKUP(C955,Standings!$A:$F, 6, 0), VLOOKUP(B955,Standings!$A:$F, 6, 0), "Non-con"), "FCS"))</f>
        <v/>
      </c>
      <c r="W955" s="3" t="str">
        <f t="shared" si="10"/>
        <v/>
      </c>
      <c r="X955" s="3" t="str">
        <f t="shared" si="11"/>
        <v/>
      </c>
      <c r="Y955" s="30" t="str">
        <f>IF(D955=0,,IF(ISBLANK(Q955),,VLOOKUP(X955,Week1,2,FALSE)/(VLOOKUP(X955,Week1,2,FALSE)+VLOOKUP(W955,Week1,2,FALSE)))*100)</f>
        <v/>
      </c>
      <c r="Z955" s="4"/>
      <c r="AA955" s="3"/>
      <c r="AB955" s="4" t="str">
        <f t="shared" si="20"/>
        <v/>
      </c>
      <c r="AC955" s="3"/>
      <c r="AD955" s="3"/>
      <c r="AE955" s="3" t="str">
        <f t="shared" si="13"/>
        <v/>
      </c>
      <c r="AF955" s="3"/>
      <c r="AG955" s="3" t="str">
        <f t="shared" si="133"/>
        <v/>
      </c>
      <c r="AH955" s="3"/>
      <c r="AI955" s="7"/>
      <c r="AJ955" s="4"/>
      <c r="AK955" s="7"/>
      <c r="AL955" s="7"/>
      <c r="AM955" s="7"/>
      <c r="AN955" s="7"/>
      <c r="AO955" s="7"/>
      <c r="AP955" s="7"/>
      <c r="AQ955" s="7"/>
      <c r="AR955" s="7"/>
      <c r="AS955" s="7"/>
      <c r="AT955" s="7"/>
      <c r="AU955" s="7"/>
      <c r="AV955" s="7"/>
      <c r="AW955" s="7"/>
      <c r="AX955" s="7"/>
    </row>
    <row r="956" ht="12.75" customHeight="1">
      <c r="A956" s="4"/>
      <c r="B956" s="4"/>
      <c r="C956" s="4"/>
      <c r="D956" s="4"/>
      <c r="E956" s="4" t="str">
        <f>IF(ISBLANK(B956),,IFERROR(VLOOKUP(B956,CurrentRank!$B$2:$C$132,2,FALSE),0))</f>
        <v/>
      </c>
      <c r="F956" s="4"/>
      <c r="G956" s="4" t="str">
        <f>IF(ISBLANK(B956),,IFERROR(VLOOKUP(B956,CurrentRank!$B$2:$D$132,3,FALSE),130))</f>
        <v/>
      </c>
      <c r="H956" s="4"/>
      <c r="I956" s="4" t="str">
        <f>IF(ISBLANK(B956),,IFERROR(VLOOKUP(C956,CurrentRank!$B$2:$C$132,2,FALSE),0))</f>
        <v/>
      </c>
      <c r="J956" s="4"/>
      <c r="K956" s="4" t="str">
        <f>IF(ISBLANK(C956),,IFERROR(VLOOKUP(C956,CurrentRank!$B$2:$D$132,3,FALSE),130))</f>
        <v/>
      </c>
      <c r="L956" s="19" t="str">
        <f t="shared" si="279"/>
        <v/>
      </c>
      <c r="M956" s="19" t="str">
        <f t="shared" si="280"/>
        <v/>
      </c>
      <c r="N956" s="24" t="str">
        <f t="shared" si="276"/>
        <v/>
      </c>
      <c r="O956" s="21" t="str">
        <f t="shared" si="4"/>
        <v/>
      </c>
      <c r="P956" s="21" t="str">
        <f t="shared" si="282"/>
        <v/>
      </c>
      <c r="Q956" s="22" t="str">
        <f t="shared" si="6"/>
        <v/>
      </c>
      <c r="R956" s="25" t="str">
        <f t="shared" si="7"/>
        <v/>
      </c>
      <c r="S956" s="19" t="str">
        <f t="shared" si="8"/>
        <v/>
      </c>
      <c r="T956" s="19" t="str">
        <f t="shared" si="9"/>
        <v/>
      </c>
      <c r="U956" s="3"/>
      <c r="V956" s="4" t="str">
        <f>IF(ISBLANK(C956),,IFERROR(IF(VLOOKUP(B956,Standings!$A:$F, 6, 0)=VLOOKUP(C956,Standings!$A:$F, 6, 0), VLOOKUP(B956,Standings!$A:$F, 6, 0), "Non-con"), "FCS"))</f>
        <v/>
      </c>
      <c r="W956" s="3" t="str">
        <f t="shared" si="10"/>
        <v/>
      </c>
      <c r="X956" s="3" t="str">
        <f t="shared" si="11"/>
        <v/>
      </c>
      <c r="Y956" s="30" t="str">
        <f>IF(D956=0,,IF(ISBLANK(Q956),,VLOOKUP(X956,Week1,2,FALSE)/(VLOOKUP(X956,Week1,2,FALSE)+VLOOKUP(W956,Week1,2,FALSE)))*100)</f>
        <v/>
      </c>
      <c r="Z956" s="4"/>
      <c r="AA956" s="3"/>
      <c r="AB956" s="4" t="str">
        <f t="shared" si="20"/>
        <v/>
      </c>
      <c r="AC956" s="3"/>
      <c r="AD956" s="3"/>
      <c r="AE956" s="3" t="str">
        <f t="shared" si="13"/>
        <v/>
      </c>
      <c r="AF956" s="3"/>
      <c r="AG956" s="3" t="str">
        <f t="shared" si="133"/>
        <v/>
      </c>
      <c r="AH956" s="3"/>
      <c r="AI956" s="7"/>
      <c r="AJ956" s="4"/>
      <c r="AK956" s="7"/>
      <c r="AL956" s="7"/>
      <c r="AM956" s="7"/>
      <c r="AN956" s="7"/>
      <c r="AO956" s="7"/>
      <c r="AP956" s="7"/>
      <c r="AQ956" s="7"/>
      <c r="AR956" s="7"/>
      <c r="AS956" s="7"/>
      <c r="AT956" s="7"/>
      <c r="AU956" s="7"/>
      <c r="AV956" s="7"/>
      <c r="AW956" s="7"/>
      <c r="AX956" s="7"/>
    </row>
    <row r="957" ht="12.75" customHeight="1">
      <c r="A957" s="4"/>
      <c r="B957" s="4"/>
      <c r="C957" s="4"/>
      <c r="D957" s="4"/>
      <c r="E957" s="4" t="str">
        <f>IF(ISBLANK(B957),,IFERROR(VLOOKUP(B957,CurrentRank!$B$2:$C$132,2,FALSE),0))</f>
        <v/>
      </c>
      <c r="F957" s="4"/>
      <c r="G957" s="4" t="str">
        <f>IF(ISBLANK(B957),,IFERROR(VLOOKUP(B957,CurrentRank!$B$2:$D$132,3,FALSE),130))</f>
        <v/>
      </c>
      <c r="H957" s="4"/>
      <c r="I957" s="4" t="str">
        <f>IF(ISBLANK(B957),,IFERROR(VLOOKUP(C957,CurrentRank!$B$2:$C$132,2,FALSE),0))</f>
        <v/>
      </c>
      <c r="J957" s="4"/>
      <c r="K957" s="4" t="str">
        <f>IF(ISBLANK(C957),,IFERROR(VLOOKUP(C957,CurrentRank!$B$2:$D$132,3,FALSE),130))</f>
        <v/>
      </c>
      <c r="L957" s="19" t="str">
        <f t="shared" si="279"/>
        <v/>
      </c>
      <c r="M957" s="19" t="str">
        <f t="shared" si="280"/>
        <v/>
      </c>
      <c r="N957" s="24" t="str">
        <f t="shared" si="276"/>
        <v/>
      </c>
      <c r="O957" s="21" t="str">
        <f t="shared" si="4"/>
        <v/>
      </c>
      <c r="P957" s="21" t="str">
        <f t="shared" si="282"/>
        <v/>
      </c>
      <c r="Q957" s="22" t="str">
        <f t="shared" si="6"/>
        <v/>
      </c>
      <c r="R957" s="25" t="str">
        <f t="shared" si="7"/>
        <v/>
      </c>
      <c r="S957" s="19" t="str">
        <f t="shared" si="8"/>
        <v/>
      </c>
      <c r="T957" s="19" t="str">
        <f t="shared" si="9"/>
        <v/>
      </c>
      <c r="U957" s="3"/>
      <c r="V957" s="4" t="str">
        <f>IF(ISBLANK(C957),,IFERROR(IF(VLOOKUP(B957,Standings!$A:$F, 6, 0)=VLOOKUP(C957,Standings!$A:$F, 6, 0), VLOOKUP(B957,Standings!$A:$F, 6, 0), "Non-con"), "FCS"))</f>
        <v/>
      </c>
      <c r="W957" s="3" t="str">
        <f t="shared" si="10"/>
        <v/>
      </c>
      <c r="X957" s="3" t="str">
        <f t="shared" si="11"/>
        <v/>
      </c>
      <c r="Y957" s="30" t="str">
        <f>IF(D957=0,,IF(ISBLANK(Q957),,VLOOKUP(X957,Week1,2,FALSE)/(VLOOKUP(X957,Week1,2,FALSE)+VLOOKUP(W957,Week1,2,FALSE)))*100)</f>
        <v/>
      </c>
      <c r="Z957" s="4"/>
      <c r="AA957" s="3"/>
      <c r="AB957" s="4" t="str">
        <f t="shared" si="20"/>
        <v/>
      </c>
      <c r="AC957" s="3"/>
      <c r="AD957" s="3"/>
      <c r="AE957" s="3" t="str">
        <f t="shared" si="13"/>
        <v/>
      </c>
      <c r="AF957" s="3"/>
      <c r="AG957" s="3" t="str">
        <f t="shared" si="133"/>
        <v/>
      </c>
      <c r="AH957" s="3"/>
      <c r="AI957" s="7"/>
      <c r="AJ957" s="4"/>
      <c r="AK957" s="7"/>
      <c r="AL957" s="7"/>
      <c r="AM957" s="7"/>
      <c r="AN957" s="7"/>
      <c r="AO957" s="7"/>
      <c r="AP957" s="7"/>
      <c r="AQ957" s="7"/>
      <c r="AR957" s="7"/>
      <c r="AS957" s="7"/>
      <c r="AT957" s="7"/>
      <c r="AU957" s="7"/>
      <c r="AV957" s="7"/>
      <c r="AW957" s="7"/>
      <c r="AX957" s="7"/>
    </row>
    <row r="958" ht="12.75" customHeight="1">
      <c r="A958" s="4"/>
      <c r="B958" s="4"/>
      <c r="C958" s="4"/>
      <c r="D958" s="4"/>
      <c r="E958" s="4" t="str">
        <f>IF(ISBLANK(B958),,IFERROR(VLOOKUP(B958,CurrentRank!$B$2:$C$132,2,FALSE),0))</f>
        <v/>
      </c>
      <c r="F958" s="4"/>
      <c r="G958" s="4" t="str">
        <f>IF(ISBLANK(B958),,IFERROR(VLOOKUP(B958,CurrentRank!$B$2:$D$132,3,FALSE),130))</f>
        <v/>
      </c>
      <c r="H958" s="4"/>
      <c r="I958" s="4" t="str">
        <f>IF(ISBLANK(B958),,IFERROR(VLOOKUP(C958,CurrentRank!$B$2:$C$132,2,FALSE),0))</f>
        <v/>
      </c>
      <c r="J958" s="4"/>
      <c r="K958" s="4" t="str">
        <f>IF(ISBLANK(C958),,IFERROR(VLOOKUP(C958,CurrentRank!$B$2:$D$132,3,FALSE),130))</f>
        <v/>
      </c>
      <c r="L958" s="19" t="str">
        <f t="shared" si="279"/>
        <v/>
      </c>
      <c r="M958" s="19" t="str">
        <f t="shared" si="280"/>
        <v/>
      </c>
      <c r="N958" s="24" t="str">
        <f t="shared" si="276"/>
        <v/>
      </c>
      <c r="O958" s="21" t="str">
        <f t="shared" si="4"/>
        <v/>
      </c>
      <c r="P958" s="21" t="str">
        <f t="shared" si="282"/>
        <v/>
      </c>
      <c r="Q958" s="22" t="str">
        <f t="shared" si="6"/>
        <v/>
      </c>
      <c r="R958" s="25" t="str">
        <f t="shared" si="7"/>
        <v/>
      </c>
      <c r="S958" s="19" t="str">
        <f t="shared" si="8"/>
        <v/>
      </c>
      <c r="T958" s="19" t="str">
        <f t="shared" si="9"/>
        <v/>
      </c>
      <c r="U958" s="3"/>
      <c r="V958" s="4" t="str">
        <f>IF(ISBLANK(C958),,IFERROR(IF(VLOOKUP(B958,Standings!$A:$F, 6, 0)=VLOOKUP(C958,Standings!$A:$F, 6, 0), VLOOKUP(B958,Standings!$A:$F, 6, 0), "Non-con"), "FCS"))</f>
        <v/>
      </c>
      <c r="W958" s="3" t="str">
        <f t="shared" si="10"/>
        <v/>
      </c>
      <c r="X958" s="3" t="str">
        <f t="shared" si="11"/>
        <v/>
      </c>
      <c r="Y958" s="30" t="str">
        <f>IF(D958=0,,IF(ISBLANK(Q958),,VLOOKUP(X958,Week1,2,FALSE)/(VLOOKUP(X958,Week1,2,FALSE)+VLOOKUP(W958,Week1,2,FALSE)))*100)</f>
        <v/>
      </c>
      <c r="Z958" s="4"/>
      <c r="AA958" s="3"/>
      <c r="AB958" s="4" t="str">
        <f t="shared" si="20"/>
        <v/>
      </c>
      <c r="AC958" s="3"/>
      <c r="AD958" s="3"/>
      <c r="AE958" s="3" t="str">
        <f t="shared" si="13"/>
        <v/>
      </c>
      <c r="AF958" s="3"/>
      <c r="AG958" s="3" t="str">
        <f t="shared" si="133"/>
        <v/>
      </c>
      <c r="AH958" s="3"/>
      <c r="AI958" s="7"/>
      <c r="AJ958" s="4"/>
      <c r="AK958" s="7"/>
      <c r="AL958" s="7"/>
      <c r="AM958" s="7"/>
      <c r="AN958" s="7"/>
      <c r="AO958" s="7"/>
      <c r="AP958" s="7"/>
      <c r="AQ958" s="7"/>
      <c r="AR958" s="7"/>
      <c r="AS958" s="7"/>
      <c r="AT958" s="7"/>
      <c r="AU958" s="7"/>
      <c r="AV958" s="7"/>
      <c r="AW958" s="7"/>
      <c r="AX958" s="7"/>
    </row>
    <row r="959" ht="12.75" customHeight="1">
      <c r="A959" s="4"/>
      <c r="B959" s="4"/>
      <c r="C959" s="4"/>
      <c r="D959" s="4"/>
      <c r="E959" s="4" t="str">
        <f>IF(ISBLANK(B959),,IFERROR(VLOOKUP(B959,CurrentRank!$B$2:$C$132,2,FALSE),0))</f>
        <v/>
      </c>
      <c r="F959" s="4"/>
      <c r="G959" s="4" t="str">
        <f>IF(ISBLANK(B959),,IFERROR(VLOOKUP(B959,CurrentRank!$B$2:$D$132,3,FALSE),130))</f>
        <v/>
      </c>
      <c r="H959" s="4"/>
      <c r="I959" s="4" t="str">
        <f>IF(ISBLANK(B959),,IFERROR(VLOOKUP(C959,CurrentRank!$B$2:$C$132,2,FALSE),0))</f>
        <v/>
      </c>
      <c r="J959" s="4"/>
      <c r="K959" s="4" t="str">
        <f>IF(ISBLANK(C959),,IFERROR(VLOOKUP(C959,CurrentRank!$B$2:$D$132,3,FALSE),130))</f>
        <v/>
      </c>
      <c r="L959" s="19" t="str">
        <f t="shared" si="279"/>
        <v/>
      </c>
      <c r="M959" s="19" t="str">
        <f t="shared" si="280"/>
        <v/>
      </c>
      <c r="N959" s="24" t="str">
        <f t="shared" si="276"/>
        <v/>
      </c>
      <c r="O959" s="21" t="str">
        <f t="shared" si="4"/>
        <v/>
      </c>
      <c r="P959" s="21" t="str">
        <f t="shared" si="282"/>
        <v/>
      </c>
      <c r="Q959" s="22" t="str">
        <f t="shared" si="6"/>
        <v/>
      </c>
      <c r="R959" s="25" t="str">
        <f t="shared" si="7"/>
        <v/>
      </c>
      <c r="S959" s="19" t="str">
        <f t="shared" si="8"/>
        <v/>
      </c>
      <c r="T959" s="19" t="str">
        <f t="shared" si="9"/>
        <v/>
      </c>
      <c r="U959" s="3"/>
      <c r="V959" s="4" t="str">
        <f>IF(ISBLANK(C959),,IFERROR(IF(VLOOKUP(B959,Standings!$A:$F, 6, 0)=VLOOKUP(C959,Standings!$A:$F, 6, 0), VLOOKUP(B959,Standings!$A:$F, 6, 0), "Non-con"), "FCS"))</f>
        <v/>
      </c>
      <c r="W959" s="3" t="str">
        <f t="shared" si="10"/>
        <v/>
      </c>
      <c r="X959" s="3" t="str">
        <f t="shared" si="11"/>
        <v/>
      </c>
      <c r="Y959" s="30" t="str">
        <f>IF(D959=0,,IF(ISBLANK(Q959),,VLOOKUP(X959,Week1,2,FALSE)/(VLOOKUP(X959,Week1,2,FALSE)+VLOOKUP(W959,Week1,2,FALSE)))*100)</f>
        <v/>
      </c>
      <c r="Z959" s="4"/>
      <c r="AA959" s="3"/>
      <c r="AB959" s="4" t="str">
        <f t="shared" si="20"/>
        <v/>
      </c>
      <c r="AC959" s="3"/>
      <c r="AD959" s="3"/>
      <c r="AE959" s="3" t="str">
        <f t="shared" si="13"/>
        <v/>
      </c>
      <c r="AF959" s="3"/>
      <c r="AG959" s="3" t="str">
        <f t="shared" si="133"/>
        <v/>
      </c>
      <c r="AH959" s="3"/>
      <c r="AI959" s="7"/>
      <c r="AJ959" s="4"/>
      <c r="AK959" s="7"/>
      <c r="AL959" s="7"/>
      <c r="AM959" s="7"/>
      <c r="AN959" s="7"/>
      <c r="AO959" s="7"/>
      <c r="AP959" s="7"/>
      <c r="AQ959" s="7"/>
      <c r="AR959" s="7"/>
      <c r="AS959" s="7"/>
      <c r="AT959" s="7"/>
      <c r="AU959" s="7"/>
      <c r="AV959" s="7"/>
      <c r="AW959" s="7"/>
      <c r="AX959" s="7"/>
    </row>
    <row r="960" ht="12.75" customHeight="1">
      <c r="A960" s="4"/>
      <c r="B960" s="4"/>
      <c r="C960" s="4"/>
      <c r="D960" s="4"/>
      <c r="E960" s="4" t="str">
        <f>IF(ISBLANK(B960),,IFERROR(VLOOKUP(B960,CurrentRank!$B$2:$C$132,2,FALSE),0))</f>
        <v/>
      </c>
      <c r="F960" s="4"/>
      <c r="G960" s="4" t="str">
        <f>IF(ISBLANK(B960),,IFERROR(VLOOKUP(B960,CurrentRank!$B$2:$D$132,3,FALSE),130))</f>
        <v/>
      </c>
      <c r="H960" s="4"/>
      <c r="I960" s="4" t="str">
        <f>IF(ISBLANK(B960),,IFERROR(VLOOKUP(C960,CurrentRank!$B$2:$C$132,2,FALSE),0))</f>
        <v/>
      </c>
      <c r="J960" s="4"/>
      <c r="K960" s="4" t="str">
        <f>IF(ISBLANK(C960),,IFERROR(VLOOKUP(C960,CurrentRank!$B$2:$D$132,3,FALSE),130))</f>
        <v/>
      </c>
      <c r="L960" s="19" t="str">
        <f t="shared" si="279"/>
        <v/>
      </c>
      <c r="M960" s="19" t="str">
        <f t="shared" si="280"/>
        <v/>
      </c>
      <c r="N960" s="24" t="str">
        <f t="shared" si="276"/>
        <v/>
      </c>
      <c r="O960" s="21" t="str">
        <f t="shared" si="4"/>
        <v/>
      </c>
      <c r="P960" s="21" t="str">
        <f t="shared" si="282"/>
        <v/>
      </c>
      <c r="Q960" s="22" t="str">
        <f t="shared" si="6"/>
        <v/>
      </c>
      <c r="R960" s="25" t="str">
        <f t="shared" si="7"/>
        <v/>
      </c>
      <c r="S960" s="19" t="str">
        <f t="shared" si="8"/>
        <v/>
      </c>
      <c r="T960" s="19" t="str">
        <f t="shared" si="9"/>
        <v/>
      </c>
      <c r="U960" s="3"/>
      <c r="V960" s="4" t="str">
        <f>IF(ISBLANK(C960),,IFERROR(IF(VLOOKUP(B960,Standings!$A:$F, 6, 0)=VLOOKUP(C960,Standings!$A:$F, 6, 0), VLOOKUP(B960,Standings!$A:$F, 6, 0), "Non-con"), "FCS"))</f>
        <v/>
      </c>
      <c r="W960" s="3" t="str">
        <f t="shared" si="10"/>
        <v/>
      </c>
      <c r="X960" s="3" t="str">
        <f t="shared" si="11"/>
        <v/>
      </c>
      <c r="Y960" s="30" t="str">
        <f>IF(D960=0,,IF(ISBLANK(Q960),,VLOOKUP(X960,Week1,2,FALSE)/(VLOOKUP(X960,Week1,2,FALSE)+VLOOKUP(W960,Week1,2,FALSE)))*100)</f>
        <v/>
      </c>
      <c r="Z960" s="4"/>
      <c r="AA960" s="3"/>
      <c r="AB960" s="4" t="str">
        <f t="shared" si="20"/>
        <v/>
      </c>
      <c r="AC960" s="3"/>
      <c r="AD960" s="3"/>
      <c r="AE960" s="3" t="str">
        <f t="shared" si="13"/>
        <v/>
      </c>
      <c r="AF960" s="3"/>
      <c r="AG960" s="3" t="str">
        <f t="shared" si="133"/>
        <v/>
      </c>
      <c r="AH960" s="3"/>
      <c r="AI960" s="7"/>
      <c r="AJ960" s="4"/>
      <c r="AK960" s="7"/>
      <c r="AL960" s="7"/>
      <c r="AM960" s="7"/>
      <c r="AN960" s="7"/>
      <c r="AO960" s="7"/>
      <c r="AP960" s="7"/>
      <c r="AQ960" s="7"/>
      <c r="AR960" s="7"/>
      <c r="AS960" s="7"/>
      <c r="AT960" s="7"/>
      <c r="AU960" s="7"/>
      <c r="AV960" s="7"/>
      <c r="AW960" s="7"/>
      <c r="AX960" s="7"/>
    </row>
    <row r="961" ht="12.75" customHeight="1">
      <c r="A961" s="4"/>
      <c r="B961" s="4"/>
      <c r="C961" s="4"/>
      <c r="D961" s="4"/>
      <c r="E961" s="4" t="str">
        <f>IF(ISBLANK(B961),,IFERROR(VLOOKUP(B961,CurrentRank!$B$2:$C$132,2,FALSE),0))</f>
        <v/>
      </c>
      <c r="F961" s="4"/>
      <c r="G961" s="4" t="str">
        <f>IF(ISBLANK(B961),,IFERROR(VLOOKUP(B961,CurrentRank!$B$2:$D$132,3,FALSE),130))</f>
        <v/>
      </c>
      <c r="H961" s="4"/>
      <c r="I961" s="4" t="str">
        <f>IF(ISBLANK(B961),,IFERROR(VLOOKUP(C961,CurrentRank!$B$2:$C$132,2,FALSE),0))</f>
        <v/>
      </c>
      <c r="J961" s="4"/>
      <c r="K961" s="4" t="str">
        <f>IF(ISBLANK(C961),,IFERROR(VLOOKUP(C961,CurrentRank!$B$2:$D$132,3,FALSE),130))</f>
        <v/>
      </c>
      <c r="L961" s="19" t="str">
        <f t="shared" si="279"/>
        <v/>
      </c>
      <c r="M961" s="19" t="str">
        <f t="shared" si="280"/>
        <v/>
      </c>
      <c r="N961" s="24" t="str">
        <f t="shared" si="276"/>
        <v/>
      </c>
      <c r="O961" s="21" t="str">
        <f t="shared" si="4"/>
        <v/>
      </c>
      <c r="P961" s="21" t="str">
        <f t="shared" si="282"/>
        <v/>
      </c>
      <c r="Q961" s="22" t="str">
        <f t="shared" si="6"/>
        <v/>
      </c>
      <c r="R961" s="25" t="str">
        <f t="shared" si="7"/>
        <v/>
      </c>
      <c r="S961" s="19" t="str">
        <f t="shared" si="8"/>
        <v/>
      </c>
      <c r="T961" s="19" t="str">
        <f t="shared" si="9"/>
        <v/>
      </c>
      <c r="U961" s="3"/>
      <c r="V961" s="4" t="str">
        <f>IF(ISBLANK(C961),,IFERROR(IF(VLOOKUP(B961,Standings!$A:$F, 6, 0)=VLOOKUP(C961,Standings!$A:$F, 6, 0), VLOOKUP(B961,Standings!$A:$F, 6, 0), "Non-con"), "FCS"))</f>
        <v/>
      </c>
      <c r="W961" s="3" t="str">
        <f t="shared" si="10"/>
        <v/>
      </c>
      <c r="X961" s="3" t="str">
        <f t="shared" si="11"/>
        <v/>
      </c>
      <c r="Y961" s="30" t="str">
        <f>IF(D961=0,,IF(ISBLANK(Q961),,VLOOKUP(X961,Week1,2,FALSE)/(VLOOKUP(X961,Week1,2,FALSE)+VLOOKUP(W961,Week1,2,FALSE)))*100)</f>
        <v/>
      </c>
      <c r="Z961" s="4"/>
      <c r="AA961" s="3"/>
      <c r="AB961" s="4" t="str">
        <f t="shared" si="20"/>
        <v/>
      </c>
      <c r="AC961" s="3"/>
      <c r="AD961" s="3"/>
      <c r="AE961" s="3" t="str">
        <f t="shared" si="13"/>
        <v/>
      </c>
      <c r="AF961" s="3"/>
      <c r="AG961" s="3" t="str">
        <f t="shared" si="133"/>
        <v/>
      </c>
      <c r="AH961" s="3"/>
      <c r="AI961" s="7"/>
      <c r="AJ961" s="4"/>
      <c r="AK961" s="7"/>
      <c r="AL961" s="7"/>
      <c r="AM961" s="7"/>
      <c r="AN961" s="7"/>
      <c r="AO961" s="7"/>
      <c r="AP961" s="7"/>
      <c r="AQ961" s="7"/>
      <c r="AR961" s="7"/>
      <c r="AS961" s="7"/>
      <c r="AT961" s="7"/>
      <c r="AU961" s="7"/>
      <c r="AV961" s="7"/>
      <c r="AW961" s="7"/>
      <c r="AX961" s="7"/>
    </row>
    <row r="962" ht="12.75" customHeight="1">
      <c r="A962" s="4"/>
      <c r="B962" s="4"/>
      <c r="C962" s="4"/>
      <c r="D962" s="4"/>
      <c r="E962" s="4" t="str">
        <f>IF(ISBLANK(B962),,IFERROR(VLOOKUP(B962,CurrentRank!$B$2:$C$132,2,FALSE),0))</f>
        <v/>
      </c>
      <c r="F962" s="4"/>
      <c r="G962" s="4" t="str">
        <f>IF(ISBLANK(B962),,IFERROR(VLOOKUP(B962,CurrentRank!$B$2:$D$132,3,FALSE),130))</f>
        <v/>
      </c>
      <c r="H962" s="4"/>
      <c r="I962" s="4" t="str">
        <f>IF(ISBLANK(B962),,IFERROR(VLOOKUP(C962,CurrentRank!$B$2:$C$132,2,FALSE),0))</f>
        <v/>
      </c>
      <c r="J962" s="4"/>
      <c r="K962" s="4" t="str">
        <f>IF(ISBLANK(C962),,IFERROR(VLOOKUP(C962,CurrentRank!$B$2:$D$132,3,FALSE),130))</f>
        <v/>
      </c>
      <c r="L962" s="19" t="str">
        <f t="shared" si="279"/>
        <v/>
      </c>
      <c r="M962" s="19" t="str">
        <f t="shared" si="280"/>
        <v/>
      </c>
      <c r="N962" s="24" t="str">
        <f t="shared" si="276"/>
        <v/>
      </c>
      <c r="O962" s="21" t="str">
        <f t="shared" si="4"/>
        <v/>
      </c>
      <c r="P962" s="21" t="str">
        <f t="shared" si="282"/>
        <v/>
      </c>
      <c r="Q962" s="22" t="str">
        <f t="shared" si="6"/>
        <v/>
      </c>
      <c r="R962" s="25" t="str">
        <f t="shared" si="7"/>
        <v/>
      </c>
      <c r="S962" s="19" t="str">
        <f t="shared" si="8"/>
        <v/>
      </c>
      <c r="T962" s="19" t="str">
        <f t="shared" si="9"/>
        <v/>
      </c>
      <c r="U962" s="3"/>
      <c r="V962" s="4" t="str">
        <f>IF(ISBLANK(C962),,IFERROR(IF(VLOOKUP(B962,Standings!$A:$F, 6, 0)=VLOOKUP(C962,Standings!$A:$F, 6, 0), VLOOKUP(B962,Standings!$A:$F, 6, 0), "Non-con"), "FCS"))</f>
        <v/>
      </c>
      <c r="W962" s="3" t="str">
        <f t="shared" si="10"/>
        <v/>
      </c>
      <c r="X962" s="3" t="str">
        <f t="shared" si="11"/>
        <v/>
      </c>
      <c r="Y962" s="30" t="str">
        <f>IF(D962=0,,IF(ISBLANK(Q962),,VLOOKUP(X962,Week1,2,FALSE)/(VLOOKUP(X962,Week1,2,FALSE)+VLOOKUP(W962,Week1,2,FALSE)))*100)</f>
        <v/>
      </c>
      <c r="Z962" s="4"/>
      <c r="AA962" s="3"/>
      <c r="AB962" s="4" t="str">
        <f t="shared" si="20"/>
        <v/>
      </c>
      <c r="AC962" s="3"/>
      <c r="AD962" s="3"/>
      <c r="AE962" s="3" t="str">
        <f t="shared" si="13"/>
        <v/>
      </c>
      <c r="AF962" s="3"/>
      <c r="AG962" s="3" t="str">
        <f t="shared" si="133"/>
        <v/>
      </c>
      <c r="AH962" s="3"/>
      <c r="AI962" s="7"/>
      <c r="AJ962" s="4"/>
      <c r="AK962" s="7"/>
      <c r="AL962" s="7"/>
      <c r="AM962" s="7"/>
      <c r="AN962" s="7"/>
      <c r="AO962" s="7"/>
      <c r="AP962" s="7"/>
      <c r="AQ962" s="7"/>
      <c r="AR962" s="7"/>
      <c r="AS962" s="7"/>
      <c r="AT962" s="7"/>
      <c r="AU962" s="7"/>
      <c r="AV962" s="7"/>
      <c r="AW962" s="7"/>
      <c r="AX962" s="7"/>
    </row>
    <row r="963" ht="12.75" customHeight="1">
      <c r="A963" s="4"/>
      <c r="B963" s="4"/>
      <c r="C963" s="4"/>
      <c r="D963" s="4"/>
      <c r="E963" s="4" t="str">
        <f>IF(ISBLANK(B963),,IFERROR(VLOOKUP(B963,CurrentRank!$B$2:$C$132,2,FALSE),0))</f>
        <v/>
      </c>
      <c r="F963" s="4"/>
      <c r="G963" s="4" t="str">
        <f>IF(ISBLANK(B963),,IFERROR(VLOOKUP(B963,CurrentRank!$B$2:$D$132,3,FALSE),130))</f>
        <v/>
      </c>
      <c r="H963" s="4"/>
      <c r="I963" s="4" t="str">
        <f>IF(ISBLANK(B963),,IFERROR(VLOOKUP(C963,CurrentRank!$B$2:$C$132,2,FALSE),0))</f>
        <v/>
      </c>
      <c r="J963" s="4"/>
      <c r="K963" s="4" t="str">
        <f>IF(ISBLANK(C963),,IFERROR(VLOOKUP(C963,CurrentRank!$B$2:$D$132,3,FALSE),130))</f>
        <v/>
      </c>
      <c r="L963" s="19" t="str">
        <f t="shared" si="279"/>
        <v/>
      </c>
      <c r="M963" s="19" t="str">
        <f t="shared" si="280"/>
        <v/>
      </c>
      <c r="N963" s="24" t="str">
        <f t="shared" si="276"/>
        <v/>
      </c>
      <c r="O963" s="21" t="str">
        <f t="shared" si="4"/>
        <v/>
      </c>
      <c r="P963" s="21" t="str">
        <f t="shared" si="282"/>
        <v/>
      </c>
      <c r="Q963" s="22" t="str">
        <f t="shared" si="6"/>
        <v/>
      </c>
      <c r="R963" s="25" t="str">
        <f t="shared" si="7"/>
        <v/>
      </c>
      <c r="S963" s="19" t="str">
        <f t="shared" si="8"/>
        <v/>
      </c>
      <c r="T963" s="19" t="str">
        <f t="shared" si="9"/>
        <v/>
      </c>
      <c r="U963" s="3"/>
      <c r="V963" s="4" t="str">
        <f>IF(ISBLANK(C963),,IFERROR(IF(VLOOKUP(B963,Standings!$A:$F, 6, 0)=VLOOKUP(C963,Standings!$A:$F, 6, 0), VLOOKUP(B963,Standings!$A:$F, 6, 0), "Non-con"), "FCS"))</f>
        <v/>
      </c>
      <c r="W963" s="3" t="str">
        <f t="shared" si="10"/>
        <v/>
      </c>
      <c r="X963" s="3" t="str">
        <f t="shared" si="11"/>
        <v/>
      </c>
      <c r="Y963" s="30" t="str">
        <f>IF(D963=0,,IF(ISBLANK(Q963),,VLOOKUP(X963,Week1,2,FALSE)/(VLOOKUP(X963,Week1,2,FALSE)+VLOOKUP(W963,Week1,2,FALSE)))*100)</f>
        <v/>
      </c>
      <c r="Z963" s="4"/>
      <c r="AA963" s="3"/>
      <c r="AB963" s="4" t="str">
        <f t="shared" si="20"/>
        <v/>
      </c>
      <c r="AC963" s="3"/>
      <c r="AD963" s="3"/>
      <c r="AE963" s="3" t="str">
        <f t="shared" si="13"/>
        <v/>
      </c>
      <c r="AF963" s="3"/>
      <c r="AG963" s="3" t="str">
        <f t="shared" si="133"/>
        <v/>
      </c>
      <c r="AH963" s="3"/>
      <c r="AI963" s="7"/>
      <c r="AJ963" s="4"/>
      <c r="AK963" s="7"/>
      <c r="AL963" s="7"/>
      <c r="AM963" s="7"/>
      <c r="AN963" s="7"/>
      <c r="AO963" s="7"/>
      <c r="AP963" s="7"/>
      <c r="AQ963" s="7"/>
      <c r="AR963" s="7"/>
      <c r="AS963" s="7"/>
      <c r="AT963" s="7"/>
      <c r="AU963" s="7"/>
      <c r="AV963" s="7"/>
      <c r="AW963" s="7"/>
      <c r="AX963" s="7"/>
    </row>
    <row r="964" ht="12.75" customHeight="1">
      <c r="A964" s="4"/>
      <c r="B964" s="4"/>
      <c r="C964" s="4"/>
      <c r="D964" s="4"/>
      <c r="E964" s="4" t="str">
        <f>IF(ISBLANK(B964),,IFERROR(VLOOKUP(B964,CurrentRank!$B$2:$C$132,2,FALSE),0))</f>
        <v/>
      </c>
      <c r="F964" s="4"/>
      <c r="G964" s="4" t="str">
        <f>IF(ISBLANK(B964),,IFERROR(VLOOKUP(B964,CurrentRank!$B$2:$D$132,3,FALSE),130))</f>
        <v/>
      </c>
      <c r="H964" s="4"/>
      <c r="I964" s="4" t="str">
        <f>IF(ISBLANK(B964),,IFERROR(VLOOKUP(C964,CurrentRank!$B$2:$C$132,2,FALSE),0))</f>
        <v/>
      </c>
      <c r="J964" s="4"/>
      <c r="K964" s="4" t="str">
        <f>IF(ISBLANK(C964),,IFERROR(VLOOKUP(C964,CurrentRank!$B$2:$D$132,3,FALSE),130))</f>
        <v/>
      </c>
      <c r="L964" s="19" t="str">
        <f t="shared" si="279"/>
        <v/>
      </c>
      <c r="M964" s="19" t="str">
        <f t="shared" si="280"/>
        <v/>
      </c>
      <c r="N964" s="24" t="str">
        <f t="shared" si="276"/>
        <v/>
      </c>
      <c r="O964" s="21" t="str">
        <f t="shared" si="4"/>
        <v/>
      </c>
      <c r="P964" s="21" t="str">
        <f t="shared" si="282"/>
        <v/>
      </c>
      <c r="Q964" s="22" t="str">
        <f t="shared" si="6"/>
        <v/>
      </c>
      <c r="R964" s="25" t="str">
        <f t="shared" si="7"/>
        <v/>
      </c>
      <c r="S964" s="19" t="str">
        <f t="shared" si="8"/>
        <v/>
      </c>
      <c r="T964" s="19" t="str">
        <f t="shared" si="9"/>
        <v/>
      </c>
      <c r="U964" s="3"/>
      <c r="V964" s="4" t="str">
        <f>IF(ISBLANK(C964),,IFERROR(IF(VLOOKUP(B964,Standings!$A:$F, 6, 0)=VLOOKUP(C964,Standings!$A:$F, 6, 0), VLOOKUP(B964,Standings!$A:$F, 6, 0), "Non-con"), "FCS"))</f>
        <v/>
      </c>
      <c r="W964" s="3" t="str">
        <f t="shared" si="10"/>
        <v/>
      </c>
      <c r="X964" s="3" t="str">
        <f t="shared" si="11"/>
        <v/>
      </c>
      <c r="Y964" s="30" t="str">
        <f>IF(D964=0,,IF(ISBLANK(Q964),,VLOOKUP(X964,Week1,2,FALSE)/(VLOOKUP(X964,Week1,2,FALSE)+VLOOKUP(W964,Week1,2,FALSE)))*100)</f>
        <v/>
      </c>
      <c r="Z964" s="4"/>
      <c r="AA964" s="3"/>
      <c r="AB964" s="4" t="str">
        <f t="shared" si="20"/>
        <v/>
      </c>
      <c r="AC964" s="3"/>
      <c r="AD964" s="3"/>
      <c r="AE964" s="3" t="str">
        <f t="shared" si="13"/>
        <v/>
      </c>
      <c r="AF964" s="3"/>
      <c r="AG964" s="3" t="str">
        <f t="shared" si="133"/>
        <v/>
      </c>
      <c r="AH964" s="3"/>
      <c r="AI964" s="7"/>
      <c r="AJ964" s="4"/>
      <c r="AK964" s="7"/>
      <c r="AL964" s="7"/>
      <c r="AM964" s="7"/>
      <c r="AN964" s="7"/>
      <c r="AO964" s="7"/>
      <c r="AP964" s="7"/>
      <c r="AQ964" s="7"/>
      <c r="AR964" s="7"/>
      <c r="AS964" s="7"/>
      <c r="AT964" s="7"/>
      <c r="AU964" s="7"/>
      <c r="AV964" s="7"/>
      <c r="AW964" s="7"/>
      <c r="AX964" s="7"/>
    </row>
    <row r="965" ht="12.75" customHeight="1">
      <c r="A965" s="4"/>
      <c r="B965" s="4"/>
      <c r="C965" s="4"/>
      <c r="D965" s="4"/>
      <c r="E965" s="4" t="str">
        <f>IF(ISBLANK(B965),,IFERROR(VLOOKUP(B965,CurrentRank!$B$2:$C$132,2,FALSE),0))</f>
        <v/>
      </c>
      <c r="F965" s="4"/>
      <c r="G965" s="4" t="str">
        <f>IF(ISBLANK(B965),,IFERROR(VLOOKUP(B965,CurrentRank!$B$2:$D$132,3,FALSE),130))</f>
        <v/>
      </c>
      <c r="H965" s="4"/>
      <c r="I965" s="4" t="str">
        <f>IF(ISBLANK(B965),,IFERROR(VLOOKUP(C965,CurrentRank!$B$2:$C$132,2,FALSE),0))</f>
        <v/>
      </c>
      <c r="J965" s="4"/>
      <c r="K965" s="4" t="str">
        <f>IF(ISBLANK(C965),,IFERROR(VLOOKUP(C965,CurrentRank!$B$2:$D$132,3,FALSE),130))</f>
        <v/>
      </c>
      <c r="L965" s="19" t="str">
        <f t="shared" si="279"/>
        <v/>
      </c>
      <c r="M965" s="19" t="str">
        <f t="shared" si="280"/>
        <v/>
      </c>
      <c r="N965" s="24" t="str">
        <f t="shared" si="276"/>
        <v/>
      </c>
      <c r="O965" s="21" t="str">
        <f t="shared" si="4"/>
        <v/>
      </c>
      <c r="P965" s="21" t="str">
        <f t="shared" si="282"/>
        <v/>
      </c>
      <c r="Q965" s="22" t="str">
        <f t="shared" si="6"/>
        <v/>
      </c>
      <c r="R965" s="25" t="str">
        <f t="shared" si="7"/>
        <v/>
      </c>
      <c r="S965" s="19" t="str">
        <f t="shared" si="8"/>
        <v/>
      </c>
      <c r="T965" s="19" t="str">
        <f t="shared" si="9"/>
        <v/>
      </c>
      <c r="U965" s="3"/>
      <c r="V965" s="4" t="str">
        <f>IF(ISBLANK(C965),,IFERROR(IF(VLOOKUP(B965,Standings!$A:$F, 6, 0)=VLOOKUP(C965,Standings!$A:$F, 6, 0), VLOOKUP(B965,Standings!$A:$F, 6, 0), "Non-con"), "FCS"))</f>
        <v/>
      </c>
      <c r="W965" s="3" t="str">
        <f t="shared" si="10"/>
        <v/>
      </c>
      <c r="X965" s="3" t="str">
        <f t="shared" si="11"/>
        <v/>
      </c>
      <c r="Y965" s="30" t="str">
        <f>IF(D965=0,,IF(ISBLANK(Q965),,VLOOKUP(X965,Week1,2,FALSE)/(VLOOKUP(X965,Week1,2,FALSE)+VLOOKUP(W965,Week1,2,FALSE)))*100)</f>
        <v/>
      </c>
      <c r="Z965" s="4"/>
      <c r="AA965" s="3"/>
      <c r="AB965" s="4" t="str">
        <f t="shared" si="20"/>
        <v/>
      </c>
      <c r="AC965" s="3"/>
      <c r="AD965" s="3"/>
      <c r="AE965" s="3" t="str">
        <f t="shared" si="13"/>
        <v/>
      </c>
      <c r="AF965" s="3"/>
      <c r="AG965" s="3" t="str">
        <f t="shared" si="133"/>
        <v/>
      </c>
      <c r="AH965" s="3"/>
      <c r="AI965" s="7"/>
      <c r="AJ965" s="4"/>
      <c r="AK965" s="7"/>
      <c r="AL965" s="7"/>
      <c r="AM965" s="7"/>
      <c r="AN965" s="7"/>
      <c r="AO965" s="7"/>
      <c r="AP965" s="7"/>
      <c r="AQ965" s="7"/>
      <c r="AR965" s="7"/>
      <c r="AS965" s="7"/>
      <c r="AT965" s="7"/>
      <c r="AU965" s="7"/>
      <c r="AV965" s="7"/>
      <c r="AW965" s="7"/>
      <c r="AX965" s="7"/>
    </row>
    <row r="966" ht="12.75" customHeight="1">
      <c r="A966" s="4"/>
      <c r="B966" s="4"/>
      <c r="C966" s="4"/>
      <c r="D966" s="4"/>
      <c r="E966" s="4" t="str">
        <f>IF(ISBLANK(B966),,IFERROR(VLOOKUP(B966,CurrentRank!$B$2:$C$132,2,FALSE),0))</f>
        <v/>
      </c>
      <c r="F966" s="4"/>
      <c r="G966" s="4" t="str">
        <f>IF(ISBLANK(B966),,IFERROR(VLOOKUP(B966,CurrentRank!$B$2:$D$132,3,FALSE),130))</f>
        <v/>
      </c>
      <c r="H966" s="4"/>
      <c r="I966" s="4" t="str">
        <f>IF(ISBLANK(B966),,IFERROR(VLOOKUP(C966,CurrentRank!$B$2:$C$132,2,FALSE),0))</f>
        <v/>
      </c>
      <c r="J966" s="4"/>
      <c r="K966" s="4" t="str">
        <f>IF(ISBLANK(C966),,IFERROR(VLOOKUP(C966,CurrentRank!$B$2:$D$132,3,FALSE),130))</f>
        <v/>
      </c>
      <c r="L966" s="19" t="str">
        <f t="shared" si="279"/>
        <v/>
      </c>
      <c r="M966" s="19" t="str">
        <f t="shared" si="280"/>
        <v/>
      </c>
      <c r="N966" s="24" t="str">
        <f t="shared" si="276"/>
        <v/>
      </c>
      <c r="O966" s="21" t="str">
        <f t="shared" si="4"/>
        <v/>
      </c>
      <c r="P966" s="21" t="str">
        <f t="shared" si="282"/>
        <v/>
      </c>
      <c r="Q966" s="22" t="str">
        <f t="shared" si="6"/>
        <v/>
      </c>
      <c r="R966" s="25" t="str">
        <f t="shared" si="7"/>
        <v/>
      </c>
      <c r="S966" s="19" t="str">
        <f t="shared" si="8"/>
        <v/>
      </c>
      <c r="T966" s="19" t="str">
        <f t="shared" si="9"/>
        <v/>
      </c>
      <c r="U966" s="3"/>
      <c r="V966" s="4" t="str">
        <f>IF(ISBLANK(C966),,IFERROR(IF(VLOOKUP(B966,Standings!$A:$F, 6, 0)=VLOOKUP(C966,Standings!$A:$F, 6, 0), VLOOKUP(B966,Standings!$A:$F, 6, 0), "Non-con"), "FCS"))</f>
        <v/>
      </c>
      <c r="W966" s="3" t="str">
        <f t="shared" si="10"/>
        <v/>
      </c>
      <c r="X966" s="3" t="str">
        <f t="shared" si="11"/>
        <v/>
      </c>
      <c r="Y966" s="30" t="str">
        <f>IF(D966=0,,IF(ISBLANK(Q966),,VLOOKUP(X966,Week1,2,FALSE)/(VLOOKUP(X966,Week1,2,FALSE)+VLOOKUP(W966,Week1,2,FALSE)))*100)</f>
        <v/>
      </c>
      <c r="Z966" s="4"/>
      <c r="AA966" s="3"/>
      <c r="AB966" s="4" t="str">
        <f t="shared" si="20"/>
        <v/>
      </c>
      <c r="AC966" s="3"/>
      <c r="AD966" s="3"/>
      <c r="AE966" s="3" t="str">
        <f t="shared" si="13"/>
        <v/>
      </c>
      <c r="AF966" s="3"/>
      <c r="AG966" s="3" t="str">
        <f t="shared" si="133"/>
        <v/>
      </c>
      <c r="AH966" s="3"/>
      <c r="AI966" s="7"/>
      <c r="AJ966" s="4"/>
      <c r="AK966" s="7"/>
      <c r="AL966" s="7"/>
      <c r="AM966" s="7"/>
      <c r="AN966" s="7"/>
      <c r="AO966" s="7"/>
      <c r="AP966" s="7"/>
      <c r="AQ966" s="7"/>
      <c r="AR966" s="7"/>
      <c r="AS966" s="7"/>
      <c r="AT966" s="7"/>
      <c r="AU966" s="7"/>
      <c r="AV966" s="7"/>
      <c r="AW966" s="7"/>
      <c r="AX966" s="7"/>
    </row>
    <row r="967" ht="12.75" customHeight="1">
      <c r="A967" s="4"/>
      <c r="B967" s="4"/>
      <c r="C967" s="4"/>
      <c r="D967" s="4"/>
      <c r="E967" s="4" t="str">
        <f>IF(ISBLANK(B967),,IFERROR(VLOOKUP(B967,CurrentRank!$B$2:$C$132,2,FALSE),0))</f>
        <v/>
      </c>
      <c r="F967" s="4"/>
      <c r="G967" s="4" t="str">
        <f>IF(ISBLANK(B967),,IFERROR(VLOOKUP(B967,CurrentRank!$B$2:$D$132,3,FALSE),130))</f>
        <v/>
      </c>
      <c r="H967" s="4"/>
      <c r="I967" s="4" t="str">
        <f>IF(ISBLANK(B967),,IFERROR(VLOOKUP(C967,CurrentRank!$B$2:$C$132,2,FALSE),0))</f>
        <v/>
      </c>
      <c r="J967" s="4"/>
      <c r="K967" s="4" t="str">
        <f>IF(ISBLANK(C967),,IFERROR(VLOOKUP(C967,CurrentRank!$B$2:$D$132,3,FALSE),130))</f>
        <v/>
      </c>
      <c r="L967" s="19" t="str">
        <f t="shared" si="279"/>
        <v/>
      </c>
      <c r="M967" s="19" t="str">
        <f t="shared" si="280"/>
        <v/>
      </c>
      <c r="N967" s="24" t="str">
        <f t="shared" si="276"/>
        <v/>
      </c>
      <c r="O967" s="21" t="str">
        <f t="shared" si="4"/>
        <v/>
      </c>
      <c r="P967" s="21" t="str">
        <f t="shared" si="282"/>
        <v/>
      </c>
      <c r="Q967" s="22" t="str">
        <f t="shared" si="6"/>
        <v/>
      </c>
      <c r="R967" s="25" t="str">
        <f t="shared" si="7"/>
        <v/>
      </c>
      <c r="S967" s="19" t="str">
        <f t="shared" si="8"/>
        <v/>
      </c>
      <c r="T967" s="19" t="str">
        <f t="shared" si="9"/>
        <v/>
      </c>
      <c r="U967" s="3"/>
      <c r="V967" s="4" t="str">
        <f>IF(ISBLANK(C967),,IFERROR(IF(VLOOKUP(B967,Standings!$A:$F, 6, 0)=VLOOKUP(C967,Standings!$A:$F, 6, 0), VLOOKUP(B967,Standings!$A:$F, 6, 0), "Non-con"), "FCS"))</f>
        <v/>
      </c>
      <c r="W967" s="3" t="str">
        <f t="shared" si="10"/>
        <v/>
      </c>
      <c r="X967" s="3" t="str">
        <f t="shared" si="11"/>
        <v/>
      </c>
      <c r="Y967" s="30" t="str">
        <f>IF(D967=0,,IF(ISBLANK(Q967),,VLOOKUP(X967,Week1,2,FALSE)/(VLOOKUP(X967,Week1,2,FALSE)+VLOOKUP(W967,Week1,2,FALSE)))*100)</f>
        <v/>
      </c>
      <c r="Z967" s="4"/>
      <c r="AA967" s="3"/>
      <c r="AB967" s="4" t="str">
        <f t="shared" si="20"/>
        <v/>
      </c>
      <c r="AC967" s="3"/>
      <c r="AD967" s="3"/>
      <c r="AE967" s="3" t="str">
        <f t="shared" si="13"/>
        <v/>
      </c>
      <c r="AF967" s="3"/>
      <c r="AG967" s="3" t="str">
        <f t="shared" si="133"/>
        <v/>
      </c>
      <c r="AH967" s="3"/>
      <c r="AI967" s="7"/>
      <c r="AJ967" s="4"/>
      <c r="AK967" s="7"/>
      <c r="AL967" s="7"/>
      <c r="AM967" s="7"/>
      <c r="AN967" s="7"/>
      <c r="AO967" s="7"/>
      <c r="AP967" s="7"/>
      <c r="AQ967" s="7"/>
      <c r="AR967" s="7"/>
      <c r="AS967" s="7"/>
      <c r="AT967" s="7"/>
      <c r="AU967" s="7"/>
      <c r="AV967" s="7"/>
      <c r="AW967" s="7"/>
      <c r="AX967" s="7"/>
    </row>
    <row r="968" ht="12.75" customHeight="1">
      <c r="A968" s="4"/>
      <c r="B968" s="4"/>
      <c r="C968" s="4"/>
      <c r="D968" s="4"/>
      <c r="E968" s="4" t="str">
        <f>IF(ISBLANK(B968),,IFERROR(VLOOKUP(B968,CurrentRank!$B$2:$C$132,2,FALSE),0))</f>
        <v/>
      </c>
      <c r="F968" s="4"/>
      <c r="G968" s="4" t="str">
        <f>IF(ISBLANK(B968),,IFERROR(VLOOKUP(B968,CurrentRank!$B$2:$D$132,3,FALSE),130))</f>
        <v/>
      </c>
      <c r="H968" s="4"/>
      <c r="I968" s="4" t="str">
        <f>IF(ISBLANK(B968),,IFERROR(VLOOKUP(C968,CurrentRank!$B$2:$C$132,2,FALSE),0))</f>
        <v/>
      </c>
      <c r="J968" s="4"/>
      <c r="K968" s="4" t="str">
        <f>IF(ISBLANK(C968),,IFERROR(VLOOKUP(C968,CurrentRank!$B$2:$D$132,3,FALSE),130))</f>
        <v/>
      </c>
      <c r="L968" s="19" t="str">
        <f t="shared" si="279"/>
        <v/>
      </c>
      <c r="M968" s="19" t="str">
        <f t="shared" si="280"/>
        <v/>
      </c>
      <c r="N968" s="24" t="str">
        <f t="shared" si="276"/>
        <v/>
      </c>
      <c r="O968" s="21" t="str">
        <f t="shared" si="4"/>
        <v/>
      </c>
      <c r="P968" s="21" t="str">
        <f t="shared" si="282"/>
        <v/>
      </c>
      <c r="Q968" s="22" t="str">
        <f t="shared" si="6"/>
        <v/>
      </c>
      <c r="R968" s="25" t="str">
        <f t="shared" si="7"/>
        <v/>
      </c>
      <c r="S968" s="19" t="str">
        <f t="shared" si="8"/>
        <v/>
      </c>
      <c r="T968" s="19" t="str">
        <f t="shared" si="9"/>
        <v/>
      </c>
      <c r="U968" s="3"/>
      <c r="V968" s="4" t="str">
        <f>IF(ISBLANK(C968),,IFERROR(IF(VLOOKUP(B968,Standings!$A:$F, 6, 0)=VLOOKUP(C968,Standings!$A:$F, 6, 0), VLOOKUP(B968,Standings!$A:$F, 6, 0), "Non-con"), "FCS"))</f>
        <v/>
      </c>
      <c r="W968" s="3" t="str">
        <f t="shared" si="10"/>
        <v/>
      </c>
      <c r="X968" s="3" t="str">
        <f t="shared" si="11"/>
        <v/>
      </c>
      <c r="Y968" s="30" t="str">
        <f>IF(D968=0,,IF(ISBLANK(Q968),,VLOOKUP(X968,Week1,2,FALSE)/(VLOOKUP(X968,Week1,2,FALSE)+VLOOKUP(W968,Week1,2,FALSE)))*100)</f>
        <v/>
      </c>
      <c r="Z968" s="4"/>
      <c r="AA968" s="3"/>
      <c r="AB968" s="4" t="str">
        <f t="shared" si="20"/>
        <v/>
      </c>
      <c r="AC968" s="3"/>
      <c r="AD968" s="3"/>
      <c r="AE968" s="3" t="str">
        <f t="shared" si="13"/>
        <v/>
      </c>
      <c r="AF968" s="3"/>
      <c r="AG968" s="3" t="str">
        <f t="shared" si="133"/>
        <v/>
      </c>
      <c r="AH968" s="3"/>
      <c r="AI968" s="7"/>
      <c r="AJ968" s="4"/>
      <c r="AK968" s="7"/>
      <c r="AL968" s="7"/>
      <c r="AM968" s="7"/>
      <c r="AN968" s="7"/>
      <c r="AO968" s="7"/>
      <c r="AP968" s="7"/>
      <c r="AQ968" s="7"/>
      <c r="AR968" s="7"/>
      <c r="AS968" s="7"/>
      <c r="AT968" s="7"/>
      <c r="AU968" s="7"/>
      <c r="AV968" s="7"/>
      <c r="AW968" s="7"/>
      <c r="AX968" s="7"/>
    </row>
    <row r="969" ht="12.75" customHeight="1">
      <c r="A969" s="4"/>
      <c r="B969" s="4"/>
      <c r="C969" s="4"/>
      <c r="D969" s="4"/>
      <c r="E969" s="4" t="str">
        <f>IF(ISBLANK(B969),,IFERROR(VLOOKUP(B969,CurrentRank!$B$2:$C$132,2,FALSE),0))</f>
        <v/>
      </c>
      <c r="F969" s="4"/>
      <c r="G969" s="4" t="str">
        <f>IF(ISBLANK(B969),,IFERROR(VLOOKUP(B969,CurrentRank!$B$2:$D$132,3,FALSE),130))</f>
        <v/>
      </c>
      <c r="H969" s="4"/>
      <c r="I969" s="4" t="str">
        <f>IF(ISBLANK(B969),,IFERROR(VLOOKUP(C969,CurrentRank!$B$2:$C$132,2,FALSE),0))</f>
        <v/>
      </c>
      <c r="J969" s="4"/>
      <c r="K969" s="4" t="str">
        <f>IF(ISBLANK(C969),,IFERROR(VLOOKUP(C969,CurrentRank!$B$2:$D$132,3,FALSE),130))</f>
        <v/>
      </c>
      <c r="L969" s="19" t="str">
        <f t="shared" si="279"/>
        <v/>
      </c>
      <c r="M969" s="19" t="str">
        <f t="shared" si="280"/>
        <v/>
      </c>
      <c r="N969" s="24" t="str">
        <f t="shared" si="276"/>
        <v/>
      </c>
      <c r="O969" s="21" t="str">
        <f t="shared" si="4"/>
        <v/>
      </c>
      <c r="P969" s="21" t="str">
        <f t="shared" si="282"/>
        <v/>
      </c>
      <c r="Q969" s="22" t="str">
        <f t="shared" si="6"/>
        <v/>
      </c>
      <c r="R969" s="25" t="str">
        <f t="shared" si="7"/>
        <v/>
      </c>
      <c r="S969" s="19" t="str">
        <f t="shared" si="8"/>
        <v/>
      </c>
      <c r="T969" s="19" t="str">
        <f t="shared" si="9"/>
        <v/>
      </c>
      <c r="U969" s="3"/>
      <c r="V969" s="4" t="str">
        <f>IF(ISBLANK(C969),,IFERROR(IF(VLOOKUP(B969,Standings!$A:$F, 6, 0)=VLOOKUP(C969,Standings!$A:$F, 6, 0), VLOOKUP(B969,Standings!$A:$F, 6, 0), "Non-con"), "FCS"))</f>
        <v/>
      </c>
      <c r="W969" s="3" t="str">
        <f t="shared" si="10"/>
        <v/>
      </c>
      <c r="X969" s="3" t="str">
        <f t="shared" si="11"/>
        <v/>
      </c>
      <c r="Y969" s="30" t="str">
        <f>IF(D969=0,,IF(ISBLANK(Q969),,VLOOKUP(X969,Week1,2,FALSE)/(VLOOKUP(X969,Week1,2,FALSE)+VLOOKUP(W969,Week1,2,FALSE)))*100)</f>
        <v/>
      </c>
      <c r="Z969" s="4"/>
      <c r="AA969" s="3"/>
      <c r="AB969" s="4" t="str">
        <f t="shared" si="20"/>
        <v/>
      </c>
      <c r="AC969" s="3"/>
      <c r="AD969" s="3"/>
      <c r="AE969" s="3" t="str">
        <f t="shared" si="13"/>
        <v/>
      </c>
      <c r="AF969" s="3"/>
      <c r="AG969" s="3" t="str">
        <f t="shared" si="133"/>
        <v/>
      </c>
      <c r="AH969" s="3"/>
      <c r="AI969" s="7"/>
      <c r="AJ969" s="4"/>
      <c r="AK969" s="7"/>
      <c r="AL969" s="7"/>
      <c r="AM969" s="7"/>
      <c r="AN969" s="7"/>
      <c r="AO969" s="7"/>
      <c r="AP969" s="7"/>
      <c r="AQ969" s="7"/>
      <c r="AR969" s="7"/>
      <c r="AS969" s="7"/>
      <c r="AT969" s="7"/>
      <c r="AU969" s="7"/>
      <c r="AV969" s="7"/>
      <c r="AW969" s="7"/>
      <c r="AX969" s="7"/>
    </row>
    <row r="970" ht="12.75" customHeight="1">
      <c r="A970" s="4"/>
      <c r="B970" s="4"/>
      <c r="C970" s="4"/>
      <c r="D970" s="4"/>
      <c r="E970" s="4" t="str">
        <f>IF(ISBLANK(B970),,IFERROR(VLOOKUP(B970,CurrentRank!$B$2:$C$132,2,FALSE),0))</f>
        <v/>
      </c>
      <c r="F970" s="4"/>
      <c r="G970" s="4" t="str">
        <f>IF(ISBLANK(B970),,IFERROR(VLOOKUP(B970,CurrentRank!$B$2:$D$132,3,FALSE),130))</f>
        <v/>
      </c>
      <c r="H970" s="4"/>
      <c r="I970" s="4" t="str">
        <f>IF(ISBLANK(B970),,IFERROR(VLOOKUP(C970,CurrentRank!$B$2:$C$132,2,FALSE),0))</f>
        <v/>
      </c>
      <c r="J970" s="4"/>
      <c r="K970" s="4" t="str">
        <f>IF(ISBLANK(C970),,IFERROR(VLOOKUP(C970,CurrentRank!$B$2:$D$132,3,FALSE),130))</f>
        <v/>
      </c>
      <c r="L970" s="19" t="str">
        <f t="shared" si="279"/>
        <v/>
      </c>
      <c r="M970" s="19" t="str">
        <f t="shared" si="280"/>
        <v/>
      </c>
      <c r="N970" s="24" t="str">
        <f t="shared" si="276"/>
        <v/>
      </c>
      <c r="O970" s="21" t="str">
        <f t="shared" si="4"/>
        <v/>
      </c>
      <c r="P970" s="21" t="str">
        <f t="shared" si="282"/>
        <v/>
      </c>
      <c r="Q970" s="22" t="str">
        <f t="shared" si="6"/>
        <v/>
      </c>
      <c r="R970" s="25" t="str">
        <f t="shared" si="7"/>
        <v/>
      </c>
      <c r="S970" s="19" t="str">
        <f t="shared" si="8"/>
        <v/>
      </c>
      <c r="T970" s="19" t="str">
        <f t="shared" si="9"/>
        <v/>
      </c>
      <c r="U970" s="3"/>
      <c r="V970" s="4" t="str">
        <f>IF(ISBLANK(C970),,IFERROR(IF(VLOOKUP(B970,Standings!$A:$F, 6, 0)=VLOOKUP(C970,Standings!$A:$F, 6, 0), VLOOKUP(B970,Standings!$A:$F, 6, 0), "Non-con"), "FCS"))</f>
        <v/>
      </c>
      <c r="W970" s="3" t="str">
        <f t="shared" si="10"/>
        <v/>
      </c>
      <c r="X970" s="3" t="str">
        <f t="shared" si="11"/>
        <v/>
      </c>
      <c r="Y970" s="30" t="str">
        <f>IF(D970=0,,IF(ISBLANK(Q970),,VLOOKUP(X970,Week1,2,FALSE)/(VLOOKUP(X970,Week1,2,FALSE)+VLOOKUP(W970,Week1,2,FALSE)))*100)</f>
        <v/>
      </c>
      <c r="Z970" s="4"/>
      <c r="AA970" s="3"/>
      <c r="AB970" s="4" t="str">
        <f t="shared" si="20"/>
        <v/>
      </c>
      <c r="AC970" s="3"/>
      <c r="AD970" s="3"/>
      <c r="AE970" s="3" t="str">
        <f t="shared" si="13"/>
        <v/>
      </c>
      <c r="AF970" s="3"/>
      <c r="AG970" s="3" t="str">
        <f t="shared" si="133"/>
        <v/>
      </c>
      <c r="AH970" s="3"/>
      <c r="AI970" s="7"/>
      <c r="AJ970" s="4"/>
      <c r="AK970" s="7"/>
      <c r="AL970" s="7"/>
      <c r="AM970" s="7"/>
      <c r="AN970" s="7"/>
      <c r="AO970" s="7"/>
      <c r="AP970" s="7"/>
      <c r="AQ970" s="7"/>
      <c r="AR970" s="7"/>
      <c r="AS970" s="7"/>
      <c r="AT970" s="7"/>
      <c r="AU970" s="7"/>
      <c r="AV970" s="7"/>
      <c r="AW970" s="7"/>
      <c r="AX970" s="7"/>
    </row>
    <row r="971" ht="12.75" customHeight="1">
      <c r="A971" s="4"/>
      <c r="B971" s="4"/>
      <c r="C971" s="4"/>
      <c r="D971" s="4"/>
      <c r="E971" s="4" t="str">
        <f>IF(ISBLANK(B971),,IFERROR(VLOOKUP(B971,CurrentRank!$B$2:$C$132,2,FALSE),0))</f>
        <v/>
      </c>
      <c r="F971" s="4"/>
      <c r="G971" s="4" t="str">
        <f>IF(ISBLANK(B971),,IFERROR(VLOOKUP(B971,CurrentRank!$B$2:$D$132,3,FALSE),130))</f>
        <v/>
      </c>
      <c r="H971" s="4"/>
      <c r="I971" s="4" t="str">
        <f>IF(ISBLANK(B971),,IFERROR(VLOOKUP(C971,CurrentRank!$B$2:$C$132,2,FALSE),0))</f>
        <v/>
      </c>
      <c r="J971" s="4"/>
      <c r="K971" s="4" t="str">
        <f>IF(ISBLANK(C971),,IFERROR(VLOOKUP(C971,CurrentRank!$B$2:$D$132,3,FALSE),130))</f>
        <v/>
      </c>
      <c r="L971" s="19" t="str">
        <f t="shared" si="279"/>
        <v/>
      </c>
      <c r="M971" s="19" t="str">
        <f t="shared" si="280"/>
        <v/>
      </c>
      <c r="N971" s="24" t="str">
        <f t="shared" si="276"/>
        <v/>
      </c>
      <c r="O971" s="21" t="str">
        <f t="shared" si="4"/>
        <v/>
      </c>
      <c r="P971" s="21" t="str">
        <f t="shared" si="282"/>
        <v/>
      </c>
      <c r="Q971" s="22" t="str">
        <f t="shared" si="6"/>
        <v/>
      </c>
      <c r="R971" s="25" t="str">
        <f t="shared" si="7"/>
        <v/>
      </c>
      <c r="S971" s="19" t="str">
        <f t="shared" si="8"/>
        <v/>
      </c>
      <c r="T971" s="19" t="str">
        <f t="shared" si="9"/>
        <v/>
      </c>
      <c r="U971" s="3"/>
      <c r="V971" s="4" t="str">
        <f>IF(ISBLANK(C971),,IFERROR(IF(VLOOKUP(B971,Standings!$A:$F, 6, 0)=VLOOKUP(C971,Standings!$A:$F, 6, 0), VLOOKUP(B971,Standings!$A:$F, 6, 0), "Non-con"), "FCS"))</f>
        <v/>
      </c>
      <c r="W971" s="3" t="str">
        <f t="shared" si="10"/>
        <v/>
      </c>
      <c r="X971" s="3" t="str">
        <f t="shared" si="11"/>
        <v/>
      </c>
      <c r="Y971" s="30" t="str">
        <f>IF(D971=0,,IF(ISBLANK(Q971),,VLOOKUP(X971,Week1,2,FALSE)/(VLOOKUP(X971,Week1,2,FALSE)+VLOOKUP(W971,Week1,2,FALSE)))*100)</f>
        <v/>
      </c>
      <c r="Z971" s="4"/>
      <c r="AA971" s="3"/>
      <c r="AB971" s="4" t="str">
        <f t="shared" si="20"/>
        <v/>
      </c>
      <c r="AC971" s="3"/>
      <c r="AD971" s="3"/>
      <c r="AE971" s="3" t="str">
        <f t="shared" si="13"/>
        <v/>
      </c>
      <c r="AF971" s="3"/>
      <c r="AG971" s="3" t="str">
        <f t="shared" si="133"/>
        <v/>
      </c>
      <c r="AH971" s="3"/>
      <c r="AI971" s="7"/>
      <c r="AJ971" s="4"/>
      <c r="AK971" s="7"/>
      <c r="AL971" s="7"/>
      <c r="AM971" s="7"/>
      <c r="AN971" s="7"/>
      <c r="AO971" s="7"/>
      <c r="AP971" s="7"/>
      <c r="AQ971" s="7"/>
      <c r="AR971" s="7"/>
      <c r="AS971" s="7"/>
      <c r="AT971" s="7"/>
      <c r="AU971" s="7"/>
      <c r="AV971" s="7"/>
      <c r="AW971" s="7"/>
      <c r="AX971" s="7"/>
    </row>
    <row r="972" ht="12.75" customHeight="1">
      <c r="A972" s="4"/>
      <c r="B972" s="4"/>
      <c r="C972" s="4"/>
      <c r="D972" s="4"/>
      <c r="E972" s="4" t="str">
        <f>IF(ISBLANK(B972),,IFERROR(VLOOKUP(B972,CurrentRank!$B$2:$C$132,2,FALSE),0))</f>
        <v/>
      </c>
      <c r="F972" s="4"/>
      <c r="G972" s="4" t="str">
        <f>IF(ISBLANK(B972),,IFERROR(VLOOKUP(B972,CurrentRank!$B$2:$D$132,3,FALSE),130))</f>
        <v/>
      </c>
      <c r="H972" s="4"/>
      <c r="I972" s="4" t="str">
        <f>IF(ISBLANK(B972),,IFERROR(VLOOKUP(C972,CurrentRank!$B$2:$C$132,2,FALSE),0))</f>
        <v/>
      </c>
      <c r="J972" s="4"/>
      <c r="K972" s="4" t="str">
        <f>IF(ISBLANK(C972),,IFERROR(VLOOKUP(C972,CurrentRank!$B$2:$D$132,3,FALSE),130))</f>
        <v/>
      </c>
      <c r="L972" s="19" t="str">
        <f t="shared" si="279"/>
        <v/>
      </c>
      <c r="M972" s="19" t="str">
        <f t="shared" si="280"/>
        <v/>
      </c>
      <c r="N972" s="24" t="str">
        <f t="shared" si="276"/>
        <v/>
      </c>
      <c r="O972" s="21" t="str">
        <f t="shared" si="4"/>
        <v/>
      </c>
      <c r="P972" s="21" t="str">
        <f t="shared" si="282"/>
        <v/>
      </c>
      <c r="Q972" s="22" t="str">
        <f t="shared" si="6"/>
        <v/>
      </c>
      <c r="R972" s="25" t="str">
        <f t="shared" si="7"/>
        <v/>
      </c>
      <c r="S972" s="19" t="str">
        <f t="shared" si="8"/>
        <v/>
      </c>
      <c r="T972" s="19" t="str">
        <f t="shared" si="9"/>
        <v/>
      </c>
      <c r="U972" s="3"/>
      <c r="V972" s="4" t="str">
        <f>IF(ISBLANK(C972),,IFERROR(IF(VLOOKUP(B972,Standings!$A:$F, 6, 0)=VLOOKUP(C972,Standings!$A:$F, 6, 0), VLOOKUP(B972,Standings!$A:$F, 6, 0), "Non-con"), "FCS"))</f>
        <v/>
      </c>
      <c r="W972" s="3" t="str">
        <f t="shared" si="10"/>
        <v/>
      </c>
      <c r="X972" s="3" t="str">
        <f t="shared" si="11"/>
        <v/>
      </c>
      <c r="Y972" s="30" t="str">
        <f>IF(D972=0,,IF(ISBLANK(Q972),,VLOOKUP(X972,Week1,2,FALSE)/(VLOOKUP(X972,Week1,2,FALSE)+VLOOKUP(W972,Week1,2,FALSE)))*100)</f>
        <v/>
      </c>
      <c r="Z972" s="4"/>
      <c r="AA972" s="3"/>
      <c r="AB972" s="4" t="str">
        <f t="shared" si="20"/>
        <v/>
      </c>
      <c r="AC972" s="3"/>
      <c r="AD972" s="3"/>
      <c r="AE972" s="3" t="str">
        <f t="shared" si="13"/>
        <v/>
      </c>
      <c r="AF972" s="3"/>
      <c r="AG972" s="3" t="str">
        <f t="shared" si="133"/>
        <v/>
      </c>
      <c r="AH972" s="3"/>
      <c r="AI972" s="7"/>
      <c r="AJ972" s="4"/>
      <c r="AK972" s="7"/>
      <c r="AL972" s="7"/>
      <c r="AM972" s="7"/>
      <c r="AN972" s="7"/>
      <c r="AO972" s="7"/>
      <c r="AP972" s="7"/>
      <c r="AQ972" s="7"/>
      <c r="AR972" s="7"/>
      <c r="AS972" s="7"/>
      <c r="AT972" s="7"/>
      <c r="AU972" s="7"/>
      <c r="AV972" s="7"/>
      <c r="AW972" s="7"/>
      <c r="AX972" s="7"/>
    </row>
    <row r="973" ht="12.75" customHeight="1">
      <c r="A973" s="4"/>
      <c r="B973" s="4"/>
      <c r="C973" s="4"/>
      <c r="D973" s="4"/>
      <c r="E973" s="4" t="str">
        <f>IF(ISBLANK(B973),,IFERROR(VLOOKUP(B973,CurrentRank!$B$2:$C$132,2,FALSE),0))</f>
        <v/>
      </c>
      <c r="F973" s="4"/>
      <c r="G973" s="4" t="str">
        <f>IF(ISBLANK(B973),,IFERROR(VLOOKUP(B973,CurrentRank!$B$2:$D$132,3,FALSE),130))</f>
        <v/>
      </c>
      <c r="H973" s="4"/>
      <c r="I973" s="4" t="str">
        <f>IF(ISBLANK(B973),,IFERROR(VLOOKUP(C973,CurrentRank!$B$2:$C$132,2,FALSE),0))</f>
        <v/>
      </c>
      <c r="J973" s="4"/>
      <c r="K973" s="4" t="str">
        <f>IF(ISBLANK(C973),,IFERROR(VLOOKUP(C973,CurrentRank!$B$2:$D$132,3,FALSE),130))</f>
        <v/>
      </c>
      <c r="L973" s="19" t="str">
        <f t="shared" si="279"/>
        <v/>
      </c>
      <c r="M973" s="19" t="str">
        <f t="shared" si="280"/>
        <v/>
      </c>
      <c r="N973" s="24" t="str">
        <f t="shared" si="276"/>
        <v/>
      </c>
      <c r="O973" s="21" t="str">
        <f t="shared" si="4"/>
        <v/>
      </c>
      <c r="P973" s="21" t="str">
        <f t="shared" si="282"/>
        <v/>
      </c>
      <c r="Q973" s="22" t="str">
        <f t="shared" si="6"/>
        <v/>
      </c>
      <c r="R973" s="25" t="str">
        <f t="shared" si="7"/>
        <v/>
      </c>
      <c r="S973" s="19" t="str">
        <f t="shared" si="8"/>
        <v/>
      </c>
      <c r="T973" s="19" t="str">
        <f t="shared" si="9"/>
        <v/>
      </c>
      <c r="U973" s="3"/>
      <c r="V973" s="4" t="str">
        <f>IF(ISBLANK(C973),,IFERROR(IF(VLOOKUP(B973,Standings!$A:$F, 6, 0)=VLOOKUP(C973,Standings!$A:$F, 6, 0), VLOOKUP(B973,Standings!$A:$F, 6, 0), "Non-con"), "FCS"))</f>
        <v/>
      </c>
      <c r="W973" s="3" t="str">
        <f t="shared" si="10"/>
        <v/>
      </c>
      <c r="X973" s="3" t="str">
        <f t="shared" si="11"/>
        <v/>
      </c>
      <c r="Y973" s="30" t="str">
        <f>IF(D973=0,,IF(ISBLANK(Q973),,VLOOKUP(X973,Week1,2,FALSE)/(VLOOKUP(X973,Week1,2,FALSE)+VLOOKUP(W973,Week1,2,FALSE)))*100)</f>
        <v/>
      </c>
      <c r="Z973" s="4"/>
      <c r="AA973" s="3"/>
      <c r="AB973" s="4" t="str">
        <f t="shared" si="20"/>
        <v/>
      </c>
      <c r="AC973" s="3"/>
      <c r="AD973" s="3"/>
      <c r="AE973" s="3" t="str">
        <f t="shared" si="13"/>
        <v/>
      </c>
      <c r="AF973" s="3"/>
      <c r="AG973" s="3" t="str">
        <f t="shared" si="133"/>
        <v/>
      </c>
      <c r="AH973" s="3"/>
      <c r="AI973" s="7"/>
      <c r="AJ973" s="4"/>
      <c r="AK973" s="7"/>
      <c r="AL973" s="7"/>
      <c r="AM973" s="7"/>
      <c r="AN973" s="7"/>
      <c r="AO973" s="7"/>
      <c r="AP973" s="7"/>
      <c r="AQ973" s="7"/>
      <c r="AR973" s="7"/>
      <c r="AS973" s="7"/>
      <c r="AT973" s="7"/>
      <c r="AU973" s="7"/>
      <c r="AV973" s="7"/>
      <c r="AW973" s="7"/>
      <c r="AX973" s="7"/>
    </row>
    <row r="974" ht="12.75" customHeight="1">
      <c r="A974" s="4"/>
      <c r="B974" s="4"/>
      <c r="C974" s="4"/>
      <c r="D974" s="4"/>
      <c r="E974" s="4" t="str">
        <f>IF(ISBLANK(B974),,IFERROR(VLOOKUP(B974,CurrentRank!$B$2:$C$132,2,FALSE),0))</f>
        <v/>
      </c>
      <c r="F974" s="4"/>
      <c r="G974" s="4" t="str">
        <f>IF(ISBLANK(B974),,IFERROR(VLOOKUP(B974,CurrentRank!$B$2:$D$132,3,FALSE),130))</f>
        <v/>
      </c>
      <c r="H974" s="4"/>
      <c r="I974" s="4" t="str">
        <f>IF(ISBLANK(B974),,IFERROR(VLOOKUP(C974,CurrentRank!$B$2:$C$132,2,FALSE),0))</f>
        <v/>
      </c>
      <c r="J974" s="4"/>
      <c r="K974" s="4" t="str">
        <f>IF(ISBLANK(C974),,IFERROR(VLOOKUP(C974,CurrentRank!$B$2:$D$132,3,FALSE),130))</f>
        <v/>
      </c>
      <c r="L974" s="19" t="str">
        <f t="shared" si="279"/>
        <v/>
      </c>
      <c r="M974" s="19" t="str">
        <f t="shared" si="280"/>
        <v/>
      </c>
      <c r="N974" s="24" t="str">
        <f t="shared" si="276"/>
        <v/>
      </c>
      <c r="O974" s="21" t="str">
        <f t="shared" si="4"/>
        <v/>
      </c>
      <c r="P974" s="21" t="str">
        <f t="shared" si="282"/>
        <v/>
      </c>
      <c r="Q974" s="22" t="str">
        <f t="shared" si="6"/>
        <v/>
      </c>
      <c r="R974" s="25" t="str">
        <f t="shared" si="7"/>
        <v/>
      </c>
      <c r="S974" s="19" t="str">
        <f t="shared" si="8"/>
        <v/>
      </c>
      <c r="T974" s="19" t="str">
        <f t="shared" si="9"/>
        <v/>
      </c>
      <c r="U974" s="3"/>
      <c r="V974" s="4" t="str">
        <f>IF(ISBLANK(C974),,IFERROR(IF(VLOOKUP(B974,Standings!$A:$F, 6, 0)=VLOOKUP(C974,Standings!$A:$F, 6, 0), VLOOKUP(B974,Standings!$A:$F, 6, 0), "Non-con"), "FCS"))</f>
        <v/>
      </c>
      <c r="W974" s="3" t="str">
        <f t="shared" si="10"/>
        <v/>
      </c>
      <c r="X974" s="3" t="str">
        <f t="shared" si="11"/>
        <v/>
      </c>
      <c r="Y974" s="30" t="str">
        <f>IF(D974=0,,IF(ISBLANK(Q974),,VLOOKUP(X974,Week1,2,FALSE)/(VLOOKUP(X974,Week1,2,FALSE)+VLOOKUP(W974,Week1,2,FALSE)))*100)</f>
        <v/>
      </c>
      <c r="Z974" s="4"/>
      <c r="AA974" s="3"/>
      <c r="AB974" s="4" t="str">
        <f t="shared" si="20"/>
        <v/>
      </c>
      <c r="AC974" s="3"/>
      <c r="AD974" s="3"/>
      <c r="AE974" s="3" t="str">
        <f t="shared" si="13"/>
        <v/>
      </c>
      <c r="AF974" s="3"/>
      <c r="AG974" s="3" t="str">
        <f t="shared" si="133"/>
        <v/>
      </c>
      <c r="AH974" s="3"/>
      <c r="AI974" s="7"/>
      <c r="AJ974" s="4"/>
      <c r="AK974" s="7"/>
      <c r="AL974" s="7"/>
      <c r="AM974" s="7"/>
      <c r="AN974" s="7"/>
      <c r="AO974" s="7"/>
      <c r="AP974" s="7"/>
      <c r="AQ974" s="7"/>
      <c r="AR974" s="7"/>
      <c r="AS974" s="7"/>
      <c r="AT974" s="7"/>
      <c r="AU974" s="7"/>
      <c r="AV974" s="7"/>
      <c r="AW974" s="7"/>
      <c r="AX974" s="7"/>
    </row>
    <row r="975" ht="12.75" customHeight="1">
      <c r="A975" s="4"/>
      <c r="B975" s="4"/>
      <c r="C975" s="4"/>
      <c r="D975" s="4"/>
      <c r="E975" s="4" t="str">
        <f>IF(ISBLANK(B975),,IFERROR(VLOOKUP(B975,CurrentRank!$B$2:$C$132,2,FALSE),0))</f>
        <v/>
      </c>
      <c r="F975" s="4"/>
      <c r="G975" s="4" t="str">
        <f>IF(ISBLANK(B975),,IFERROR(VLOOKUP(B975,CurrentRank!$B$2:$D$132,3,FALSE),130))</f>
        <v/>
      </c>
      <c r="H975" s="4"/>
      <c r="I975" s="4" t="str">
        <f>IF(ISBLANK(B975),,IFERROR(VLOOKUP(C975,CurrentRank!$B$2:$C$132,2,FALSE),0))</f>
        <v/>
      </c>
      <c r="J975" s="4"/>
      <c r="K975" s="4" t="str">
        <f>IF(ISBLANK(C975),,IFERROR(VLOOKUP(C975,CurrentRank!$B$2:$D$132,3,FALSE),130))</f>
        <v/>
      </c>
      <c r="L975" s="19" t="str">
        <f t="shared" si="279"/>
        <v/>
      </c>
      <c r="M975" s="19" t="str">
        <f t="shared" si="280"/>
        <v/>
      </c>
      <c r="N975" s="24" t="str">
        <f t="shared" si="276"/>
        <v/>
      </c>
      <c r="O975" s="21" t="str">
        <f t="shared" si="4"/>
        <v/>
      </c>
      <c r="P975" s="21" t="str">
        <f t="shared" si="282"/>
        <v/>
      </c>
      <c r="Q975" s="22" t="str">
        <f t="shared" si="6"/>
        <v/>
      </c>
      <c r="R975" s="25" t="str">
        <f t="shared" si="7"/>
        <v/>
      </c>
      <c r="S975" s="19" t="str">
        <f t="shared" si="8"/>
        <v/>
      </c>
      <c r="T975" s="19" t="str">
        <f t="shared" si="9"/>
        <v/>
      </c>
      <c r="U975" s="3"/>
      <c r="V975" s="4" t="str">
        <f>IF(ISBLANK(C975),,IFERROR(IF(VLOOKUP(B975,Standings!$A:$F, 6, 0)=VLOOKUP(C975,Standings!$A:$F, 6, 0), VLOOKUP(B975,Standings!$A:$F, 6, 0), "Non-con"), "FCS"))</f>
        <v/>
      </c>
      <c r="W975" s="3" t="str">
        <f t="shared" si="10"/>
        <v/>
      </c>
      <c r="X975" s="3" t="str">
        <f t="shared" si="11"/>
        <v/>
      </c>
      <c r="Y975" s="30" t="str">
        <f>IF(D975=0,,IF(ISBLANK(Q975),,VLOOKUP(X975,Week1,2,FALSE)/(VLOOKUP(X975,Week1,2,FALSE)+VLOOKUP(W975,Week1,2,FALSE)))*100)</f>
        <v/>
      </c>
      <c r="Z975" s="4"/>
      <c r="AA975" s="3"/>
      <c r="AB975" s="4" t="str">
        <f t="shared" si="20"/>
        <v/>
      </c>
      <c r="AC975" s="3"/>
      <c r="AD975" s="3"/>
      <c r="AE975" s="3" t="str">
        <f t="shared" si="13"/>
        <v/>
      </c>
      <c r="AF975" s="3"/>
      <c r="AG975" s="3" t="str">
        <f t="shared" si="133"/>
        <v/>
      </c>
      <c r="AH975" s="3"/>
      <c r="AI975" s="7"/>
      <c r="AJ975" s="4"/>
      <c r="AK975" s="7"/>
      <c r="AL975" s="7"/>
      <c r="AM975" s="7"/>
      <c r="AN975" s="7"/>
      <c r="AO975" s="7"/>
      <c r="AP975" s="7"/>
      <c r="AQ975" s="7"/>
      <c r="AR975" s="7"/>
      <c r="AS975" s="7"/>
      <c r="AT975" s="7"/>
      <c r="AU975" s="7"/>
      <c r="AV975" s="7"/>
      <c r="AW975" s="7"/>
      <c r="AX975" s="7"/>
    </row>
    <row r="976" ht="12.75" customHeight="1">
      <c r="A976" s="4"/>
      <c r="B976" s="4"/>
      <c r="C976" s="4"/>
      <c r="D976" s="4"/>
      <c r="E976" s="4" t="str">
        <f>IF(ISBLANK(B976),,IFERROR(VLOOKUP(B976,CurrentRank!$B$2:$C$132,2,FALSE),0))</f>
        <v/>
      </c>
      <c r="F976" s="4"/>
      <c r="G976" s="4" t="str">
        <f>IF(ISBLANK(B976),,IFERROR(VLOOKUP(B976,CurrentRank!$B$2:$D$132,3,FALSE),130))</f>
        <v/>
      </c>
      <c r="H976" s="4"/>
      <c r="I976" s="4" t="str">
        <f>IF(ISBLANK(B976),,IFERROR(VLOOKUP(C976,CurrentRank!$B$2:$C$132,2,FALSE),0))</f>
        <v/>
      </c>
      <c r="J976" s="4"/>
      <c r="K976" s="4" t="str">
        <f>IF(ISBLANK(C976),,IFERROR(VLOOKUP(C976,CurrentRank!$B$2:$D$132,3,FALSE),130))</f>
        <v/>
      </c>
      <c r="L976" s="19" t="str">
        <f t="shared" si="279"/>
        <v/>
      </c>
      <c r="M976" s="19" t="str">
        <f t="shared" si="280"/>
        <v/>
      </c>
      <c r="N976" s="24" t="str">
        <f t="shared" si="276"/>
        <v/>
      </c>
      <c r="O976" s="21" t="str">
        <f t="shared" si="4"/>
        <v/>
      </c>
      <c r="P976" s="21" t="str">
        <f t="shared" si="282"/>
        <v/>
      </c>
      <c r="Q976" s="22" t="str">
        <f t="shared" si="6"/>
        <v/>
      </c>
      <c r="R976" s="25" t="str">
        <f t="shared" si="7"/>
        <v/>
      </c>
      <c r="S976" s="19" t="str">
        <f t="shared" si="8"/>
        <v/>
      </c>
      <c r="T976" s="19" t="str">
        <f t="shared" si="9"/>
        <v/>
      </c>
      <c r="U976" s="3"/>
      <c r="V976" s="4" t="str">
        <f>IF(ISBLANK(C976),,IFERROR(IF(VLOOKUP(B976,Standings!$A:$F, 6, 0)=VLOOKUP(C976,Standings!$A:$F, 6, 0), VLOOKUP(B976,Standings!$A:$F, 6, 0), "Non-con"), "FCS"))</f>
        <v/>
      </c>
      <c r="W976" s="3" t="str">
        <f t="shared" si="10"/>
        <v/>
      </c>
      <c r="X976" s="3" t="str">
        <f t="shared" si="11"/>
        <v/>
      </c>
      <c r="Y976" s="30" t="str">
        <f>IF(D976=0,,IF(ISBLANK(Q976),,VLOOKUP(X976,Week1,2,FALSE)/(VLOOKUP(X976,Week1,2,FALSE)+VLOOKUP(W976,Week1,2,FALSE)))*100)</f>
        <v/>
      </c>
      <c r="Z976" s="4"/>
      <c r="AA976" s="3"/>
      <c r="AB976" s="4" t="str">
        <f t="shared" si="20"/>
        <v/>
      </c>
      <c r="AC976" s="3"/>
      <c r="AD976" s="3"/>
      <c r="AE976" s="3" t="str">
        <f t="shared" si="13"/>
        <v/>
      </c>
      <c r="AF976" s="3"/>
      <c r="AG976" s="3" t="str">
        <f t="shared" si="133"/>
        <v/>
      </c>
      <c r="AH976" s="3"/>
      <c r="AI976" s="7"/>
      <c r="AJ976" s="4"/>
      <c r="AK976" s="7"/>
      <c r="AL976" s="7"/>
      <c r="AM976" s="7"/>
      <c r="AN976" s="7"/>
      <c r="AO976" s="7"/>
      <c r="AP976" s="7"/>
      <c r="AQ976" s="7"/>
      <c r="AR976" s="7"/>
      <c r="AS976" s="7"/>
      <c r="AT976" s="7"/>
      <c r="AU976" s="7"/>
      <c r="AV976" s="7"/>
      <c r="AW976" s="7"/>
      <c r="AX976" s="7"/>
    </row>
    <row r="977" ht="12.75" customHeight="1">
      <c r="A977" s="4"/>
      <c r="B977" s="4"/>
      <c r="C977" s="4"/>
      <c r="D977" s="4"/>
      <c r="E977" s="4" t="str">
        <f>IF(ISBLANK(B977),,IFERROR(VLOOKUP(B977,CurrentRank!$B$2:$C$132,2,FALSE),0))</f>
        <v/>
      </c>
      <c r="F977" s="4"/>
      <c r="G977" s="4" t="str">
        <f>IF(ISBLANK(B977),,IFERROR(VLOOKUP(B977,CurrentRank!$B$2:$D$132,3,FALSE),130))</f>
        <v/>
      </c>
      <c r="H977" s="4"/>
      <c r="I977" s="4" t="str">
        <f>IF(ISBLANK(B977),,IFERROR(VLOOKUP(C977,CurrentRank!$B$2:$C$132,2,FALSE),0))</f>
        <v/>
      </c>
      <c r="J977" s="4"/>
      <c r="K977" s="4" t="str">
        <f>IF(ISBLANK(C977),,IFERROR(VLOOKUP(C977,CurrentRank!$B$2:$D$132,3,FALSE),130))</f>
        <v/>
      </c>
      <c r="L977" s="19" t="str">
        <f t="shared" si="279"/>
        <v/>
      </c>
      <c r="M977" s="19" t="str">
        <f t="shared" si="280"/>
        <v/>
      </c>
      <c r="N977" s="24" t="str">
        <f t="shared" si="276"/>
        <v/>
      </c>
      <c r="O977" s="21" t="str">
        <f t="shared" si="4"/>
        <v/>
      </c>
      <c r="P977" s="21" t="str">
        <f t="shared" si="282"/>
        <v/>
      </c>
      <c r="Q977" s="22" t="str">
        <f t="shared" si="6"/>
        <v/>
      </c>
      <c r="R977" s="25" t="str">
        <f t="shared" si="7"/>
        <v/>
      </c>
      <c r="S977" s="19" t="str">
        <f t="shared" si="8"/>
        <v/>
      </c>
      <c r="T977" s="19" t="str">
        <f t="shared" si="9"/>
        <v/>
      </c>
      <c r="U977" s="3"/>
      <c r="V977" s="4" t="str">
        <f>IF(ISBLANK(C977),,IFERROR(IF(VLOOKUP(B977,Standings!$A:$F, 6, 0)=VLOOKUP(C977,Standings!$A:$F, 6, 0), VLOOKUP(B977,Standings!$A:$F, 6, 0), "Non-con"), "FCS"))</f>
        <v/>
      </c>
      <c r="W977" s="3" t="str">
        <f t="shared" si="10"/>
        <v/>
      </c>
      <c r="X977" s="3" t="str">
        <f t="shared" si="11"/>
        <v/>
      </c>
      <c r="Y977" s="30" t="str">
        <f>IF(D977=0,,IF(ISBLANK(Q977),,VLOOKUP(X977,Week1,2,FALSE)/(VLOOKUP(X977,Week1,2,FALSE)+VLOOKUP(W977,Week1,2,FALSE)))*100)</f>
        <v/>
      </c>
      <c r="Z977" s="4"/>
      <c r="AA977" s="3"/>
      <c r="AB977" s="4" t="str">
        <f t="shared" si="20"/>
        <v/>
      </c>
      <c r="AC977" s="3"/>
      <c r="AD977" s="3"/>
      <c r="AE977" s="3" t="str">
        <f t="shared" si="13"/>
        <v/>
      </c>
      <c r="AF977" s="3"/>
      <c r="AG977" s="3" t="str">
        <f t="shared" si="133"/>
        <v/>
      </c>
      <c r="AH977" s="3"/>
      <c r="AI977" s="7"/>
      <c r="AJ977" s="4"/>
      <c r="AK977" s="7"/>
      <c r="AL977" s="7"/>
      <c r="AM977" s="7"/>
      <c r="AN977" s="7"/>
      <c r="AO977" s="7"/>
      <c r="AP977" s="7"/>
      <c r="AQ977" s="7"/>
      <c r="AR977" s="7"/>
      <c r="AS977" s="7"/>
      <c r="AT977" s="7"/>
      <c r="AU977" s="7"/>
      <c r="AV977" s="7"/>
      <c r="AW977" s="7"/>
      <c r="AX977" s="7"/>
    </row>
    <row r="978" ht="12.75" customHeight="1">
      <c r="A978" s="4"/>
      <c r="B978" s="4"/>
      <c r="C978" s="4"/>
      <c r="D978" s="4"/>
      <c r="E978" s="4" t="str">
        <f>IF(ISBLANK(B978),,IFERROR(VLOOKUP(B978,CurrentRank!$B$2:$C$132,2,FALSE),0))</f>
        <v/>
      </c>
      <c r="F978" s="4"/>
      <c r="G978" s="4" t="str">
        <f>IF(ISBLANK(B978),,IFERROR(VLOOKUP(B978,CurrentRank!$B$2:$D$132,3,FALSE),130))</f>
        <v/>
      </c>
      <c r="H978" s="4"/>
      <c r="I978" s="4" t="str">
        <f>IF(ISBLANK(B978),,IFERROR(VLOOKUP(C978,CurrentRank!$B$2:$C$132,2,FALSE),0))</f>
        <v/>
      </c>
      <c r="J978" s="4"/>
      <c r="K978" s="4" t="str">
        <f>IF(ISBLANK(C978),,IFERROR(VLOOKUP(C978,CurrentRank!$B$2:$D$132,3,FALSE),130))</f>
        <v/>
      </c>
      <c r="L978" s="19" t="str">
        <f t="shared" si="279"/>
        <v/>
      </c>
      <c r="M978" s="19" t="str">
        <f t="shared" si="280"/>
        <v/>
      </c>
      <c r="N978" s="24" t="str">
        <f t="shared" si="276"/>
        <v/>
      </c>
      <c r="O978" s="21" t="str">
        <f t="shared" si="4"/>
        <v/>
      </c>
      <c r="P978" s="21" t="str">
        <f t="shared" si="282"/>
        <v/>
      </c>
      <c r="Q978" s="22" t="str">
        <f t="shared" si="6"/>
        <v/>
      </c>
      <c r="R978" s="25" t="str">
        <f t="shared" si="7"/>
        <v/>
      </c>
      <c r="S978" s="19" t="str">
        <f t="shared" si="8"/>
        <v/>
      </c>
      <c r="T978" s="19" t="str">
        <f t="shared" si="9"/>
        <v/>
      </c>
      <c r="U978" s="3"/>
      <c r="V978" s="4" t="str">
        <f>IF(ISBLANK(C978),,IFERROR(IF(VLOOKUP(B978,Standings!$A:$F, 6, 0)=VLOOKUP(C978,Standings!$A:$F, 6, 0), VLOOKUP(B978,Standings!$A:$F, 6, 0), "Non-con"), "FCS"))</f>
        <v/>
      </c>
      <c r="W978" s="3" t="str">
        <f t="shared" si="10"/>
        <v/>
      </c>
      <c r="X978" s="3" t="str">
        <f t="shared" si="11"/>
        <v/>
      </c>
      <c r="Y978" s="30" t="str">
        <f>IF(D978=0,,IF(ISBLANK(Q978),,VLOOKUP(X978,Week1,2,FALSE)/(VLOOKUP(X978,Week1,2,FALSE)+VLOOKUP(W978,Week1,2,FALSE)))*100)</f>
        <v/>
      </c>
      <c r="Z978" s="4"/>
      <c r="AA978" s="3"/>
      <c r="AB978" s="4" t="str">
        <f t="shared" si="20"/>
        <v/>
      </c>
      <c r="AC978" s="3"/>
      <c r="AD978" s="3"/>
      <c r="AE978" s="3" t="str">
        <f t="shared" si="13"/>
        <v/>
      </c>
      <c r="AF978" s="3"/>
      <c r="AG978" s="3" t="str">
        <f t="shared" si="133"/>
        <v/>
      </c>
      <c r="AH978" s="3"/>
      <c r="AI978" s="7"/>
      <c r="AJ978" s="4"/>
      <c r="AK978" s="7"/>
      <c r="AL978" s="7"/>
      <c r="AM978" s="7"/>
      <c r="AN978" s="7"/>
      <c r="AO978" s="7"/>
      <c r="AP978" s="7"/>
      <c r="AQ978" s="7"/>
      <c r="AR978" s="7"/>
      <c r="AS978" s="7"/>
      <c r="AT978" s="7"/>
      <c r="AU978" s="7"/>
      <c r="AV978" s="7"/>
      <c r="AW978" s="7"/>
      <c r="AX978" s="7"/>
    </row>
    <row r="979" ht="12.75" customHeight="1">
      <c r="A979" s="4"/>
      <c r="B979" s="4"/>
      <c r="C979" s="4"/>
      <c r="D979" s="4"/>
      <c r="E979" s="4" t="str">
        <f>IF(ISBLANK(B979),,IFERROR(VLOOKUP(B979,CurrentRank!$B$2:$C$132,2,FALSE),0))</f>
        <v/>
      </c>
      <c r="F979" s="4"/>
      <c r="G979" s="4" t="str">
        <f>IF(ISBLANK(B979),,IFERROR(VLOOKUP(B979,CurrentRank!$B$2:$D$132,3,FALSE),130))</f>
        <v/>
      </c>
      <c r="H979" s="4"/>
      <c r="I979" s="4" t="str">
        <f>IF(ISBLANK(B979),,IFERROR(VLOOKUP(C979,CurrentRank!$B$2:$C$132,2,FALSE),0))</f>
        <v/>
      </c>
      <c r="J979" s="4"/>
      <c r="K979" s="4" t="str">
        <f>IF(ISBLANK(C979),,IFERROR(VLOOKUP(C979,CurrentRank!$B$2:$D$132,3,FALSE),130))</f>
        <v/>
      </c>
      <c r="L979" s="19" t="str">
        <f t="shared" si="279"/>
        <v/>
      </c>
      <c r="M979" s="19" t="str">
        <f t="shared" si="280"/>
        <v/>
      </c>
      <c r="N979" s="24" t="str">
        <f t="shared" si="276"/>
        <v/>
      </c>
      <c r="O979" s="21" t="str">
        <f t="shared" si="4"/>
        <v/>
      </c>
      <c r="P979" s="21" t="str">
        <f t="shared" si="282"/>
        <v/>
      </c>
      <c r="Q979" s="22" t="str">
        <f t="shared" si="6"/>
        <v/>
      </c>
      <c r="R979" s="25" t="str">
        <f t="shared" si="7"/>
        <v/>
      </c>
      <c r="S979" s="19" t="str">
        <f t="shared" si="8"/>
        <v/>
      </c>
      <c r="T979" s="19" t="str">
        <f t="shared" si="9"/>
        <v/>
      </c>
      <c r="U979" s="3"/>
      <c r="V979" s="4" t="str">
        <f>IF(ISBLANK(C979),,IFERROR(IF(VLOOKUP(B979,Standings!$A:$F, 6, 0)=VLOOKUP(C979,Standings!$A:$F, 6, 0), VLOOKUP(B979,Standings!$A:$F, 6, 0), "Non-con"), "FCS"))</f>
        <v/>
      </c>
      <c r="W979" s="3" t="str">
        <f t="shared" si="10"/>
        <v/>
      </c>
      <c r="X979" s="3" t="str">
        <f t="shared" si="11"/>
        <v/>
      </c>
      <c r="Y979" s="30" t="str">
        <f>IF(D979=0,,IF(ISBLANK(Q979),,VLOOKUP(X979,Week1,2,FALSE)/(VLOOKUP(X979,Week1,2,FALSE)+VLOOKUP(W979,Week1,2,FALSE)))*100)</f>
        <v/>
      </c>
      <c r="Z979" s="4"/>
      <c r="AA979" s="3"/>
      <c r="AB979" s="4" t="str">
        <f t="shared" si="20"/>
        <v/>
      </c>
      <c r="AC979" s="3"/>
      <c r="AD979" s="3"/>
      <c r="AE979" s="3" t="str">
        <f t="shared" si="13"/>
        <v/>
      </c>
      <c r="AF979" s="3"/>
      <c r="AG979" s="3" t="str">
        <f t="shared" si="133"/>
        <v/>
      </c>
      <c r="AH979" s="3"/>
      <c r="AI979" s="7"/>
      <c r="AJ979" s="4"/>
      <c r="AK979" s="7"/>
      <c r="AL979" s="7"/>
      <c r="AM979" s="7"/>
      <c r="AN979" s="7"/>
      <c r="AO979" s="7"/>
      <c r="AP979" s="7"/>
      <c r="AQ979" s="7"/>
      <c r="AR979" s="7"/>
      <c r="AS979" s="7"/>
      <c r="AT979" s="7"/>
      <c r="AU979" s="7"/>
      <c r="AV979" s="7"/>
      <c r="AW979" s="7"/>
      <c r="AX979" s="7"/>
    </row>
    <row r="980" ht="12.75" customHeight="1">
      <c r="A980" s="4"/>
      <c r="B980" s="4"/>
      <c r="C980" s="4"/>
      <c r="D980" s="4"/>
      <c r="E980" s="4" t="str">
        <f>IF(ISBLANK(B980),,IFERROR(VLOOKUP(B980,CurrentRank!$B$2:$C$132,2,FALSE),0))</f>
        <v/>
      </c>
      <c r="F980" s="4"/>
      <c r="G980" s="4" t="str">
        <f>IF(ISBLANK(B980),,IFERROR(VLOOKUP(B980,CurrentRank!$B$2:$D$132,3,FALSE),130))</f>
        <v/>
      </c>
      <c r="H980" s="4"/>
      <c r="I980" s="4" t="str">
        <f>IF(ISBLANK(B980),,IFERROR(VLOOKUP(C980,CurrentRank!$B$2:$C$132,2,FALSE),0))</f>
        <v/>
      </c>
      <c r="J980" s="4"/>
      <c r="K980" s="4" t="str">
        <f>IF(ISBLANK(C980),,IFERROR(VLOOKUP(C980,CurrentRank!$B$2:$D$132,3,FALSE),130))</f>
        <v/>
      </c>
      <c r="L980" s="19" t="str">
        <f t="shared" si="279"/>
        <v/>
      </c>
      <c r="M980" s="19" t="str">
        <f t="shared" si="280"/>
        <v/>
      </c>
      <c r="N980" s="24" t="str">
        <f t="shared" si="276"/>
        <v/>
      </c>
      <c r="O980" s="21" t="str">
        <f t="shared" si="4"/>
        <v/>
      </c>
      <c r="P980" s="21" t="str">
        <f t="shared" si="282"/>
        <v/>
      </c>
      <c r="Q980" s="22" t="str">
        <f t="shared" si="6"/>
        <v/>
      </c>
      <c r="R980" s="25" t="str">
        <f t="shared" si="7"/>
        <v/>
      </c>
      <c r="S980" s="19" t="str">
        <f t="shared" si="8"/>
        <v/>
      </c>
      <c r="T980" s="19" t="str">
        <f t="shared" si="9"/>
        <v/>
      </c>
      <c r="U980" s="3"/>
      <c r="V980" s="4" t="str">
        <f>IF(ISBLANK(C980),,IFERROR(IF(VLOOKUP(B980,Standings!$A:$F, 6, 0)=VLOOKUP(C980,Standings!$A:$F, 6, 0), VLOOKUP(B980,Standings!$A:$F, 6, 0), "Non-con"), "FCS"))</f>
        <v/>
      </c>
      <c r="W980" s="3" t="str">
        <f t="shared" si="10"/>
        <v/>
      </c>
      <c r="X980" s="3" t="str">
        <f t="shared" si="11"/>
        <v/>
      </c>
      <c r="Y980" s="30" t="str">
        <f>IF(D980=0,,IF(ISBLANK(Q980),,VLOOKUP(X980,Week1,2,FALSE)/(VLOOKUP(X980,Week1,2,FALSE)+VLOOKUP(W980,Week1,2,FALSE)))*100)</f>
        <v/>
      </c>
      <c r="Z980" s="4"/>
      <c r="AA980" s="3"/>
      <c r="AB980" s="4" t="str">
        <f t="shared" si="20"/>
        <v/>
      </c>
      <c r="AC980" s="3"/>
      <c r="AD980" s="3"/>
      <c r="AE980" s="3" t="str">
        <f t="shared" si="13"/>
        <v/>
      </c>
      <c r="AF980" s="3"/>
      <c r="AG980" s="3" t="str">
        <f t="shared" si="133"/>
        <v/>
      </c>
      <c r="AH980" s="3"/>
      <c r="AI980" s="7"/>
      <c r="AJ980" s="4"/>
      <c r="AK980" s="7"/>
      <c r="AL980" s="7"/>
      <c r="AM980" s="7"/>
      <c r="AN980" s="7"/>
      <c r="AO980" s="7"/>
      <c r="AP980" s="7"/>
      <c r="AQ980" s="7"/>
      <c r="AR980" s="7"/>
      <c r="AS980" s="7"/>
      <c r="AT980" s="7"/>
      <c r="AU980" s="7"/>
      <c r="AV980" s="7"/>
      <c r="AW980" s="7"/>
      <c r="AX980" s="7"/>
    </row>
    <row r="981" ht="12.75" customHeight="1">
      <c r="A981" s="4"/>
      <c r="B981" s="4"/>
      <c r="C981" s="4"/>
      <c r="D981" s="4"/>
      <c r="E981" s="4" t="str">
        <f>IF(ISBLANK(B981),,IFERROR(VLOOKUP(B981,CurrentRank!$B$2:$C$132,2,FALSE),0))</f>
        <v/>
      </c>
      <c r="F981" s="4"/>
      <c r="G981" s="4" t="str">
        <f>IF(ISBLANK(B981),,IFERROR(VLOOKUP(B981,CurrentRank!$B$2:$D$132,3,FALSE),130))</f>
        <v/>
      </c>
      <c r="H981" s="4"/>
      <c r="I981" s="4" t="str">
        <f>IF(ISBLANK(B981),,IFERROR(VLOOKUP(C981,CurrentRank!$B$2:$C$132,2,FALSE),0))</f>
        <v/>
      </c>
      <c r="J981" s="4"/>
      <c r="K981" s="4" t="str">
        <f>IF(ISBLANK(C981),,IFERROR(VLOOKUP(C981,CurrentRank!$B$2:$D$132,3,FALSE),130))</f>
        <v/>
      </c>
      <c r="L981" s="19" t="str">
        <f t="shared" si="279"/>
        <v/>
      </c>
      <c r="M981" s="19" t="str">
        <f t="shared" si="280"/>
        <v/>
      </c>
      <c r="N981" s="24" t="str">
        <f t="shared" si="276"/>
        <v/>
      </c>
      <c r="O981" s="21" t="str">
        <f t="shared" si="4"/>
        <v/>
      </c>
      <c r="P981" s="21" t="str">
        <f t="shared" si="282"/>
        <v/>
      </c>
      <c r="Q981" s="22" t="str">
        <f t="shared" si="6"/>
        <v/>
      </c>
      <c r="R981" s="25" t="str">
        <f t="shared" si="7"/>
        <v/>
      </c>
      <c r="S981" s="19" t="str">
        <f t="shared" si="8"/>
        <v/>
      </c>
      <c r="T981" s="19" t="str">
        <f t="shared" si="9"/>
        <v/>
      </c>
      <c r="U981" s="3"/>
      <c r="V981" s="4" t="str">
        <f>IF(ISBLANK(C981),,IFERROR(IF(VLOOKUP(B981,Standings!$A:$F, 6, 0)=VLOOKUP(C981,Standings!$A:$F, 6, 0), VLOOKUP(B981,Standings!$A:$F, 6, 0), "Non-con"), "FCS"))</f>
        <v/>
      </c>
      <c r="W981" s="3" t="str">
        <f t="shared" si="10"/>
        <v/>
      </c>
      <c r="X981" s="3" t="str">
        <f t="shared" si="11"/>
        <v/>
      </c>
      <c r="Y981" s="30" t="str">
        <f>IF(D981=0,,IF(ISBLANK(Q981),,VLOOKUP(X981,Week1,2,FALSE)/(VLOOKUP(X981,Week1,2,FALSE)+VLOOKUP(W981,Week1,2,FALSE)))*100)</f>
        <v/>
      </c>
      <c r="Z981" s="4"/>
      <c r="AA981" s="3"/>
      <c r="AB981" s="4" t="str">
        <f t="shared" si="20"/>
        <v/>
      </c>
      <c r="AC981" s="3"/>
      <c r="AD981" s="3"/>
      <c r="AE981" s="3" t="str">
        <f t="shared" si="13"/>
        <v/>
      </c>
      <c r="AF981" s="3"/>
      <c r="AG981" s="3" t="str">
        <f t="shared" si="133"/>
        <v/>
      </c>
      <c r="AH981" s="3"/>
      <c r="AI981" s="7"/>
      <c r="AJ981" s="4"/>
      <c r="AK981" s="7"/>
      <c r="AL981" s="7"/>
      <c r="AM981" s="7"/>
      <c r="AN981" s="7"/>
      <c r="AO981" s="7"/>
      <c r="AP981" s="7"/>
      <c r="AQ981" s="7"/>
      <c r="AR981" s="7"/>
      <c r="AS981" s="7"/>
      <c r="AT981" s="7"/>
      <c r="AU981" s="7"/>
      <c r="AV981" s="7"/>
      <c r="AW981" s="7"/>
      <c r="AX981" s="7"/>
    </row>
    <row r="982" ht="12.75" customHeight="1">
      <c r="A982" s="4"/>
      <c r="B982" s="4"/>
      <c r="C982" s="4"/>
      <c r="D982" s="4"/>
      <c r="E982" s="4" t="str">
        <f>IF(ISBLANK(B982),,IFERROR(VLOOKUP(B982,CurrentRank!$B$2:$C$132,2,FALSE),0))</f>
        <v/>
      </c>
      <c r="F982" s="4"/>
      <c r="G982" s="4" t="str">
        <f>IF(ISBLANK(B982),,IFERROR(VLOOKUP(B982,CurrentRank!$B$2:$D$132,3,FALSE),130))</f>
        <v/>
      </c>
      <c r="H982" s="4"/>
      <c r="I982" s="4" t="str">
        <f>IF(ISBLANK(B982),,IFERROR(VLOOKUP(C982,CurrentRank!$B$2:$C$132,2,FALSE),0))</f>
        <v/>
      </c>
      <c r="J982" s="4"/>
      <c r="K982" s="4" t="str">
        <f>IF(ISBLANK(C982),,IFERROR(VLOOKUP(C982,CurrentRank!$B$2:$D$132,3,FALSE),130))</f>
        <v/>
      </c>
      <c r="L982" s="19" t="str">
        <f t="shared" si="279"/>
        <v/>
      </c>
      <c r="M982" s="19" t="str">
        <f t="shared" si="280"/>
        <v/>
      </c>
      <c r="N982" s="24" t="str">
        <f t="shared" si="276"/>
        <v/>
      </c>
      <c r="O982" s="21" t="str">
        <f t="shared" si="4"/>
        <v/>
      </c>
      <c r="P982" s="21" t="str">
        <f t="shared" si="282"/>
        <v/>
      </c>
      <c r="Q982" s="22" t="str">
        <f t="shared" si="6"/>
        <v/>
      </c>
      <c r="R982" s="25" t="str">
        <f t="shared" si="7"/>
        <v/>
      </c>
      <c r="S982" s="19" t="str">
        <f t="shared" si="8"/>
        <v/>
      </c>
      <c r="T982" s="19" t="str">
        <f t="shared" si="9"/>
        <v/>
      </c>
      <c r="U982" s="3"/>
      <c r="V982" s="4" t="str">
        <f>IF(ISBLANK(C982),,IFERROR(IF(VLOOKUP(B982,Standings!$A:$F, 6, 0)=VLOOKUP(C982,Standings!$A:$F, 6, 0), VLOOKUP(B982,Standings!$A:$F, 6, 0), "Non-con"), "FCS"))</f>
        <v/>
      </c>
      <c r="W982" s="3" t="str">
        <f t="shared" si="10"/>
        <v/>
      </c>
      <c r="X982" s="3" t="str">
        <f t="shared" si="11"/>
        <v/>
      </c>
      <c r="Y982" s="30" t="str">
        <f>IF(D982=0,,IF(ISBLANK(Q982),,VLOOKUP(X982,Week1,2,FALSE)/(VLOOKUP(X982,Week1,2,FALSE)+VLOOKUP(W982,Week1,2,FALSE)))*100)</f>
        <v/>
      </c>
      <c r="Z982" s="4"/>
      <c r="AA982" s="3"/>
      <c r="AB982" s="4" t="str">
        <f t="shared" si="20"/>
        <v/>
      </c>
      <c r="AC982" s="3"/>
      <c r="AD982" s="3"/>
      <c r="AE982" s="3" t="str">
        <f t="shared" si="13"/>
        <v/>
      </c>
      <c r="AF982" s="3"/>
      <c r="AG982" s="3" t="str">
        <f t="shared" si="133"/>
        <v/>
      </c>
      <c r="AH982" s="3"/>
      <c r="AI982" s="7"/>
      <c r="AJ982" s="4"/>
      <c r="AK982" s="7"/>
      <c r="AL982" s="7"/>
      <c r="AM982" s="7"/>
      <c r="AN982" s="7"/>
      <c r="AO982" s="7"/>
      <c r="AP982" s="7"/>
      <c r="AQ982" s="7"/>
      <c r="AR982" s="7"/>
      <c r="AS982" s="7"/>
      <c r="AT982" s="7"/>
      <c r="AU982" s="7"/>
      <c r="AV982" s="7"/>
      <c r="AW982" s="7"/>
      <c r="AX982" s="7"/>
    </row>
    <row r="983" ht="12.75" customHeight="1">
      <c r="A983" s="4"/>
      <c r="B983" s="4"/>
      <c r="C983" s="4"/>
      <c r="D983" s="4"/>
      <c r="E983" s="4" t="str">
        <f>IF(ISBLANK(B983),,IFERROR(VLOOKUP(B983,CurrentRank!$B$2:$C$132,2,FALSE),0))</f>
        <v/>
      </c>
      <c r="F983" s="4"/>
      <c r="G983" s="4" t="str">
        <f>IF(ISBLANK(B983),,IFERROR(VLOOKUP(B983,CurrentRank!$B$2:$D$132,3,FALSE),130))</f>
        <v/>
      </c>
      <c r="H983" s="4"/>
      <c r="I983" s="4" t="str">
        <f>IF(ISBLANK(B983),,IFERROR(VLOOKUP(C983,CurrentRank!$B$2:$C$132,2,FALSE),0))</f>
        <v/>
      </c>
      <c r="J983" s="4"/>
      <c r="K983" s="4" t="str">
        <f>IF(ISBLANK(C983),,IFERROR(VLOOKUP(C983,CurrentRank!$B$2:$D$132,3,FALSE),130))</f>
        <v/>
      </c>
      <c r="L983" s="19" t="str">
        <f t="shared" si="279"/>
        <v/>
      </c>
      <c r="M983" s="19" t="str">
        <f t="shared" si="280"/>
        <v/>
      </c>
      <c r="N983" s="24" t="str">
        <f t="shared" si="276"/>
        <v/>
      </c>
      <c r="O983" s="21" t="str">
        <f t="shared" si="4"/>
        <v/>
      </c>
      <c r="P983" s="21" t="str">
        <f t="shared" si="282"/>
        <v/>
      </c>
      <c r="Q983" s="22" t="str">
        <f t="shared" si="6"/>
        <v/>
      </c>
      <c r="R983" s="25" t="str">
        <f t="shared" si="7"/>
        <v/>
      </c>
      <c r="S983" s="19" t="str">
        <f t="shared" si="8"/>
        <v/>
      </c>
      <c r="T983" s="19" t="str">
        <f t="shared" si="9"/>
        <v/>
      </c>
      <c r="U983" s="3"/>
      <c r="V983" s="4" t="str">
        <f>IF(ISBLANK(C983),,IFERROR(IF(VLOOKUP(B983,Standings!$A:$F, 6, 0)=VLOOKUP(C983,Standings!$A:$F, 6, 0), VLOOKUP(B983,Standings!$A:$F, 6, 0), "Non-con"), "FCS"))</f>
        <v/>
      </c>
      <c r="W983" s="3" t="str">
        <f t="shared" si="10"/>
        <v/>
      </c>
      <c r="X983" s="3" t="str">
        <f t="shared" si="11"/>
        <v/>
      </c>
      <c r="Y983" s="30" t="str">
        <f>IF(D983=0,,IF(ISBLANK(Q983),,VLOOKUP(X983,Week1,2,FALSE)/(VLOOKUP(X983,Week1,2,FALSE)+VLOOKUP(W983,Week1,2,FALSE)))*100)</f>
        <v/>
      </c>
      <c r="Z983" s="4"/>
      <c r="AA983" s="3"/>
      <c r="AB983" s="4" t="str">
        <f t="shared" si="20"/>
        <v/>
      </c>
      <c r="AC983" s="3"/>
      <c r="AD983" s="3"/>
      <c r="AE983" s="3" t="str">
        <f t="shared" si="13"/>
        <v/>
      </c>
      <c r="AF983" s="3"/>
      <c r="AG983" s="3" t="str">
        <f t="shared" si="133"/>
        <v/>
      </c>
      <c r="AH983" s="3"/>
      <c r="AI983" s="7"/>
      <c r="AJ983" s="4"/>
      <c r="AK983" s="7"/>
      <c r="AL983" s="7"/>
      <c r="AM983" s="7"/>
      <c r="AN983" s="7"/>
      <c r="AO983" s="7"/>
      <c r="AP983" s="7"/>
      <c r="AQ983" s="7"/>
      <c r="AR983" s="7"/>
      <c r="AS983" s="7"/>
      <c r="AT983" s="7"/>
      <c r="AU983" s="7"/>
      <c r="AV983" s="7"/>
      <c r="AW983" s="7"/>
      <c r="AX983" s="7"/>
    </row>
    <row r="984" ht="12.75" customHeight="1">
      <c r="A984" s="4"/>
      <c r="B984" s="4"/>
      <c r="C984" s="4"/>
      <c r="D984" s="4"/>
      <c r="E984" s="4" t="str">
        <f>IF(ISBLANK(B984),,IFERROR(VLOOKUP(B984,CurrentRank!$B$2:$C$132,2,FALSE),0))</f>
        <v/>
      </c>
      <c r="F984" s="4"/>
      <c r="G984" s="4" t="str">
        <f>IF(ISBLANK(B984),,IFERROR(VLOOKUP(B984,CurrentRank!$B$2:$D$132,3,FALSE),130))</f>
        <v/>
      </c>
      <c r="H984" s="4"/>
      <c r="I984" s="4" t="str">
        <f>IF(ISBLANK(B984),,IFERROR(VLOOKUP(C984,CurrentRank!$B$2:$C$132,2,FALSE),0))</f>
        <v/>
      </c>
      <c r="J984" s="4"/>
      <c r="K984" s="4" t="str">
        <f>IF(ISBLANK(C984),,IFERROR(VLOOKUP(C984,CurrentRank!$B$2:$D$132,3,FALSE),130))</f>
        <v/>
      </c>
      <c r="L984" s="19" t="str">
        <f t="shared" si="279"/>
        <v/>
      </c>
      <c r="M984" s="19" t="str">
        <f t="shared" si="280"/>
        <v/>
      </c>
      <c r="N984" s="24" t="str">
        <f t="shared" si="276"/>
        <v/>
      </c>
      <c r="O984" s="21" t="str">
        <f t="shared" si="4"/>
        <v/>
      </c>
      <c r="P984" s="21" t="str">
        <f t="shared" si="282"/>
        <v/>
      </c>
      <c r="Q984" s="22" t="str">
        <f t="shared" si="6"/>
        <v/>
      </c>
      <c r="R984" s="25" t="str">
        <f t="shared" si="7"/>
        <v/>
      </c>
      <c r="S984" s="19" t="str">
        <f t="shared" si="8"/>
        <v/>
      </c>
      <c r="T984" s="19" t="str">
        <f t="shared" si="9"/>
        <v/>
      </c>
      <c r="U984" s="3"/>
      <c r="V984" s="4" t="str">
        <f>IF(ISBLANK(C984),,IFERROR(IF(VLOOKUP(B984,Standings!$A:$F, 6, 0)=VLOOKUP(C984,Standings!$A:$F, 6, 0), VLOOKUP(B984,Standings!$A:$F, 6, 0), "Non-con"), "FCS"))</f>
        <v/>
      </c>
      <c r="W984" s="3" t="str">
        <f t="shared" si="10"/>
        <v/>
      </c>
      <c r="X984" s="3" t="str">
        <f t="shared" si="11"/>
        <v/>
      </c>
      <c r="Y984" s="30" t="str">
        <f>IF(D984=0,,IF(ISBLANK(Q984),,VLOOKUP(X984,Week1,2,FALSE)/(VLOOKUP(X984,Week1,2,FALSE)+VLOOKUP(W984,Week1,2,FALSE)))*100)</f>
        <v/>
      </c>
      <c r="Z984" s="4"/>
      <c r="AA984" s="3"/>
      <c r="AB984" s="4" t="str">
        <f t="shared" si="20"/>
        <v/>
      </c>
      <c r="AC984" s="3"/>
      <c r="AD984" s="3"/>
      <c r="AE984" s="3" t="str">
        <f t="shared" si="13"/>
        <v/>
      </c>
      <c r="AF984" s="3"/>
      <c r="AG984" s="3" t="str">
        <f t="shared" si="133"/>
        <v/>
      </c>
      <c r="AH984" s="3"/>
      <c r="AI984" s="7"/>
      <c r="AJ984" s="4"/>
      <c r="AK984" s="7"/>
      <c r="AL984" s="7"/>
      <c r="AM984" s="7"/>
      <c r="AN984" s="7"/>
      <c r="AO984" s="7"/>
      <c r="AP984" s="7"/>
      <c r="AQ984" s="7"/>
      <c r="AR984" s="7"/>
      <c r="AS984" s="7"/>
      <c r="AT984" s="7"/>
      <c r="AU984" s="7"/>
      <c r="AV984" s="7"/>
      <c r="AW984" s="7"/>
      <c r="AX984" s="7"/>
    </row>
    <row r="985" ht="12.75" customHeight="1">
      <c r="A985" s="4"/>
      <c r="B985" s="4"/>
      <c r="C985" s="4"/>
      <c r="D985" s="4"/>
      <c r="E985" s="4" t="str">
        <f>IF(ISBLANK(B985),,IFERROR(VLOOKUP(B985,CurrentRank!$B$2:$C$132,2,FALSE),0))</f>
        <v/>
      </c>
      <c r="F985" s="4"/>
      <c r="G985" s="4" t="str">
        <f>IF(ISBLANK(B985),,IFERROR(VLOOKUP(B985,CurrentRank!$B$2:$D$132,3,FALSE),130))</f>
        <v/>
      </c>
      <c r="H985" s="4"/>
      <c r="I985" s="4" t="str">
        <f>IF(ISBLANK(B985),,IFERROR(VLOOKUP(C985,CurrentRank!$B$2:$C$132,2,FALSE),0))</f>
        <v/>
      </c>
      <c r="J985" s="4"/>
      <c r="K985" s="4" t="str">
        <f>IF(ISBLANK(C985),,IFERROR(VLOOKUP(C985,CurrentRank!$B$2:$D$132,3,FALSE),130))</f>
        <v/>
      </c>
      <c r="L985" s="19" t="str">
        <f t="shared" si="279"/>
        <v/>
      </c>
      <c r="M985" s="19" t="str">
        <f t="shared" si="280"/>
        <v/>
      </c>
      <c r="N985" s="24" t="str">
        <f t="shared" si="276"/>
        <v/>
      </c>
      <c r="O985" s="21" t="str">
        <f t="shared" si="4"/>
        <v/>
      </c>
      <c r="P985" s="21" t="str">
        <f t="shared" si="282"/>
        <v/>
      </c>
      <c r="Q985" s="22" t="str">
        <f t="shared" si="6"/>
        <v/>
      </c>
      <c r="R985" s="25" t="str">
        <f t="shared" si="7"/>
        <v/>
      </c>
      <c r="S985" s="19" t="str">
        <f t="shared" si="8"/>
        <v/>
      </c>
      <c r="T985" s="19" t="str">
        <f t="shared" si="9"/>
        <v/>
      </c>
      <c r="U985" s="3"/>
      <c r="V985" s="4" t="str">
        <f>IF(ISBLANK(C985),,IFERROR(IF(VLOOKUP(B985,Standings!$A:$F, 6, 0)=VLOOKUP(C985,Standings!$A:$F, 6, 0), VLOOKUP(B985,Standings!$A:$F, 6, 0), "Non-con"), "FCS"))</f>
        <v/>
      </c>
      <c r="W985" s="3" t="str">
        <f t="shared" si="10"/>
        <v/>
      </c>
      <c r="X985" s="3" t="str">
        <f t="shared" si="11"/>
        <v/>
      </c>
      <c r="Y985" s="30" t="str">
        <f>IF(D985=0,,IF(ISBLANK(Q985),,VLOOKUP(X985,Week1,2,FALSE)/(VLOOKUP(X985,Week1,2,FALSE)+VLOOKUP(W985,Week1,2,FALSE)))*100)</f>
        <v/>
      </c>
      <c r="Z985" s="4"/>
      <c r="AA985" s="3"/>
      <c r="AB985" s="4" t="str">
        <f t="shared" si="20"/>
        <v/>
      </c>
      <c r="AC985" s="3"/>
      <c r="AD985" s="3"/>
      <c r="AE985" s="3" t="str">
        <f t="shared" si="13"/>
        <v/>
      </c>
      <c r="AF985" s="3"/>
      <c r="AG985" s="3" t="str">
        <f t="shared" si="133"/>
        <v/>
      </c>
      <c r="AH985" s="3"/>
      <c r="AI985" s="7"/>
      <c r="AJ985" s="4"/>
      <c r="AK985" s="7"/>
      <c r="AL985" s="7"/>
      <c r="AM985" s="7"/>
      <c r="AN985" s="7"/>
      <c r="AO985" s="7"/>
      <c r="AP985" s="7"/>
      <c r="AQ985" s="7"/>
      <c r="AR985" s="7"/>
      <c r="AS985" s="7"/>
      <c r="AT985" s="7"/>
      <c r="AU985" s="7"/>
      <c r="AV985" s="7"/>
      <c r="AW985" s="7"/>
      <c r="AX985" s="7"/>
    </row>
    <row r="986" ht="12.75" customHeight="1">
      <c r="A986" s="4"/>
      <c r="B986" s="4"/>
      <c r="C986" s="4"/>
      <c r="D986" s="4"/>
      <c r="E986" s="4" t="str">
        <f>IF(ISBLANK(B986),,IFERROR(VLOOKUP(B986,CurrentRank!$B$2:$C$132,2,FALSE),0))</f>
        <v/>
      </c>
      <c r="F986" s="4"/>
      <c r="G986" s="4" t="str">
        <f>IF(ISBLANK(B986),,IFERROR(VLOOKUP(B986,CurrentRank!$B$2:$D$132,3,FALSE),130))</f>
        <v/>
      </c>
      <c r="H986" s="4"/>
      <c r="I986" s="4" t="str">
        <f>IF(ISBLANK(B986),,IFERROR(VLOOKUP(C986,CurrentRank!$B$2:$C$132,2,FALSE),0))</f>
        <v/>
      </c>
      <c r="J986" s="4"/>
      <c r="K986" s="4" t="str">
        <f>IF(ISBLANK(C986),,IFERROR(VLOOKUP(C986,CurrentRank!$B$2:$D$132,3,FALSE),130))</f>
        <v/>
      </c>
      <c r="L986" s="19" t="str">
        <f t="shared" si="279"/>
        <v/>
      </c>
      <c r="M986" s="19" t="str">
        <f t="shared" si="280"/>
        <v/>
      </c>
      <c r="N986" s="24" t="str">
        <f t="shared" si="276"/>
        <v/>
      </c>
      <c r="O986" s="21" t="str">
        <f t="shared" si="4"/>
        <v/>
      </c>
      <c r="P986" s="21" t="str">
        <f t="shared" si="282"/>
        <v/>
      </c>
      <c r="Q986" s="22" t="str">
        <f t="shared" si="6"/>
        <v/>
      </c>
      <c r="R986" s="25" t="str">
        <f t="shared" si="7"/>
        <v/>
      </c>
      <c r="S986" s="19" t="str">
        <f t="shared" si="8"/>
        <v/>
      </c>
      <c r="T986" s="19" t="str">
        <f t="shared" si="9"/>
        <v/>
      </c>
      <c r="U986" s="3"/>
      <c r="V986" s="4" t="str">
        <f>IF(ISBLANK(C986),,IFERROR(IF(VLOOKUP(B986,Standings!$A:$F, 6, 0)=VLOOKUP(C986,Standings!$A:$F, 6, 0), VLOOKUP(B986,Standings!$A:$F, 6, 0), "Non-con"), "FCS"))</f>
        <v/>
      </c>
      <c r="W986" s="3" t="str">
        <f t="shared" si="10"/>
        <v/>
      </c>
      <c r="X986" s="3" t="str">
        <f t="shared" si="11"/>
        <v/>
      </c>
      <c r="Y986" s="30" t="str">
        <f>IF(D986=0,,IF(ISBLANK(Q986),,VLOOKUP(X986,Week1,2,FALSE)/(VLOOKUP(X986,Week1,2,FALSE)+VLOOKUP(W986,Week1,2,FALSE)))*100)</f>
        <v/>
      </c>
      <c r="Z986" s="4"/>
      <c r="AA986" s="3"/>
      <c r="AB986" s="4" t="str">
        <f t="shared" si="20"/>
        <v/>
      </c>
      <c r="AC986" s="3"/>
      <c r="AD986" s="3"/>
      <c r="AE986" s="3" t="str">
        <f t="shared" si="13"/>
        <v/>
      </c>
      <c r="AF986" s="3"/>
      <c r="AG986" s="3" t="str">
        <f t="shared" si="133"/>
        <v/>
      </c>
      <c r="AH986" s="3"/>
      <c r="AI986" s="7"/>
      <c r="AJ986" s="4"/>
      <c r="AK986" s="7"/>
      <c r="AL986" s="7"/>
      <c r="AM986" s="7"/>
      <c r="AN986" s="7"/>
      <c r="AO986" s="7"/>
      <c r="AP986" s="7"/>
      <c r="AQ986" s="7"/>
      <c r="AR986" s="7"/>
      <c r="AS986" s="7"/>
      <c r="AT986" s="7"/>
      <c r="AU986" s="7"/>
      <c r="AV986" s="7"/>
      <c r="AW986" s="7"/>
      <c r="AX986" s="7"/>
    </row>
    <row r="987" ht="12.75" customHeight="1">
      <c r="A987" s="4"/>
      <c r="B987" s="4"/>
      <c r="C987" s="4"/>
      <c r="D987" s="4"/>
      <c r="E987" s="4" t="str">
        <f>IF(ISBLANK(B987),,IFERROR(VLOOKUP(B987,CurrentRank!$B$2:$C$132,2,FALSE),0))</f>
        <v/>
      </c>
      <c r="F987" s="4"/>
      <c r="G987" s="4" t="str">
        <f>IF(ISBLANK(B987),,IFERROR(VLOOKUP(B987,CurrentRank!$B$2:$D$132,3,FALSE),130))</f>
        <v/>
      </c>
      <c r="H987" s="4"/>
      <c r="I987" s="4" t="str">
        <f>IF(ISBLANK(B987),,IFERROR(VLOOKUP(C987,CurrentRank!$B$2:$C$132,2,FALSE),0))</f>
        <v/>
      </c>
      <c r="J987" s="4"/>
      <c r="K987" s="4" t="str">
        <f>IF(ISBLANK(C987),,IFERROR(VLOOKUP(C987,CurrentRank!$B$2:$D$132,3,FALSE),130))</f>
        <v/>
      </c>
      <c r="L987" s="19" t="str">
        <f t="shared" si="279"/>
        <v/>
      </c>
      <c r="M987" s="19" t="str">
        <f t="shared" si="280"/>
        <v/>
      </c>
      <c r="N987" s="24" t="str">
        <f t="shared" si="276"/>
        <v/>
      </c>
      <c r="O987" s="21" t="str">
        <f t="shared" si="4"/>
        <v/>
      </c>
      <c r="P987" s="21" t="str">
        <f t="shared" si="282"/>
        <v/>
      </c>
      <c r="Q987" s="22" t="str">
        <f t="shared" si="6"/>
        <v/>
      </c>
      <c r="R987" s="25" t="str">
        <f t="shared" si="7"/>
        <v/>
      </c>
      <c r="S987" s="19" t="str">
        <f t="shared" si="8"/>
        <v/>
      </c>
      <c r="T987" s="19" t="str">
        <f t="shared" si="9"/>
        <v/>
      </c>
      <c r="U987" s="3"/>
      <c r="V987" s="4" t="str">
        <f>IF(ISBLANK(C987),,IFERROR(IF(VLOOKUP(B987,Standings!$A:$F, 6, 0)=VLOOKUP(C987,Standings!$A:$F, 6, 0), VLOOKUP(B987,Standings!$A:$F, 6, 0), "Non-con"), "FCS"))</f>
        <v/>
      </c>
      <c r="W987" s="3" t="str">
        <f t="shared" si="10"/>
        <v/>
      </c>
      <c r="X987" s="3" t="str">
        <f t="shared" si="11"/>
        <v/>
      </c>
      <c r="Y987" s="30" t="str">
        <f>IF(D987=0,,IF(ISBLANK(Q987),,VLOOKUP(X987,Week1,2,FALSE)/(VLOOKUP(X987,Week1,2,FALSE)+VLOOKUP(W987,Week1,2,FALSE)))*100)</f>
        <v/>
      </c>
      <c r="Z987" s="4"/>
      <c r="AA987" s="3"/>
      <c r="AB987" s="4" t="str">
        <f t="shared" si="20"/>
        <v/>
      </c>
      <c r="AC987" s="3"/>
      <c r="AD987" s="3"/>
      <c r="AE987" s="3" t="str">
        <f t="shared" si="13"/>
        <v/>
      </c>
      <c r="AF987" s="3"/>
      <c r="AG987" s="3" t="str">
        <f t="shared" si="133"/>
        <v/>
      </c>
      <c r="AH987" s="3"/>
      <c r="AI987" s="7"/>
      <c r="AJ987" s="4"/>
      <c r="AK987" s="7"/>
      <c r="AL987" s="7"/>
      <c r="AM987" s="7"/>
      <c r="AN987" s="7"/>
      <c r="AO987" s="7"/>
      <c r="AP987" s="7"/>
      <c r="AQ987" s="7"/>
      <c r="AR987" s="7"/>
      <c r="AS987" s="7"/>
      <c r="AT987" s="7"/>
      <c r="AU987" s="7"/>
      <c r="AV987" s="7"/>
      <c r="AW987" s="7"/>
      <c r="AX987" s="7"/>
    </row>
    <row r="988" ht="12.75" customHeight="1">
      <c r="A988" s="4"/>
      <c r="B988" s="4"/>
      <c r="C988" s="4"/>
      <c r="D988" s="4"/>
      <c r="E988" s="4" t="str">
        <f>IF(ISBLANK(B988),,IFERROR(VLOOKUP(B988,CurrentRank!$B$2:$C$132,2,FALSE),0))</f>
        <v/>
      </c>
      <c r="F988" s="4"/>
      <c r="G988" s="4" t="str">
        <f>IF(ISBLANK(B988),,IFERROR(VLOOKUP(B988,CurrentRank!$B$2:$D$132,3,FALSE),130))</f>
        <v/>
      </c>
      <c r="H988" s="4"/>
      <c r="I988" s="4" t="str">
        <f>IF(ISBLANK(B988),,IFERROR(VLOOKUP(C988,CurrentRank!$B$2:$C$132,2,FALSE),0))</f>
        <v/>
      </c>
      <c r="J988" s="4"/>
      <c r="K988" s="4" t="str">
        <f>IF(ISBLANK(C988),,IFERROR(VLOOKUP(C988,CurrentRank!$B$2:$D$132,3,FALSE),130))</f>
        <v/>
      </c>
      <c r="L988" s="19" t="str">
        <f t="shared" si="279"/>
        <v/>
      </c>
      <c r="M988" s="19" t="str">
        <f t="shared" si="280"/>
        <v/>
      </c>
      <c r="N988" s="24" t="str">
        <f t="shared" si="276"/>
        <v/>
      </c>
      <c r="O988" s="21" t="str">
        <f t="shared" si="4"/>
        <v/>
      </c>
      <c r="P988" s="21" t="str">
        <f t="shared" si="282"/>
        <v/>
      </c>
      <c r="Q988" s="22" t="str">
        <f t="shared" si="6"/>
        <v/>
      </c>
      <c r="R988" s="25" t="str">
        <f t="shared" si="7"/>
        <v/>
      </c>
      <c r="S988" s="19" t="str">
        <f t="shared" si="8"/>
        <v/>
      </c>
      <c r="T988" s="19" t="str">
        <f t="shared" si="9"/>
        <v/>
      </c>
      <c r="U988" s="3"/>
      <c r="V988" s="4" t="str">
        <f>IF(ISBLANK(C988),,IFERROR(IF(VLOOKUP(B988,Standings!$A:$F, 6, 0)=VLOOKUP(C988,Standings!$A:$F, 6, 0), VLOOKUP(B988,Standings!$A:$F, 6, 0), "Non-con"), "FCS"))</f>
        <v/>
      </c>
      <c r="W988" s="3" t="str">
        <f t="shared" si="10"/>
        <v/>
      </c>
      <c r="X988" s="3" t="str">
        <f t="shared" si="11"/>
        <v/>
      </c>
      <c r="Y988" s="30" t="str">
        <f>IF(D988=0,,IF(ISBLANK(Q988),,VLOOKUP(X988,Week1,2,FALSE)/(VLOOKUP(X988,Week1,2,FALSE)+VLOOKUP(W988,Week1,2,FALSE)))*100)</f>
        <v/>
      </c>
      <c r="Z988" s="4"/>
      <c r="AA988" s="3"/>
      <c r="AB988" s="4" t="str">
        <f t="shared" si="20"/>
        <v/>
      </c>
      <c r="AC988" s="3"/>
      <c r="AD988" s="3"/>
      <c r="AE988" s="3" t="str">
        <f t="shared" si="13"/>
        <v/>
      </c>
      <c r="AF988" s="3"/>
      <c r="AG988" s="3" t="str">
        <f t="shared" si="133"/>
        <v/>
      </c>
      <c r="AH988" s="3"/>
      <c r="AI988" s="7"/>
      <c r="AJ988" s="4"/>
      <c r="AK988" s="7"/>
      <c r="AL988" s="7"/>
      <c r="AM988" s="7"/>
      <c r="AN988" s="7"/>
      <c r="AO988" s="7"/>
      <c r="AP988" s="7"/>
      <c r="AQ988" s="7"/>
      <c r="AR988" s="7"/>
      <c r="AS988" s="7"/>
      <c r="AT988" s="7"/>
      <c r="AU988" s="7"/>
      <c r="AV988" s="7"/>
      <c r="AW988" s="7"/>
      <c r="AX988" s="7"/>
    </row>
    <row r="989" ht="12.75" customHeight="1">
      <c r="A989" s="4"/>
      <c r="B989" s="4"/>
      <c r="C989" s="4"/>
      <c r="D989" s="4"/>
      <c r="E989" s="4" t="str">
        <f>IF(ISBLANK(B989),,IFERROR(VLOOKUP(B989,CurrentRank!$B$2:$C$132,2,FALSE),0))</f>
        <v/>
      </c>
      <c r="F989" s="4"/>
      <c r="G989" s="4" t="str">
        <f>IF(ISBLANK(B989),,IFERROR(VLOOKUP(B989,CurrentRank!$B$2:$D$132,3,FALSE),130))</f>
        <v/>
      </c>
      <c r="H989" s="4"/>
      <c r="I989" s="4" t="str">
        <f>IF(ISBLANK(B989),,IFERROR(VLOOKUP(C989,CurrentRank!$B$2:$C$132,2,FALSE),0))</f>
        <v/>
      </c>
      <c r="J989" s="4"/>
      <c r="K989" s="4" t="str">
        <f>IF(ISBLANK(C989),,IFERROR(VLOOKUP(C989,CurrentRank!$B$2:$D$132,3,FALSE),130))</f>
        <v/>
      </c>
      <c r="L989" s="19" t="str">
        <f t="shared" si="279"/>
        <v/>
      </c>
      <c r="M989" s="19" t="str">
        <f t="shared" si="280"/>
        <v/>
      </c>
      <c r="N989" s="24" t="str">
        <f t="shared" si="276"/>
        <v/>
      </c>
      <c r="O989" s="21" t="str">
        <f t="shared" si="4"/>
        <v/>
      </c>
      <c r="P989" s="21" t="str">
        <f t="shared" si="282"/>
        <v/>
      </c>
      <c r="Q989" s="22" t="str">
        <f t="shared" si="6"/>
        <v/>
      </c>
      <c r="R989" s="25" t="str">
        <f t="shared" si="7"/>
        <v/>
      </c>
      <c r="S989" s="19" t="str">
        <f t="shared" si="8"/>
        <v/>
      </c>
      <c r="T989" s="19" t="str">
        <f t="shared" si="9"/>
        <v/>
      </c>
      <c r="U989" s="3"/>
      <c r="V989" s="4" t="str">
        <f>IF(ISBLANK(C989),,IFERROR(IF(VLOOKUP(B989,Standings!$A:$F, 6, 0)=VLOOKUP(C989,Standings!$A:$F, 6, 0), VLOOKUP(B989,Standings!$A:$F, 6, 0), "Non-con"), "FCS"))</f>
        <v/>
      </c>
      <c r="W989" s="3" t="str">
        <f t="shared" si="10"/>
        <v/>
      </c>
      <c r="X989" s="3" t="str">
        <f t="shared" si="11"/>
        <v/>
      </c>
      <c r="Y989" s="30" t="str">
        <f>IF(D989=0,,IF(ISBLANK(Q989),,VLOOKUP(X989,Week1,2,FALSE)/(VLOOKUP(X989,Week1,2,FALSE)+VLOOKUP(W989,Week1,2,FALSE)))*100)</f>
        <v/>
      </c>
      <c r="Z989" s="4"/>
      <c r="AA989" s="3"/>
      <c r="AB989" s="4" t="str">
        <f t="shared" si="20"/>
        <v/>
      </c>
      <c r="AC989" s="3"/>
      <c r="AD989" s="3"/>
      <c r="AE989" s="3" t="str">
        <f t="shared" si="13"/>
        <v/>
      </c>
      <c r="AF989" s="3"/>
      <c r="AG989" s="3" t="str">
        <f t="shared" si="133"/>
        <v/>
      </c>
      <c r="AH989" s="3"/>
      <c r="AI989" s="7"/>
      <c r="AJ989" s="4"/>
      <c r="AK989" s="7"/>
      <c r="AL989" s="7"/>
      <c r="AM989" s="7"/>
      <c r="AN989" s="7"/>
      <c r="AO989" s="7"/>
      <c r="AP989" s="7"/>
      <c r="AQ989" s="7"/>
      <c r="AR989" s="7"/>
      <c r="AS989" s="7"/>
      <c r="AT989" s="7"/>
      <c r="AU989" s="7"/>
      <c r="AV989" s="7"/>
      <c r="AW989" s="7"/>
      <c r="AX989" s="7"/>
    </row>
    <row r="990" ht="12.75" customHeight="1">
      <c r="A990" s="4"/>
      <c r="B990" s="4"/>
      <c r="C990" s="4"/>
      <c r="D990" s="4"/>
      <c r="E990" s="4" t="str">
        <f>IF(ISBLANK(B990),,IFERROR(VLOOKUP(B990,CurrentRank!$B$2:$C$132,2,FALSE),0))</f>
        <v/>
      </c>
      <c r="F990" s="4"/>
      <c r="G990" s="4" t="str">
        <f>IF(ISBLANK(B990),,IFERROR(VLOOKUP(B990,CurrentRank!$B$2:$D$132,3,FALSE),130))</f>
        <v/>
      </c>
      <c r="H990" s="4"/>
      <c r="I990" s="4" t="str">
        <f>IF(ISBLANK(B990),,IFERROR(VLOOKUP(C990,CurrentRank!$B$2:$C$132,2,FALSE),0))</f>
        <v/>
      </c>
      <c r="J990" s="4"/>
      <c r="K990" s="4" t="str">
        <f>IF(ISBLANK(C990),,IFERROR(VLOOKUP(C990,CurrentRank!$B$2:$D$132,3,FALSE),130))</f>
        <v/>
      </c>
      <c r="L990" s="19" t="str">
        <f t="shared" si="279"/>
        <v/>
      </c>
      <c r="M990" s="19" t="str">
        <f t="shared" si="280"/>
        <v/>
      </c>
      <c r="N990" s="24" t="str">
        <f t="shared" si="276"/>
        <v/>
      </c>
      <c r="O990" s="21" t="str">
        <f t="shared" si="4"/>
        <v/>
      </c>
      <c r="P990" s="21" t="str">
        <f t="shared" si="282"/>
        <v/>
      </c>
      <c r="Q990" s="22" t="str">
        <f t="shared" si="6"/>
        <v/>
      </c>
      <c r="R990" s="25" t="str">
        <f t="shared" si="7"/>
        <v/>
      </c>
      <c r="S990" s="19" t="str">
        <f t="shared" si="8"/>
        <v/>
      </c>
      <c r="T990" s="19" t="str">
        <f t="shared" si="9"/>
        <v/>
      </c>
      <c r="U990" s="3"/>
      <c r="V990" s="4" t="str">
        <f>IF(ISBLANK(C990),,IFERROR(IF(VLOOKUP(B990,Standings!$A:$F, 6, 0)=VLOOKUP(C990,Standings!$A:$F, 6, 0), VLOOKUP(B990,Standings!$A:$F, 6, 0), "Non-con"), "FCS"))</f>
        <v/>
      </c>
      <c r="W990" s="3" t="str">
        <f t="shared" si="10"/>
        <v/>
      </c>
      <c r="X990" s="3" t="str">
        <f t="shared" si="11"/>
        <v/>
      </c>
      <c r="Y990" s="30" t="str">
        <f>IF(D990=0,,IF(ISBLANK(Q990),,VLOOKUP(X990,Week1,2,FALSE)/(VLOOKUP(X990,Week1,2,FALSE)+VLOOKUP(W990,Week1,2,FALSE)))*100)</f>
        <v/>
      </c>
      <c r="Z990" s="4"/>
      <c r="AA990" s="3"/>
      <c r="AB990" s="4" t="str">
        <f t="shared" si="20"/>
        <v/>
      </c>
      <c r="AC990" s="3"/>
      <c r="AD990" s="3"/>
      <c r="AE990" s="3" t="str">
        <f t="shared" si="13"/>
        <v/>
      </c>
      <c r="AF990" s="3"/>
      <c r="AG990" s="3" t="str">
        <f t="shared" si="133"/>
        <v/>
      </c>
      <c r="AH990" s="3"/>
      <c r="AI990" s="7"/>
      <c r="AJ990" s="4"/>
      <c r="AK990" s="7"/>
      <c r="AL990" s="7"/>
      <c r="AM990" s="7"/>
      <c r="AN990" s="7"/>
      <c r="AO990" s="7"/>
      <c r="AP990" s="7"/>
      <c r="AQ990" s="7"/>
      <c r="AR990" s="7"/>
      <c r="AS990" s="7"/>
      <c r="AT990" s="7"/>
      <c r="AU990" s="7"/>
      <c r="AV990" s="7"/>
      <c r="AW990" s="7"/>
      <c r="AX990" s="7"/>
    </row>
    <row r="991" ht="12.75" customHeight="1">
      <c r="A991" s="4"/>
      <c r="B991" s="4"/>
      <c r="C991" s="4"/>
      <c r="D991" s="4"/>
      <c r="E991" s="4" t="str">
        <f>IF(ISBLANK(B991),,IFERROR(VLOOKUP(B991,CurrentRank!$B$2:$C$132,2,FALSE),0))</f>
        <v/>
      </c>
      <c r="F991" s="4"/>
      <c r="G991" s="4" t="str">
        <f>IF(ISBLANK(B991),,IFERROR(VLOOKUP(B991,CurrentRank!$B$2:$D$132,3,FALSE),130))</f>
        <v/>
      </c>
      <c r="H991" s="4"/>
      <c r="I991" s="4" t="str">
        <f>IF(ISBLANK(B991),,IFERROR(VLOOKUP(C991,CurrentRank!$B$2:$C$132,2,FALSE),0))</f>
        <v/>
      </c>
      <c r="J991" s="4"/>
      <c r="K991" s="4" t="str">
        <f>IF(ISBLANK(C991),,IFERROR(VLOOKUP(C991,CurrentRank!$B$2:$D$132,3,FALSE),130))</f>
        <v/>
      </c>
      <c r="L991" s="19" t="str">
        <f t="shared" si="279"/>
        <v/>
      </c>
      <c r="M991" s="19" t="str">
        <f t="shared" si="280"/>
        <v/>
      </c>
      <c r="N991" s="24" t="str">
        <f t="shared" si="276"/>
        <v/>
      </c>
      <c r="O991" s="21" t="str">
        <f t="shared" si="4"/>
        <v/>
      </c>
      <c r="P991" s="21" t="str">
        <f t="shared" si="282"/>
        <v/>
      </c>
      <c r="Q991" s="22" t="str">
        <f t="shared" si="6"/>
        <v/>
      </c>
      <c r="R991" s="25" t="str">
        <f t="shared" si="7"/>
        <v/>
      </c>
      <c r="S991" s="19" t="str">
        <f t="shared" si="8"/>
        <v/>
      </c>
      <c r="T991" s="19" t="str">
        <f t="shared" si="9"/>
        <v/>
      </c>
      <c r="U991" s="3"/>
      <c r="V991" s="4" t="str">
        <f>IF(ISBLANK(C991),,IFERROR(IF(VLOOKUP(B991,Standings!$A:$F, 6, 0)=VLOOKUP(C991,Standings!$A:$F, 6, 0), VLOOKUP(B991,Standings!$A:$F, 6, 0), "Non-con"), "FCS"))</f>
        <v/>
      </c>
      <c r="W991" s="3" t="str">
        <f t="shared" si="10"/>
        <v/>
      </c>
      <c r="X991" s="3" t="str">
        <f t="shared" si="11"/>
        <v/>
      </c>
      <c r="Y991" s="30" t="str">
        <f>IF(D991=0,,IF(ISBLANK(Q991),,VLOOKUP(X991,Week1,2,FALSE)/(VLOOKUP(X991,Week1,2,FALSE)+VLOOKUP(W991,Week1,2,FALSE)))*100)</f>
        <v/>
      </c>
      <c r="Z991" s="4"/>
      <c r="AA991" s="3"/>
      <c r="AB991" s="4" t="str">
        <f t="shared" si="20"/>
        <v/>
      </c>
      <c r="AC991" s="3"/>
      <c r="AD991" s="3"/>
      <c r="AE991" s="3" t="str">
        <f t="shared" si="13"/>
        <v/>
      </c>
      <c r="AF991" s="3"/>
      <c r="AG991" s="3" t="str">
        <f t="shared" si="133"/>
        <v/>
      </c>
      <c r="AH991" s="3"/>
      <c r="AI991" s="7"/>
      <c r="AJ991" s="4"/>
      <c r="AK991" s="7"/>
      <c r="AL991" s="7"/>
      <c r="AM991" s="7"/>
      <c r="AN991" s="7"/>
      <c r="AO991" s="7"/>
      <c r="AP991" s="7"/>
      <c r="AQ991" s="7"/>
      <c r="AR991" s="7"/>
      <c r="AS991" s="7"/>
      <c r="AT991" s="7"/>
      <c r="AU991" s="7"/>
      <c r="AV991" s="7"/>
      <c r="AW991" s="7"/>
      <c r="AX991" s="7"/>
    </row>
    <row r="992" ht="12.75" customHeight="1">
      <c r="A992" s="4"/>
      <c r="B992" s="4"/>
      <c r="C992" s="4"/>
      <c r="D992" s="4"/>
      <c r="E992" s="4" t="str">
        <f>IF(ISBLANK(B992),,IFERROR(VLOOKUP(B992,CurrentRank!$B$2:$C$132,2,FALSE),0))</f>
        <v/>
      </c>
      <c r="F992" s="4"/>
      <c r="G992" s="4" t="str">
        <f>IF(ISBLANK(B992),,IFERROR(VLOOKUP(B992,CurrentRank!$B$2:$D$132,3,FALSE),130))</f>
        <v/>
      </c>
      <c r="H992" s="4"/>
      <c r="I992" s="4" t="str">
        <f>IF(ISBLANK(B992),,IFERROR(VLOOKUP(C992,CurrentRank!$B$2:$C$132,2,FALSE),0))</f>
        <v/>
      </c>
      <c r="J992" s="4"/>
      <c r="K992" s="4" t="str">
        <f>IF(ISBLANK(C992),,IFERROR(VLOOKUP(C992,CurrentRank!$B$2:$D$132,3,FALSE),130))</f>
        <v/>
      </c>
      <c r="L992" s="19" t="str">
        <f t="shared" si="279"/>
        <v/>
      </c>
      <c r="M992" s="19" t="str">
        <f t="shared" si="280"/>
        <v/>
      </c>
      <c r="N992" s="24" t="str">
        <f t="shared" si="276"/>
        <v/>
      </c>
      <c r="O992" s="21" t="str">
        <f t="shared" si="4"/>
        <v/>
      </c>
      <c r="P992" s="21" t="str">
        <f t="shared" si="282"/>
        <v/>
      </c>
      <c r="Q992" s="22" t="str">
        <f t="shared" si="6"/>
        <v/>
      </c>
      <c r="R992" s="25" t="str">
        <f t="shared" si="7"/>
        <v/>
      </c>
      <c r="S992" s="19" t="str">
        <f t="shared" si="8"/>
        <v/>
      </c>
      <c r="T992" s="19" t="str">
        <f t="shared" si="9"/>
        <v/>
      </c>
      <c r="U992" s="3"/>
      <c r="V992" s="4" t="str">
        <f>IF(ISBLANK(C992),,IFERROR(IF(VLOOKUP(B992,Standings!$A:$F, 6, 0)=VLOOKUP(C992,Standings!$A:$F, 6, 0), VLOOKUP(B992,Standings!$A:$F, 6, 0), "Non-con"), "FCS"))</f>
        <v/>
      </c>
      <c r="W992" s="3" t="str">
        <f t="shared" si="10"/>
        <v/>
      </c>
      <c r="X992" s="3" t="str">
        <f t="shared" si="11"/>
        <v/>
      </c>
      <c r="Y992" s="30" t="str">
        <f>IF(D992=0,,IF(ISBLANK(Q992),,VLOOKUP(X992,Week1,2,FALSE)/(VLOOKUP(X992,Week1,2,FALSE)+VLOOKUP(W992,Week1,2,FALSE)))*100)</f>
        <v/>
      </c>
      <c r="Z992" s="4"/>
      <c r="AA992" s="3"/>
      <c r="AB992" s="4" t="str">
        <f t="shared" si="20"/>
        <v/>
      </c>
      <c r="AC992" s="3"/>
      <c r="AD992" s="3"/>
      <c r="AE992" s="3" t="str">
        <f t="shared" si="13"/>
        <v/>
      </c>
      <c r="AF992" s="3"/>
      <c r="AG992" s="3" t="str">
        <f t="shared" si="133"/>
        <v/>
      </c>
      <c r="AH992" s="3"/>
      <c r="AI992" s="7"/>
      <c r="AJ992" s="4"/>
      <c r="AK992" s="7"/>
      <c r="AL992" s="7"/>
      <c r="AM992" s="7"/>
      <c r="AN992" s="7"/>
      <c r="AO992" s="7"/>
      <c r="AP992" s="7"/>
      <c r="AQ992" s="7"/>
      <c r="AR992" s="7"/>
      <c r="AS992" s="7"/>
      <c r="AT992" s="7"/>
      <c r="AU992" s="7"/>
      <c r="AV992" s="7"/>
      <c r="AW992" s="7"/>
      <c r="AX992" s="7"/>
    </row>
    <row r="993" ht="12.75" customHeight="1">
      <c r="A993" s="4"/>
      <c r="B993" s="4"/>
      <c r="C993" s="4"/>
      <c r="D993" s="4"/>
      <c r="E993" s="4" t="str">
        <f>IF(ISBLANK(B993),,IFERROR(VLOOKUP(B993,CurrentRank!$B$2:$C$132,2,FALSE),0))</f>
        <v/>
      </c>
      <c r="F993" s="4"/>
      <c r="G993" s="4" t="str">
        <f>IF(ISBLANK(B993),,IFERROR(VLOOKUP(B993,CurrentRank!$B$2:$D$132,3,FALSE),130))</f>
        <v/>
      </c>
      <c r="H993" s="4"/>
      <c r="I993" s="4" t="str">
        <f>IF(ISBLANK(B993),,IFERROR(VLOOKUP(C993,CurrentRank!$B$2:$C$132,2,FALSE),0))</f>
        <v/>
      </c>
      <c r="J993" s="4"/>
      <c r="K993" s="4" t="str">
        <f>IF(ISBLANK(C993),,IFERROR(VLOOKUP(C993,CurrentRank!$B$2:$D$132,3,FALSE),130))</f>
        <v/>
      </c>
      <c r="L993" s="19" t="str">
        <f t="shared" si="279"/>
        <v/>
      </c>
      <c r="M993" s="19" t="str">
        <f t="shared" si="280"/>
        <v/>
      </c>
      <c r="N993" s="24" t="str">
        <f t="shared" si="276"/>
        <v/>
      </c>
      <c r="O993" s="21" t="str">
        <f t="shared" si="4"/>
        <v/>
      </c>
      <c r="P993" s="21" t="str">
        <f t="shared" si="282"/>
        <v/>
      </c>
      <c r="Q993" s="22" t="str">
        <f t="shared" si="6"/>
        <v/>
      </c>
      <c r="R993" s="25" t="str">
        <f t="shared" si="7"/>
        <v/>
      </c>
      <c r="S993" s="19" t="str">
        <f t="shared" si="8"/>
        <v/>
      </c>
      <c r="T993" s="19" t="str">
        <f t="shared" si="9"/>
        <v/>
      </c>
      <c r="U993" s="3"/>
      <c r="V993" s="4" t="str">
        <f>IF(ISBLANK(C993),,IFERROR(IF(VLOOKUP(B993,Standings!$A:$F, 6, 0)=VLOOKUP(C993,Standings!$A:$F, 6, 0), VLOOKUP(B993,Standings!$A:$F, 6, 0), "Non-con"), "FCS"))</f>
        <v/>
      </c>
      <c r="W993" s="3" t="str">
        <f t="shared" si="10"/>
        <v/>
      </c>
      <c r="X993" s="3" t="str">
        <f t="shared" si="11"/>
        <v/>
      </c>
      <c r="Y993" s="30" t="str">
        <f>IF(D993=0,,IF(ISBLANK(Q993),,VLOOKUP(X993,Week1,2,FALSE)/(VLOOKUP(X993,Week1,2,FALSE)+VLOOKUP(W993,Week1,2,FALSE)))*100)</f>
        <v/>
      </c>
      <c r="Z993" s="4"/>
      <c r="AA993" s="3"/>
      <c r="AB993" s="4" t="str">
        <f t="shared" si="20"/>
        <v/>
      </c>
      <c r="AC993" s="3"/>
      <c r="AD993" s="3"/>
      <c r="AE993" s="3" t="str">
        <f t="shared" si="13"/>
        <v/>
      </c>
      <c r="AF993" s="3"/>
      <c r="AG993" s="3" t="str">
        <f t="shared" si="133"/>
        <v/>
      </c>
      <c r="AH993" s="3"/>
      <c r="AI993" s="7"/>
      <c r="AJ993" s="4"/>
      <c r="AK993" s="7"/>
      <c r="AL993" s="7"/>
      <c r="AM993" s="7"/>
      <c r="AN993" s="7"/>
      <c r="AO993" s="7"/>
      <c r="AP993" s="7"/>
      <c r="AQ993" s="7"/>
      <c r="AR993" s="7"/>
      <c r="AS993" s="7"/>
      <c r="AT993" s="7"/>
      <c r="AU993" s="7"/>
      <c r="AV993" s="7"/>
      <c r="AW993" s="7"/>
      <c r="AX993" s="7"/>
    </row>
    <row r="994" ht="12.75" customHeight="1">
      <c r="A994" s="4"/>
      <c r="B994" s="4"/>
      <c r="C994" s="4"/>
      <c r="D994" s="4"/>
      <c r="E994" s="4" t="str">
        <f>IF(ISBLANK(B994),,IFERROR(VLOOKUP(B994,CurrentRank!$B$2:$C$132,2,FALSE),0))</f>
        <v/>
      </c>
      <c r="F994" s="4"/>
      <c r="G994" s="4" t="str">
        <f>IF(ISBLANK(B994),,IFERROR(VLOOKUP(B994,CurrentRank!$B$2:$D$132,3,FALSE),130))</f>
        <v/>
      </c>
      <c r="H994" s="4"/>
      <c r="I994" s="4" t="str">
        <f>IF(ISBLANK(B994),,IFERROR(VLOOKUP(C994,CurrentRank!$B$2:$C$132,2,FALSE),0))</f>
        <v/>
      </c>
      <c r="J994" s="4"/>
      <c r="K994" s="4" t="str">
        <f>IF(ISBLANK(C994),,IFERROR(VLOOKUP(C994,CurrentRank!$B$2:$D$132,3,FALSE),130))</f>
        <v/>
      </c>
      <c r="L994" s="19" t="str">
        <f t="shared" si="279"/>
        <v/>
      </c>
      <c r="M994" s="19" t="str">
        <f t="shared" si="280"/>
        <v/>
      </c>
      <c r="N994" s="24" t="str">
        <f t="shared" si="276"/>
        <v/>
      </c>
      <c r="O994" s="21" t="str">
        <f t="shared" si="4"/>
        <v/>
      </c>
      <c r="P994" s="21" t="str">
        <f t="shared" si="282"/>
        <v/>
      </c>
      <c r="Q994" s="22" t="str">
        <f t="shared" si="6"/>
        <v/>
      </c>
      <c r="R994" s="25" t="str">
        <f t="shared" si="7"/>
        <v/>
      </c>
      <c r="S994" s="19" t="str">
        <f t="shared" si="8"/>
        <v/>
      </c>
      <c r="T994" s="19" t="str">
        <f t="shared" si="9"/>
        <v/>
      </c>
      <c r="U994" s="3"/>
      <c r="V994" s="4" t="str">
        <f>IF(ISBLANK(C994),,IFERROR(IF(VLOOKUP(B994,Standings!$A:$F, 6, 0)=VLOOKUP(C994,Standings!$A:$F, 6, 0), VLOOKUP(B994,Standings!$A:$F, 6, 0), "Non-con"), "FCS"))</f>
        <v/>
      </c>
      <c r="W994" s="3" t="str">
        <f t="shared" si="10"/>
        <v/>
      </c>
      <c r="X994" s="3" t="str">
        <f t="shared" si="11"/>
        <v/>
      </c>
      <c r="Y994" s="30" t="str">
        <f>IF(D994=0,,IF(ISBLANK(Q994),,VLOOKUP(X994,Week1,2,FALSE)/(VLOOKUP(X994,Week1,2,FALSE)+VLOOKUP(W994,Week1,2,FALSE)))*100)</f>
        <v/>
      </c>
      <c r="Z994" s="4"/>
      <c r="AA994" s="3"/>
      <c r="AB994" s="4" t="str">
        <f t="shared" si="20"/>
        <v/>
      </c>
      <c r="AC994" s="3"/>
      <c r="AD994" s="3"/>
      <c r="AE994" s="3" t="str">
        <f t="shared" si="13"/>
        <v/>
      </c>
      <c r="AF994" s="3"/>
      <c r="AG994" s="3" t="str">
        <f t="shared" si="133"/>
        <v/>
      </c>
      <c r="AH994" s="3"/>
      <c r="AI994" s="7"/>
      <c r="AJ994" s="4"/>
      <c r="AK994" s="7"/>
      <c r="AL994" s="7"/>
      <c r="AM994" s="7"/>
      <c r="AN994" s="7"/>
      <c r="AO994" s="7"/>
      <c r="AP994" s="7"/>
      <c r="AQ994" s="7"/>
      <c r="AR994" s="7"/>
      <c r="AS994" s="7"/>
      <c r="AT994" s="7"/>
      <c r="AU994" s="7"/>
      <c r="AV994" s="7"/>
      <c r="AW994" s="7"/>
      <c r="AX994" s="7"/>
    </row>
    <row r="995" ht="12.75" customHeight="1">
      <c r="A995" s="4"/>
      <c r="B995" s="4"/>
      <c r="C995" s="4"/>
      <c r="D995" s="4"/>
      <c r="E995" s="4" t="str">
        <f>IF(ISBLANK(B995),,IFERROR(VLOOKUP(B995,CurrentRank!$B$2:$C$132,2,FALSE),0))</f>
        <v/>
      </c>
      <c r="F995" s="4"/>
      <c r="G995" s="4" t="str">
        <f>IF(ISBLANK(B995),,IFERROR(VLOOKUP(B995,CurrentRank!$B$2:$D$132,3,FALSE),130))</f>
        <v/>
      </c>
      <c r="H995" s="4"/>
      <c r="I995" s="4" t="str">
        <f>IF(ISBLANK(B995),,IFERROR(VLOOKUP(C995,CurrentRank!$B$2:$C$132,2,FALSE),0))</f>
        <v/>
      </c>
      <c r="J995" s="4"/>
      <c r="K995" s="4" t="str">
        <f>IF(ISBLANK(C995),,IFERROR(VLOOKUP(C995,CurrentRank!$B$2:$D$132,3,FALSE),130))</f>
        <v/>
      </c>
      <c r="L995" s="19" t="str">
        <f t="shared" si="279"/>
        <v/>
      </c>
      <c r="M995" s="19" t="str">
        <f t="shared" si="280"/>
        <v/>
      </c>
      <c r="N995" s="24" t="str">
        <f t="shared" si="276"/>
        <v/>
      </c>
      <c r="O995" s="21" t="str">
        <f t="shared" si="4"/>
        <v/>
      </c>
      <c r="P995" s="21" t="str">
        <f t="shared" si="282"/>
        <v/>
      </c>
      <c r="Q995" s="22" t="str">
        <f t="shared" si="6"/>
        <v/>
      </c>
      <c r="R995" s="25" t="str">
        <f t="shared" si="7"/>
        <v/>
      </c>
      <c r="S995" s="19" t="str">
        <f t="shared" si="8"/>
        <v/>
      </c>
      <c r="T995" s="19" t="str">
        <f t="shared" si="9"/>
        <v/>
      </c>
      <c r="U995" s="3"/>
      <c r="V995" s="4" t="str">
        <f>IF(ISBLANK(C995),,IFERROR(IF(VLOOKUP(B995,Standings!$A:$F, 6, 0)=VLOOKUP(C995,Standings!$A:$F, 6, 0), VLOOKUP(B995,Standings!$A:$F, 6, 0), "Non-con"), "FCS"))</f>
        <v/>
      </c>
      <c r="W995" s="3" t="str">
        <f t="shared" si="10"/>
        <v/>
      </c>
      <c r="X995" s="3" t="str">
        <f t="shared" si="11"/>
        <v/>
      </c>
      <c r="Y995" s="30" t="str">
        <f>IF(D995=0,,IF(ISBLANK(Q995),,VLOOKUP(X995,Week1,2,FALSE)/(VLOOKUP(X995,Week1,2,FALSE)+VLOOKUP(W995,Week1,2,FALSE)))*100)</f>
        <v/>
      </c>
      <c r="Z995" s="4"/>
      <c r="AA995" s="3"/>
      <c r="AB995" s="4" t="str">
        <f t="shared" si="20"/>
        <v/>
      </c>
      <c r="AC995" s="3"/>
      <c r="AD995" s="3"/>
      <c r="AE995" s="3" t="str">
        <f t="shared" si="13"/>
        <v/>
      </c>
      <c r="AF995" s="3"/>
      <c r="AG995" s="3" t="str">
        <f t="shared" si="133"/>
        <v/>
      </c>
      <c r="AH995" s="3"/>
      <c r="AI995" s="7"/>
      <c r="AJ995" s="4"/>
      <c r="AK995" s="7"/>
      <c r="AL995" s="7"/>
      <c r="AM995" s="7"/>
      <c r="AN995" s="7"/>
      <c r="AO995" s="7"/>
      <c r="AP995" s="7"/>
      <c r="AQ995" s="7"/>
      <c r="AR995" s="7"/>
      <c r="AS995" s="7"/>
      <c r="AT995" s="7"/>
      <c r="AU995" s="7"/>
      <c r="AV995" s="7"/>
      <c r="AW995" s="7"/>
      <c r="AX995" s="7"/>
    </row>
    <row r="996" ht="12.75" customHeight="1">
      <c r="A996" s="4"/>
      <c r="B996" s="4"/>
      <c r="C996" s="4"/>
      <c r="D996" s="4"/>
      <c r="E996" s="4" t="str">
        <f>IF(ISBLANK(B996),,IFERROR(VLOOKUP(B996,CurrentRank!$B$2:$C$132,2,FALSE),0))</f>
        <v/>
      </c>
      <c r="F996" s="4"/>
      <c r="G996" s="4" t="str">
        <f>IF(ISBLANK(B996),,IFERROR(VLOOKUP(B996,CurrentRank!$B$2:$D$132,3,FALSE),130))</f>
        <v/>
      </c>
      <c r="H996" s="4"/>
      <c r="I996" s="4" t="str">
        <f>IF(ISBLANK(B996),,IFERROR(VLOOKUP(C996,CurrentRank!$B$2:$C$132,2,FALSE),0))</f>
        <v/>
      </c>
      <c r="J996" s="4"/>
      <c r="K996" s="4" t="str">
        <f>IF(ISBLANK(C996),,IFERROR(VLOOKUP(C996,CurrentRank!$B$2:$D$132,3,FALSE),130))</f>
        <v/>
      </c>
      <c r="L996" s="19" t="str">
        <f t="shared" si="279"/>
        <v/>
      </c>
      <c r="M996" s="19" t="str">
        <f t="shared" si="280"/>
        <v/>
      </c>
      <c r="N996" s="24" t="str">
        <f t="shared" si="276"/>
        <v/>
      </c>
      <c r="O996" s="21" t="str">
        <f t="shared" si="4"/>
        <v/>
      </c>
      <c r="P996" s="21" t="str">
        <f t="shared" si="282"/>
        <v/>
      </c>
      <c r="Q996" s="22" t="str">
        <f t="shared" si="6"/>
        <v/>
      </c>
      <c r="R996" s="25" t="str">
        <f t="shared" si="7"/>
        <v/>
      </c>
      <c r="S996" s="19" t="str">
        <f t="shared" si="8"/>
        <v/>
      </c>
      <c r="T996" s="19" t="str">
        <f t="shared" si="9"/>
        <v/>
      </c>
      <c r="U996" s="3"/>
      <c r="V996" s="4" t="str">
        <f>IF(ISBLANK(C996),,IFERROR(IF(VLOOKUP(B996,Standings!$A:$F, 6, 0)=VLOOKUP(C996,Standings!$A:$F, 6, 0), VLOOKUP(B996,Standings!$A:$F, 6, 0), "Non-con"), "FCS"))</f>
        <v/>
      </c>
      <c r="W996" s="3" t="str">
        <f t="shared" si="10"/>
        <v/>
      </c>
      <c r="X996" s="3" t="str">
        <f t="shared" si="11"/>
        <v/>
      </c>
      <c r="Y996" s="30" t="str">
        <f>IF(D996=0,,IF(ISBLANK(Q996),,VLOOKUP(X996,Week1,2,FALSE)/(VLOOKUP(X996,Week1,2,FALSE)+VLOOKUP(W996,Week1,2,FALSE)))*100)</f>
        <v/>
      </c>
      <c r="Z996" s="4"/>
      <c r="AA996" s="3"/>
      <c r="AB996" s="4" t="str">
        <f t="shared" si="20"/>
        <v/>
      </c>
      <c r="AC996" s="3"/>
      <c r="AD996" s="3"/>
      <c r="AE996" s="3" t="str">
        <f t="shared" si="13"/>
        <v/>
      </c>
      <c r="AF996" s="3"/>
      <c r="AG996" s="3" t="str">
        <f t="shared" si="133"/>
        <v/>
      </c>
      <c r="AH996" s="3"/>
      <c r="AI996" s="7"/>
      <c r="AJ996" s="4"/>
      <c r="AK996" s="7"/>
      <c r="AL996" s="7"/>
      <c r="AM996" s="7"/>
      <c r="AN996" s="7"/>
      <c r="AO996" s="7"/>
      <c r="AP996" s="7"/>
      <c r="AQ996" s="7"/>
      <c r="AR996" s="7"/>
      <c r="AS996" s="7"/>
      <c r="AT996" s="7"/>
      <c r="AU996" s="7"/>
      <c r="AV996" s="7"/>
      <c r="AW996" s="7"/>
      <c r="AX996" s="7"/>
    </row>
    <row r="997" ht="12.75" customHeight="1">
      <c r="A997" s="4"/>
      <c r="B997" s="4"/>
      <c r="C997" s="4"/>
      <c r="D997" s="4"/>
      <c r="E997" s="4" t="str">
        <f>IF(ISBLANK(B997),,IFERROR(VLOOKUP(B997,CurrentRank!$B$2:$C$132,2,FALSE),0))</f>
        <v/>
      </c>
      <c r="F997" s="4"/>
      <c r="G997" s="4" t="str">
        <f>IF(ISBLANK(B997),,IFERROR(VLOOKUP(B997,CurrentRank!$B$2:$D$132,3,FALSE),130))</f>
        <v/>
      </c>
      <c r="H997" s="4"/>
      <c r="I997" s="4" t="str">
        <f>IF(ISBLANK(B997),,IFERROR(VLOOKUP(C997,CurrentRank!$B$2:$C$132,2,FALSE),0))</f>
        <v/>
      </c>
      <c r="J997" s="4"/>
      <c r="K997" s="4" t="str">
        <f>IF(ISBLANK(C997),,IFERROR(VLOOKUP(C997,CurrentRank!$B$2:$D$132,3,FALSE),130))</f>
        <v/>
      </c>
      <c r="L997" s="19" t="str">
        <f t="shared" si="279"/>
        <v/>
      </c>
      <c r="M997" s="19" t="str">
        <f t="shared" si="280"/>
        <v/>
      </c>
      <c r="N997" s="24" t="str">
        <f t="shared" si="276"/>
        <v/>
      </c>
      <c r="O997" s="21" t="str">
        <f t="shared" si="4"/>
        <v/>
      </c>
      <c r="P997" s="21" t="str">
        <f t="shared" si="282"/>
        <v/>
      </c>
      <c r="Q997" s="22" t="str">
        <f t="shared" si="6"/>
        <v/>
      </c>
      <c r="R997" s="25" t="str">
        <f t="shared" si="7"/>
        <v/>
      </c>
      <c r="S997" s="19" t="str">
        <f t="shared" si="8"/>
        <v/>
      </c>
      <c r="T997" s="19" t="str">
        <f t="shared" si="9"/>
        <v/>
      </c>
      <c r="U997" s="3"/>
      <c r="V997" s="4" t="str">
        <f>IF(ISBLANK(C997),,IFERROR(IF(VLOOKUP(B997,Standings!$A:$F, 6, 0)=VLOOKUP(C997,Standings!$A:$F, 6, 0), VLOOKUP(B997,Standings!$A:$F, 6, 0), "Non-con"), "FCS"))</f>
        <v/>
      </c>
      <c r="W997" s="3" t="str">
        <f t="shared" si="10"/>
        <v/>
      </c>
      <c r="X997" s="3" t="str">
        <f t="shared" si="11"/>
        <v/>
      </c>
      <c r="Y997" s="30" t="str">
        <f>IF(D997=0,,IF(ISBLANK(Q997),,VLOOKUP(X997,Week1,2,FALSE)/(VLOOKUP(X997,Week1,2,FALSE)+VLOOKUP(W997,Week1,2,FALSE)))*100)</f>
        <v/>
      </c>
      <c r="Z997" s="4"/>
      <c r="AA997" s="3"/>
      <c r="AB997" s="4" t="str">
        <f t="shared" si="20"/>
        <v/>
      </c>
      <c r="AC997" s="3"/>
      <c r="AD997" s="3"/>
      <c r="AE997" s="3" t="str">
        <f t="shared" si="13"/>
        <v/>
      </c>
      <c r="AF997" s="3"/>
      <c r="AG997" s="3" t="str">
        <f t="shared" si="133"/>
        <v/>
      </c>
      <c r="AH997" s="3"/>
      <c r="AI997" s="7"/>
      <c r="AJ997" s="4"/>
      <c r="AK997" s="7"/>
      <c r="AL997" s="7"/>
      <c r="AM997" s="7"/>
      <c r="AN997" s="7"/>
      <c r="AO997" s="7"/>
      <c r="AP997" s="7"/>
      <c r="AQ997" s="7"/>
      <c r="AR997" s="7"/>
      <c r="AS997" s="7"/>
      <c r="AT997" s="7"/>
      <c r="AU997" s="7"/>
      <c r="AV997" s="7"/>
      <c r="AW997" s="7"/>
      <c r="AX997" s="7"/>
    </row>
    <row r="998" ht="12.75" customHeight="1">
      <c r="A998" s="4"/>
      <c r="B998" s="4"/>
      <c r="C998" s="4"/>
      <c r="D998" s="4"/>
      <c r="E998" s="4" t="str">
        <f>IF(ISBLANK(B998),,IFERROR(VLOOKUP(B998,CurrentRank!$B$2:$C$132,2,FALSE),0))</f>
        <v/>
      </c>
      <c r="F998" s="4"/>
      <c r="G998" s="4" t="str">
        <f>IF(ISBLANK(B998),,IFERROR(VLOOKUP(B998,CurrentRank!$B$2:$D$132,3,FALSE),130))</f>
        <v/>
      </c>
      <c r="H998" s="4"/>
      <c r="I998" s="4" t="str">
        <f>IF(ISBLANK(B998),,IFERROR(VLOOKUP(C998,CurrentRank!$B$2:$C$132,2,FALSE),0))</f>
        <v/>
      </c>
      <c r="J998" s="4"/>
      <c r="K998" s="4" t="str">
        <f>IF(ISBLANK(C998),,IFERROR(VLOOKUP(C998,CurrentRank!$B$2:$D$132,3,FALSE),130))</f>
        <v/>
      </c>
      <c r="L998" s="19" t="str">
        <f t="shared" si="279"/>
        <v/>
      </c>
      <c r="M998" s="19" t="str">
        <f t="shared" si="280"/>
        <v/>
      </c>
      <c r="N998" s="24" t="str">
        <f t="shared" si="276"/>
        <v/>
      </c>
      <c r="O998" s="21" t="str">
        <f t="shared" si="4"/>
        <v/>
      </c>
      <c r="P998" s="21" t="str">
        <f t="shared" si="282"/>
        <v/>
      </c>
      <c r="Q998" s="22" t="str">
        <f t="shared" si="6"/>
        <v/>
      </c>
      <c r="R998" s="25" t="str">
        <f t="shared" si="7"/>
        <v/>
      </c>
      <c r="S998" s="19" t="str">
        <f t="shared" si="8"/>
        <v/>
      </c>
      <c r="T998" s="19" t="str">
        <f t="shared" si="9"/>
        <v/>
      </c>
      <c r="U998" s="3"/>
      <c r="V998" s="4" t="str">
        <f>IF(ISBLANK(C998),,IFERROR(IF(VLOOKUP(B998,Standings!$A:$F, 6, 0)=VLOOKUP(C998,Standings!$A:$F, 6, 0), VLOOKUP(B998,Standings!$A:$F, 6, 0), "Non-con"), "FCS"))</f>
        <v/>
      </c>
      <c r="W998" s="3" t="str">
        <f t="shared" si="10"/>
        <v/>
      </c>
      <c r="X998" s="3" t="str">
        <f t="shared" si="11"/>
        <v/>
      </c>
      <c r="Y998" s="30" t="str">
        <f>IF(D998=0,,IF(ISBLANK(Q998),,VLOOKUP(X998,Week1,2,FALSE)/(VLOOKUP(X998,Week1,2,FALSE)+VLOOKUP(W998,Week1,2,FALSE)))*100)</f>
        <v/>
      </c>
      <c r="Z998" s="4"/>
      <c r="AA998" s="3"/>
      <c r="AB998" s="4" t="str">
        <f t="shared" si="20"/>
        <v/>
      </c>
      <c r="AC998" s="3"/>
      <c r="AD998" s="3"/>
      <c r="AE998" s="3" t="str">
        <f t="shared" si="13"/>
        <v/>
      </c>
      <c r="AF998" s="3"/>
      <c r="AG998" s="3" t="str">
        <f t="shared" si="133"/>
        <v/>
      </c>
      <c r="AH998" s="3"/>
      <c r="AI998" s="7"/>
      <c r="AJ998" s="4"/>
      <c r="AK998" s="7"/>
      <c r="AL998" s="7"/>
      <c r="AM998" s="7"/>
      <c r="AN998" s="7"/>
      <c r="AO998" s="7"/>
      <c r="AP998" s="7"/>
      <c r="AQ998" s="7"/>
      <c r="AR998" s="7"/>
      <c r="AS998" s="7"/>
      <c r="AT998" s="7"/>
      <c r="AU998" s="7"/>
      <c r="AV998" s="7"/>
      <c r="AW998" s="7"/>
      <c r="AX998" s="7"/>
    </row>
    <row r="999" ht="12.75" customHeight="1">
      <c r="A999" s="4"/>
      <c r="B999" s="4"/>
      <c r="C999" s="4"/>
      <c r="D999" s="4"/>
      <c r="E999" s="4" t="str">
        <f>IF(ISBLANK(B999),,IFERROR(VLOOKUP(B999,CurrentRank!$B$2:$C$132,2,FALSE),0))</f>
        <v/>
      </c>
      <c r="F999" s="4"/>
      <c r="G999" s="4" t="str">
        <f>IF(ISBLANK(B999),,IFERROR(VLOOKUP(B999,CurrentRank!$B$2:$D$132,3,FALSE),130))</f>
        <v/>
      </c>
      <c r="H999" s="4"/>
      <c r="I999" s="4" t="str">
        <f>IF(ISBLANK(B999),,IFERROR(VLOOKUP(C999,CurrentRank!$B$2:$C$132,2,FALSE),0))</f>
        <v/>
      </c>
      <c r="J999" s="4"/>
      <c r="K999" s="4" t="str">
        <f>IF(ISBLANK(C999),,IFERROR(VLOOKUP(C999,CurrentRank!$B$2:$D$132,3,FALSE),130))</f>
        <v/>
      </c>
      <c r="L999" s="19" t="str">
        <f t="shared" si="279"/>
        <v/>
      </c>
      <c r="M999" s="19" t="str">
        <f t="shared" si="280"/>
        <v/>
      </c>
      <c r="N999" s="24" t="str">
        <f t="shared" si="276"/>
        <v/>
      </c>
      <c r="O999" s="21" t="str">
        <f t="shared" si="4"/>
        <v/>
      </c>
      <c r="P999" s="21" t="str">
        <f t="shared" si="282"/>
        <v/>
      </c>
      <c r="Q999" s="22" t="str">
        <f t="shared" si="6"/>
        <v/>
      </c>
      <c r="R999" s="25" t="str">
        <f t="shared" si="7"/>
        <v/>
      </c>
      <c r="S999" s="19" t="str">
        <f t="shared" si="8"/>
        <v/>
      </c>
      <c r="T999" s="19" t="str">
        <f t="shared" si="9"/>
        <v/>
      </c>
      <c r="U999" s="3"/>
      <c r="V999" s="4" t="str">
        <f>IF(ISBLANK(C999),,IFERROR(IF(VLOOKUP(B999,Standings!$A:$F, 6, 0)=VLOOKUP(C999,Standings!$A:$F, 6, 0), VLOOKUP(B999,Standings!$A:$F, 6, 0), "Non-con"), "FCS"))</f>
        <v/>
      </c>
      <c r="W999" s="3" t="str">
        <f t="shared" si="10"/>
        <v/>
      </c>
      <c r="X999" s="3" t="str">
        <f t="shared" si="11"/>
        <v/>
      </c>
      <c r="Y999" s="30" t="str">
        <f>IF(D999=0,,IF(ISBLANK(Q999),,VLOOKUP(X999,Week1,2,FALSE)/(VLOOKUP(X999,Week1,2,FALSE)+VLOOKUP(W999,Week1,2,FALSE)))*100)</f>
        <v/>
      </c>
      <c r="Z999" s="4"/>
      <c r="AA999" s="3"/>
      <c r="AB999" s="4" t="str">
        <f t="shared" si="20"/>
        <v/>
      </c>
      <c r="AC999" s="3"/>
      <c r="AD999" s="3"/>
      <c r="AE999" s="3" t="str">
        <f t="shared" si="13"/>
        <v/>
      </c>
      <c r="AF999" s="3"/>
      <c r="AG999" s="3" t="str">
        <f t="shared" si="133"/>
        <v/>
      </c>
      <c r="AH999" s="3"/>
      <c r="AI999" s="7"/>
      <c r="AJ999" s="4"/>
      <c r="AK999" s="7"/>
      <c r="AL999" s="7"/>
      <c r="AM999" s="7"/>
      <c r="AN999" s="7"/>
      <c r="AO999" s="7"/>
      <c r="AP999" s="7"/>
      <c r="AQ999" s="7"/>
      <c r="AR999" s="7"/>
      <c r="AS999" s="7"/>
      <c r="AT999" s="7"/>
      <c r="AU999" s="7"/>
      <c r="AV999" s="7"/>
      <c r="AW999" s="7"/>
      <c r="AX999" s="7"/>
    </row>
    <row r="1000" ht="12.75" customHeight="1">
      <c r="A1000" s="4"/>
      <c r="B1000" s="4"/>
      <c r="C1000" s="4"/>
      <c r="D1000" s="4"/>
      <c r="E1000" s="4" t="str">
        <f>IF(ISBLANK(B1000),,IFERROR(VLOOKUP(B1000,CurrentRank!$B$2:$C$132,2,FALSE),0))</f>
        <v/>
      </c>
      <c r="F1000" s="4"/>
      <c r="G1000" s="4" t="str">
        <f>IF(ISBLANK(B1000),,IFERROR(VLOOKUP(B1000,CurrentRank!$B$2:$D$132,3,FALSE),130))</f>
        <v/>
      </c>
      <c r="H1000" s="4"/>
      <c r="I1000" s="4" t="str">
        <f>IF(ISBLANK(B1000),,IFERROR(VLOOKUP(C1000,CurrentRank!$B$2:$C$132,2,FALSE),0))</f>
        <v/>
      </c>
      <c r="J1000" s="4"/>
      <c r="K1000" s="4" t="str">
        <f>IF(ISBLANK(C1000),,IFERROR(VLOOKUP(C1000,CurrentRank!$B$2:$D$132,3,FALSE),130))</f>
        <v/>
      </c>
      <c r="L1000" s="19" t="str">
        <f t="shared" si="279"/>
        <v/>
      </c>
      <c r="M1000" s="19" t="str">
        <f t="shared" si="280"/>
        <v/>
      </c>
      <c r="N1000" s="24" t="str">
        <f t="shared" si="276"/>
        <v/>
      </c>
      <c r="O1000" s="21" t="str">
        <f t="shared" si="4"/>
        <v/>
      </c>
      <c r="P1000" s="21" t="str">
        <f t="shared" si="282"/>
        <v/>
      </c>
      <c r="Q1000" s="22" t="str">
        <f t="shared" si="6"/>
        <v/>
      </c>
      <c r="R1000" s="25" t="str">
        <f t="shared" si="7"/>
        <v/>
      </c>
      <c r="S1000" s="19" t="str">
        <f t="shared" si="8"/>
        <v/>
      </c>
      <c r="T1000" s="19" t="str">
        <f t="shared" si="9"/>
        <v/>
      </c>
      <c r="U1000" s="3"/>
      <c r="V1000" s="4" t="str">
        <f>IF(ISBLANK(C1000),,IFERROR(IF(VLOOKUP(B1000,Standings!$A:$F, 6, 0)=VLOOKUP(C1000,Standings!$A:$F, 6, 0), VLOOKUP(B1000,Standings!$A:$F, 6, 0), "Non-con"), "FCS"))</f>
        <v/>
      </c>
      <c r="W1000" s="3" t="str">
        <f t="shared" si="10"/>
        <v/>
      </c>
      <c r="X1000" s="3" t="str">
        <f t="shared" si="11"/>
        <v/>
      </c>
      <c r="Y1000" s="30" t="str">
        <f>IF(D1000=0,,IF(ISBLANK(Q1000),,VLOOKUP(X1000,Week1,2,FALSE)/(VLOOKUP(X1000,Week1,2,FALSE)+VLOOKUP(W1000,Week1,2,FALSE)))*100)</f>
        <v/>
      </c>
      <c r="Z1000" s="4"/>
      <c r="AA1000" s="3"/>
      <c r="AB1000" s="4" t="str">
        <f t="shared" si="20"/>
        <v/>
      </c>
      <c r="AC1000" s="3"/>
      <c r="AD1000" s="3"/>
      <c r="AE1000" s="3" t="str">
        <f t="shared" si="13"/>
        <v/>
      </c>
      <c r="AF1000" s="3"/>
      <c r="AG1000" s="3" t="str">
        <f t="shared" si="133"/>
        <v/>
      </c>
      <c r="AH1000" s="3"/>
      <c r="AI1000" s="7"/>
      <c r="AJ1000" s="4"/>
      <c r="AK1000" s="7"/>
      <c r="AL1000" s="7"/>
      <c r="AM1000" s="7"/>
      <c r="AN1000" s="7"/>
      <c r="AO1000" s="7"/>
      <c r="AP1000" s="7"/>
      <c r="AQ1000" s="7"/>
      <c r="AR1000" s="7"/>
      <c r="AS1000" s="7"/>
      <c r="AT1000" s="7"/>
      <c r="AU1000" s="7"/>
      <c r="AV1000" s="7"/>
      <c r="AW1000" s="7"/>
      <c r="AX1000" s="7"/>
    </row>
    <row r="1001" ht="12.75" customHeight="1">
      <c r="A1001" s="4"/>
      <c r="B1001" s="4"/>
      <c r="C1001" s="4"/>
      <c r="D1001" s="4"/>
      <c r="E1001" s="4" t="str">
        <f>IF(ISBLANK(B1001),,IFERROR(VLOOKUP(B1001,CurrentRank!$B$2:$C$132,2,FALSE),0))</f>
        <v/>
      </c>
      <c r="F1001" s="4"/>
      <c r="G1001" s="4" t="str">
        <f>IF(ISBLANK(B1001),,IFERROR(VLOOKUP(B1001,CurrentRank!$B$2:$D$132,3,FALSE),130))</f>
        <v/>
      </c>
      <c r="H1001" s="4"/>
      <c r="I1001" s="4" t="str">
        <f>IF(ISBLANK(B1001),,IFERROR(VLOOKUP(C1001,CurrentRank!$B$2:$C$132,2,FALSE),0))</f>
        <v/>
      </c>
      <c r="J1001" s="4"/>
      <c r="K1001" s="4" t="str">
        <f>IF(ISBLANK(C1001),,IFERROR(VLOOKUP(C1001,CurrentRank!$B$2:$D$132,3,FALSE),130))</f>
        <v/>
      </c>
      <c r="L1001" s="19" t="str">
        <f t="shared" si="279"/>
        <v/>
      </c>
      <c r="M1001" s="19" t="str">
        <f t="shared" si="280"/>
        <v/>
      </c>
      <c r="N1001" s="24" t="str">
        <f t="shared" si="276"/>
        <v/>
      </c>
      <c r="O1001" s="21" t="str">
        <f t="shared" si="4"/>
        <v/>
      </c>
      <c r="P1001" s="21" t="str">
        <f t="shared" si="282"/>
        <v/>
      </c>
      <c r="Q1001" s="22" t="str">
        <f t="shared" si="6"/>
        <v/>
      </c>
      <c r="R1001" s="25" t="str">
        <f t="shared" si="7"/>
        <v/>
      </c>
      <c r="S1001" s="19" t="str">
        <f t="shared" si="8"/>
        <v/>
      </c>
      <c r="T1001" s="19" t="str">
        <f t="shared" si="9"/>
        <v/>
      </c>
      <c r="U1001" s="3"/>
      <c r="V1001" s="4" t="str">
        <f>IF(ISBLANK(C1001),,IFERROR(IF(VLOOKUP(B1001,Standings!$A:$F, 6, 0)=VLOOKUP(C1001,Standings!$A:$F, 6, 0), VLOOKUP(B1001,Standings!$A:$F, 6, 0), "Non-con"), "FCS"))</f>
        <v/>
      </c>
      <c r="W1001" s="3" t="str">
        <f t="shared" si="10"/>
        <v/>
      </c>
      <c r="X1001" s="3" t="str">
        <f t="shared" si="11"/>
        <v/>
      </c>
      <c r="Y1001" s="30" t="str">
        <f>IF(D1001=0,,IF(ISBLANK(Q1001),,VLOOKUP(X1001,Week1,2,FALSE)/(VLOOKUP(X1001,Week1,2,FALSE)+VLOOKUP(W1001,Week1,2,FALSE)))*100)</f>
        <v/>
      </c>
      <c r="Z1001" s="4"/>
      <c r="AA1001" s="3"/>
      <c r="AB1001" s="4" t="str">
        <f t="shared" si="20"/>
        <v/>
      </c>
      <c r="AC1001" s="3"/>
      <c r="AD1001" s="3"/>
      <c r="AE1001" s="3" t="str">
        <f t="shared" si="13"/>
        <v/>
      </c>
      <c r="AF1001" s="3"/>
      <c r="AG1001" s="3" t="str">
        <f t="shared" si="133"/>
        <v/>
      </c>
      <c r="AH1001" s="3"/>
      <c r="AI1001" s="7"/>
      <c r="AJ1001" s="4"/>
      <c r="AK1001" s="7"/>
      <c r="AL1001" s="7"/>
      <c r="AM1001" s="7"/>
      <c r="AN1001" s="7"/>
      <c r="AO1001" s="7"/>
      <c r="AP1001" s="7"/>
      <c r="AQ1001" s="7"/>
      <c r="AR1001" s="7"/>
      <c r="AS1001" s="7"/>
      <c r="AT1001" s="7"/>
      <c r="AU1001" s="7"/>
      <c r="AV1001" s="7"/>
      <c r="AW1001" s="7"/>
      <c r="AX1001" s="7"/>
    </row>
    <row r="1002" ht="12.75" customHeight="1">
      <c r="A1002" s="4"/>
      <c r="B1002" s="4"/>
      <c r="C1002" s="4"/>
      <c r="D1002" s="4"/>
      <c r="E1002" s="4" t="str">
        <f>IF(ISBLANK(B1002),,IFERROR(VLOOKUP(B1002,CurrentRank!$B$2:$C$132,2,FALSE),0))</f>
        <v/>
      </c>
      <c r="F1002" s="4"/>
      <c r="G1002" s="4" t="str">
        <f>IF(ISBLANK(B1002),,IFERROR(VLOOKUP(B1002,CurrentRank!$B$2:$D$132,3,FALSE),130))</f>
        <v/>
      </c>
      <c r="H1002" s="4"/>
      <c r="I1002" s="4" t="str">
        <f>IF(ISBLANK(B1002),,IFERROR(VLOOKUP(C1002,CurrentRank!$B$2:$C$132,2,FALSE),0))</f>
        <v/>
      </c>
      <c r="J1002" s="4"/>
      <c r="K1002" s="4" t="str">
        <f>IF(ISBLANK(C1002),,IFERROR(VLOOKUP(C1002,CurrentRank!$B$2:$D$132,3,FALSE),130))</f>
        <v/>
      </c>
      <c r="L1002" s="19" t="str">
        <f t="shared" si="279"/>
        <v/>
      </c>
      <c r="M1002" s="19" t="str">
        <f t="shared" si="280"/>
        <v/>
      </c>
      <c r="N1002" s="24" t="str">
        <f t="shared" si="276"/>
        <v/>
      </c>
      <c r="O1002" s="21" t="str">
        <f t="shared" si="4"/>
        <v/>
      </c>
      <c r="P1002" s="21" t="str">
        <f t="shared" si="282"/>
        <v/>
      </c>
      <c r="Q1002" s="22" t="str">
        <f t="shared" si="6"/>
        <v/>
      </c>
      <c r="R1002" s="25" t="str">
        <f t="shared" si="7"/>
        <v/>
      </c>
      <c r="S1002" s="19" t="str">
        <f t="shared" si="8"/>
        <v/>
      </c>
      <c r="T1002" s="19" t="str">
        <f t="shared" si="9"/>
        <v/>
      </c>
      <c r="U1002" s="3"/>
      <c r="V1002" s="4" t="str">
        <f>IF(ISBLANK(C1002),,IFERROR(IF(VLOOKUP(B1002,Standings!$A:$F, 6, 0)=VLOOKUP(C1002,Standings!$A:$F, 6, 0), VLOOKUP(B1002,Standings!$A:$F, 6, 0), "Non-con"), "FCS"))</f>
        <v/>
      </c>
      <c r="W1002" s="3" t="str">
        <f t="shared" si="10"/>
        <v/>
      </c>
      <c r="X1002" s="3" t="str">
        <f t="shared" si="11"/>
        <v/>
      </c>
      <c r="Y1002" s="30" t="str">
        <f>IF(D1002=0,,IF(ISBLANK(Q1002),,VLOOKUP(X1002,Week1,2,FALSE)/(VLOOKUP(X1002,Week1,2,FALSE)+VLOOKUP(W1002,Week1,2,FALSE)))*100)</f>
        <v/>
      </c>
      <c r="Z1002" s="4"/>
      <c r="AA1002" s="3"/>
      <c r="AB1002" s="4" t="str">
        <f t="shared" si="20"/>
        <v/>
      </c>
      <c r="AC1002" s="3"/>
      <c r="AD1002" s="3"/>
      <c r="AE1002" s="3" t="str">
        <f t="shared" si="13"/>
        <v/>
      </c>
      <c r="AF1002" s="3"/>
      <c r="AG1002" s="3" t="str">
        <f t="shared" si="133"/>
        <v/>
      </c>
      <c r="AH1002" s="3"/>
      <c r="AI1002" s="7"/>
      <c r="AJ1002" s="4"/>
      <c r="AK1002" s="7"/>
      <c r="AL1002" s="7"/>
      <c r="AM1002" s="7"/>
      <c r="AN1002" s="7"/>
      <c r="AO1002" s="7"/>
      <c r="AP1002" s="7"/>
      <c r="AQ1002" s="7"/>
      <c r="AR1002" s="7"/>
      <c r="AS1002" s="7"/>
      <c r="AT1002" s="7"/>
      <c r="AU1002" s="7"/>
      <c r="AV1002" s="7"/>
      <c r="AW1002" s="7"/>
      <c r="AX1002" s="7"/>
    </row>
    <row r="1003" ht="12.75" customHeight="1">
      <c r="A1003" s="4"/>
      <c r="B1003" s="4"/>
      <c r="C1003" s="4"/>
      <c r="D1003" s="4"/>
      <c r="E1003" s="4" t="str">
        <f>IF(ISBLANK(B1003),,IFERROR(VLOOKUP(B1003,CurrentRank!$B$2:$C$132,2,FALSE),0))</f>
        <v/>
      </c>
      <c r="F1003" s="4"/>
      <c r="G1003" s="4" t="str">
        <f>IF(ISBLANK(B1003),,IFERROR(VLOOKUP(B1003,CurrentRank!$B$2:$D$132,3,FALSE),130))</f>
        <v/>
      </c>
      <c r="H1003" s="4"/>
      <c r="I1003" s="4" t="str">
        <f>IF(ISBLANK(B1003),,IFERROR(VLOOKUP(C1003,CurrentRank!$B$2:$C$132,2,FALSE),0))</f>
        <v/>
      </c>
      <c r="J1003" s="4"/>
      <c r="K1003" s="4" t="str">
        <f>IF(ISBLANK(C1003),,IFERROR(VLOOKUP(C1003,CurrentRank!$B$2:$D$132,3,FALSE),130))</f>
        <v/>
      </c>
      <c r="L1003" s="19" t="str">
        <f t="shared" si="279"/>
        <v/>
      </c>
      <c r="M1003" s="19" t="str">
        <f t="shared" si="280"/>
        <v/>
      </c>
      <c r="N1003" s="24" t="str">
        <f t="shared" si="276"/>
        <v/>
      </c>
      <c r="O1003" s="21" t="str">
        <f t="shared" si="4"/>
        <v/>
      </c>
      <c r="P1003" s="21" t="str">
        <f t="shared" si="282"/>
        <v/>
      </c>
      <c r="Q1003" s="22" t="str">
        <f t="shared" si="6"/>
        <v/>
      </c>
      <c r="R1003" s="25" t="str">
        <f t="shared" si="7"/>
        <v/>
      </c>
      <c r="S1003" s="19" t="str">
        <f t="shared" si="8"/>
        <v/>
      </c>
      <c r="T1003" s="19" t="str">
        <f t="shared" si="9"/>
        <v/>
      </c>
      <c r="U1003" s="3"/>
      <c r="V1003" s="4" t="str">
        <f>IF(ISBLANK(C1003),,IFERROR(IF(VLOOKUP(B1003,Standings!$A:$F, 6, 0)=VLOOKUP(C1003,Standings!$A:$F, 6, 0), VLOOKUP(B1003,Standings!$A:$F, 6, 0), "Non-con"), "FCS"))</f>
        <v/>
      </c>
      <c r="W1003" s="3" t="str">
        <f t="shared" si="10"/>
        <v/>
      </c>
      <c r="X1003" s="3" t="str">
        <f t="shared" si="11"/>
        <v/>
      </c>
      <c r="Y1003" s="30" t="str">
        <f>IF(D1003=0,,IF(ISBLANK(Q1003),,VLOOKUP(X1003,Week1,2,FALSE)/(VLOOKUP(X1003,Week1,2,FALSE)+VLOOKUP(W1003,Week1,2,FALSE)))*100)</f>
        <v/>
      </c>
      <c r="Z1003" s="4"/>
      <c r="AA1003" s="3"/>
      <c r="AB1003" s="4" t="str">
        <f t="shared" si="20"/>
        <v/>
      </c>
      <c r="AC1003" s="3"/>
      <c r="AD1003" s="3"/>
      <c r="AE1003" s="3" t="str">
        <f t="shared" si="13"/>
        <v/>
      </c>
      <c r="AF1003" s="3"/>
      <c r="AG1003" s="3" t="str">
        <f t="shared" si="133"/>
        <v/>
      </c>
      <c r="AH1003" s="3"/>
      <c r="AI1003" s="7"/>
      <c r="AJ1003" s="4"/>
      <c r="AK1003" s="7"/>
      <c r="AL1003" s="7"/>
      <c r="AM1003" s="7"/>
      <c r="AN1003" s="7"/>
      <c r="AO1003" s="7"/>
      <c r="AP1003" s="7"/>
      <c r="AQ1003" s="7"/>
      <c r="AR1003" s="7"/>
      <c r="AS1003" s="7"/>
      <c r="AT1003" s="7"/>
      <c r="AU1003" s="7"/>
      <c r="AV1003" s="7"/>
      <c r="AW1003" s="7"/>
      <c r="AX1003" s="7"/>
    </row>
    <row r="1004" ht="12.75" customHeight="1">
      <c r="A1004" s="4"/>
      <c r="B1004" s="4"/>
      <c r="C1004" s="4"/>
      <c r="D1004" s="4"/>
      <c r="E1004" s="4" t="str">
        <f>IF(ISBLANK(B1004),,IFERROR(VLOOKUP(B1004,CurrentRank!$B$2:$C$132,2,FALSE),0))</f>
        <v/>
      </c>
      <c r="F1004" s="4"/>
      <c r="G1004" s="4" t="str">
        <f>IF(ISBLANK(B1004),,IFERROR(VLOOKUP(B1004,CurrentRank!$B$2:$D$132,3,FALSE),130))</f>
        <v/>
      </c>
      <c r="H1004" s="4"/>
      <c r="I1004" s="4" t="str">
        <f>IF(ISBLANK(B1004),,IFERROR(VLOOKUP(C1004,CurrentRank!$B$2:$C$132,2,FALSE),0))</f>
        <v/>
      </c>
      <c r="J1004" s="4"/>
      <c r="K1004" s="4" t="str">
        <f>IF(ISBLANK(C1004),,IFERROR(VLOOKUP(C1004,CurrentRank!$B$2:$D$132,3,FALSE),130))</f>
        <v/>
      </c>
      <c r="L1004" s="19" t="str">
        <f t="shared" si="279"/>
        <v/>
      </c>
      <c r="M1004" s="19" t="str">
        <f t="shared" si="280"/>
        <v/>
      </c>
      <c r="N1004" s="24" t="str">
        <f t="shared" si="276"/>
        <v/>
      </c>
      <c r="O1004" s="21" t="str">
        <f t="shared" si="4"/>
        <v/>
      </c>
      <c r="P1004" s="21" t="str">
        <f t="shared" si="282"/>
        <v/>
      </c>
      <c r="Q1004" s="22" t="str">
        <f t="shared" si="6"/>
        <v/>
      </c>
      <c r="R1004" s="25" t="str">
        <f t="shared" si="7"/>
        <v/>
      </c>
      <c r="S1004" s="19" t="str">
        <f t="shared" si="8"/>
        <v/>
      </c>
      <c r="T1004" s="19" t="str">
        <f t="shared" si="9"/>
        <v/>
      </c>
      <c r="U1004" s="3"/>
      <c r="V1004" s="4" t="str">
        <f>IF(ISBLANK(C1004),,IFERROR(IF(VLOOKUP(B1004,Standings!$A:$F, 6, 0)=VLOOKUP(C1004,Standings!$A:$F, 6, 0), VLOOKUP(B1004,Standings!$A:$F, 6, 0), "Non-con"), "FCS"))</f>
        <v/>
      </c>
      <c r="W1004" s="3" t="str">
        <f t="shared" si="10"/>
        <v/>
      </c>
      <c r="X1004" s="3" t="str">
        <f t="shared" si="11"/>
        <v/>
      </c>
      <c r="Y1004" s="30" t="str">
        <f>IF(D1004=0,,IF(ISBLANK(Q1004),,VLOOKUP(X1004,Week1,2,FALSE)/(VLOOKUP(X1004,Week1,2,FALSE)+VLOOKUP(W1004,Week1,2,FALSE)))*100)</f>
        <v/>
      </c>
      <c r="Z1004" s="4"/>
      <c r="AA1004" s="3"/>
      <c r="AB1004" s="4" t="str">
        <f t="shared" si="20"/>
        <v/>
      </c>
      <c r="AC1004" s="3"/>
      <c r="AD1004" s="3"/>
      <c r="AE1004" s="3" t="str">
        <f t="shared" si="13"/>
        <v/>
      </c>
      <c r="AF1004" s="3"/>
      <c r="AG1004" s="3" t="str">
        <f t="shared" si="133"/>
        <v/>
      </c>
      <c r="AH1004" s="3"/>
      <c r="AI1004" s="7"/>
      <c r="AJ1004" s="4"/>
      <c r="AK1004" s="7"/>
      <c r="AL1004" s="7"/>
      <c r="AM1004" s="7"/>
      <c r="AN1004" s="7"/>
      <c r="AO1004" s="7"/>
      <c r="AP1004" s="7"/>
      <c r="AQ1004" s="7"/>
      <c r="AR1004" s="7"/>
      <c r="AS1004" s="7"/>
      <c r="AT1004" s="7"/>
      <c r="AU1004" s="7"/>
      <c r="AV1004" s="7"/>
      <c r="AW1004" s="7"/>
      <c r="AX1004" s="7"/>
    </row>
    <row r="1005" ht="12.75" customHeight="1">
      <c r="A1005" s="4"/>
      <c r="B1005" s="4"/>
      <c r="C1005" s="4"/>
      <c r="D1005" s="4"/>
      <c r="E1005" s="4"/>
      <c r="F1005" s="4"/>
      <c r="G1005" s="4"/>
      <c r="H1005" s="4"/>
      <c r="I1005" s="4"/>
      <c r="J1005" s="4"/>
      <c r="K1005" s="4"/>
      <c r="L1005" s="19" t="str">
        <f t="shared" si="279"/>
        <v/>
      </c>
      <c r="M1005" s="19" t="str">
        <f t="shared" si="280"/>
        <v/>
      </c>
      <c r="N1005" s="24"/>
      <c r="O1005" s="21"/>
      <c r="P1005" s="21"/>
      <c r="Q1005" s="22" t="str">
        <f t="shared" si="6"/>
        <v/>
      </c>
      <c r="R1005" s="25" t="str">
        <f t="shared" si="7"/>
        <v/>
      </c>
      <c r="S1005" s="19"/>
      <c r="T1005" s="19"/>
      <c r="U1005" s="3"/>
      <c r="V1005" s="4"/>
      <c r="W1005" s="3" t="str">
        <f t="shared" si="10"/>
        <v/>
      </c>
      <c r="X1005" s="3"/>
      <c r="Y1005" s="30" t="str">
        <f>IF(D1005=0,,IF(ISBLANK(Q1005),,VLOOKUP(X1005,Week1,2,FALSE)/(VLOOKUP(X1005,Week1,2,FALSE)+VLOOKUP(W1005,Week1,2,FALSE)))*100)</f>
        <v/>
      </c>
      <c r="Z1005" s="4"/>
      <c r="AA1005" s="3"/>
      <c r="AB1005" s="4"/>
      <c r="AC1005" s="3"/>
      <c r="AD1005" s="3"/>
      <c r="AE1005" s="3"/>
      <c r="AF1005" s="3"/>
      <c r="AG1005" s="3" t="str">
        <f t="shared" si="133"/>
        <v/>
      </c>
      <c r="AH1005" s="3"/>
      <c r="AI1005" s="7"/>
      <c r="AJ1005" s="4"/>
      <c r="AK1005" s="7"/>
      <c r="AL1005" s="7"/>
      <c r="AM1005" s="7"/>
      <c r="AN1005" s="7"/>
      <c r="AO1005" s="7"/>
      <c r="AP1005" s="7"/>
      <c r="AQ1005" s="7"/>
      <c r="AR1005" s="7"/>
      <c r="AS1005" s="7"/>
      <c r="AT1005" s="7"/>
      <c r="AU1005" s="7"/>
      <c r="AV1005" s="7"/>
      <c r="AW1005" s="7"/>
      <c r="AX1005" s="7"/>
    </row>
  </sheetData>
  <autoFilter ref="$A$1:$AH$1005">
    <filterColumn colId="31">
      <filters blank="1">
        <filter val="NCG"/>
        <filter val="CCG"/>
        <filter val="BOWL"/>
      </filters>
    </filterColumn>
    <filterColumn colId="32">
      <filters blank="1">
        <filter val="0"/>
      </filters>
    </filterColumn>
  </autoFilter>
  <mergeCells count="2">
    <mergeCell ref="Q1:R1"/>
    <mergeCell ref="S1:T1"/>
  </mergeCells>
  <conditionalFormatting sqref="A1:AJ1005 AK1:AM1 AN1:AW1005 AK4:AL7 AM6:AM1005 AK11:AL81 AK89:AL112 AK117:AL258 AK262:AL378 AK380:AL500 AK502:AL1005">
    <cfRule type="cellIs" dxfId="0" priority="1" operator="equal">
      <formula>"Wyoming"</formula>
    </cfRule>
  </conditionalFormatting>
  <conditionalFormatting sqref="A1:AJ1005 AK1:AM1 AN1:AW1005 AK4:AL7 AM6:AM1005 AK11:AL81 AK89:AL112 AK117:AL258 AK262:AL378 AK380:AL500 AK502:AL1005">
    <cfRule type="cellIs" dxfId="1" priority="2" operator="equal">
      <formula>"Wisconsin"</formula>
    </cfRule>
  </conditionalFormatting>
  <conditionalFormatting sqref="A1:AJ1005 AK1:AM1 AN1:AW1005 AK4:AL7 AM6:AM1005 AK11:AL81 AK89:AL112 AK117:AL258 AK262:AL378 AK380:AL500 AK502:AL1005">
    <cfRule type="cellIs" dxfId="2" priority="3" operator="equal">
      <formula>"Western Michigan"</formula>
    </cfRule>
  </conditionalFormatting>
  <conditionalFormatting sqref="A1:AJ1005 AK1:AM1 AN1:AW1005 AK4:AL7 AM6:AM1005 AK11:AL81 AK89:AL112 AK117:AL258 AK262:AL378 AK380:AL500 AK502:AL1005">
    <cfRule type="cellIs" dxfId="3" priority="4" operator="equal">
      <formula>"Western Kentucky"</formula>
    </cfRule>
  </conditionalFormatting>
  <conditionalFormatting sqref="A1:AJ1005 AK1:AM1 AN1:AW1005 AK4:AL7 AM6:AM1005 AK11:AL81 AK89:AL112 AK117:AL258 AK262:AL378 AK380:AL500 AK502:AL1005">
    <cfRule type="cellIs" dxfId="4" priority="5" operator="equal">
      <formula>"West Virginia"</formula>
    </cfRule>
  </conditionalFormatting>
  <conditionalFormatting sqref="A1:AJ1005 AK1:AM1 AN1:AW1005 AK4:AL7 AM6:AM1005 AK11:AL81 AK89:AL112 AK117:AL258 AK262:AL378 AK380:AL500 AK502:AL1005">
    <cfRule type="cellIs" dxfId="5" priority="6" operator="equal">
      <formula>"Washington State"</formula>
    </cfRule>
  </conditionalFormatting>
  <conditionalFormatting sqref="A1:AJ1005 AK1:AM1 AN1:AW1005 AK4:AL7 AM6:AM1005 AK11:AL81 AK89:AL112 AK117:AL258 AK262:AL378 AK380:AL500 AK502:AL1005">
    <cfRule type="cellIs" dxfId="6" priority="7" operator="equal">
      <formula>"Washington"</formula>
    </cfRule>
  </conditionalFormatting>
  <conditionalFormatting sqref="A1:AJ1005 AK1:AM1 AN1:AW1005 AK4:AL7 AM6:AM1005 AK11:AL81 AK89:AL112 AK117:AL258 AK262:AL378 AK380:AL500 AK502:AL1005">
    <cfRule type="cellIs" dxfId="7" priority="8" operator="equal">
      <formula>"Wake Forest"</formula>
    </cfRule>
  </conditionalFormatting>
  <conditionalFormatting sqref="A1:AJ1005 AK1:AM1 AN1:AW1005 AK4:AL7 AM6:AM1005 AK11:AL81 AK89:AL112 AK117:AL258 AK262:AL378 AK380:AL500 AK502:AL1005">
    <cfRule type="cellIs" dxfId="8" priority="9" operator="equal">
      <formula>"Virginia Tech"</formula>
    </cfRule>
  </conditionalFormatting>
  <conditionalFormatting sqref="A1:AJ1005 AK1:AM1 AN1:AW1005 AK4:AL7 AM6:AM1005 AK11:AL81 AK89:AL112 AK117:AL258 AK262:AL378 AK380:AL500 AK502:AL1005">
    <cfRule type="cellIs" dxfId="9" priority="10" operator="equal">
      <formula>"Virginia"</formula>
    </cfRule>
  </conditionalFormatting>
  <conditionalFormatting sqref="A1:AJ1005 AK1:AM1 AN1:AW1005 AK4:AL7 AM6:AM1005 AK11:AL81 AK89:AL112 AK117:AL258 AK262:AL378 AK380:AL500 AK502:AL1005">
    <cfRule type="cellIs" dxfId="10" priority="11" operator="equal">
      <formula>"Vanderbilt"</formula>
    </cfRule>
  </conditionalFormatting>
  <conditionalFormatting sqref="A1:AJ1005 AK1:AM1 AN1:AW1005 AK4:AL7 AM6:AM1005 AK11:AL81 AK89:AL112 AK117:AL258 AK262:AL378 AK380:AL500 AK502:AL1005">
    <cfRule type="cellIs" dxfId="11" priority="12" operator="equal">
      <formula>"UTEP"</formula>
    </cfRule>
  </conditionalFormatting>
  <conditionalFormatting sqref="A1:AJ1005 AK1:AM1 AN1:AW1005 AK4:AL7 AM6:AM1005 AK11:AL81 AK89:AL112 AK117:AL258 AK262:AL378 AK380:AL500 AK502:AL1005">
    <cfRule type="cellIs" dxfId="12" priority="13" operator="equal">
      <formula>"Utah State"</formula>
    </cfRule>
  </conditionalFormatting>
  <conditionalFormatting sqref="A1:AJ1005 AK1:AM1 AN1:AW1005 AK4:AL7 AM6:AM1005 AK11:AL81 AK89:AL112 AK117:AL258 AK262:AL378 AK380:AL500 AK502:AL1005">
    <cfRule type="cellIs" dxfId="13" priority="14" operator="equal">
      <formula>"Utah"</formula>
    </cfRule>
  </conditionalFormatting>
  <conditionalFormatting sqref="A1:AJ1005 AK1:AM1 AN1:AW1005 AK4:AL7 AM6:AM1005 AK11:AL81 AK89:AL112 AK117:AL258 AK262:AL378 AK380:AL500 AK502:AL1005">
    <cfRule type="cellIs" dxfId="131" priority="15" operator="equal">
      <formula>"UNLV"</formula>
    </cfRule>
  </conditionalFormatting>
  <conditionalFormatting sqref="A1:AJ1005 AK1:AM1 AN1:AW1005 AK4:AL7 AM6:AM1005 AK11:AL81 AK89:AL112 AK117:AL258 AK262:AL378 AK380:AL500 AK502:AL1005">
    <cfRule type="cellIs" dxfId="15" priority="16" operator="equal">
      <formula>"UL-Monroe"</formula>
    </cfRule>
  </conditionalFormatting>
  <conditionalFormatting sqref="A1:AJ1005 AK1:AM1 AN1:AW1005 AK4:AL7 AM6:AM1005 AK11:AL81 AK89:AL112 AK117:AL258 AK262:AL378 AK380:AL500 AK502:AL1005">
    <cfRule type="cellIs" dxfId="16" priority="17" operator="equal">
      <formula>"UL-Lafayette"</formula>
    </cfRule>
  </conditionalFormatting>
  <conditionalFormatting sqref="A1:AJ1005 AK1:AM1 AN1:AW1005 AK4:AL7 AM6:AM1005 AK11:AL81 AK89:AL112 AK117:AL258 AK262:AL378 AK380:AL500 AK502:AL1005">
    <cfRule type="cellIs" dxfId="17" priority="18" operator="equal">
      <formula>"UCLA"</formula>
    </cfRule>
  </conditionalFormatting>
  <conditionalFormatting sqref="A1:AJ1005 AK1:AM1 AN1:AW1005 AK4:AL7 AM6:AM1005 AK11:AL81 AK89:AL112 AK117:AL258 AK262:AL378 AK380:AL500 AK502:AL1005">
    <cfRule type="cellIs" dxfId="18" priority="19" operator="equal">
      <formula>"UAB"</formula>
    </cfRule>
  </conditionalFormatting>
  <conditionalFormatting sqref="A1:AJ1005 AK1:AM1 AN1:AW1005 AK4:AL7 AM6:AM1005 AK11:AL81 AK89:AL112 AK117:AL258 AK262:AL378 AK380:AL500 AK502:AL1005">
    <cfRule type="cellIs" dxfId="19" priority="20" operator="equal">
      <formula>"Tulsa"</formula>
    </cfRule>
  </conditionalFormatting>
  <conditionalFormatting sqref="A1:AJ1005 AK1:AM1 AN1:AW1005 AK4:AL7 AM6:AM1005 AK11:AL81 AK89:AL112 AK117:AL258 AK262:AL378 AK380:AL500 AK502:AL1005">
    <cfRule type="cellIs" dxfId="20" priority="21" operator="equal">
      <formula>"Tulane"</formula>
    </cfRule>
  </conditionalFormatting>
  <conditionalFormatting sqref="A1:AJ1005 AK1:AM1 AN1:AW1005 AK4:AL7 AM6:AM1005 AK11:AL81 AK89:AL112 AK117:AL258 AK262:AL378 AK380:AL500 AK502:AL1005">
    <cfRule type="cellIs" dxfId="21" priority="22" operator="equal">
      <formula>"Troy"</formula>
    </cfRule>
  </conditionalFormatting>
  <conditionalFormatting sqref="A1:AJ1005 AK1:AM1 AN1:AW1005 AK4:AL7 AM6:AM1005 AK11:AL81 AK89:AL112 AK117:AL258 AK262:AL378 AK380:AL500 AK502:AL1005">
    <cfRule type="cellIs" dxfId="22" priority="23" operator="equal">
      <formula>"Toledo"</formula>
    </cfRule>
  </conditionalFormatting>
  <conditionalFormatting sqref="A1:AJ1005 AK1:AM1 AN1:AW1005 AK4:AL7 AM6:AM1005 AK11:AL81 AK89:AL112 AK117:AL258 AK262:AL378 AK380:AL500 AK502:AL1005">
    <cfRule type="cellIs" dxfId="23" priority="24" operator="equal">
      <formula>"Texas-San Antonio"</formula>
    </cfRule>
  </conditionalFormatting>
  <conditionalFormatting sqref="A1:AJ1005 AK1:AM1 AN1:AW1005 AK4:AL7 AM6:AM1005 AK11:AL81 AK89:AL112 AK117:AL258 AK262:AL378 AK380:AL500 AK502:AL1005">
    <cfRule type="cellIs" dxfId="24" priority="25" operator="equal">
      <formula>"Texas Tech"</formula>
    </cfRule>
  </conditionalFormatting>
  <conditionalFormatting sqref="A1:AJ1005 AK1:AM1 AN1:AW1005 AK4:AL7 AM6:AM1005 AK11:AL81 AK89:AL112 AK117:AL258 AK262:AL378 AK380:AL500 AK502:AL1005">
    <cfRule type="cellIs" dxfId="25" priority="26" operator="equal">
      <formula>"Texas State"</formula>
    </cfRule>
  </conditionalFormatting>
  <conditionalFormatting sqref="A1:AJ1005 AK1:AM1 AN1:AW1005 AK4:AL7 AM6:AM1005 AK11:AL81 AK89:AL112 AK117:AL258 AK262:AL378 AK380:AL500 AK502:AL1005">
    <cfRule type="cellIs" dxfId="26" priority="27" operator="equal">
      <formula>"Texas A&amp;M"</formula>
    </cfRule>
  </conditionalFormatting>
  <conditionalFormatting sqref="A1:AJ1005 AK1:AM1 AN1:AW1005 AK4:AL7 AM6:AM1005 AK11:AL81 AK89:AL112 AK117:AL258 AK262:AL378 AK380:AL500 AK502:AL1005">
    <cfRule type="cellIs" dxfId="27" priority="28" operator="equal">
      <formula>"Texas"</formula>
    </cfRule>
  </conditionalFormatting>
  <conditionalFormatting sqref="A1:AJ1005 AK1:AM1 AN1:AW1005 AK4:AL7 AM6:AM1005 AK11:AL81 AK89:AL112 AK117:AL258 AK262:AL378 AK380:AL500 AK502:AL1005">
    <cfRule type="cellIs" dxfId="28" priority="29" operator="equal">
      <formula>"Tennessee"</formula>
    </cfRule>
  </conditionalFormatting>
  <conditionalFormatting sqref="A1:AJ1005 AK1:AM1 AN1:AW1005 AK4:AL7 AM6:AM1005 AK11:AL81 AK89:AL112 AK117:AL258 AK262:AL378 AK380:AL500 AK502:AL1005">
    <cfRule type="cellIs" dxfId="29" priority="30" operator="equal">
      <formula>"Temple"</formula>
    </cfRule>
  </conditionalFormatting>
  <conditionalFormatting sqref="A1:AJ1005 AK1:AM1 AN1:AW1005 AK4:AL7 AM6:AM1005 AK11:AL81 AK89:AL112 AK117:AL258 AK262:AL378 AK380:AL500 AK502:AL1005">
    <cfRule type="cellIs" dxfId="30" priority="31" operator="equal">
      <formula>"TCU"</formula>
    </cfRule>
  </conditionalFormatting>
  <conditionalFormatting sqref="A1:AJ1005 AK1:AM1 AN1:AW1005 AK4:AL7 AM6:AM1005 AK11:AL81 AK89:AL112 AK117:AL258 AK262:AL378 AK380:AL500 AK502:AL1005">
    <cfRule type="cellIs" dxfId="31" priority="32" operator="equal">
      <formula>"Syracuse"</formula>
    </cfRule>
  </conditionalFormatting>
  <conditionalFormatting sqref="A1:AJ1005 AK1:AM1 AN1:AW1005 AK4:AL7 AM6:AM1005 AK11:AL81 AK89:AL112 AK117:AL258 AK262:AL378 AK380:AL500 AK502:AL1005">
    <cfRule type="cellIs" dxfId="32" priority="33" operator="equal">
      <formula>"Stanford"</formula>
    </cfRule>
  </conditionalFormatting>
  <conditionalFormatting sqref="A1:AJ1005 AK1:AM1 AN1:AW1005 AK4:AL7 AM6:AM1005 AK11:AL81 AK89:AL112 AK117:AL258 AK262:AL378 AK380:AL500 AK502:AL1005">
    <cfRule type="cellIs" dxfId="33" priority="34" operator="equal">
      <formula>"Southern Mississippi"</formula>
    </cfRule>
  </conditionalFormatting>
  <conditionalFormatting sqref="A1:AJ1005 AK1:AM1 AN1:AW1005 AK4:AL7 AM6:AM1005 AK11:AL81 AK89:AL112 AK117:AL258 AK262:AL378 AK380:AL500 AK502:AL1005">
    <cfRule type="cellIs" dxfId="34" priority="35" operator="equal">
      <formula>"Southern Methodist"</formula>
    </cfRule>
  </conditionalFormatting>
  <conditionalFormatting sqref="A1:AJ1005 AK1:AM1 AN1:AW1005 AK4:AL7 AM6:AM1005 AK11:AL81 AK89:AL112 AK117:AL258 AK262:AL378 AK380:AL500 AK502:AL1005">
    <cfRule type="cellIs" dxfId="35" priority="36" operator="equal">
      <formula>"Southern Cal"</formula>
    </cfRule>
  </conditionalFormatting>
  <conditionalFormatting sqref="A1:AJ1005 AK1:AM1 AN1:AW1005 AK4:AL7 AM6:AM1005 AK11:AL81 AK89:AL112 AK117:AL258 AK262:AL378 AK380:AL500 AK502:AL1005">
    <cfRule type="cellIs" dxfId="36" priority="37" operator="equal">
      <formula>"South Florida"</formula>
    </cfRule>
  </conditionalFormatting>
  <conditionalFormatting sqref="A1:AJ1005 AK1:AM1 AN1:AW1005 AK4:AL7 AM6:AM1005 AK11:AL81 AK89:AL112 AK117:AL258 AK262:AL378 AK380:AL500 AK502:AL1005">
    <cfRule type="cellIs" dxfId="37" priority="38" operator="equal">
      <formula>"South Carolina"</formula>
    </cfRule>
  </conditionalFormatting>
  <conditionalFormatting sqref="A1:AJ1005 AK1:AM1 AN1:AW1005 AK4:AL7 AM6:AM1005 AK11:AL81 AK89:AL112 AK117:AL258 AK262:AL378 AK380:AL500 AK502:AL1005">
    <cfRule type="cellIs" dxfId="38" priority="39" operator="equal">
      <formula>"South Alabama"</formula>
    </cfRule>
  </conditionalFormatting>
  <conditionalFormatting sqref="A1:AJ1005 AK1:AM1 AN1:AW1005 AK4:AL7 AM6:AM1005 AK11:AL81 AK89:AL112 AK117:AL258 AK262:AL378 AK380:AL500 AK502:AL1005">
    <cfRule type="cellIs" dxfId="39" priority="40" operator="equal">
      <formula>"San Jose State"</formula>
    </cfRule>
  </conditionalFormatting>
  <conditionalFormatting sqref="A1:AJ1005 AK1:AM1 AN1:AW1005 AK4:AL7 AM6:AM1005 AK11:AL81 AK89:AL112 AK117:AL258 AK262:AL378 AK380:AL500 AK502:AL1005">
    <cfRule type="cellIs" dxfId="40" priority="41" operator="equal">
      <formula>"San Diego State"</formula>
    </cfRule>
  </conditionalFormatting>
  <conditionalFormatting sqref="A1:AJ1005 AK1:AM1 AN1:AW1005 AK4:AL7 AM6:AM1005 AK11:AL81 AK89:AL112 AK117:AL258 AK262:AL378 AK380:AL500 AK502:AL1005">
    <cfRule type="cellIs" dxfId="41" priority="42" operator="equal">
      <formula>"Rutgers"</formula>
    </cfRule>
  </conditionalFormatting>
  <conditionalFormatting sqref="A1:AJ1005 AK1:AM1 AN1:AW1005 AK4:AL7 AM6:AM1005 AK11:AL81 AK89:AL112 AK117:AL258 AK262:AL378 AK380:AL500 AK502:AL1005">
    <cfRule type="cellIs" dxfId="42" priority="43" operator="equal">
      <formula>"Rice"</formula>
    </cfRule>
  </conditionalFormatting>
  <conditionalFormatting sqref="A1:AJ1005 AK1:AM1 AN1:AW1005 AK4:AL7 AM6:AM1005 AK11:AL81 AK89:AL112 AK117:AL258 AK262:AL378 AK380:AL500 AK502:AL1005">
    <cfRule type="cellIs" dxfId="43" priority="44" operator="equal">
      <formula>"Purdue"</formula>
    </cfRule>
  </conditionalFormatting>
  <conditionalFormatting sqref="A1:AJ1005 AK1:AM1 AN1:AW1005 AK4:AL7 AM6:AM1005 AK11:AL81 AK89:AL112 AK117:AL258 AK262:AL378 AK380:AL500 AK502:AL1005">
    <cfRule type="cellIs" dxfId="44" priority="45" operator="equal">
      <formula>"Pittsburgh"</formula>
    </cfRule>
  </conditionalFormatting>
  <conditionalFormatting sqref="A1:AJ1005 AK1:AM1 AN1:AW1005 AK4:AL7 AM6:AM1005 AK11:AL81 AK89:AL112 AK117:AL258 AK262:AL378 AK380:AL500 AK502:AL1005">
    <cfRule type="cellIs" dxfId="45" priority="46" operator="equal">
      <formula>"Penn State"</formula>
    </cfRule>
  </conditionalFormatting>
  <conditionalFormatting sqref="A1:AJ1005 AK1:AM1 AN1:AW1005 AK4:AL7 AM6:AM1005 AK11:AL81 AK89:AL112 AK117:AL258 AK262:AL378 AK380:AL500 AK502:AL1005">
    <cfRule type="cellIs" dxfId="46" priority="47" operator="equal">
      <formula>"Oregon State"</formula>
    </cfRule>
  </conditionalFormatting>
  <conditionalFormatting sqref="A1:AJ1005 AK1:AM1 AN1:AW1005 AK4:AL7 AM6:AM1005 AK11:AL81 AK89:AL112 AK117:AL258 AK262:AL378 AK380:AL500 AK502:AL1005">
    <cfRule type="cellIs" dxfId="47" priority="48" operator="equal">
      <formula>"Oregon"</formula>
    </cfRule>
  </conditionalFormatting>
  <conditionalFormatting sqref="A1:AJ1005 AK1:AM1 AN1:AW1005 AK4:AL7 AM6:AM1005 AK11:AL81 AK89:AL112 AK117:AL258 AK262:AL378 AK380:AL500 AK502:AL1005">
    <cfRule type="cellIs" dxfId="48" priority="49" operator="equal">
      <formula>"Old Dominion"</formula>
    </cfRule>
  </conditionalFormatting>
  <conditionalFormatting sqref="A1:AJ1005 AK1:AM1 AN1:AW1005 AK4:AL7 AM6:AM1005 AK11:AL81 AK89:AL112 AK117:AL258 AK262:AL378 AK380:AL500 AK502:AL1005">
    <cfRule type="cellIs" dxfId="49" priority="50" operator="equal">
      <formula>"Oklahoma State"</formula>
    </cfRule>
  </conditionalFormatting>
  <conditionalFormatting sqref="A1:AJ1005 AK1:AM1 AN1:AW1005 AK4:AL7 AM6:AM1005 AK11:AL81 AK89:AL112 AK117:AL258 AK262:AL378 AK380:AL500 AK502:AL1005">
    <cfRule type="cellIs" dxfId="50" priority="51" operator="equal">
      <formula>"Oklahoma"</formula>
    </cfRule>
  </conditionalFormatting>
  <conditionalFormatting sqref="A1:AJ1005 AK1:AM1 AN1:AW1005 AK4:AL7 AM6:AM1005 AK11:AL81 AK89:AL112 AK117:AL258 AK262:AL378 AK380:AL500 AK502:AL1005">
    <cfRule type="cellIs" dxfId="51" priority="52" operator="equal">
      <formula>"Ohio State"</formula>
    </cfRule>
  </conditionalFormatting>
  <conditionalFormatting sqref="A1:AJ1005 AK1:AM1 AN1:AW1005 AK4:AL7 AM6:AM1005 AK11:AL81 AK89:AL112 AK117:AL258 AK262:AL378 AK380:AL500 AK502:AL1005">
    <cfRule type="cellIs" dxfId="52" priority="53" operator="equal">
      <formula>"Ohio"</formula>
    </cfRule>
  </conditionalFormatting>
  <conditionalFormatting sqref="A1:AJ1005 AK1:AM1 AN1:AW1005 AK4:AL7 AM6:AM1005 AK11:AL81 AK89:AL112 AK117:AL258 AK262:AL378 AK380:AL500 AK502:AL1005">
    <cfRule type="cellIs" dxfId="53" priority="54" operator="equal">
      <formula>"Notre Dame"</formula>
    </cfRule>
  </conditionalFormatting>
  <conditionalFormatting sqref="A1:AJ1005 AK1:AM1 AN1:AW1005 AK4:AL7 AM6:AM1005 AK11:AL81 AK89:AL112 AK117:AL258 AK262:AL378 AK380:AL500 AK502:AL1005">
    <cfRule type="cellIs" dxfId="54" priority="55" operator="equal">
      <formula>"Northwestern"</formula>
    </cfRule>
  </conditionalFormatting>
  <conditionalFormatting sqref="A1:AJ1005 AK1:AM1 AN1:AW1005 AK4:AL7 AM6:AM1005 AK11:AL81 AK89:AL112 AK117:AL258 AK262:AL378 AK380:AL500 AK502:AL1005">
    <cfRule type="cellIs" dxfId="55" priority="56" operator="equal">
      <formula>"Northern Illinois"</formula>
    </cfRule>
  </conditionalFormatting>
  <conditionalFormatting sqref="A1:AJ1005 AK1:AM1 AN1:AW1005 AK4:AL7 AM6:AM1005 AK11:AL81 AK89:AL112 AK117:AL258 AK262:AL378 AK380:AL500 AK502:AL1005">
    <cfRule type="cellIs" dxfId="56" priority="57" operator="equal">
      <formula>"North Texas"</formula>
    </cfRule>
  </conditionalFormatting>
  <conditionalFormatting sqref="A1:AJ1005 AK1:AM1 AN1:AW1005 AK4:AL7 AM6:AM1005 AK11:AL81 AK89:AL112 AK117:AL258 AK262:AL378 AK380:AL500 AK502:AL1005">
    <cfRule type="cellIs" dxfId="57" priority="58" operator="equal">
      <formula>"North Carolina"</formula>
    </cfRule>
  </conditionalFormatting>
  <conditionalFormatting sqref="A1:AJ1005 AK1:AM1 AN1:AW1005 AK4:AL7 AM6:AM1005 AK11:AL81 AK89:AL112 AK117:AL258 AK262:AL378 AK380:AL500 AK502:AL1005">
    <cfRule type="cellIs" dxfId="58" priority="59" operator="equal">
      <formula>"New Mexico State"</formula>
    </cfRule>
  </conditionalFormatting>
  <conditionalFormatting sqref="A1:AJ1005 AK1:AM1 AN1:AW1005 AK4:AL7 AM6:AM1005 AK11:AL81 AK89:AL112 AK117:AL258 AK262:AL378 AK380:AL500 AK502:AL1005">
    <cfRule type="cellIs" dxfId="59" priority="60" operator="equal">
      <formula>"New Mexico"</formula>
    </cfRule>
  </conditionalFormatting>
  <conditionalFormatting sqref="A1:AJ1005 AK1:AM1 AN1:AW1005 AK4:AL7 AM6:AM1005 AK11:AL81 AK89:AL112 AK117:AL258 AK262:AL378 AK380:AL500 AK502:AL1005">
    <cfRule type="cellIs" dxfId="60" priority="61" operator="equal">
      <formula>"Nevada"</formula>
    </cfRule>
  </conditionalFormatting>
  <conditionalFormatting sqref="A1:AJ1005 AK1:AM1 AN1:AW1005 AK4:AL7 AM6:AM1005 AK11:AL81 AK89:AL112 AK117:AL258 AK262:AL378 AK380:AL500 AK502:AL1005">
    <cfRule type="cellIs" dxfId="61" priority="62" operator="equal">
      <formula>"Nebraska"</formula>
    </cfRule>
  </conditionalFormatting>
  <conditionalFormatting sqref="A1:AJ1005 AK1:AM1 AN1:AW1005 AK4:AL7 AM6:AM1005 AK11:AL81 AK89:AL112 AK117:AL258 AK262:AL378 AK380:AL500 AK502:AL1005">
    <cfRule type="cellIs" dxfId="62" priority="63" operator="equal">
      <formula>"North Carolina State"</formula>
    </cfRule>
  </conditionalFormatting>
  <conditionalFormatting sqref="A1:AJ1005 AK1:AM1 AN1:AW1005 AK4:AL7 AM6:AM1005 AK11:AL81 AK89:AL112 AK117:AL258 AK262:AL378 AK380:AL500 AK502:AL1005">
    <cfRule type="cellIs" dxfId="63" priority="64" operator="equal">
      <formula>"Navy"</formula>
    </cfRule>
  </conditionalFormatting>
  <conditionalFormatting sqref="A1:AJ1005 AK1:AM1 AN1:AW1005 AK4:AL7 AM6:AM1005 AK11:AL81 AK89:AL112 AK117:AL258 AK262:AL378 AK380:AL500 AK502:AL1005">
    <cfRule type="cellIs" dxfId="64" priority="65" operator="equal">
      <formula>"Missouri"</formula>
    </cfRule>
  </conditionalFormatting>
  <conditionalFormatting sqref="A1:AJ1005 AK1:AM1 AN1:AW1005 AK4:AL7 AM6:AM1005 AK11:AL81 AK89:AL112 AK117:AL258 AK262:AL378 AK380:AL500 AK502:AL1005">
    <cfRule type="cellIs" dxfId="65" priority="66" operator="equal">
      <formula>"Mississippi State"</formula>
    </cfRule>
  </conditionalFormatting>
  <conditionalFormatting sqref="A1:AJ1005 AK1:AM1 AN1:AW1005 AK4:AL7 AM6:AM1005 AK11:AL81 AK89:AL112 AK117:AL258 AK262:AL378 AK380:AL500 AK502:AL1005">
    <cfRule type="cellIs" dxfId="66" priority="67" operator="equal">
      <formula>"Mississippi"</formula>
    </cfRule>
  </conditionalFormatting>
  <conditionalFormatting sqref="A1:AJ1005 AK1:AM1 AN1:AW1005 AK4:AL7 AM6:AM1005 AK11:AL81 AK89:AL112 AK117:AL258 AK262:AL378 AK380:AL500 AK502:AL1005">
    <cfRule type="cellIs" dxfId="67" priority="68" operator="equal">
      <formula>"Minnesota"</formula>
    </cfRule>
  </conditionalFormatting>
  <conditionalFormatting sqref="A1:AJ1005 AK1:AM1 AN1:AW1005 AK4:AL7 AM6:AM1005 AK11:AL81 AK89:AL112 AK117:AL258 AK262:AL378 AK380:AL500 AK502:AL1005">
    <cfRule type="cellIs" dxfId="68" priority="69" operator="equal">
      <formula>"Middle Tennessee"</formula>
    </cfRule>
  </conditionalFormatting>
  <conditionalFormatting sqref="A1:AJ1005 AK1:AM1 AN1:AW1005 AK4:AL7 AM6:AM1005 AK11:AL81 AK89:AL112 AK117:AL258 AK262:AL378 AK380:AL500 AK502:AL1005">
    <cfRule type="cellIs" dxfId="69" priority="70" operator="equal">
      <formula>"Michigan State"</formula>
    </cfRule>
  </conditionalFormatting>
  <conditionalFormatting sqref="A1:AJ1005 AK1:AM1 AN1:AW1005 AK4:AL7 AM6:AM1005 AK11:AL81 AK89:AL112 AK117:AL258 AK262:AL378 AK380:AL500 AK502:AL1005">
    <cfRule type="cellIs" dxfId="70" priority="71" operator="equal">
      <formula>"Michigan"</formula>
    </cfRule>
  </conditionalFormatting>
  <conditionalFormatting sqref="A1:AJ1005 AK1:AM1 AN1:AW1005 AK4:AL7 AM6:AM1005 AK11:AL81 AK89:AL112 AK117:AL258 AK262:AL378 AK380:AL500 AK502:AL1005">
    <cfRule type="cellIs" dxfId="71" priority="72" operator="equal">
      <formula>"Miami (OH)"</formula>
    </cfRule>
  </conditionalFormatting>
  <conditionalFormatting sqref="A1:AJ1005 AK1:AM1 AN1:AW1005 AK4:AL7 AM6:AM1005 AK11:AL81 AK89:AL112 AK117:AL258 AK262:AL378 AK380:AL500 AK502:AL1005">
    <cfRule type="cellIs" dxfId="72" priority="73" operator="equal">
      <formula>"Miami"</formula>
    </cfRule>
  </conditionalFormatting>
  <conditionalFormatting sqref="A1:AJ1005 AK1:AM1 AN1:AW1005 AK4:AL7 AM6:AM1005 AK11:AL81 AK89:AL112 AK117:AL258 AK262:AL378 AK380:AL500 AK502:AL1005">
    <cfRule type="cellIs" dxfId="73" priority="74" operator="equal">
      <formula>"Memphis"</formula>
    </cfRule>
  </conditionalFormatting>
  <conditionalFormatting sqref="A1:AJ1005 AK1:AM1 AN1:AW1005 AK4:AL7 AM6:AM1005 AK11:AL81 AK89:AL112 AK117:AL258 AK262:AL378 AK380:AL500 AK502:AL1005">
    <cfRule type="cellIs" dxfId="74" priority="75" operator="equal">
      <formula>"Massachusetts"</formula>
    </cfRule>
  </conditionalFormatting>
  <conditionalFormatting sqref="A1:AJ1005 AK1:AM1 AN1:AW1005 AK4:AL7 AM6:AM1005 AK11:AL81 AK89:AL112 AK117:AL258 AK262:AL378 AK380:AL500 AK502:AL1005">
    <cfRule type="cellIs" dxfId="75" priority="76" operator="equal">
      <formula>"Maryland"</formula>
    </cfRule>
  </conditionalFormatting>
  <conditionalFormatting sqref="A1:AJ1005 AK1:AM1 AN1:AW1005 AK4:AL7 AM6:AM1005 AK11:AL81 AK89:AL112 AK117:AL258 AK262:AL378 AK380:AL500 AK502:AL1005">
    <cfRule type="cellIs" dxfId="76" priority="77" operator="equal">
      <formula>"Marshall"</formula>
    </cfRule>
  </conditionalFormatting>
  <conditionalFormatting sqref="A1:AJ1005 AK1:AM1 AN1:AW1005 AK4:AL7 AM6:AM1005 AK11:AL81 AK89:AL112 AK117:AL258 AK262:AL378 AK380:AL500 AK502:AL1005">
    <cfRule type="cellIs" dxfId="77" priority="78" operator="equal">
      <formula>"LSU"</formula>
    </cfRule>
  </conditionalFormatting>
  <conditionalFormatting sqref="A1:AJ1005 AK1:AM1 AN1:AW1005 AK4:AL7 AM6:AM1005 AK11:AL81 AK89:AL112 AK117:AL258 AK262:AL378 AK380:AL500 AK502:AL1005">
    <cfRule type="cellIs" dxfId="78" priority="79" operator="equal">
      <formula>"Louisville"</formula>
    </cfRule>
  </conditionalFormatting>
  <conditionalFormatting sqref="A1:AJ1005 AK1:AM1 AN1:AW1005 AK4:AL7 AM6:AM1005 AK11:AL81 AK89:AL112 AK117:AL258 AK262:AL378 AK380:AL500 AK502:AL1005">
    <cfRule type="cellIs" dxfId="79" priority="80" operator="equal">
      <formula>"Louisiana Tech"</formula>
    </cfRule>
  </conditionalFormatting>
  <conditionalFormatting sqref="A1:AJ1005 AK1:AM1 AN1:AW1005 AK4:AL7 AM6:AM1005 AK11:AL81 AK89:AL112 AK117:AL258 AK262:AL378 AK380:AL500 AK502:AL1005">
    <cfRule type="cellIs" dxfId="80" priority="81" operator="equal">
      <formula>"Liberty"</formula>
    </cfRule>
  </conditionalFormatting>
  <conditionalFormatting sqref="A1:AJ1005 AK1:AM1 AN1:AW1005 AK4:AL7 AM6:AM1005 AK11:AL81 AK89:AL112 AK117:AL258 AK262:AL378 AK380:AL500 AK502:AL1005">
    <cfRule type="cellIs" dxfId="81" priority="82" operator="equal">
      <formula>"Kentucky"</formula>
    </cfRule>
  </conditionalFormatting>
  <conditionalFormatting sqref="A1:AJ1005 AK1:AM1 AN1:AW1005 AK4:AL7 AM6:AM1005 AK11:AL81 AK89:AL112 AK117:AL258 AK262:AL378 AK380:AL500 AK502:AL1005">
    <cfRule type="cellIs" dxfId="82" priority="83" operator="equal">
      <formula>"Kent State"</formula>
    </cfRule>
  </conditionalFormatting>
  <conditionalFormatting sqref="A1:AJ1005 AK1:AM1 AN1:AW1005 AK4:AL7 AM6:AM1005 AK11:AL81 AK89:AL112 AK117:AL258 AK262:AL378 AK380:AL500 AK502:AL1005">
    <cfRule type="cellIs" dxfId="83" priority="84" operator="equal">
      <formula>"Kansas State"</formula>
    </cfRule>
  </conditionalFormatting>
  <conditionalFormatting sqref="A1:AJ1005 AK1:AM1 AN1:AW1005 AK4:AL7 AM6:AM1005 AK11:AL81 AK89:AL112 AK117:AL258 AK262:AL378 AK380:AL500 AK502:AL1005">
    <cfRule type="cellIs" dxfId="84" priority="85" operator="equal">
      <formula>"Kansas"</formula>
    </cfRule>
  </conditionalFormatting>
  <conditionalFormatting sqref="A1:AJ1005 AK1:AM1 AN1:AW1005 AK4:AL7 AM6:AM1005 AK11:AL81 AK89:AL112 AK117:AL258 AK262:AL378 AK380:AL500 AK502:AL1005">
    <cfRule type="cellIs" dxfId="85" priority="86" operator="equal">
      <formula>"Iowa State"</formula>
    </cfRule>
  </conditionalFormatting>
  <conditionalFormatting sqref="A1:AJ1005 AK1:AM1 AN1:AW1005 AK4:AL7 AM6:AM1005 AK11:AL81 AK89:AL112 AK117:AL258 AK262:AL378 AK380:AL500 AK502:AL1005">
    <cfRule type="cellIs" dxfId="86" priority="87" operator="equal">
      <formula>"Iowa"</formula>
    </cfRule>
  </conditionalFormatting>
  <conditionalFormatting sqref="A1:AJ1005 AK1:AM1 AN1:AW1005 AK4:AL7 AM6:AM1005 AK11:AL81 AK89:AL112 AK117:AL258 AK262:AL378 AK380:AL500 AK502:AL1005">
    <cfRule type="cellIs" dxfId="87" priority="88" operator="equal">
      <formula>"Indiana"</formula>
    </cfRule>
  </conditionalFormatting>
  <conditionalFormatting sqref="A1:AJ1005 AK1:AM1 AN1:AW1005 AK4:AL7 AM6:AM1005 AK11:AL81 AK89:AL112 AK117:AL258 AK262:AL378 AK380:AL500 AK502:AL1005">
    <cfRule type="cellIs" dxfId="88" priority="89" operator="equal">
      <formula>"Illinois"</formula>
    </cfRule>
  </conditionalFormatting>
  <conditionalFormatting sqref="A1:AJ1005 AK1:AM1 AN1:AW1005 AK4:AL7 AM6:AM1005 AK11:AL81 AK89:AL112 AK117:AL258 AK262:AL378 AK380:AL500 AK502:AL1005">
    <cfRule type="cellIs" dxfId="89" priority="90" operator="equal">
      <formula>"Idaho"</formula>
    </cfRule>
  </conditionalFormatting>
  <conditionalFormatting sqref="A1:AJ1005 AK1:AM1 AN1:AW1005 AK4:AL7 AM6:AM1005 AK11:AL81 AK89:AL112 AK117:AL258 AK262:AL378 AK380:AL500 AK502:AL1005">
    <cfRule type="cellIs" dxfId="90" priority="91" operator="equal">
      <formula>"Houston"</formula>
    </cfRule>
  </conditionalFormatting>
  <conditionalFormatting sqref="A1:AJ1005 AK1:AM1 AN1:AW1005 AK4:AL7 AM6:AM1005 AK11:AL81 AK89:AL112 AK117:AL258 AK262:AL378 AK380:AL500 AK502:AL1005">
    <cfRule type="cellIs" dxfId="91" priority="92" operator="equal">
      <formula>"Hawaii"</formula>
    </cfRule>
  </conditionalFormatting>
  <conditionalFormatting sqref="A1:AJ1005 AK1:AM1 AN1:AW1005 AK4:AL7 AM6:AM1005 AK11:AL81 AK89:AL112 AK117:AL258 AK262:AL378 AK380:AL500 AK502:AL1005">
    <cfRule type="cellIs" dxfId="92" priority="93" operator="equal">
      <formula>"Georgia Tech"</formula>
    </cfRule>
  </conditionalFormatting>
  <conditionalFormatting sqref="A1:AJ1005 AK1:AM1 AN1:AW1005 AK4:AL7 AM6:AM1005 AK11:AL81 AK89:AL112 AK117:AL258 AK262:AL378 AK380:AL500 AK502:AL1005">
    <cfRule type="cellIs" dxfId="93" priority="94" operator="equal">
      <formula>"Georgia State"</formula>
    </cfRule>
  </conditionalFormatting>
  <conditionalFormatting sqref="A1:AJ1005 AK1:AM1 AN1:AW1005 AK4:AL7 AM6:AM1005 AK11:AL81 AK89:AL112 AK117:AL258 AK262:AL378 AK380:AL500 AK502:AL1005">
    <cfRule type="cellIs" dxfId="94" priority="95" operator="equal">
      <formula>"Georgia Southern"</formula>
    </cfRule>
  </conditionalFormatting>
  <conditionalFormatting sqref="A1:AJ1005 AK1:AM1 AN1:AW1005 AK4:AL7 AM6:AM1005 AK11:AL81 AK89:AL112 AK117:AL258 AK262:AL378 AK380:AL500 AK502:AL1005">
    <cfRule type="cellIs" dxfId="95" priority="96" operator="equal">
      <formula>"Georgia"</formula>
    </cfRule>
  </conditionalFormatting>
  <conditionalFormatting sqref="A1:AJ1005 AK1:AM1 AN1:AW1005 AK4:AL7 AM6:AM1005 AK11:AL81 AK89:AL112 AK117:AL258 AK262:AL378 AK380:AL500 AK502:AL1005">
    <cfRule type="cellIs" dxfId="96" priority="97" operator="equal">
      <formula>"Fresno State"</formula>
    </cfRule>
  </conditionalFormatting>
  <conditionalFormatting sqref="A1:AJ1005 AK1:AM1 AN1:AW1005 AK4:AL7 AM6:AM1005 AK11:AL81 AK89:AL112 AK117:AL258 AK262:AL378 AK380:AL500 AK502:AL1005">
    <cfRule type="cellIs" dxfId="97" priority="98" operator="equal">
      <formula>"Florida State"</formula>
    </cfRule>
  </conditionalFormatting>
  <conditionalFormatting sqref="A1:AJ1005 AK1:AM1 AN1:AW1005 AK4:AL7 AM6:AM1005 AK11:AL81 AK89:AL112 AK117:AL258 AK262:AL378 AK380:AL500 AK502:AL1005">
    <cfRule type="cellIs" dxfId="98" priority="99" operator="equal">
      <formula>"Florida International"</formula>
    </cfRule>
  </conditionalFormatting>
  <conditionalFormatting sqref="A1:AJ1005 AK1:AM1 AN1:AW1005 AK4:AL7 AM6:AM1005 AK11:AL81 AK89:AL112 AK117:AL258 AK262:AL378 AK380:AL500 AK502:AL1005">
    <cfRule type="cellIs" dxfId="99" priority="100" operator="equal">
      <formula>"Florida Atlantic"</formula>
    </cfRule>
  </conditionalFormatting>
  <conditionalFormatting sqref="A1:AJ1005 AK1:AM1 AN1:AW1005 AK4:AL7 AM6:AM1005 AK11:AL81 AK89:AL112 AK117:AL258 AK262:AL378 AK380:AL500 AK502:AL1005">
    <cfRule type="cellIs" dxfId="100" priority="101" operator="equal">
      <formula>"Florida"</formula>
    </cfRule>
  </conditionalFormatting>
  <conditionalFormatting sqref="A1:AJ1005 AK1:AM1 AN1:AW1005 AK4:AL7 AM6:AM1005 AK11:AL81 AK89:AL112 AK117:AL258 AK262:AL378 AK380:AL500 AK502:AL1005">
    <cfRule type="cellIs" dxfId="101" priority="102" operator="equal">
      <formula>"Eastern Michigan"</formula>
    </cfRule>
  </conditionalFormatting>
  <conditionalFormatting sqref="A1:AJ1005 AK1:AM1 AN1:AW1005 AK4:AL7 AM6:AM1005 AK11:AL81 AK89:AL112 AK117:AL258 AK262:AL378 AK380:AL500 AK502:AL1005">
    <cfRule type="cellIs" dxfId="102" priority="103" operator="equal">
      <formula>"East Carolina"</formula>
    </cfRule>
  </conditionalFormatting>
  <conditionalFormatting sqref="A1:AJ1005 AK1:AM1 AN1:AW1005 AK4:AL7 AM6:AM1005 AK11:AL81 AK89:AL112 AK117:AL258 AK262:AL378 AK380:AL500 AK502:AL1005">
    <cfRule type="cellIs" dxfId="103" priority="104" operator="equal">
      <formula>"Duke"</formula>
    </cfRule>
  </conditionalFormatting>
  <conditionalFormatting sqref="A1:AJ1005 AK1:AM1 AN1:AW1005 AK4:AL7 AM6:AM1005 AK11:AL81 AK89:AL112 AK117:AL258 AK262:AL378 AK380:AL500 AK502:AL1005">
    <cfRule type="cellIs" dxfId="104" priority="105" operator="equal">
      <formula>"Connecticut"</formula>
    </cfRule>
  </conditionalFormatting>
  <conditionalFormatting sqref="A1:AJ1005 AK1:AM1 AN1:AW1005 AK4:AL7 AM6:AM1005 AK11:AL81 AK89:AL112 AK117:AL258 AK262:AL378 AK380:AL500 AK502:AL1005">
    <cfRule type="cellIs" dxfId="105" priority="106" operator="equal">
      <formula>"Colorado State"</formula>
    </cfRule>
  </conditionalFormatting>
  <conditionalFormatting sqref="A1:AJ1005 AK1:AM1 AN1:AW1005 AK4:AL7 AM6:AM1005 AK11:AL81 AK89:AL112 AK117:AL258 AK262:AL378 AK380:AL500 AK502:AL1005">
    <cfRule type="cellIs" dxfId="106" priority="107" operator="equal">
      <formula>"Colorado"</formula>
    </cfRule>
  </conditionalFormatting>
  <conditionalFormatting sqref="A1:AJ1005 AK1:AM1 AN1:AW1005 AK4:AL7 AM6:AM1005 AK11:AL81 AK89:AL112 AK117:AL258 AK262:AL378 AK380:AL500 AK502:AL1005">
    <cfRule type="cellIs" dxfId="107" priority="108" operator="equal">
      <formula>"Coastal Carolina"</formula>
    </cfRule>
  </conditionalFormatting>
  <conditionalFormatting sqref="A1:AJ1005 AK1:AM1 AN1:AW1005 AK4:AL7 AM6:AM1005 AK11:AL81 AK89:AL112 AK117:AL258 AK262:AL378 AK380:AL500 AK502:AL1005">
    <cfRule type="cellIs" dxfId="108" priority="109" operator="equal">
      <formula>"Clemson"</formula>
    </cfRule>
  </conditionalFormatting>
  <conditionalFormatting sqref="A1:AJ1005 AK1:AM1 AN1:AW1005 AK4:AL7 AM6:AM1005 AK11:AL81 AK89:AL112 AK117:AL258 AK262:AL378 AK380:AL500 AK502:AL1005">
    <cfRule type="cellIs" dxfId="109" priority="110" operator="equal">
      <formula>"Cincinnati"</formula>
    </cfRule>
  </conditionalFormatting>
  <conditionalFormatting sqref="A1:AJ1005 AK1:AM1 AN1:AW1005 AK4:AL7 AM6:AM1005 AK11:AL81 AK89:AL112 AK117:AL258 AK262:AL378 AK380:AL500 AK502:AL1005">
    <cfRule type="cellIs" dxfId="110" priority="111" operator="equal">
      <formula>"Charlotte"</formula>
    </cfRule>
  </conditionalFormatting>
  <conditionalFormatting sqref="A1:AJ1005 AK1:AM1 AN1:AW1005 AK4:AL7 AM6:AM1005 AK11:AL81 AK89:AL112 AK117:AL258 AK262:AL378 AK380:AL500 AK502:AL1005">
    <cfRule type="cellIs" dxfId="111" priority="112" operator="equal">
      <formula>"Central Michigan"</formula>
    </cfRule>
  </conditionalFormatting>
  <conditionalFormatting sqref="A1:AJ1005 AK1:AM1 AN1:AW1005 AK4:AL7 AM6:AM1005 AK11:AL81 AK89:AL112 AK117:AL258 AK262:AL378 AK380:AL500 AK502:AL1005">
    <cfRule type="cellIs" dxfId="112" priority="113" operator="equal">
      <formula>"Central Florida"</formula>
    </cfRule>
  </conditionalFormatting>
  <conditionalFormatting sqref="A1:AJ1005 AK1:AM1 AN1:AW1005 AK4:AL7 AM6:AM1005 AK11:AL81 AK89:AL112 AK117:AL258 AK262:AL378 AK380:AL500 AK502:AL1005">
    <cfRule type="cellIs" dxfId="113" priority="114" operator="equal">
      <formula>"California"</formula>
    </cfRule>
  </conditionalFormatting>
  <conditionalFormatting sqref="A1:AJ1005 AK1:AM1 AN1:AW1005 AK4:AL7 AM6:AM1005 AK11:AL81 AK89:AL112 AK117:AL258 AK262:AL378 AK380:AL500 AK502:AL1005">
    <cfRule type="cellIs" dxfId="114" priority="115" operator="equal">
      <formula>"BYU"</formula>
    </cfRule>
  </conditionalFormatting>
  <conditionalFormatting sqref="A1:AJ1005 AK1:AM1 AN1:AW1005 AK4:AL7 AM6:AM1005 AK11:AL81 AK89:AL112 AK117:AL258 AK262:AL378 AK380:AL500 AK502:AL1005">
    <cfRule type="cellIs" dxfId="115" priority="116" operator="equal">
      <formula>"Buffalo"</formula>
    </cfRule>
  </conditionalFormatting>
  <conditionalFormatting sqref="A1:AJ1005 AK1:AM1 AN1:AW1005 AK4:AL7 AM6:AM1005 AK11:AL81 AK89:AL112 AK117:AL258 AK262:AL378 AK380:AL500 AK502:AL1005">
    <cfRule type="cellIs" dxfId="116" priority="117" operator="equal">
      <formula>"Bowling Green"</formula>
    </cfRule>
  </conditionalFormatting>
  <conditionalFormatting sqref="A1:AJ1005 AK1:AM1 AN1:AW1005 AK4:AL7 AM6:AM1005 AK11:AL81 AK89:AL112 AK117:AL258 AK262:AL378 AK380:AL500 AK502:AL1005">
    <cfRule type="cellIs" dxfId="117" priority="118" operator="equal">
      <formula>"Boston College"</formula>
    </cfRule>
  </conditionalFormatting>
  <conditionalFormatting sqref="A1:AJ1005 AK1:AM1 AN1:AW1005 AK4:AL7 AM6:AM1005 AK11:AL81 AK89:AL112 AK117:AL258 AK262:AL378 AK380:AL500 AK502:AL1005">
    <cfRule type="cellIs" dxfId="118" priority="119" operator="equal">
      <formula>"Boise State"</formula>
    </cfRule>
  </conditionalFormatting>
  <conditionalFormatting sqref="A1:AJ1005 AK1:AM1 AN1:AW1005 AK4:AL7 AM6:AM1005 AK11:AL81 AK89:AL112 AK117:AL258 AK262:AL378 AK380:AL500 AK502:AL1005">
    <cfRule type="cellIs" dxfId="119" priority="120" operator="equal">
      <formula>"Baylor"</formula>
    </cfRule>
  </conditionalFormatting>
  <conditionalFormatting sqref="A1:AJ1005 AK1:AM1 AN1:AW1005 AK4:AL7 AM6:AM1005 AK11:AL81 AK89:AL112 AK117:AL258 AK262:AL378 AK380:AL500 AK502:AL1005">
    <cfRule type="cellIs" dxfId="120" priority="121" operator="equal">
      <formula>"Ball State"</formula>
    </cfRule>
  </conditionalFormatting>
  <conditionalFormatting sqref="A1:AJ1005 AK1:AM1 AN1:AW1005 AK4:AL7 AM6:AM1005 AK11:AL81 AK89:AL112 AK117:AL258 AK262:AL378 AK380:AL500 AK502:AL1005">
    <cfRule type="cellIs" dxfId="121" priority="122" operator="equal">
      <formula>"Auburn"</formula>
    </cfRule>
  </conditionalFormatting>
  <conditionalFormatting sqref="A1:AJ1005 AK1:AM1 AN1:AW1005 AK4:AL7 AM6:AM1005 AK11:AL81 AK89:AL112 AK117:AL258 AK262:AL378 AK380:AL500 AK502:AL1005">
    <cfRule type="cellIs" dxfId="122" priority="123" operator="equal">
      <formula>"Army"</formula>
    </cfRule>
  </conditionalFormatting>
  <conditionalFormatting sqref="A1:AJ1005 AK1:AM1 AN1:AW1005 AK4:AL7 AM6:AM1005 AK11:AL81 AK89:AL112 AK117:AL258 AK262:AL378 AK380:AL500 AK502:AL1005">
    <cfRule type="cellIs" dxfId="123" priority="124" operator="equal">
      <formula>"Arkansas State"</formula>
    </cfRule>
  </conditionalFormatting>
  <conditionalFormatting sqref="A1:AJ1005 AK1:AM1 AN1:AW1005 AK4:AL7 AM6:AM1005 AK11:AL81 AK89:AL112 AK117:AL258 AK262:AL378 AK380:AL500 AK502:AL1005">
    <cfRule type="cellIs" dxfId="124" priority="125" operator="equal">
      <formula>"Arkansas"</formula>
    </cfRule>
  </conditionalFormatting>
  <conditionalFormatting sqref="A1:AJ1005 AK1:AM1 AN1:AW1005 AK4:AL7 AM6:AM1005 AK11:AL81 AK89:AL112 AK117:AL258 AK262:AL378 AK380:AL500 AK502:AL1005">
    <cfRule type="cellIs" dxfId="125" priority="126" operator="equal">
      <formula>"Arizona State"</formula>
    </cfRule>
  </conditionalFormatting>
  <conditionalFormatting sqref="A1:AJ1005 AK1:AM1 AN1:AW1005 AK4:AL7 AM6:AM1005 AK11:AL81 AK89:AL112 AK117:AL258 AK262:AL378 AK380:AL500 AK502:AL1005">
    <cfRule type="cellIs" dxfId="126" priority="127" operator="equal">
      <formula>"Arizona"</formula>
    </cfRule>
  </conditionalFormatting>
  <conditionalFormatting sqref="A1:AJ1005 AK1:AM1 AN1:AW1005 AK4:AL7 AM6:AM1005 AK11:AL81 AK89:AL112 AK117:AL258 AK262:AL378 AK380:AL500 AK502:AL1005">
    <cfRule type="cellIs" dxfId="127" priority="128" operator="equal">
      <formula>"Appalachian State"</formula>
    </cfRule>
  </conditionalFormatting>
  <conditionalFormatting sqref="A1:AJ1005 AK1:AM1 AN1:AW1005 AK4:AL7 AM6:AM1005 AK11:AL81 AK89:AL112 AK117:AL258 AK262:AL378 AK380:AL500 AK502:AL1005">
    <cfRule type="cellIs" dxfId="128" priority="129" operator="equal">
      <formula>"Alabama"</formula>
    </cfRule>
  </conditionalFormatting>
  <conditionalFormatting sqref="A1:AJ1005 AK1:AM1 AN1:AW1005 AK4:AL7 AM6:AM1005 AK11:AL81 AK89:AL112 AK117:AL258 AK262:AL378 AK380:AL500 AK502:AL1005">
    <cfRule type="cellIs" dxfId="129" priority="130" operator="equal">
      <formula>"Akron"</formula>
    </cfRule>
  </conditionalFormatting>
  <conditionalFormatting sqref="A1:AJ1005 AK1:AM1 AN1:AW1005 AK4:AL7 AM6:AM1005 AK11:AL81 AK89:AL112 AK117:AL258 AK262:AL378 AK380:AL500 AK502:AL1005">
    <cfRule type="cellIs" dxfId="130" priority="131" operator="equal">
      <formula>"Air Force"</formula>
    </cfRule>
  </conditionalFormatting>
  <conditionalFormatting sqref="V44:V1005">
    <cfRule type="cellIs" dxfId="167" priority="132" operator="equal">
      <formula>"Yes"</formula>
    </cfRule>
  </conditionalFormatting>
  <conditionalFormatting sqref="U1:U1005 Y1:Y1005 AA1:AA1005 AC1:AH1005">
    <cfRule type="cellIs" dxfId="168" priority="133" operator="equal">
      <formula>"Yes"</formula>
    </cfRule>
  </conditionalFormatting>
  <conditionalFormatting sqref="V1:V1005">
    <cfRule type="cellIs" dxfId="169" priority="134" operator="equal">
      <formula>"FCS"</formula>
    </cfRule>
  </conditionalFormatting>
  <conditionalFormatting sqref="S2:S1005">
    <cfRule type="expression" dxfId="170" priority="135">
      <formula>RANK(S2,S$1:S$1004)&lt;=10</formula>
    </cfRule>
  </conditionalFormatting>
  <conditionalFormatting sqref="Q2:Q1005">
    <cfRule type="expression" dxfId="171" priority="136">
      <formula>RANK(Q2,Q$1:Q$1004)&lt;=10</formula>
    </cfRule>
  </conditionalFormatting>
  <dataValidations>
    <dataValidation type="list" allowBlank="1" sqref="B2:C17 B19:C23 Z2:Z23 AB2:AB23 B27:C28 B30:C31 B33:C35 B37:C40 B42:C47 B49:C58 Z25:Z58 AB25:AB58 B60:C60 B62:C62 Z60:Z62 AB60:AB62 B64:C71 Z64:Z71 AB64:AB71 B73:C79 B81:C86 Z73:Z86 AB73:AB86 B88:C127 B129:C137 Z88:Z137 AB88:AB137 B139:C139 Z139 AB139 B141:C143 B145:C166 B168:C168 Z141:Z169 AB141:AB169 B171:C172 B174:C180 B182:C183 B185:C227 B229:C246 B248:C255 B257:C259 B261:C270 B272:C272 B274:C289 Z171:Z289 AB171:AB289 B291:C294 B296:C301 Z291:Z301 AB291:AB301 B303:C309 B311:C311 B313:C320 B322:C337 B339:C339 B341:C342 B344:C346 B348:C368 Z303:Z368 AB303:AB368 B370:C397 Z370:Z397 AB370:AB397 B399:C424 B426:C426 B428:C432 B434:C467 Z399:Z467 AB399:AB467 B469:C469 B471:C471 B473:C478 B480:C481 Z469:Z481 AB469:AB481 B483:C490 B492:C500 B503:C513 B515:C527 Z483:Z527 AB483:AB527 B529:C541 Z529:Z541 AB529:AB541 B543:C552 Z543:Z552 AB543:AB552 B554:C556 Z554:Z557 AB554:AB557 B559:C567 Z559:Z567 AB559:AB567 B570:C582 Z569:Z582 AB569:AB582 B584:C595 Z584:Z595 AB584:AB595 B597:C610 Z597:Z610 AB597:AB610 B612:C618 Z612:Z621 AB612:AB621 B623:C624 Z623:Z624 AB623:AB624 B626:C627 B629:C1005 W2:W1005 Z626:Z1005 AB626:AB1005">
      <formula1>WLSpread!$AJ:$AJ</formula1>
    </dataValidation>
    <dataValidation type="list" allowBlank="1" showErrorMessage="1" sqref="Z24 AB24 Z59 AB59 Z63 AB63 Z72 AB72 Z87 AB87 Z138 AB138 Z140 AB140 Z170 AB170 Z290 AB290 Z302 AB302 Z369 AB369 Z398 AB398 Z468 AB468 Z482 AB482 Z528 AB528 Z542 AB542 Z553 AB553 Z558 AB558 Z568 AB568 Z583 AB583 Z596 AB596 Z611 AB611 Z622 AB622 Z625 AB625">
      <formula1>$AJ$1:$AJ$147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71"/>
    <col customWidth="1" hidden="1" min="2" max="3" width="9.14"/>
    <col customWidth="1" min="4" max="4" width="10.14"/>
    <col customWidth="1" min="5" max="5" width="11.57"/>
    <col customWidth="1" min="6" max="6" width="10.14"/>
    <col customWidth="1" min="7" max="7" width="15.86"/>
    <col customWidth="1" hidden="1" min="8" max="8" width="9.14"/>
    <col customWidth="1" hidden="1" min="9" max="9" width="20.71"/>
    <col customWidth="1" min="10" max="10" width="14.43"/>
    <col customWidth="1" min="11" max="11" width="10.71"/>
    <col customWidth="1" min="12" max="13" width="14.43"/>
    <col customWidth="1" hidden="1" min="14" max="17" width="8.71"/>
    <col customWidth="1" min="18" max="18" width="10.14"/>
    <col customWidth="1" min="19" max="26" width="8.71"/>
  </cols>
  <sheetData>
    <row r="1">
      <c r="A1" s="6" t="s">
        <v>1</v>
      </c>
      <c r="B1" s="9" t="s">
        <v>3</v>
      </c>
      <c r="C1" s="6" t="s">
        <v>4</v>
      </c>
      <c r="D1" s="6" t="s">
        <v>6</v>
      </c>
      <c r="E1" s="11" t="s">
        <v>7</v>
      </c>
      <c r="F1" s="6" t="s">
        <v>11</v>
      </c>
      <c r="G1" s="6" t="s">
        <v>12</v>
      </c>
      <c r="H1" s="6" t="s">
        <v>14</v>
      </c>
      <c r="I1" s="4" t="s">
        <v>15</v>
      </c>
      <c r="J1" s="6" t="s">
        <v>17</v>
      </c>
      <c r="K1" s="12" t="s">
        <v>20</v>
      </c>
      <c r="L1" s="6" t="s">
        <v>22</v>
      </c>
      <c r="M1" s="6" t="s">
        <v>25</v>
      </c>
      <c r="N1" s="6" t="s">
        <v>27</v>
      </c>
      <c r="O1" s="6" t="s">
        <v>30</v>
      </c>
      <c r="P1" s="6" t="s">
        <v>32</v>
      </c>
      <c r="Q1" s="6" t="s">
        <v>35</v>
      </c>
      <c r="R1" s="6" t="s">
        <v>37</v>
      </c>
      <c r="S1" s="6"/>
      <c r="T1" s="6"/>
      <c r="U1" s="6"/>
      <c r="V1" s="6"/>
      <c r="W1" s="6"/>
      <c r="X1" s="6"/>
      <c r="Y1" s="6"/>
      <c r="Z1" s="6"/>
    </row>
    <row r="2">
      <c r="A2" s="4" t="s">
        <v>43</v>
      </c>
      <c r="B2" s="4">
        <f>COUNTIF(WLSpread!$Z$2:$Z$1048467, A2)</f>
        <v>3</v>
      </c>
      <c r="C2" s="4">
        <f>COUNTIF(WLSpread!$AB$2:$AB$1048467, A2)</f>
        <v>5</v>
      </c>
      <c r="D2" s="4" t="str">
        <f t="shared" ref="D2:D131" si="1">B2&amp;"-"&amp;C2</f>
        <v>3-5</v>
      </c>
      <c r="E2" s="19">
        <f t="shared" ref="E2:E131" si="2">B2/(SUM(B2:C2))</f>
        <v>0.375</v>
      </c>
      <c r="F2" s="4" t="s">
        <v>84</v>
      </c>
      <c r="G2" s="4" t="s">
        <v>85</v>
      </c>
      <c r="H2" s="7">
        <f>COUNTIFS(WLSpread!$Z$2:$Z$823, $A2, WLSpread!$V$2:$V$823, $F2)</f>
        <v>0</v>
      </c>
      <c r="I2" s="4">
        <f>COUNTIFS(WLSpread!$AB$2:$AB$823, $A2, WLSpread!$V$2:$V$823, $F2)</f>
        <v>4</v>
      </c>
      <c r="J2" s="4" t="str">
        <f t="shared" ref="J2:J131" si="3">H2&amp;"-"&amp;I2</f>
        <v>0-4</v>
      </c>
      <c r="K2" s="22">
        <f t="shared" ref="K2:K131" si="4">H2/(SUM(H2:I2))</f>
        <v>0</v>
      </c>
      <c r="L2" s="4" t="str">
        <f t="shared" ref="L2:L131" si="5">N2&amp;"-"&amp;O2</f>
        <v>2-1</v>
      </c>
      <c r="M2" s="4" t="str">
        <f t="shared" ref="M2:M131" si="6">P2&amp;"-"&amp;Q2</f>
        <v>1-4</v>
      </c>
      <c r="N2" s="4">
        <f>COUNTIFS(WLSpread!$Z$2:$Z$784, $A2, WLSpread!$C$2:$C$784, $A2)</f>
        <v>2</v>
      </c>
      <c r="O2" s="4">
        <f>COUNTIFS(WLSpread!$AB$2:$AB$784, $A2, WLSpread!$C$2:$C$784, $A2)</f>
        <v>1</v>
      </c>
      <c r="P2" s="4">
        <f>COUNTIFS(WLSpread!$Z$2:$Z$784, $A2, WLSpread!$B$2:$B$784, $A2)</f>
        <v>1</v>
      </c>
      <c r="Q2" s="4">
        <f>COUNTIFS(WLSpread!$AB$2:$AB$784, $A2, WLSpread!$B$2:$B$784, $A2)</f>
        <v>4</v>
      </c>
      <c r="R2" s="4">
        <f t="shared" ref="R2:R131" si="7">SUM(B2:C2)</f>
        <v>8</v>
      </c>
      <c r="S2" s="7"/>
      <c r="T2" s="7"/>
      <c r="U2" s="7"/>
      <c r="V2" s="7"/>
      <c r="W2" s="7"/>
      <c r="X2" s="7"/>
      <c r="Y2" s="7"/>
      <c r="Z2" s="7"/>
    </row>
    <row r="3">
      <c r="A3" s="4" t="s">
        <v>123</v>
      </c>
      <c r="B3" s="4">
        <f>COUNTIF(WLSpread!$Z$2:$Z$1048467, A3)</f>
        <v>1</v>
      </c>
      <c r="C3" s="4">
        <f>COUNTIF(WLSpread!$AB$2:$AB$1048467, A3)</f>
        <v>8</v>
      </c>
      <c r="D3" s="4" t="str">
        <f t="shared" si="1"/>
        <v>1-8</v>
      </c>
      <c r="E3" s="19">
        <f t="shared" si="2"/>
        <v>0.1111111111</v>
      </c>
      <c r="F3" s="4" t="s">
        <v>44</v>
      </c>
      <c r="G3" s="4" t="s">
        <v>135</v>
      </c>
      <c r="H3" s="7">
        <f>COUNTIFS(WLSpread!$Z$2:$Z$823, $A3, WLSpread!$V$2:$V$823, $F3)</f>
        <v>0</v>
      </c>
      <c r="I3" s="4">
        <f>COUNTIFS(WLSpread!$AB$2:$AB$823, $A3, WLSpread!$V$2:$V$823, $F3)</f>
        <v>7</v>
      </c>
      <c r="J3" s="4" t="str">
        <f t="shared" si="3"/>
        <v>0-7</v>
      </c>
      <c r="K3" s="22">
        <f t="shared" si="4"/>
        <v>0</v>
      </c>
      <c r="L3" s="4" t="str">
        <f t="shared" si="5"/>
        <v>1-3</v>
      </c>
      <c r="M3" s="4" t="str">
        <f t="shared" si="6"/>
        <v>0-5</v>
      </c>
      <c r="N3" s="4">
        <f>COUNTIFS(WLSpread!$Z$2:$Z$784, $A3, WLSpread!$C$2:$C$784, $A3)</f>
        <v>1</v>
      </c>
      <c r="O3" s="4">
        <f>COUNTIFS(WLSpread!$AB$2:$AB$784, $A3, WLSpread!$C$2:$C$784, $A3)</f>
        <v>3</v>
      </c>
      <c r="P3" s="4">
        <f>COUNTIFS(WLSpread!$Z$2:$Z$784, $A3, WLSpread!$B$2:$B$784, $A3)</f>
        <v>0</v>
      </c>
      <c r="Q3" s="4">
        <f>COUNTIFS(WLSpread!$AB$2:$AB$784, $A3, WLSpread!$B$2:$B$784, $A3)</f>
        <v>5</v>
      </c>
      <c r="R3" s="4">
        <f t="shared" si="7"/>
        <v>9</v>
      </c>
      <c r="S3" s="7"/>
      <c r="T3" s="7"/>
      <c r="U3" s="7"/>
      <c r="V3" s="7"/>
      <c r="W3" s="7"/>
      <c r="X3" s="7"/>
      <c r="Y3" s="7"/>
      <c r="Z3" s="7"/>
    </row>
    <row r="4">
      <c r="A4" s="4" t="s">
        <v>141</v>
      </c>
      <c r="B4" s="4">
        <f>COUNTIF(WLSpread!$Z$2:$Z$1048467, A4)</f>
        <v>0</v>
      </c>
      <c r="C4" s="4">
        <f>COUNTIF(WLSpread!$AB$2:$AB$1048467, A4)</f>
        <v>5</v>
      </c>
      <c r="D4" s="4" t="str">
        <f t="shared" si="1"/>
        <v>0-5</v>
      </c>
      <c r="E4" s="19">
        <f t="shared" si="2"/>
        <v>0</v>
      </c>
      <c r="F4" s="4" t="s">
        <v>84</v>
      </c>
      <c r="G4" s="4" t="s">
        <v>159</v>
      </c>
      <c r="H4" s="7">
        <f>COUNTIFS(WLSpread!$Z$2:$Z$823, $A4, WLSpread!$V$2:$V$823, $F4)</f>
        <v>0</v>
      </c>
      <c r="I4" s="4">
        <f>COUNTIFS(WLSpread!$AB$2:$AB$823, $A4, WLSpread!$V$2:$V$823, $F4)</f>
        <v>3</v>
      </c>
      <c r="J4" s="4" t="str">
        <f t="shared" si="3"/>
        <v>0-3</v>
      </c>
      <c r="K4" s="22">
        <f t="shared" si="4"/>
        <v>0</v>
      </c>
      <c r="L4" s="4" t="str">
        <f t="shared" si="5"/>
        <v>0-3</v>
      </c>
      <c r="M4" s="4" t="str">
        <f t="shared" si="6"/>
        <v>0-2</v>
      </c>
      <c r="N4" s="4">
        <f>COUNTIFS(WLSpread!$Z$2:$Z$784, $A4, WLSpread!$C$2:$C$784, $A4)</f>
        <v>0</v>
      </c>
      <c r="O4" s="4">
        <f>COUNTIFS(WLSpread!$AB$2:$AB$784, $A4, WLSpread!$C$2:$C$784, $A4)</f>
        <v>3</v>
      </c>
      <c r="P4" s="4">
        <f>COUNTIFS(WLSpread!$Z$2:$Z$784, $A4, WLSpread!$B$2:$B$784, $A4)</f>
        <v>0</v>
      </c>
      <c r="Q4" s="4">
        <f>COUNTIFS(WLSpread!$AB$2:$AB$784, $A4, WLSpread!$B$2:$B$784, $A4)</f>
        <v>2</v>
      </c>
      <c r="R4" s="4">
        <f t="shared" si="7"/>
        <v>5</v>
      </c>
      <c r="S4" s="7"/>
      <c r="T4" s="7"/>
      <c r="U4" s="7"/>
      <c r="V4" s="7"/>
      <c r="W4" s="7"/>
      <c r="X4" s="7"/>
      <c r="Y4" s="7"/>
      <c r="Z4" s="7"/>
    </row>
    <row r="5">
      <c r="A5" s="4" t="s">
        <v>177</v>
      </c>
      <c r="B5" s="4">
        <f>COUNTIF(WLSpread!$Z$2:$Z$1048467, A5)</f>
        <v>0</v>
      </c>
      <c r="C5" s="4">
        <f>COUNTIF(WLSpread!$AB$2:$AB$1048467, A5)</f>
        <v>5</v>
      </c>
      <c r="D5" s="4" t="str">
        <f t="shared" si="1"/>
        <v>0-5</v>
      </c>
      <c r="E5" s="19">
        <f t="shared" si="2"/>
        <v>0</v>
      </c>
      <c r="F5" s="4" t="s">
        <v>49</v>
      </c>
      <c r="G5" s="4" t="s">
        <v>183</v>
      </c>
      <c r="H5" s="7">
        <f>COUNTIFS(WLSpread!$Z$2:$Z$823, $A5, WLSpread!$V$2:$V$823, $F5)</f>
        <v>0</v>
      </c>
      <c r="I5" s="4">
        <f>COUNTIFS(WLSpread!$AB$2:$AB$823, $A5, WLSpread!$V$2:$V$823, $F5)</f>
        <v>5</v>
      </c>
      <c r="J5" s="4" t="str">
        <f t="shared" si="3"/>
        <v>0-5</v>
      </c>
      <c r="K5" s="22">
        <f t="shared" si="4"/>
        <v>0</v>
      </c>
      <c r="L5" s="4" t="str">
        <f t="shared" si="5"/>
        <v>0-2</v>
      </c>
      <c r="M5" s="4" t="str">
        <f t="shared" si="6"/>
        <v>0-3</v>
      </c>
      <c r="N5" s="4">
        <f>COUNTIFS(WLSpread!$Z$2:$Z$784, $A5, WLSpread!$C$2:$C$784, $A5)</f>
        <v>0</v>
      </c>
      <c r="O5" s="4">
        <f>COUNTIFS(WLSpread!$AB$2:$AB$784, $A5, WLSpread!$C$2:$C$784, $A5)</f>
        <v>2</v>
      </c>
      <c r="P5" s="4">
        <f>COUNTIFS(WLSpread!$Z$2:$Z$784, $A5, WLSpread!$B$2:$B$784, $A5)</f>
        <v>0</v>
      </c>
      <c r="Q5" s="4">
        <f>COUNTIFS(WLSpread!$AB$2:$AB$784, $A5, WLSpread!$B$2:$B$784, $A5)</f>
        <v>3</v>
      </c>
      <c r="R5" s="4">
        <f t="shared" si="7"/>
        <v>5</v>
      </c>
      <c r="S5" s="7"/>
      <c r="T5" s="7"/>
      <c r="U5" s="7"/>
      <c r="V5" s="7"/>
      <c r="W5" s="7"/>
      <c r="X5" s="7"/>
      <c r="Y5" s="7"/>
      <c r="Z5" s="7"/>
    </row>
    <row r="6">
      <c r="A6" s="4" t="s">
        <v>143</v>
      </c>
      <c r="B6" s="4">
        <f>COUNTIF(WLSpread!$Z$2:$Z$1048467, A6)</f>
        <v>0</v>
      </c>
      <c r="C6" s="4">
        <f>COUNTIF(WLSpread!$AB$2:$AB$1048467, A6)</f>
        <v>6</v>
      </c>
      <c r="D6" s="4" t="str">
        <f t="shared" si="1"/>
        <v>0-6</v>
      </c>
      <c r="E6" s="19">
        <f t="shared" si="2"/>
        <v>0</v>
      </c>
      <c r="F6" s="4" t="s">
        <v>49</v>
      </c>
      <c r="G6" s="4" t="s">
        <v>195</v>
      </c>
      <c r="H6" s="7">
        <f>COUNTIFS(WLSpread!$Z$2:$Z$823, $A6, WLSpread!$V$2:$V$823, $F6)</f>
        <v>0</v>
      </c>
      <c r="I6" s="4">
        <f>COUNTIFS(WLSpread!$AB$2:$AB$823, $A6, WLSpread!$V$2:$V$823, $F6)</f>
        <v>6</v>
      </c>
      <c r="J6" s="4" t="str">
        <f t="shared" si="3"/>
        <v>0-6</v>
      </c>
      <c r="K6" s="22">
        <f t="shared" si="4"/>
        <v>0</v>
      </c>
      <c r="L6" s="4" t="str">
        <f t="shared" si="5"/>
        <v>0-3</v>
      </c>
      <c r="M6" s="4" t="str">
        <f t="shared" si="6"/>
        <v>0-3</v>
      </c>
      <c r="N6" s="4">
        <f>COUNTIFS(WLSpread!$Z$2:$Z$784, $A6, WLSpread!$C$2:$C$784, $A6)</f>
        <v>0</v>
      </c>
      <c r="O6" s="4">
        <f>COUNTIFS(WLSpread!$AB$2:$AB$784, $A6, WLSpread!$C$2:$C$784, $A6)</f>
        <v>3</v>
      </c>
      <c r="P6" s="4">
        <f>COUNTIFS(WLSpread!$Z$2:$Z$784, $A6, WLSpread!$B$2:$B$784, $A6)</f>
        <v>0</v>
      </c>
      <c r="Q6" s="4">
        <f>COUNTIFS(WLSpread!$AB$2:$AB$784, $A6, WLSpread!$B$2:$B$784, $A6)</f>
        <v>3</v>
      </c>
      <c r="R6" s="4">
        <f t="shared" si="7"/>
        <v>6</v>
      </c>
      <c r="S6" s="7"/>
      <c r="T6" s="7"/>
      <c r="U6" s="7"/>
      <c r="V6" s="7"/>
      <c r="W6" s="7"/>
      <c r="X6" s="7"/>
      <c r="Y6" s="7"/>
      <c r="Z6" s="7"/>
    </row>
    <row r="7">
      <c r="A7" s="4" t="s">
        <v>168</v>
      </c>
      <c r="B7" s="4">
        <f>COUNTIF(WLSpread!$Z$2:$Z$1048467, A7)</f>
        <v>0</v>
      </c>
      <c r="C7" s="4">
        <f>COUNTIF(WLSpread!$AB$2:$AB$1048467, A7)</f>
        <v>5</v>
      </c>
      <c r="D7" s="4" t="str">
        <f t="shared" si="1"/>
        <v>0-5</v>
      </c>
      <c r="E7" s="19">
        <f t="shared" si="2"/>
        <v>0</v>
      </c>
      <c r="F7" s="4" t="s">
        <v>165</v>
      </c>
      <c r="G7" s="4" t="s">
        <v>199</v>
      </c>
      <c r="H7" s="7">
        <f>COUNTIFS(WLSpread!$Z$2:$Z$823, $A7, WLSpread!$V$2:$V$823, $F7)</f>
        <v>0</v>
      </c>
      <c r="I7" s="4">
        <f>COUNTIFS(WLSpread!$AB$2:$AB$823, $A7, WLSpread!$V$2:$V$823, $F7)</f>
        <v>5</v>
      </c>
      <c r="J7" s="4" t="str">
        <f t="shared" si="3"/>
        <v>0-5</v>
      </c>
      <c r="K7" s="22">
        <f t="shared" si="4"/>
        <v>0</v>
      </c>
      <c r="L7" s="4" t="str">
        <f t="shared" si="5"/>
        <v>0-3</v>
      </c>
      <c r="M7" s="4" t="str">
        <f t="shared" si="6"/>
        <v>0-2</v>
      </c>
      <c r="N7" s="4">
        <f>COUNTIFS(WLSpread!$Z$2:$Z$784, $A7, WLSpread!$C$2:$C$784, $A7)</f>
        <v>0</v>
      </c>
      <c r="O7" s="4">
        <f>COUNTIFS(WLSpread!$AB$2:$AB$784, $A7, WLSpread!$C$2:$C$784, $A7)</f>
        <v>3</v>
      </c>
      <c r="P7" s="4">
        <f>COUNTIFS(WLSpread!$Z$2:$Z$784, $A7, WLSpread!$B$2:$B$784, $A7)</f>
        <v>0</v>
      </c>
      <c r="Q7" s="4">
        <f>COUNTIFS(WLSpread!$AB$2:$AB$784, $A7, WLSpread!$B$2:$B$784, $A7)</f>
        <v>2</v>
      </c>
      <c r="R7" s="4">
        <f t="shared" si="7"/>
        <v>5</v>
      </c>
      <c r="S7" s="7"/>
      <c r="T7" s="7"/>
      <c r="U7" s="7"/>
      <c r="V7" s="7"/>
      <c r="W7" s="7"/>
      <c r="X7" s="7"/>
      <c r="Y7" s="7"/>
      <c r="Z7" s="7"/>
    </row>
    <row r="8">
      <c r="A8" s="4" t="s">
        <v>122</v>
      </c>
      <c r="B8" s="4">
        <f>COUNTIF(WLSpread!$Z$2:$Z$1048467, A8)</f>
        <v>0</v>
      </c>
      <c r="C8" s="4">
        <f>COUNTIF(WLSpread!$AB$2:$AB$1048467, A8)</f>
        <v>10</v>
      </c>
      <c r="D8" s="4" t="str">
        <f t="shared" si="1"/>
        <v>0-10</v>
      </c>
      <c r="E8" s="19">
        <f t="shared" si="2"/>
        <v>0</v>
      </c>
      <c r="F8" s="4" t="s">
        <v>201</v>
      </c>
      <c r="G8" s="4" t="s">
        <v>202</v>
      </c>
      <c r="H8" s="7">
        <f>COUNTIFS(WLSpread!$Z$2:$Z$823, $A8, WLSpread!$V$2:$V$823, $F8)</f>
        <v>0</v>
      </c>
      <c r="I8" s="4">
        <f>COUNTIFS(WLSpread!$AB$2:$AB$823, $A8, WLSpread!$V$2:$V$823, $F8)</f>
        <v>7</v>
      </c>
      <c r="J8" s="4" t="str">
        <f t="shared" si="3"/>
        <v>0-7</v>
      </c>
      <c r="K8" s="22">
        <f t="shared" si="4"/>
        <v>0</v>
      </c>
      <c r="L8" s="4" t="str">
        <f t="shared" si="5"/>
        <v>0-5</v>
      </c>
      <c r="M8" s="4" t="str">
        <f t="shared" si="6"/>
        <v>0-5</v>
      </c>
      <c r="N8" s="4">
        <f>COUNTIFS(WLSpread!$Z$2:$Z$784, $A8, WLSpread!$C$2:$C$784, $A8)</f>
        <v>0</v>
      </c>
      <c r="O8" s="4">
        <f>COUNTIFS(WLSpread!$AB$2:$AB$784, $A8, WLSpread!$C$2:$C$784, $A8)</f>
        <v>5</v>
      </c>
      <c r="P8" s="4">
        <f>COUNTIFS(WLSpread!$Z$2:$Z$784, $A8, WLSpread!$B$2:$B$784, $A8)</f>
        <v>0</v>
      </c>
      <c r="Q8" s="4">
        <f>COUNTIFS(WLSpread!$AB$2:$AB$784, $A8, WLSpread!$B$2:$B$784, $A8)</f>
        <v>5</v>
      </c>
      <c r="R8" s="4">
        <f t="shared" si="7"/>
        <v>10</v>
      </c>
      <c r="S8" s="7"/>
      <c r="T8" s="7"/>
      <c r="U8" s="7"/>
      <c r="V8" s="7"/>
      <c r="W8" s="7"/>
      <c r="X8" s="7"/>
      <c r="Y8" s="7"/>
      <c r="Z8" s="7"/>
    </row>
    <row r="9">
      <c r="A9" s="4" t="s">
        <v>167</v>
      </c>
      <c r="B9" s="4">
        <f>COUNTIF(WLSpread!$Z$2:$Z$1048467, A9)</f>
        <v>0</v>
      </c>
      <c r="C9" s="4">
        <f>COUNTIF(WLSpread!$AB$2:$AB$1048467, A9)</f>
        <v>6</v>
      </c>
      <c r="D9" s="4" t="str">
        <f t="shared" si="1"/>
        <v>0-6</v>
      </c>
      <c r="E9" s="19">
        <f t="shared" si="2"/>
        <v>0</v>
      </c>
      <c r="F9" s="4" t="s">
        <v>121</v>
      </c>
      <c r="G9" s="4" t="s">
        <v>204</v>
      </c>
      <c r="H9" s="7">
        <f>COUNTIFS(WLSpread!$Z$2:$Z$823, $A9, WLSpread!$V$2:$V$823, $F9)</f>
        <v>0</v>
      </c>
      <c r="I9" s="4">
        <f>COUNTIFS(WLSpread!$AB$2:$AB$823, $A9, WLSpread!$V$2:$V$823, $F9)</f>
        <v>6</v>
      </c>
      <c r="J9" s="4" t="str">
        <f t="shared" si="3"/>
        <v>0-6</v>
      </c>
      <c r="K9" s="22">
        <f t="shared" si="4"/>
        <v>0</v>
      </c>
      <c r="L9" s="4" t="str">
        <f t="shared" si="5"/>
        <v>0-3</v>
      </c>
      <c r="M9" s="4" t="str">
        <f t="shared" si="6"/>
        <v>0-3</v>
      </c>
      <c r="N9" s="4">
        <f>COUNTIFS(WLSpread!$Z$2:$Z$784, $A9, WLSpread!$C$2:$C$784, $A9)</f>
        <v>0</v>
      </c>
      <c r="O9" s="4">
        <f>COUNTIFS(WLSpread!$AB$2:$AB$784, $A9, WLSpread!$C$2:$C$784, $A9)</f>
        <v>3</v>
      </c>
      <c r="P9" s="4">
        <f>COUNTIFS(WLSpread!$Z$2:$Z$784, $A9, WLSpread!$B$2:$B$784, $A9)</f>
        <v>0</v>
      </c>
      <c r="Q9" s="4">
        <f>COUNTIFS(WLSpread!$AB$2:$AB$784, $A9, WLSpread!$B$2:$B$784, $A9)</f>
        <v>3</v>
      </c>
      <c r="R9" s="4">
        <f t="shared" si="7"/>
        <v>6</v>
      </c>
      <c r="S9" s="7"/>
      <c r="T9" s="7"/>
      <c r="U9" s="7"/>
      <c r="V9" s="7"/>
      <c r="W9" s="7"/>
      <c r="X9" s="7"/>
      <c r="Y9" s="7"/>
      <c r="Z9" s="7"/>
    </row>
    <row r="10">
      <c r="A10" s="4" t="s">
        <v>156</v>
      </c>
      <c r="B10" s="4">
        <f>COUNTIF(WLSpread!$Z$2:$Z$1048467, A10)</f>
        <v>0</v>
      </c>
      <c r="C10" s="4">
        <f>COUNTIF(WLSpread!$AB$2:$AB$1048467, A10)</f>
        <v>6</v>
      </c>
      <c r="D10" s="4" t="str">
        <f t="shared" si="1"/>
        <v>0-6</v>
      </c>
      <c r="E10" s="19">
        <f t="shared" si="2"/>
        <v>0</v>
      </c>
      <c r="F10" s="4" t="s">
        <v>121</v>
      </c>
      <c r="G10" s="4" t="s">
        <v>205</v>
      </c>
      <c r="H10" s="7">
        <f>COUNTIFS(WLSpread!$Z$2:$Z$823, $A10, WLSpread!$V$2:$V$823, $F10)</f>
        <v>0</v>
      </c>
      <c r="I10" s="4">
        <f>COUNTIFS(WLSpread!$AB$2:$AB$823, $A10, WLSpread!$V$2:$V$823, $F10)</f>
        <v>6</v>
      </c>
      <c r="J10" s="4" t="str">
        <f t="shared" si="3"/>
        <v>0-6</v>
      </c>
      <c r="K10" s="22">
        <f t="shared" si="4"/>
        <v>0</v>
      </c>
      <c r="L10" s="4" t="str">
        <f t="shared" si="5"/>
        <v>0-4</v>
      </c>
      <c r="M10" s="4" t="str">
        <f t="shared" si="6"/>
        <v>0-2</v>
      </c>
      <c r="N10" s="4">
        <f>COUNTIFS(WLSpread!$Z$2:$Z$784, $A10, WLSpread!$C$2:$C$784, $A10)</f>
        <v>0</v>
      </c>
      <c r="O10" s="4">
        <f>COUNTIFS(WLSpread!$AB$2:$AB$784, $A10, WLSpread!$C$2:$C$784, $A10)</f>
        <v>4</v>
      </c>
      <c r="P10" s="4">
        <f>COUNTIFS(WLSpread!$Z$2:$Z$784, $A10, WLSpread!$B$2:$B$784, $A10)</f>
        <v>0</v>
      </c>
      <c r="Q10" s="4">
        <f>COUNTIFS(WLSpread!$AB$2:$AB$784, $A10, WLSpread!$B$2:$B$784, $A10)</f>
        <v>2</v>
      </c>
      <c r="R10" s="4">
        <f t="shared" si="7"/>
        <v>6</v>
      </c>
      <c r="S10" s="7"/>
      <c r="T10" s="7"/>
      <c r="U10" s="7"/>
      <c r="V10" s="7"/>
      <c r="W10" s="7"/>
      <c r="X10" s="7"/>
      <c r="Y10" s="7"/>
      <c r="Z10" s="7"/>
    </row>
    <row r="11">
      <c r="A11" s="4" t="s">
        <v>181</v>
      </c>
      <c r="B11" s="4">
        <f>COUNTIF(WLSpread!$Z$2:$Z$1048467, A11)</f>
        <v>0</v>
      </c>
      <c r="C11" s="4">
        <f>COUNTIF(WLSpread!$AB$2:$AB$1048467, A11)</f>
        <v>9</v>
      </c>
      <c r="D11" s="4" t="str">
        <f t="shared" si="1"/>
        <v>0-9</v>
      </c>
      <c r="E11" s="19">
        <f t="shared" si="2"/>
        <v>0</v>
      </c>
      <c r="F11" s="4" t="s">
        <v>198</v>
      </c>
      <c r="G11" s="4" t="s">
        <v>209</v>
      </c>
      <c r="H11" s="7">
        <f>COUNTIFS(WLSpread!$Z$2:$Z$823, $A11, WLSpread!$V$2:$V$823, $F11)</f>
        <v>0</v>
      </c>
      <c r="I11" s="4">
        <f>COUNTIFS(WLSpread!$AB$2:$AB$823, $A11, WLSpread!$V$2:$V$823, $F11)</f>
        <v>9</v>
      </c>
      <c r="J11" s="4" t="str">
        <f t="shared" si="3"/>
        <v>0-9</v>
      </c>
      <c r="K11" s="22">
        <f t="shared" si="4"/>
        <v>0</v>
      </c>
      <c r="L11" s="4" t="str">
        <f t="shared" si="5"/>
        <v>0-5</v>
      </c>
      <c r="M11" s="4" t="str">
        <f t="shared" si="6"/>
        <v>0-4</v>
      </c>
      <c r="N11" s="4">
        <f>COUNTIFS(WLSpread!$Z$2:$Z$784, $A11, WLSpread!$C$2:$C$784, $A11)</f>
        <v>0</v>
      </c>
      <c r="O11" s="4">
        <f>COUNTIFS(WLSpread!$AB$2:$AB$784, $A11, WLSpread!$C$2:$C$784, $A11)</f>
        <v>5</v>
      </c>
      <c r="P11" s="4">
        <f>COUNTIFS(WLSpread!$Z$2:$Z$784, $A11, WLSpread!$B$2:$B$784, $A11)</f>
        <v>0</v>
      </c>
      <c r="Q11" s="4">
        <f>COUNTIFS(WLSpread!$AB$2:$AB$784, $A11, WLSpread!$B$2:$B$784, $A11)</f>
        <v>4</v>
      </c>
      <c r="R11" s="4">
        <f t="shared" si="7"/>
        <v>9</v>
      </c>
      <c r="S11" s="7"/>
      <c r="T11" s="7"/>
      <c r="U11" s="7"/>
      <c r="V11" s="7"/>
      <c r="W11" s="7"/>
      <c r="X11" s="7"/>
      <c r="Y11" s="7"/>
      <c r="Z11" s="7"/>
    </row>
    <row r="12">
      <c r="A12" s="4" t="s">
        <v>192</v>
      </c>
      <c r="B12" s="4">
        <f>COUNTIF(WLSpread!$Z$2:$Z$1048467, A12)</f>
        <v>0</v>
      </c>
      <c r="C12" s="4">
        <f>COUNTIF(WLSpread!$AB$2:$AB$1048467, A12)</f>
        <v>9</v>
      </c>
      <c r="D12" s="4" t="str">
        <f t="shared" si="1"/>
        <v>0-9</v>
      </c>
      <c r="E12" s="19">
        <f t="shared" si="2"/>
        <v>0</v>
      </c>
      <c r="F12" s="4" t="s">
        <v>197</v>
      </c>
      <c r="G12" s="4" t="s">
        <v>197</v>
      </c>
      <c r="H12" s="7">
        <f>COUNTIFS(WLSpread!$Z$2:$Z$823, $A12, WLSpread!$V$2:$V$823, $F12)</f>
        <v>0</v>
      </c>
      <c r="I12" s="4">
        <f>COUNTIFS(WLSpread!$AB$2:$AB$823, $A12, WLSpread!$V$2:$V$823, $F12)</f>
        <v>8</v>
      </c>
      <c r="J12" s="4" t="str">
        <f t="shared" si="3"/>
        <v>0-8</v>
      </c>
      <c r="K12" s="22">
        <f t="shared" si="4"/>
        <v>0</v>
      </c>
      <c r="L12" s="4" t="str">
        <f t="shared" si="5"/>
        <v>0-4</v>
      </c>
      <c r="M12" s="4" t="str">
        <f t="shared" si="6"/>
        <v>0-5</v>
      </c>
      <c r="N12" s="4">
        <f>COUNTIFS(WLSpread!$Z$2:$Z$784, $A12, WLSpread!$C$2:$C$784, $A12)</f>
        <v>0</v>
      </c>
      <c r="O12" s="4">
        <f>COUNTIFS(WLSpread!$AB$2:$AB$784, $A12, WLSpread!$C$2:$C$784, $A12)</f>
        <v>4</v>
      </c>
      <c r="P12" s="4">
        <f>COUNTIFS(WLSpread!$Z$2:$Z$784, $A12, WLSpread!$B$2:$B$784, $A12)</f>
        <v>0</v>
      </c>
      <c r="Q12" s="4">
        <f>COUNTIFS(WLSpread!$AB$2:$AB$784, $A12, WLSpread!$B$2:$B$784, $A12)</f>
        <v>5</v>
      </c>
      <c r="R12" s="4">
        <f t="shared" si="7"/>
        <v>9</v>
      </c>
      <c r="S12" s="7"/>
      <c r="T12" s="7"/>
      <c r="U12" s="7"/>
      <c r="V12" s="7"/>
      <c r="W12" s="7"/>
      <c r="X12" s="7"/>
      <c r="Y12" s="7"/>
      <c r="Z12" s="7"/>
    </row>
    <row r="13">
      <c r="A13" s="4" t="s">
        <v>194</v>
      </c>
      <c r="B13" s="4">
        <f>COUNTIF(WLSpread!$Z$2:$Z$1048467, A13)</f>
        <v>2</v>
      </c>
      <c r="C13" s="4">
        <f>COUNTIF(WLSpread!$AB$2:$AB$1048467, A13)</f>
        <v>2</v>
      </c>
      <c r="D13" s="4" t="str">
        <f t="shared" si="1"/>
        <v>2-2</v>
      </c>
      <c r="E13" s="19">
        <f t="shared" si="2"/>
        <v>0.5</v>
      </c>
      <c r="F13" s="4" t="s">
        <v>165</v>
      </c>
      <c r="G13" s="4" t="s">
        <v>199</v>
      </c>
      <c r="H13" s="7">
        <f>COUNTIFS(WLSpread!$Z$2:$Z$823, $A13, WLSpread!$V$2:$V$823, $F13)</f>
        <v>2</v>
      </c>
      <c r="I13" s="4">
        <f>COUNTIFS(WLSpread!$AB$2:$AB$823, $A13, WLSpread!$V$2:$V$823, $F13)</f>
        <v>2</v>
      </c>
      <c r="J13" s="4" t="str">
        <f t="shared" si="3"/>
        <v>2-2</v>
      </c>
      <c r="K13" s="22">
        <f t="shared" si="4"/>
        <v>0.5</v>
      </c>
      <c r="L13" s="4" t="str">
        <f t="shared" si="5"/>
        <v>0-1</v>
      </c>
      <c r="M13" s="4" t="str">
        <f t="shared" si="6"/>
        <v>2-1</v>
      </c>
      <c r="N13" s="4">
        <f>COUNTIFS(WLSpread!$Z$2:$Z$784, $A13, WLSpread!$C$2:$C$784, $A13)</f>
        <v>0</v>
      </c>
      <c r="O13" s="4">
        <f>COUNTIFS(WLSpread!$AB$2:$AB$784, $A13, WLSpread!$C$2:$C$784, $A13)</f>
        <v>1</v>
      </c>
      <c r="P13" s="4">
        <f>COUNTIFS(WLSpread!$Z$2:$Z$784, $A13, WLSpread!$B$2:$B$784, $A13)</f>
        <v>2</v>
      </c>
      <c r="Q13" s="4">
        <f>COUNTIFS(WLSpread!$AB$2:$AB$784, $A13, WLSpread!$B$2:$B$784, $A13)</f>
        <v>1</v>
      </c>
      <c r="R13" s="4">
        <f t="shared" si="7"/>
        <v>4</v>
      </c>
      <c r="S13" s="7"/>
      <c r="T13" s="7"/>
      <c r="U13" s="7"/>
      <c r="V13" s="7"/>
      <c r="W13" s="7"/>
      <c r="X13" s="7"/>
      <c r="Y13" s="7"/>
      <c r="Z13" s="7"/>
    </row>
    <row r="14">
      <c r="A14" s="4" t="s">
        <v>146</v>
      </c>
      <c r="B14" s="4">
        <f>COUNTIF(WLSpread!$Z$2:$Z$1048467, A14)</f>
        <v>0</v>
      </c>
      <c r="C14" s="4">
        <f>COUNTIF(WLSpread!$AB$2:$AB$1048467, A14)</f>
        <v>4</v>
      </c>
      <c r="D14" s="4" t="str">
        <f t="shared" si="1"/>
        <v>0-4</v>
      </c>
      <c r="E14" s="19">
        <f t="shared" si="2"/>
        <v>0</v>
      </c>
      <c r="F14" s="4" t="s">
        <v>215</v>
      </c>
      <c r="G14" s="4" t="s">
        <v>215</v>
      </c>
      <c r="H14" s="7">
        <f>COUNTIFS(WLSpread!$Z$2:$Z$823, $A14, WLSpread!$V$2:$V$823, $F14)</f>
        <v>0</v>
      </c>
      <c r="I14" s="4">
        <f>COUNTIFS(WLSpread!$AB$2:$AB$823, $A14, WLSpread!$V$2:$V$823, $F14)</f>
        <v>1</v>
      </c>
      <c r="J14" s="4" t="str">
        <f t="shared" si="3"/>
        <v>0-1</v>
      </c>
      <c r="K14" s="22">
        <f t="shared" si="4"/>
        <v>0</v>
      </c>
      <c r="L14" s="4" t="str">
        <f t="shared" si="5"/>
        <v>0-0</v>
      </c>
      <c r="M14" s="4" t="str">
        <f t="shared" si="6"/>
        <v>0-4</v>
      </c>
      <c r="N14" s="4">
        <f>COUNTIFS(WLSpread!$Z$2:$Z$784, $A14, WLSpread!$C$2:$C$784, $A14)</f>
        <v>0</v>
      </c>
      <c r="O14" s="4">
        <f>COUNTIFS(WLSpread!$AB$2:$AB$784, $A14, WLSpread!$C$2:$C$784, $A14)</f>
        <v>0</v>
      </c>
      <c r="P14" s="4">
        <f>COUNTIFS(WLSpread!$Z$2:$Z$784, $A14, WLSpread!$B$2:$B$784, $A14)</f>
        <v>0</v>
      </c>
      <c r="Q14" s="4">
        <f>COUNTIFS(WLSpread!$AB$2:$AB$784, $A14, WLSpread!$B$2:$B$784, $A14)</f>
        <v>4</v>
      </c>
      <c r="R14" s="4">
        <f t="shared" si="7"/>
        <v>4</v>
      </c>
      <c r="S14" s="7"/>
      <c r="T14" s="7"/>
      <c r="U14" s="7"/>
      <c r="V14" s="7"/>
      <c r="W14" s="7"/>
      <c r="X14" s="7"/>
      <c r="Y14" s="7"/>
      <c r="Z14" s="7"/>
    </row>
    <row r="15">
      <c r="A15" s="4" t="s">
        <v>128</v>
      </c>
      <c r="B15" s="4">
        <f>COUNTIF(WLSpread!$Z$2:$Z$1048467, A15)</f>
        <v>1</v>
      </c>
      <c r="C15" s="4">
        <f>COUNTIF(WLSpread!$AB$2:$AB$1048467, A15)</f>
        <v>10</v>
      </c>
      <c r="D15" s="4" t="str">
        <f t="shared" si="1"/>
        <v>1-10</v>
      </c>
      <c r="E15" s="19">
        <f t="shared" si="2"/>
        <v>0.09090909091</v>
      </c>
      <c r="F15" s="4" t="s">
        <v>120</v>
      </c>
      <c r="G15" s="4" t="s">
        <v>216</v>
      </c>
      <c r="H15" s="7">
        <f>COUNTIFS(WLSpread!$Z$2:$Z$823, $A15, WLSpread!$V$2:$V$823, $F15)</f>
        <v>1</v>
      </c>
      <c r="I15" s="4">
        <f>COUNTIFS(WLSpread!$AB$2:$AB$823, $A15, WLSpread!$V$2:$V$823, $F15)</f>
        <v>9</v>
      </c>
      <c r="J15" s="4" t="str">
        <f t="shared" si="3"/>
        <v>1-9</v>
      </c>
      <c r="K15" s="22">
        <f t="shared" si="4"/>
        <v>0.1</v>
      </c>
      <c r="L15" s="4" t="str">
        <f t="shared" si="5"/>
        <v>1-5</v>
      </c>
      <c r="M15" s="4" t="str">
        <f t="shared" si="6"/>
        <v>0-5</v>
      </c>
      <c r="N15" s="4">
        <f>COUNTIFS(WLSpread!$Z$2:$Z$784, $A15, WLSpread!$C$2:$C$784, $A15)</f>
        <v>1</v>
      </c>
      <c r="O15" s="4">
        <f>COUNTIFS(WLSpread!$AB$2:$AB$784, $A15, WLSpread!$C$2:$C$784, $A15)</f>
        <v>5</v>
      </c>
      <c r="P15" s="4">
        <f>COUNTIFS(WLSpread!$Z$2:$Z$784, $A15, WLSpread!$B$2:$B$784, $A15)</f>
        <v>0</v>
      </c>
      <c r="Q15" s="4">
        <f>COUNTIFS(WLSpread!$AB$2:$AB$784, $A15, WLSpread!$B$2:$B$784, $A15)</f>
        <v>5</v>
      </c>
      <c r="R15" s="4">
        <f t="shared" si="7"/>
        <v>11</v>
      </c>
      <c r="S15" s="7"/>
      <c r="T15" s="7"/>
      <c r="U15" s="7"/>
      <c r="V15" s="7"/>
      <c r="W15" s="7"/>
      <c r="X15" s="7"/>
      <c r="Y15" s="7"/>
      <c r="Z15" s="7"/>
    </row>
    <row r="16">
      <c r="A16" s="4" t="s">
        <v>187</v>
      </c>
      <c r="B16" s="4">
        <f>COUNTIF(WLSpread!$Z$2:$Z$1048467, A16)</f>
        <v>2</v>
      </c>
      <c r="C16" s="4">
        <f>COUNTIF(WLSpread!$AB$2:$AB$1048467, A16)</f>
        <v>9</v>
      </c>
      <c r="D16" s="4" t="str">
        <f t="shared" si="1"/>
        <v>2-9</v>
      </c>
      <c r="E16" s="19">
        <f t="shared" si="2"/>
        <v>0.1818181818</v>
      </c>
      <c r="F16" s="4" t="s">
        <v>120</v>
      </c>
      <c r="G16" s="4" t="s">
        <v>218</v>
      </c>
      <c r="H16" s="7">
        <f>COUNTIFS(WLSpread!$Z$2:$Z$823, $A16, WLSpread!$V$2:$V$823, $F16)</f>
        <v>1</v>
      </c>
      <c r="I16" s="4">
        <f>COUNTIFS(WLSpread!$AB$2:$AB$823, $A16, WLSpread!$V$2:$V$823, $F16)</f>
        <v>9</v>
      </c>
      <c r="J16" s="4" t="str">
        <f t="shared" si="3"/>
        <v>1-9</v>
      </c>
      <c r="K16" s="22">
        <f t="shared" si="4"/>
        <v>0.1</v>
      </c>
      <c r="L16" s="4" t="str">
        <f t="shared" si="5"/>
        <v>1-4</v>
      </c>
      <c r="M16" s="4" t="str">
        <f t="shared" si="6"/>
        <v>1-5</v>
      </c>
      <c r="N16" s="4">
        <f>COUNTIFS(WLSpread!$Z$2:$Z$784, $A16, WLSpread!$C$2:$C$784, $A16)</f>
        <v>1</v>
      </c>
      <c r="O16" s="4">
        <f>COUNTIFS(WLSpread!$AB$2:$AB$784, $A16, WLSpread!$C$2:$C$784, $A16)</f>
        <v>4</v>
      </c>
      <c r="P16" s="4">
        <f>COUNTIFS(WLSpread!$Z$2:$Z$784, $A16, WLSpread!$B$2:$B$784, $A16)</f>
        <v>1</v>
      </c>
      <c r="Q16" s="4">
        <f>COUNTIFS(WLSpread!$AB$2:$AB$784, $A16, WLSpread!$B$2:$B$784, $A16)</f>
        <v>5</v>
      </c>
      <c r="R16" s="4">
        <f t="shared" si="7"/>
        <v>11</v>
      </c>
      <c r="S16" s="7"/>
      <c r="T16" s="7"/>
      <c r="U16" s="7"/>
      <c r="V16" s="7"/>
      <c r="W16" s="7"/>
      <c r="X16" s="7"/>
      <c r="Y16" s="7"/>
      <c r="Z16" s="7"/>
    </row>
    <row r="17">
      <c r="A17" s="4" t="s">
        <v>147</v>
      </c>
      <c r="B17" s="4">
        <f>COUNTIF(WLSpread!$Z$2:$Z$1048467, A17)</f>
        <v>3</v>
      </c>
      <c r="C17" s="4">
        <f>COUNTIF(WLSpread!$AB$2:$AB$1048467, A17)</f>
        <v>6</v>
      </c>
      <c r="D17" s="4" t="str">
        <f t="shared" si="1"/>
        <v>3-6</v>
      </c>
      <c r="E17" s="19">
        <f t="shared" si="2"/>
        <v>0.3333333333</v>
      </c>
      <c r="F17" s="4" t="s">
        <v>120</v>
      </c>
      <c r="G17" s="4" t="s">
        <v>216</v>
      </c>
      <c r="H17" s="7">
        <f>COUNTIFS(WLSpread!$Z$2:$Z$823, $A17, WLSpread!$V$2:$V$823, $F17)</f>
        <v>2</v>
      </c>
      <c r="I17" s="4">
        <f>COUNTIFS(WLSpread!$AB$2:$AB$823, $A17, WLSpread!$V$2:$V$823, $F17)</f>
        <v>6</v>
      </c>
      <c r="J17" s="4" t="str">
        <f t="shared" si="3"/>
        <v>2-6</v>
      </c>
      <c r="K17" s="22">
        <f t="shared" si="4"/>
        <v>0.25</v>
      </c>
      <c r="L17" s="4" t="str">
        <f t="shared" si="5"/>
        <v>3-2</v>
      </c>
      <c r="M17" s="4" t="str">
        <f t="shared" si="6"/>
        <v>0-4</v>
      </c>
      <c r="N17" s="4">
        <f>COUNTIFS(WLSpread!$Z$2:$Z$784, $A17, WLSpread!$C$2:$C$784, $A17)</f>
        <v>3</v>
      </c>
      <c r="O17" s="4">
        <f>COUNTIFS(WLSpread!$AB$2:$AB$784, $A17, WLSpread!$C$2:$C$784, $A17)</f>
        <v>2</v>
      </c>
      <c r="P17" s="4">
        <f>COUNTIFS(WLSpread!$Z$2:$Z$784, $A17, WLSpread!$B$2:$B$784, $A17)</f>
        <v>0</v>
      </c>
      <c r="Q17" s="4">
        <f>COUNTIFS(WLSpread!$AB$2:$AB$784, $A17, WLSpread!$B$2:$B$784, $A17)</f>
        <v>4</v>
      </c>
      <c r="R17" s="4">
        <f t="shared" si="7"/>
        <v>9</v>
      </c>
      <c r="S17" s="7"/>
      <c r="T17" s="7"/>
      <c r="U17" s="7"/>
      <c r="V17" s="7"/>
      <c r="W17" s="7"/>
      <c r="X17" s="7"/>
      <c r="Y17" s="7"/>
      <c r="Z17" s="7"/>
    </row>
    <row r="18">
      <c r="A18" s="4" t="s">
        <v>178</v>
      </c>
      <c r="B18" s="4">
        <f>COUNTIF(WLSpread!$Z$2:$Z$1048467, A18)</f>
        <v>1</v>
      </c>
      <c r="C18" s="4">
        <f>COUNTIF(WLSpread!$AB$2:$AB$1048467, A18)</f>
        <v>6</v>
      </c>
      <c r="D18" s="4" t="str">
        <f t="shared" si="1"/>
        <v>1-6</v>
      </c>
      <c r="E18" s="19">
        <f t="shared" si="2"/>
        <v>0.1428571429</v>
      </c>
      <c r="F18" s="4" t="s">
        <v>44</v>
      </c>
      <c r="G18" s="4" t="s">
        <v>135</v>
      </c>
      <c r="H18" s="7">
        <f>COUNTIFS(WLSpread!$Z$2:$Z$823, $A18, WLSpread!$V$2:$V$823, $F18)</f>
        <v>1</v>
      </c>
      <c r="I18" s="4">
        <f>COUNTIFS(WLSpread!$AB$2:$AB$823, $A18, WLSpread!$V$2:$V$823, $F18)</f>
        <v>6</v>
      </c>
      <c r="J18" s="4" t="str">
        <f t="shared" si="3"/>
        <v>1-6</v>
      </c>
      <c r="K18" s="22">
        <f t="shared" si="4"/>
        <v>0.1428571429</v>
      </c>
      <c r="L18" s="4" t="str">
        <f t="shared" si="5"/>
        <v>1-2</v>
      </c>
      <c r="M18" s="4" t="str">
        <f t="shared" si="6"/>
        <v>0-4</v>
      </c>
      <c r="N18" s="4">
        <f>COUNTIFS(WLSpread!$Z$2:$Z$784, $A18, WLSpread!$C$2:$C$784, $A18)</f>
        <v>1</v>
      </c>
      <c r="O18" s="4">
        <f>COUNTIFS(WLSpread!$AB$2:$AB$784, $A18, WLSpread!$C$2:$C$784, $A18)</f>
        <v>2</v>
      </c>
      <c r="P18" s="4">
        <f>COUNTIFS(WLSpread!$Z$2:$Z$784, $A18, WLSpread!$B$2:$B$784, $A18)</f>
        <v>0</v>
      </c>
      <c r="Q18" s="4">
        <f>COUNTIFS(WLSpread!$AB$2:$AB$784, $A18, WLSpread!$B$2:$B$784, $A18)</f>
        <v>4</v>
      </c>
      <c r="R18" s="4">
        <f t="shared" si="7"/>
        <v>7</v>
      </c>
      <c r="S18" s="7"/>
      <c r="T18" s="7"/>
      <c r="U18" s="7"/>
      <c r="V18" s="7"/>
      <c r="W18" s="7"/>
      <c r="X18" s="7"/>
      <c r="Y18" s="7"/>
      <c r="Z18" s="7"/>
    </row>
    <row r="19">
      <c r="A19" s="4" t="s">
        <v>161</v>
      </c>
      <c r="B19" s="4">
        <f>COUNTIF(WLSpread!$Z$2:$Z$1048467, A19)</f>
        <v>2</v>
      </c>
      <c r="C19" s="4">
        <f>COUNTIF(WLSpread!$AB$2:$AB$1048467, A19)</f>
        <v>8</v>
      </c>
      <c r="D19" s="4" t="str">
        <f t="shared" si="1"/>
        <v>2-8</v>
      </c>
      <c r="E19" s="19">
        <f t="shared" si="2"/>
        <v>0.2</v>
      </c>
      <c r="F19" s="4" t="s">
        <v>198</v>
      </c>
      <c r="G19" s="4" t="s">
        <v>209</v>
      </c>
      <c r="H19" s="7">
        <f>COUNTIFS(WLSpread!$Z$2:$Z$823, $A19, WLSpread!$V$2:$V$823, $F19)</f>
        <v>2</v>
      </c>
      <c r="I19" s="4">
        <f>COUNTIFS(WLSpread!$AB$2:$AB$823, $A19, WLSpread!$V$2:$V$823, $F19)</f>
        <v>8</v>
      </c>
      <c r="J19" s="4" t="str">
        <f t="shared" si="3"/>
        <v>2-8</v>
      </c>
      <c r="K19" s="22">
        <f t="shared" si="4"/>
        <v>0.2</v>
      </c>
      <c r="L19" s="4" t="str">
        <f t="shared" si="5"/>
        <v>1-4</v>
      </c>
      <c r="M19" s="4" t="str">
        <f t="shared" si="6"/>
        <v>1-4</v>
      </c>
      <c r="N19" s="4">
        <f>COUNTIFS(WLSpread!$Z$2:$Z$784, $A19, WLSpread!$C$2:$C$784, $A19)</f>
        <v>1</v>
      </c>
      <c r="O19" s="4">
        <f>COUNTIFS(WLSpread!$AB$2:$AB$784, $A19, WLSpread!$C$2:$C$784, $A19)</f>
        <v>4</v>
      </c>
      <c r="P19" s="4">
        <f>COUNTIFS(WLSpread!$Z$2:$Z$784, $A19, WLSpread!$B$2:$B$784, $A19)</f>
        <v>1</v>
      </c>
      <c r="Q19" s="4">
        <f>COUNTIFS(WLSpread!$AB$2:$AB$784, $A19, WLSpread!$B$2:$B$784, $A19)</f>
        <v>4</v>
      </c>
      <c r="R19" s="4">
        <f t="shared" si="7"/>
        <v>10</v>
      </c>
      <c r="S19" s="7"/>
      <c r="T19" s="7"/>
      <c r="U19" s="7"/>
      <c r="V19" s="7"/>
      <c r="W19" s="7"/>
      <c r="X19" s="7"/>
      <c r="Y19" s="7"/>
      <c r="Z19" s="7"/>
    </row>
    <row r="20">
      <c r="A20" s="4" t="s">
        <v>170</v>
      </c>
      <c r="B20" s="4">
        <f>COUNTIF(WLSpread!$Z$2:$Z$1048467, A20)</f>
        <v>3</v>
      </c>
      <c r="C20" s="4">
        <f>COUNTIF(WLSpread!$AB$2:$AB$1048467, A20)</f>
        <v>7</v>
      </c>
      <c r="D20" s="4" t="str">
        <f t="shared" si="1"/>
        <v>3-7</v>
      </c>
      <c r="E20" s="19">
        <f t="shared" si="2"/>
        <v>0.3</v>
      </c>
      <c r="F20" s="4" t="s">
        <v>84</v>
      </c>
      <c r="G20" s="4" t="s">
        <v>85</v>
      </c>
      <c r="H20" s="7">
        <f>COUNTIFS(WLSpread!$Z$2:$Z$823, $A20, WLSpread!$V$2:$V$823, $F20)</f>
        <v>2</v>
      </c>
      <c r="I20" s="4">
        <f>COUNTIFS(WLSpread!$AB$2:$AB$823, $A20, WLSpread!$V$2:$V$823, $F20)</f>
        <v>4</v>
      </c>
      <c r="J20" s="4" t="str">
        <f t="shared" si="3"/>
        <v>2-4</v>
      </c>
      <c r="K20" s="22">
        <f t="shared" si="4"/>
        <v>0.3333333333</v>
      </c>
      <c r="L20" s="4" t="str">
        <f t="shared" si="5"/>
        <v>2-5</v>
      </c>
      <c r="M20" s="4" t="str">
        <f t="shared" si="6"/>
        <v>1-2</v>
      </c>
      <c r="N20" s="4">
        <f>COUNTIFS(WLSpread!$Z$2:$Z$784, $A20, WLSpread!$C$2:$C$784, $A20)</f>
        <v>2</v>
      </c>
      <c r="O20" s="4">
        <f>COUNTIFS(WLSpread!$AB$2:$AB$784, $A20, WLSpread!$C$2:$C$784, $A20)</f>
        <v>5</v>
      </c>
      <c r="P20" s="4">
        <f>COUNTIFS(WLSpread!$Z$2:$Z$784, $A20, WLSpread!$B$2:$B$784, $A20)</f>
        <v>1</v>
      </c>
      <c r="Q20" s="4">
        <f>COUNTIFS(WLSpread!$AB$2:$AB$784, $A20, WLSpread!$B$2:$B$784, $A20)</f>
        <v>2</v>
      </c>
      <c r="R20" s="4">
        <f t="shared" si="7"/>
        <v>10</v>
      </c>
      <c r="S20" s="7"/>
      <c r="T20" s="7"/>
      <c r="U20" s="7"/>
      <c r="V20" s="7"/>
      <c r="W20" s="7"/>
      <c r="X20" s="7"/>
      <c r="Y20" s="7"/>
      <c r="Z20" s="7"/>
    </row>
    <row r="21" ht="15.75" customHeight="1">
      <c r="A21" s="4" t="s">
        <v>184</v>
      </c>
      <c r="B21" s="4">
        <f>COUNTIF(WLSpread!$Z$2:$Z$1048467, A21)</f>
        <v>1</v>
      </c>
      <c r="C21" s="4">
        <f>COUNTIF(WLSpread!$AB$2:$AB$1048467, A21)</f>
        <v>5</v>
      </c>
      <c r="D21" s="4" t="str">
        <f t="shared" si="1"/>
        <v>1-5</v>
      </c>
      <c r="E21" s="19">
        <f t="shared" si="2"/>
        <v>0.1666666667</v>
      </c>
      <c r="F21" s="4" t="s">
        <v>49</v>
      </c>
      <c r="G21" s="4" t="s">
        <v>183</v>
      </c>
      <c r="H21" s="7">
        <f>COUNTIFS(WLSpread!$Z$2:$Z$823, $A21, WLSpread!$V$2:$V$823, $F21)</f>
        <v>1</v>
      </c>
      <c r="I21" s="4">
        <f>COUNTIFS(WLSpread!$AB$2:$AB$823, $A21, WLSpread!$V$2:$V$823, $F21)</f>
        <v>5</v>
      </c>
      <c r="J21" s="4" t="str">
        <f t="shared" si="3"/>
        <v>1-5</v>
      </c>
      <c r="K21" s="22">
        <f t="shared" si="4"/>
        <v>0.1666666667</v>
      </c>
      <c r="L21" s="4" t="str">
        <f t="shared" si="5"/>
        <v>1-2</v>
      </c>
      <c r="M21" s="4" t="str">
        <f t="shared" si="6"/>
        <v>0-3</v>
      </c>
      <c r="N21" s="4">
        <f>COUNTIFS(WLSpread!$Z$2:$Z$784, $A21, WLSpread!$C$2:$C$784, $A21)</f>
        <v>1</v>
      </c>
      <c r="O21" s="4">
        <f>COUNTIFS(WLSpread!$AB$2:$AB$784, $A21, WLSpread!$C$2:$C$784, $A21)</f>
        <v>2</v>
      </c>
      <c r="P21" s="4">
        <f>COUNTIFS(WLSpread!$Z$2:$Z$784, $A21, WLSpread!$B$2:$B$784, $A21)</f>
        <v>0</v>
      </c>
      <c r="Q21" s="4">
        <f>COUNTIFS(WLSpread!$AB$2:$AB$784, $A21, WLSpread!$B$2:$B$784, $A21)</f>
        <v>3</v>
      </c>
      <c r="R21" s="4">
        <f t="shared" si="7"/>
        <v>6</v>
      </c>
      <c r="S21" s="7"/>
      <c r="T21" s="7"/>
      <c r="U21" s="7"/>
      <c r="V21" s="7"/>
      <c r="W21" s="7"/>
      <c r="X21" s="7"/>
      <c r="Y21" s="7"/>
      <c r="Z21" s="7"/>
    </row>
    <row r="22" ht="15.75" customHeight="1">
      <c r="A22" s="4" t="s">
        <v>169</v>
      </c>
      <c r="B22" s="4">
        <f>COUNTIF(WLSpread!$Z$2:$Z$1048467, A22)</f>
        <v>2</v>
      </c>
      <c r="C22" s="4">
        <f>COUNTIF(WLSpread!$AB$2:$AB$1048467, A22)</f>
        <v>4</v>
      </c>
      <c r="D22" s="4" t="str">
        <f t="shared" si="1"/>
        <v>2-4</v>
      </c>
      <c r="E22" s="19">
        <f t="shared" si="2"/>
        <v>0.3333333333</v>
      </c>
      <c r="F22" s="4" t="s">
        <v>49</v>
      </c>
      <c r="G22" s="4" t="s">
        <v>195</v>
      </c>
      <c r="H22" s="7">
        <f>COUNTIFS(WLSpread!$Z$2:$Z$823, $A22, WLSpread!$V$2:$V$823, $F22)</f>
        <v>2</v>
      </c>
      <c r="I22" s="4">
        <f>COUNTIFS(WLSpread!$AB$2:$AB$823, $A22, WLSpread!$V$2:$V$823, $F22)</f>
        <v>4</v>
      </c>
      <c r="J22" s="4" t="str">
        <f t="shared" si="3"/>
        <v>2-4</v>
      </c>
      <c r="K22" s="22">
        <f t="shared" si="4"/>
        <v>0.3333333333</v>
      </c>
      <c r="L22" s="4" t="str">
        <f t="shared" si="5"/>
        <v>1-2</v>
      </c>
      <c r="M22" s="4" t="str">
        <f t="shared" si="6"/>
        <v>1-2</v>
      </c>
      <c r="N22" s="4">
        <f>COUNTIFS(WLSpread!$Z$2:$Z$784, $A22, WLSpread!$C$2:$C$784, $A22)</f>
        <v>1</v>
      </c>
      <c r="O22" s="4">
        <f>COUNTIFS(WLSpread!$AB$2:$AB$784, $A22, WLSpread!$C$2:$C$784, $A22)</f>
        <v>2</v>
      </c>
      <c r="P22" s="4">
        <f>COUNTIFS(WLSpread!$Z$2:$Z$784, $A22, WLSpread!$B$2:$B$784, $A22)</f>
        <v>1</v>
      </c>
      <c r="Q22" s="4">
        <f>COUNTIFS(WLSpread!$AB$2:$AB$784, $A22, WLSpread!$B$2:$B$784, $A22)</f>
        <v>2</v>
      </c>
      <c r="R22" s="4">
        <f t="shared" si="7"/>
        <v>6</v>
      </c>
      <c r="S22" s="7"/>
      <c r="T22" s="7"/>
      <c r="U22" s="7"/>
      <c r="V22" s="7"/>
      <c r="W22" s="7"/>
      <c r="X22" s="7"/>
      <c r="Y22" s="7"/>
      <c r="Z22" s="7"/>
    </row>
    <row r="23" ht="15.75" customHeight="1">
      <c r="A23" s="4" t="s">
        <v>94</v>
      </c>
      <c r="B23" s="4">
        <f>COUNTIF(WLSpread!$Z$2:$Z$1048467, A23)</f>
        <v>4</v>
      </c>
      <c r="C23" s="4">
        <f>COUNTIF(WLSpread!$AB$2:$AB$1048467, A23)</f>
        <v>7</v>
      </c>
      <c r="D23" s="4" t="str">
        <f t="shared" si="1"/>
        <v>4-7</v>
      </c>
      <c r="E23" s="19">
        <f t="shared" si="2"/>
        <v>0.3636363636</v>
      </c>
      <c r="F23" s="4" t="s">
        <v>120</v>
      </c>
      <c r="G23" s="4" t="s">
        <v>216</v>
      </c>
      <c r="H23" s="7">
        <f>COUNTIFS(WLSpread!$Z$2:$Z$823, $A23, WLSpread!$V$2:$V$823, $F23)</f>
        <v>3</v>
      </c>
      <c r="I23" s="4">
        <f>COUNTIFS(WLSpread!$AB$2:$AB$823, $A23, WLSpread!$V$2:$V$823, $F23)</f>
        <v>7</v>
      </c>
      <c r="J23" s="4" t="str">
        <f t="shared" si="3"/>
        <v>3-7</v>
      </c>
      <c r="K23" s="22">
        <f t="shared" si="4"/>
        <v>0.3</v>
      </c>
      <c r="L23" s="4" t="str">
        <f t="shared" si="5"/>
        <v>4-3</v>
      </c>
      <c r="M23" s="4" t="str">
        <f t="shared" si="6"/>
        <v>0-4</v>
      </c>
      <c r="N23" s="4">
        <f>COUNTIFS(WLSpread!$Z$2:$Z$784, $A23, WLSpread!$C$2:$C$784, $A23)</f>
        <v>4</v>
      </c>
      <c r="O23" s="4">
        <f>COUNTIFS(WLSpread!$AB$2:$AB$784, $A23, WLSpread!$C$2:$C$784, $A23)</f>
        <v>3</v>
      </c>
      <c r="P23" s="4">
        <f>COUNTIFS(WLSpread!$Z$2:$Z$784, $A23, WLSpread!$B$2:$B$784, $A23)</f>
        <v>0</v>
      </c>
      <c r="Q23" s="4">
        <f>COUNTIFS(WLSpread!$AB$2:$AB$784, $A23, WLSpread!$B$2:$B$784, $A23)</f>
        <v>4</v>
      </c>
      <c r="R23" s="4">
        <f t="shared" si="7"/>
        <v>11</v>
      </c>
      <c r="S23" s="7"/>
      <c r="T23" s="7"/>
      <c r="U23" s="7"/>
      <c r="V23" s="7"/>
      <c r="W23" s="7"/>
      <c r="X23" s="7"/>
      <c r="Y23" s="7"/>
      <c r="Z23" s="7"/>
    </row>
    <row r="24" ht="15.75" customHeight="1">
      <c r="A24" s="4" t="s">
        <v>115</v>
      </c>
      <c r="B24" s="4">
        <f>COUNTIF(WLSpread!$Z$2:$Z$1048467, A24)</f>
        <v>4</v>
      </c>
      <c r="C24" s="4">
        <f>COUNTIF(WLSpread!$AB$2:$AB$1048467, A24)</f>
        <v>7</v>
      </c>
      <c r="D24" s="4" t="str">
        <f t="shared" si="1"/>
        <v>4-7</v>
      </c>
      <c r="E24" s="19">
        <f t="shared" si="2"/>
        <v>0.3636363636</v>
      </c>
      <c r="F24" s="4" t="s">
        <v>201</v>
      </c>
      <c r="G24" s="4" t="s">
        <v>202</v>
      </c>
      <c r="H24" s="7">
        <f>COUNTIFS(WLSpread!$Z$2:$Z$823, $A24, WLSpread!$V$2:$V$823, $F24)</f>
        <v>2</v>
      </c>
      <c r="I24" s="4">
        <f>COUNTIFS(WLSpread!$AB$2:$AB$823, $A24, WLSpread!$V$2:$V$823, $F24)</f>
        <v>6</v>
      </c>
      <c r="J24" s="4" t="str">
        <f t="shared" si="3"/>
        <v>2-6</v>
      </c>
      <c r="K24" s="22">
        <f t="shared" si="4"/>
        <v>0.25</v>
      </c>
      <c r="L24" s="4" t="str">
        <f t="shared" si="5"/>
        <v>3-2</v>
      </c>
      <c r="M24" s="4" t="str">
        <f t="shared" si="6"/>
        <v>1-5</v>
      </c>
      <c r="N24" s="4">
        <f>COUNTIFS(WLSpread!$Z$2:$Z$784, $A24, WLSpread!$C$2:$C$784, $A24)</f>
        <v>3</v>
      </c>
      <c r="O24" s="4">
        <f>COUNTIFS(WLSpread!$AB$2:$AB$784, $A24, WLSpread!$C$2:$C$784, $A24)</f>
        <v>2</v>
      </c>
      <c r="P24" s="4">
        <f>COUNTIFS(WLSpread!$Z$2:$Z$784, $A24, WLSpread!$B$2:$B$784, $A24)</f>
        <v>1</v>
      </c>
      <c r="Q24" s="4">
        <f>COUNTIFS(WLSpread!$AB$2:$AB$784, $A24, WLSpread!$B$2:$B$784, $A24)</f>
        <v>5</v>
      </c>
      <c r="R24" s="4">
        <f t="shared" si="7"/>
        <v>11</v>
      </c>
      <c r="S24" s="7"/>
      <c r="T24" s="7"/>
      <c r="U24" s="7"/>
      <c r="V24" s="7"/>
      <c r="W24" s="7"/>
      <c r="X24" s="7"/>
      <c r="Y24" s="7"/>
      <c r="Z24" s="7"/>
    </row>
    <row r="25" ht="15.75" customHeight="1">
      <c r="A25" s="4" t="s">
        <v>133</v>
      </c>
      <c r="B25" s="4">
        <f>COUNTIF(WLSpread!$Z$2:$Z$1048467, A25)</f>
        <v>1</v>
      </c>
      <c r="C25" s="4">
        <f>COUNTIF(WLSpread!$AB$2:$AB$1048467, A25)</f>
        <v>3</v>
      </c>
      <c r="D25" s="4" t="str">
        <f t="shared" si="1"/>
        <v>1-3</v>
      </c>
      <c r="E25" s="19">
        <f t="shared" si="2"/>
        <v>0.25</v>
      </c>
      <c r="F25" s="4" t="s">
        <v>121</v>
      </c>
      <c r="G25" s="4" t="s">
        <v>205</v>
      </c>
      <c r="H25" s="7">
        <f>COUNTIFS(WLSpread!$Z$2:$Z$823, $A25, WLSpread!$V$2:$V$823, $F25)</f>
        <v>1</v>
      </c>
      <c r="I25" s="4">
        <f>COUNTIFS(WLSpread!$AB$2:$AB$823, $A25, WLSpread!$V$2:$V$823, $F25)</f>
        <v>3</v>
      </c>
      <c r="J25" s="4" t="str">
        <f t="shared" si="3"/>
        <v>1-3</v>
      </c>
      <c r="K25" s="22">
        <f t="shared" si="4"/>
        <v>0.25</v>
      </c>
      <c r="L25" s="4" t="str">
        <f t="shared" si="5"/>
        <v>1-0</v>
      </c>
      <c r="M25" s="4" t="str">
        <f t="shared" si="6"/>
        <v>0-3</v>
      </c>
      <c r="N25" s="4">
        <f>COUNTIFS(WLSpread!$Z$2:$Z$784, $A25, WLSpread!$C$2:$C$784, $A25)</f>
        <v>1</v>
      </c>
      <c r="O25" s="4">
        <f>COUNTIFS(WLSpread!$AB$2:$AB$784, $A25, WLSpread!$C$2:$C$784, $A25)</f>
        <v>0</v>
      </c>
      <c r="P25" s="4">
        <f>COUNTIFS(WLSpread!$Z$2:$Z$784, $A25, WLSpread!$B$2:$B$784, $A25)</f>
        <v>0</v>
      </c>
      <c r="Q25" s="4">
        <f>COUNTIFS(WLSpread!$AB$2:$AB$784, $A25, WLSpread!$B$2:$B$784, $A25)</f>
        <v>3</v>
      </c>
      <c r="R25" s="4">
        <f t="shared" si="7"/>
        <v>4</v>
      </c>
      <c r="S25" s="7"/>
      <c r="T25" s="7"/>
      <c r="U25" s="7"/>
      <c r="V25" s="7"/>
      <c r="W25" s="7"/>
      <c r="X25" s="7"/>
      <c r="Y25" s="7"/>
      <c r="Z25" s="7"/>
    </row>
    <row r="26" ht="15.75" customHeight="1">
      <c r="A26" s="4" t="s">
        <v>81</v>
      </c>
      <c r="B26" s="4">
        <f>COUNTIF(WLSpread!$Z$2:$Z$1048467, A26)</f>
        <v>4</v>
      </c>
      <c r="C26" s="4">
        <f>COUNTIF(WLSpread!$AB$2:$AB$1048467, A26)</f>
        <v>7</v>
      </c>
      <c r="D26" s="4" t="str">
        <f t="shared" si="1"/>
        <v>4-7</v>
      </c>
      <c r="E26" s="19">
        <f t="shared" si="2"/>
        <v>0.3636363636</v>
      </c>
      <c r="F26" s="4" t="s">
        <v>198</v>
      </c>
      <c r="G26" s="4" t="s">
        <v>219</v>
      </c>
      <c r="H26" s="7">
        <f>COUNTIFS(WLSpread!$Z$2:$Z$823, $A26, WLSpread!$V$2:$V$823, $F26)</f>
        <v>3</v>
      </c>
      <c r="I26" s="4">
        <f>COUNTIFS(WLSpread!$AB$2:$AB$823, $A26, WLSpread!$V$2:$V$823, $F26)</f>
        <v>7</v>
      </c>
      <c r="J26" s="4" t="str">
        <f t="shared" si="3"/>
        <v>3-7</v>
      </c>
      <c r="K26" s="22">
        <f t="shared" si="4"/>
        <v>0.3</v>
      </c>
      <c r="L26" s="4" t="str">
        <f t="shared" si="5"/>
        <v>3-3</v>
      </c>
      <c r="M26" s="4" t="str">
        <f t="shared" si="6"/>
        <v>1-4</v>
      </c>
      <c r="N26" s="4">
        <f>COUNTIFS(WLSpread!$Z$2:$Z$784, $A26, WLSpread!$C$2:$C$784, $A26)</f>
        <v>3</v>
      </c>
      <c r="O26" s="4">
        <f>COUNTIFS(WLSpread!$AB$2:$AB$784, $A26, WLSpread!$C$2:$C$784, $A26)</f>
        <v>3</v>
      </c>
      <c r="P26" s="4">
        <f>COUNTIFS(WLSpread!$Z$2:$Z$784, $A26, WLSpread!$B$2:$B$784, $A26)</f>
        <v>1</v>
      </c>
      <c r="Q26" s="4">
        <f>COUNTIFS(WLSpread!$AB$2:$AB$784, $A26, WLSpread!$B$2:$B$784, $A26)</f>
        <v>4</v>
      </c>
      <c r="R26" s="4">
        <f t="shared" si="7"/>
        <v>11</v>
      </c>
      <c r="S26" s="7"/>
      <c r="T26" s="7"/>
      <c r="U26" s="7"/>
      <c r="V26" s="7"/>
      <c r="W26" s="7"/>
      <c r="X26" s="7"/>
      <c r="Y26" s="7"/>
      <c r="Z26" s="7"/>
    </row>
    <row r="27" ht="15.75" customHeight="1">
      <c r="A27" s="4" t="s">
        <v>65</v>
      </c>
      <c r="B27" s="4">
        <f>COUNTIF(WLSpread!$Z$2:$Z$1048467, A27)</f>
        <v>3</v>
      </c>
      <c r="C27" s="4">
        <f>COUNTIF(WLSpread!$AB$2:$AB$1048467, A27)</f>
        <v>7</v>
      </c>
      <c r="D27" s="4" t="str">
        <f t="shared" si="1"/>
        <v>3-7</v>
      </c>
      <c r="E27" s="19">
        <f t="shared" si="2"/>
        <v>0.3</v>
      </c>
      <c r="F27" s="4" t="s">
        <v>198</v>
      </c>
      <c r="G27" s="4" t="s">
        <v>209</v>
      </c>
      <c r="H27" s="7">
        <f>COUNTIFS(WLSpread!$Z$2:$Z$823, $A27, WLSpread!$V$2:$V$823, $F27)</f>
        <v>3</v>
      </c>
      <c r="I27" s="4">
        <f>COUNTIFS(WLSpread!$AB$2:$AB$823, $A27, WLSpread!$V$2:$V$823, $F27)</f>
        <v>7</v>
      </c>
      <c r="J27" s="4" t="str">
        <f t="shared" si="3"/>
        <v>3-7</v>
      </c>
      <c r="K27" s="22">
        <f t="shared" si="4"/>
        <v>0.3</v>
      </c>
      <c r="L27" s="4" t="str">
        <f t="shared" si="5"/>
        <v>1-4</v>
      </c>
      <c r="M27" s="4" t="str">
        <f t="shared" si="6"/>
        <v>2-3</v>
      </c>
      <c r="N27" s="4">
        <f>COUNTIFS(WLSpread!$Z$2:$Z$784, $A27, WLSpread!$C$2:$C$784, $A27)</f>
        <v>1</v>
      </c>
      <c r="O27" s="4">
        <f>COUNTIFS(WLSpread!$AB$2:$AB$784, $A27, WLSpread!$C$2:$C$784, $A27)</f>
        <v>4</v>
      </c>
      <c r="P27" s="4">
        <f>COUNTIFS(WLSpread!$Z$2:$Z$784, $A27, WLSpread!$B$2:$B$784, $A27)</f>
        <v>2</v>
      </c>
      <c r="Q27" s="4">
        <f>COUNTIFS(WLSpread!$AB$2:$AB$784, $A27, WLSpread!$B$2:$B$784, $A27)</f>
        <v>3</v>
      </c>
      <c r="R27" s="4">
        <f t="shared" si="7"/>
        <v>10</v>
      </c>
      <c r="S27" s="7"/>
      <c r="T27" s="7"/>
      <c r="U27" s="7"/>
      <c r="V27" s="7"/>
      <c r="W27" s="7"/>
      <c r="X27" s="7"/>
      <c r="Y27" s="7"/>
      <c r="Z27" s="7"/>
    </row>
    <row r="28" ht="15.75" customHeight="1">
      <c r="A28" s="4" t="s">
        <v>139</v>
      </c>
      <c r="B28" s="4">
        <f>COUNTIF(WLSpread!$Z$2:$Z$1048467, A28)</f>
        <v>2</v>
      </c>
      <c r="C28" s="4">
        <f>COUNTIF(WLSpread!$AB$2:$AB$1048467, A28)</f>
        <v>10</v>
      </c>
      <c r="D28" s="4" t="str">
        <f t="shared" si="1"/>
        <v>2-10</v>
      </c>
      <c r="E28" s="19">
        <f t="shared" si="2"/>
        <v>0.1666666667</v>
      </c>
      <c r="F28" s="4" t="s">
        <v>201</v>
      </c>
      <c r="G28" s="4" t="s">
        <v>202</v>
      </c>
      <c r="H28" s="7">
        <f>COUNTIFS(WLSpread!$Z$2:$Z$823, $A28, WLSpread!$V$2:$V$823, $F28)</f>
        <v>2</v>
      </c>
      <c r="I28" s="4">
        <f>COUNTIFS(WLSpread!$AB$2:$AB$823, $A28, WLSpread!$V$2:$V$823, $F28)</f>
        <v>6</v>
      </c>
      <c r="J28" s="4" t="str">
        <f t="shared" si="3"/>
        <v>2-6</v>
      </c>
      <c r="K28" s="22">
        <f t="shared" si="4"/>
        <v>0.25</v>
      </c>
      <c r="L28" s="4" t="str">
        <f t="shared" si="5"/>
        <v>1-5</v>
      </c>
      <c r="M28" s="4" t="str">
        <f t="shared" si="6"/>
        <v>1-5</v>
      </c>
      <c r="N28" s="4">
        <f>COUNTIFS(WLSpread!$Z$2:$Z$784, $A28, WLSpread!$C$2:$C$784, $A28)</f>
        <v>1</v>
      </c>
      <c r="O28" s="4">
        <f>COUNTIFS(WLSpread!$AB$2:$AB$784, $A28, WLSpread!$C$2:$C$784, $A28)</f>
        <v>5</v>
      </c>
      <c r="P28" s="4">
        <f>COUNTIFS(WLSpread!$Z$2:$Z$784, $A28, WLSpread!$B$2:$B$784, $A28)</f>
        <v>1</v>
      </c>
      <c r="Q28" s="4">
        <f>COUNTIFS(WLSpread!$AB$2:$AB$784, $A28, WLSpread!$B$2:$B$784, $A28)</f>
        <v>5</v>
      </c>
      <c r="R28" s="4">
        <f t="shared" si="7"/>
        <v>12</v>
      </c>
      <c r="S28" s="7"/>
      <c r="T28" s="7"/>
      <c r="U28" s="7"/>
      <c r="V28" s="7"/>
      <c r="W28" s="7"/>
      <c r="X28" s="7"/>
      <c r="Y28" s="7"/>
      <c r="Z28" s="7"/>
    </row>
    <row r="29" ht="15.75" customHeight="1">
      <c r="A29" s="4" t="s">
        <v>104</v>
      </c>
      <c r="B29" s="4">
        <f>COUNTIF(WLSpread!$Z$2:$Z$1048467, A29)</f>
        <v>2</v>
      </c>
      <c r="C29" s="4">
        <f>COUNTIF(WLSpread!$AB$2:$AB$1048467, A29)</f>
        <v>7</v>
      </c>
      <c r="D29" s="4" t="str">
        <f t="shared" si="1"/>
        <v>2-7</v>
      </c>
      <c r="E29" s="19">
        <f t="shared" si="2"/>
        <v>0.2222222222</v>
      </c>
      <c r="F29" s="4" t="s">
        <v>197</v>
      </c>
      <c r="G29" s="4" t="s">
        <v>197</v>
      </c>
      <c r="H29" s="7">
        <f>COUNTIFS(WLSpread!$Z$2:$Z$823, $A29, WLSpread!$V$2:$V$823, $F29)</f>
        <v>2</v>
      </c>
      <c r="I29" s="4">
        <f>COUNTIFS(WLSpread!$AB$2:$AB$823, $A29, WLSpread!$V$2:$V$823, $F29)</f>
        <v>7</v>
      </c>
      <c r="J29" s="4" t="str">
        <f t="shared" si="3"/>
        <v>2-7</v>
      </c>
      <c r="K29" s="22">
        <f t="shared" si="4"/>
        <v>0.2222222222</v>
      </c>
      <c r="L29" s="4" t="str">
        <f t="shared" si="5"/>
        <v>2-2</v>
      </c>
      <c r="M29" s="4" t="str">
        <f t="shared" si="6"/>
        <v>0-5</v>
      </c>
      <c r="N29" s="4">
        <f>COUNTIFS(WLSpread!$Z$2:$Z$784, $A29, WLSpread!$C$2:$C$784, $A29)</f>
        <v>2</v>
      </c>
      <c r="O29" s="4">
        <f>COUNTIFS(WLSpread!$AB$2:$AB$784, $A29, WLSpread!$C$2:$C$784, $A29)</f>
        <v>2</v>
      </c>
      <c r="P29" s="4">
        <f>COUNTIFS(WLSpread!$Z$2:$Z$784, $A29, WLSpread!$B$2:$B$784, $A29)</f>
        <v>0</v>
      </c>
      <c r="Q29" s="4">
        <f>COUNTIFS(WLSpread!$AB$2:$AB$784, $A29, WLSpread!$B$2:$B$784, $A29)</f>
        <v>5</v>
      </c>
      <c r="R29" s="4">
        <f t="shared" si="7"/>
        <v>9</v>
      </c>
      <c r="S29" s="7"/>
      <c r="T29" s="7"/>
      <c r="U29" s="7"/>
      <c r="V29" s="7"/>
      <c r="W29" s="7"/>
      <c r="X29" s="7"/>
      <c r="Y29" s="7"/>
      <c r="Z29" s="7"/>
    </row>
    <row r="30" ht="15.75" customHeight="1">
      <c r="A30" s="4" t="s">
        <v>171</v>
      </c>
      <c r="B30" s="4">
        <f>COUNTIF(WLSpread!$Z$2:$Z$1048467, A30)</f>
        <v>1</v>
      </c>
      <c r="C30" s="4">
        <f>COUNTIF(WLSpread!$AB$2:$AB$1048467, A30)</f>
        <v>3</v>
      </c>
      <c r="D30" s="4" t="str">
        <f t="shared" si="1"/>
        <v>1-3</v>
      </c>
      <c r="E30" s="19">
        <f t="shared" si="2"/>
        <v>0.25</v>
      </c>
      <c r="F30" s="4" t="s">
        <v>165</v>
      </c>
      <c r="G30" s="4" t="s">
        <v>220</v>
      </c>
      <c r="H30" s="7">
        <f>COUNTIFS(WLSpread!$Z$2:$Z$823, $A30, WLSpread!$V$2:$V$823, $F30)</f>
        <v>1</v>
      </c>
      <c r="I30" s="4">
        <f>COUNTIFS(WLSpread!$AB$2:$AB$823, $A30, WLSpread!$V$2:$V$823, $F30)</f>
        <v>3</v>
      </c>
      <c r="J30" s="4" t="str">
        <f t="shared" si="3"/>
        <v>1-3</v>
      </c>
      <c r="K30" s="22">
        <f t="shared" si="4"/>
        <v>0.25</v>
      </c>
      <c r="L30" s="4" t="str">
        <f t="shared" si="5"/>
        <v>1-1</v>
      </c>
      <c r="M30" s="4" t="str">
        <f t="shared" si="6"/>
        <v>0-2</v>
      </c>
      <c r="N30" s="4">
        <f>COUNTIFS(WLSpread!$Z$2:$Z$784, $A30, WLSpread!$C$2:$C$784, $A30)</f>
        <v>1</v>
      </c>
      <c r="O30" s="4">
        <f>COUNTIFS(WLSpread!$AB$2:$AB$784, $A30, WLSpread!$C$2:$C$784, $A30)</f>
        <v>1</v>
      </c>
      <c r="P30" s="4">
        <f>COUNTIFS(WLSpread!$Z$2:$Z$784, $A30, WLSpread!$B$2:$B$784, $A30)</f>
        <v>0</v>
      </c>
      <c r="Q30" s="4">
        <f>COUNTIFS(WLSpread!$AB$2:$AB$784, $A30, WLSpread!$B$2:$B$784, $A30)</f>
        <v>2</v>
      </c>
      <c r="R30" s="4">
        <f t="shared" si="7"/>
        <v>4</v>
      </c>
      <c r="S30" s="7"/>
      <c r="T30" s="7"/>
      <c r="U30" s="7"/>
      <c r="V30" s="7"/>
      <c r="W30" s="7"/>
      <c r="X30" s="7"/>
      <c r="Y30" s="7"/>
      <c r="Z30" s="7"/>
    </row>
    <row r="31" ht="15.75" customHeight="1">
      <c r="A31" s="4" t="s">
        <v>166</v>
      </c>
      <c r="B31" s="4">
        <f>COUNTIF(WLSpread!$Z$2:$Z$1048467, A31)</f>
        <v>3</v>
      </c>
      <c r="C31" s="4">
        <f>COUNTIF(WLSpread!$AB$2:$AB$1048467, A31)</f>
        <v>6</v>
      </c>
      <c r="D31" s="4" t="str">
        <f t="shared" si="1"/>
        <v>3-6</v>
      </c>
      <c r="E31" s="19">
        <f t="shared" si="2"/>
        <v>0.3333333333</v>
      </c>
      <c r="F31" s="4" t="s">
        <v>163</v>
      </c>
      <c r="G31" s="4" t="s">
        <v>221</v>
      </c>
      <c r="H31" s="7">
        <f>COUNTIFS(WLSpread!$Z$2:$Z$823, $A31, WLSpread!$V$2:$V$823, $F31)</f>
        <v>3</v>
      </c>
      <c r="I31" s="4">
        <f>COUNTIFS(WLSpread!$AB$2:$AB$823, $A31, WLSpread!$V$2:$V$823, $F31)</f>
        <v>6</v>
      </c>
      <c r="J31" s="4" t="str">
        <f t="shared" si="3"/>
        <v>3-6</v>
      </c>
      <c r="K31" s="22">
        <f t="shared" si="4"/>
        <v>0.3333333333</v>
      </c>
      <c r="L31" s="4" t="str">
        <f t="shared" si="5"/>
        <v>0-5</v>
      </c>
      <c r="M31" s="4" t="str">
        <f t="shared" si="6"/>
        <v>3-1</v>
      </c>
      <c r="N31" s="4">
        <f>COUNTIFS(WLSpread!$Z$2:$Z$784, $A31, WLSpread!$C$2:$C$784, $A31)</f>
        <v>0</v>
      </c>
      <c r="O31" s="4">
        <f>COUNTIFS(WLSpread!$AB$2:$AB$784, $A31, WLSpread!$C$2:$C$784, $A31)</f>
        <v>5</v>
      </c>
      <c r="P31" s="4">
        <f>COUNTIFS(WLSpread!$Z$2:$Z$784, $A31, WLSpread!$B$2:$B$784, $A31)</f>
        <v>3</v>
      </c>
      <c r="Q31" s="4">
        <f>COUNTIFS(WLSpread!$AB$2:$AB$784, $A31, WLSpread!$B$2:$B$784, $A31)</f>
        <v>1</v>
      </c>
      <c r="R31" s="4">
        <f t="shared" si="7"/>
        <v>9</v>
      </c>
      <c r="S31" s="7"/>
      <c r="T31" s="7"/>
      <c r="U31" s="7"/>
      <c r="V31" s="7"/>
      <c r="W31" s="7"/>
      <c r="X31" s="7"/>
      <c r="Y31" s="7"/>
      <c r="Z31" s="7"/>
    </row>
    <row r="32" ht="15.75" customHeight="1">
      <c r="A32" s="4" t="s">
        <v>57</v>
      </c>
      <c r="B32" s="4">
        <f>COUNTIF(WLSpread!$Z$2:$Z$1048467, A32)</f>
        <v>4</v>
      </c>
      <c r="C32" s="4">
        <f>COUNTIF(WLSpread!$AB$2:$AB$1048467, A32)</f>
        <v>5</v>
      </c>
      <c r="D32" s="4" t="str">
        <f t="shared" si="1"/>
        <v>4-5</v>
      </c>
      <c r="E32" s="19">
        <f t="shared" si="2"/>
        <v>0.4444444444</v>
      </c>
      <c r="F32" s="4" t="s">
        <v>163</v>
      </c>
      <c r="G32" s="4" t="s">
        <v>221</v>
      </c>
      <c r="H32" s="7">
        <f>COUNTIFS(WLSpread!$Z$2:$Z$823, $A32, WLSpread!$V$2:$V$823, $F32)</f>
        <v>4</v>
      </c>
      <c r="I32" s="4">
        <f>COUNTIFS(WLSpread!$AB$2:$AB$823, $A32, WLSpread!$V$2:$V$823, $F32)</f>
        <v>5</v>
      </c>
      <c r="J32" s="4" t="str">
        <f t="shared" si="3"/>
        <v>4-5</v>
      </c>
      <c r="K32" s="22">
        <f t="shared" si="4"/>
        <v>0.4444444444</v>
      </c>
      <c r="L32" s="4" t="str">
        <f t="shared" si="5"/>
        <v>2-3</v>
      </c>
      <c r="M32" s="4" t="str">
        <f t="shared" si="6"/>
        <v>2-2</v>
      </c>
      <c r="N32" s="4">
        <f>COUNTIFS(WLSpread!$Z$2:$Z$784, $A32, WLSpread!$C$2:$C$784, $A32)</f>
        <v>2</v>
      </c>
      <c r="O32" s="4">
        <f>COUNTIFS(WLSpread!$AB$2:$AB$784, $A32, WLSpread!$C$2:$C$784, $A32)</f>
        <v>3</v>
      </c>
      <c r="P32" s="4">
        <f>COUNTIFS(WLSpread!$Z$2:$Z$784, $A32, WLSpread!$B$2:$B$784, $A32)</f>
        <v>2</v>
      </c>
      <c r="Q32" s="4">
        <f>COUNTIFS(WLSpread!$AB$2:$AB$784, $A32, WLSpread!$B$2:$B$784, $A32)</f>
        <v>2</v>
      </c>
      <c r="R32" s="4">
        <f t="shared" si="7"/>
        <v>9</v>
      </c>
      <c r="S32" s="7"/>
      <c r="T32" s="7"/>
      <c r="U32" s="7"/>
      <c r="V32" s="7"/>
      <c r="W32" s="7"/>
      <c r="X32" s="7"/>
      <c r="Y32" s="7"/>
      <c r="Z32" s="7"/>
    </row>
    <row r="33" ht="15.75" customHeight="1">
      <c r="A33" s="4" t="s">
        <v>96</v>
      </c>
      <c r="B33" s="4">
        <f>COUNTIF(WLSpread!$Z$2:$Z$1048467, A33)</f>
        <v>3</v>
      </c>
      <c r="C33" s="4">
        <f>COUNTIF(WLSpread!$AB$2:$AB$1048467, A33)</f>
        <v>2</v>
      </c>
      <c r="D33" s="4" t="str">
        <f t="shared" si="1"/>
        <v>3-2</v>
      </c>
      <c r="E33" s="19">
        <f t="shared" si="2"/>
        <v>0.6</v>
      </c>
      <c r="F33" s="4" t="s">
        <v>165</v>
      </c>
      <c r="G33" s="4" t="s">
        <v>199</v>
      </c>
      <c r="H33" s="7">
        <f>COUNTIFS(WLSpread!$Z$2:$Z$823, $A33, WLSpread!$V$2:$V$823, $F33)</f>
        <v>3</v>
      </c>
      <c r="I33" s="4">
        <f>COUNTIFS(WLSpread!$AB$2:$AB$823, $A33, WLSpread!$V$2:$V$823, $F33)</f>
        <v>2</v>
      </c>
      <c r="J33" s="4" t="str">
        <f t="shared" si="3"/>
        <v>3-2</v>
      </c>
      <c r="K33" s="22">
        <f t="shared" si="4"/>
        <v>0.6</v>
      </c>
      <c r="L33" s="4" t="str">
        <f t="shared" si="5"/>
        <v>2-1</v>
      </c>
      <c r="M33" s="4" t="str">
        <f t="shared" si="6"/>
        <v>1-1</v>
      </c>
      <c r="N33" s="4">
        <f>COUNTIFS(WLSpread!$Z$2:$Z$784, $A33, WLSpread!$C$2:$C$784, $A33)</f>
        <v>2</v>
      </c>
      <c r="O33" s="4">
        <f>COUNTIFS(WLSpread!$AB$2:$AB$784, $A33, WLSpread!$C$2:$C$784, $A33)</f>
        <v>1</v>
      </c>
      <c r="P33" s="4">
        <f>COUNTIFS(WLSpread!$Z$2:$Z$784, $A33, WLSpread!$B$2:$B$784, $A33)</f>
        <v>1</v>
      </c>
      <c r="Q33" s="4">
        <f>COUNTIFS(WLSpread!$AB$2:$AB$784, $A33, WLSpread!$B$2:$B$784, $A33)</f>
        <v>1</v>
      </c>
      <c r="R33" s="4">
        <f t="shared" si="7"/>
        <v>5</v>
      </c>
      <c r="S33" s="7"/>
      <c r="T33" s="7"/>
      <c r="U33" s="7"/>
      <c r="V33" s="7"/>
      <c r="W33" s="7"/>
      <c r="X33" s="7"/>
      <c r="Y33" s="7"/>
      <c r="Z33" s="7"/>
    </row>
    <row r="34" ht="15.75" customHeight="1">
      <c r="A34" s="4" t="s">
        <v>152</v>
      </c>
      <c r="B34" s="4">
        <f>COUNTIF(WLSpread!$Z$2:$Z$1048467, A34)</f>
        <v>2</v>
      </c>
      <c r="C34" s="4">
        <f>COUNTIF(WLSpread!$AB$2:$AB$1048467, A34)</f>
        <v>4</v>
      </c>
      <c r="D34" s="4" t="str">
        <f t="shared" si="1"/>
        <v>2-4</v>
      </c>
      <c r="E34" s="19">
        <f t="shared" si="2"/>
        <v>0.3333333333</v>
      </c>
      <c r="F34" s="4" t="s">
        <v>163</v>
      </c>
      <c r="G34" s="4" t="s">
        <v>222</v>
      </c>
      <c r="H34" s="7">
        <f>COUNTIFS(WLSpread!$Z$2:$Z$823, $A34, WLSpread!$V$2:$V$823, $F34)</f>
        <v>2</v>
      </c>
      <c r="I34" s="4">
        <f>COUNTIFS(WLSpread!$AB$2:$AB$823, $A34, WLSpread!$V$2:$V$823, $F34)</f>
        <v>4</v>
      </c>
      <c r="J34" s="4" t="str">
        <f t="shared" si="3"/>
        <v>2-4</v>
      </c>
      <c r="K34" s="22">
        <f t="shared" si="4"/>
        <v>0.3333333333</v>
      </c>
      <c r="L34" s="4" t="str">
        <f t="shared" si="5"/>
        <v>1-3</v>
      </c>
      <c r="M34" s="4" t="str">
        <f t="shared" si="6"/>
        <v>1-1</v>
      </c>
      <c r="N34" s="4">
        <f>COUNTIFS(WLSpread!$Z$2:$Z$784, $A34, WLSpread!$C$2:$C$784, $A34)</f>
        <v>1</v>
      </c>
      <c r="O34" s="4">
        <f>COUNTIFS(WLSpread!$AB$2:$AB$784, $A34, WLSpread!$C$2:$C$784, $A34)</f>
        <v>3</v>
      </c>
      <c r="P34" s="4">
        <f>COUNTIFS(WLSpread!$Z$2:$Z$784, $A34, WLSpread!$B$2:$B$784, $A34)</f>
        <v>1</v>
      </c>
      <c r="Q34" s="4">
        <f>COUNTIFS(WLSpread!$AB$2:$AB$784, $A34, WLSpread!$B$2:$B$784, $A34)</f>
        <v>1</v>
      </c>
      <c r="R34" s="4">
        <f t="shared" si="7"/>
        <v>6</v>
      </c>
      <c r="S34" s="7"/>
      <c r="T34" s="7"/>
      <c r="U34" s="7"/>
      <c r="V34" s="7"/>
      <c r="W34" s="7"/>
      <c r="X34" s="7"/>
      <c r="Y34" s="7"/>
      <c r="Z34" s="7"/>
    </row>
    <row r="35" ht="15.75" customHeight="1">
      <c r="A35" s="4" t="s">
        <v>114</v>
      </c>
      <c r="B35" s="4">
        <f>COUNTIF(WLSpread!$Z$2:$Z$1048467, A35)</f>
        <v>4</v>
      </c>
      <c r="C35" s="4">
        <f>COUNTIF(WLSpread!$AB$2:$AB$1048467, A35)</f>
        <v>6</v>
      </c>
      <c r="D35" s="4" t="str">
        <f t="shared" si="1"/>
        <v>4-6</v>
      </c>
      <c r="E35" s="19">
        <f t="shared" si="2"/>
        <v>0.4</v>
      </c>
      <c r="F35" s="4" t="s">
        <v>84</v>
      </c>
      <c r="G35" s="4" t="s">
        <v>85</v>
      </c>
      <c r="H35" s="7">
        <f>COUNTIFS(WLSpread!$Z$2:$Z$823, $A35, WLSpread!$V$2:$V$823, $F35)</f>
        <v>3</v>
      </c>
      <c r="I35" s="4">
        <f>COUNTIFS(WLSpread!$AB$2:$AB$823, $A35, WLSpread!$V$2:$V$823, $F35)</f>
        <v>4</v>
      </c>
      <c r="J35" s="4" t="str">
        <f t="shared" si="3"/>
        <v>3-4</v>
      </c>
      <c r="K35" s="22">
        <f t="shared" si="4"/>
        <v>0.4285714286</v>
      </c>
      <c r="L35" s="4" t="str">
        <f t="shared" si="5"/>
        <v>2-5</v>
      </c>
      <c r="M35" s="4" t="str">
        <f t="shared" si="6"/>
        <v>2-1</v>
      </c>
      <c r="N35" s="4">
        <f>COUNTIFS(WLSpread!$Z$2:$Z$784, $A35, WLSpread!$C$2:$C$784, $A35)</f>
        <v>2</v>
      </c>
      <c r="O35" s="4">
        <f>COUNTIFS(WLSpread!$AB$2:$AB$784, $A35, WLSpread!$C$2:$C$784, $A35)</f>
        <v>5</v>
      </c>
      <c r="P35" s="4">
        <f>COUNTIFS(WLSpread!$Z$2:$Z$784, $A35, WLSpread!$B$2:$B$784, $A35)</f>
        <v>2</v>
      </c>
      <c r="Q35" s="4">
        <f>COUNTIFS(WLSpread!$AB$2:$AB$784, $A35, WLSpread!$B$2:$B$784, $A35)</f>
        <v>1</v>
      </c>
      <c r="R35" s="4">
        <f t="shared" si="7"/>
        <v>10</v>
      </c>
      <c r="S35" s="7"/>
      <c r="T35" s="7"/>
      <c r="U35" s="7"/>
      <c r="V35" s="7"/>
      <c r="W35" s="7"/>
      <c r="X35" s="7"/>
      <c r="Y35" s="7"/>
      <c r="Z35" s="7"/>
    </row>
    <row r="36" ht="15.75" customHeight="1">
      <c r="A36" s="4" t="s">
        <v>200</v>
      </c>
      <c r="B36" s="4">
        <f>COUNTIF(WLSpread!$Z$2:$Z$1048467, A36)</f>
        <v>3</v>
      </c>
      <c r="C36" s="4">
        <f>COUNTIF(WLSpread!$AB$2:$AB$1048467, A36)</f>
        <v>6</v>
      </c>
      <c r="D36" s="4" t="str">
        <f t="shared" si="1"/>
        <v>3-6</v>
      </c>
      <c r="E36" s="19">
        <f t="shared" si="2"/>
        <v>0.3333333333</v>
      </c>
      <c r="F36" s="4" t="s">
        <v>84</v>
      </c>
      <c r="G36" s="4" t="s">
        <v>159</v>
      </c>
      <c r="H36" s="7">
        <f>COUNTIFS(WLSpread!$Z$2:$Z$823, $A36, WLSpread!$V$2:$V$823, $F36)</f>
        <v>2</v>
      </c>
      <c r="I36" s="4">
        <f>COUNTIFS(WLSpread!$AB$2:$AB$823, $A36, WLSpread!$V$2:$V$823, $F36)</f>
        <v>4</v>
      </c>
      <c r="J36" s="4" t="str">
        <f t="shared" si="3"/>
        <v>2-4</v>
      </c>
      <c r="K36" s="22">
        <f t="shared" si="4"/>
        <v>0.3333333333</v>
      </c>
      <c r="L36" s="4" t="str">
        <f t="shared" si="5"/>
        <v>0-3</v>
      </c>
      <c r="M36" s="4" t="str">
        <f t="shared" si="6"/>
        <v>3-3</v>
      </c>
      <c r="N36" s="4">
        <f>COUNTIFS(WLSpread!$Z$2:$Z$784, $A36, WLSpread!$C$2:$C$784, $A36)</f>
        <v>0</v>
      </c>
      <c r="O36" s="4">
        <f>COUNTIFS(WLSpread!$AB$2:$AB$784, $A36, WLSpread!$C$2:$C$784, $A36)</f>
        <v>3</v>
      </c>
      <c r="P36" s="4">
        <f>COUNTIFS(WLSpread!$Z$2:$Z$784, $A36, WLSpread!$B$2:$B$784, $A36)</f>
        <v>3</v>
      </c>
      <c r="Q36" s="4">
        <f>COUNTIFS(WLSpread!$AB$2:$AB$784, $A36, WLSpread!$B$2:$B$784, $A36)</f>
        <v>3</v>
      </c>
      <c r="R36" s="4">
        <f t="shared" si="7"/>
        <v>9</v>
      </c>
      <c r="S36" s="7"/>
      <c r="T36" s="7"/>
      <c r="U36" s="7"/>
      <c r="V36" s="7"/>
      <c r="W36" s="7"/>
      <c r="X36" s="7"/>
      <c r="Y36" s="7"/>
      <c r="Z36" s="7"/>
    </row>
    <row r="37" ht="15.75" customHeight="1">
      <c r="A37" s="4" t="s">
        <v>137</v>
      </c>
      <c r="B37" s="4">
        <f>COUNTIF(WLSpread!$Z$2:$Z$1048467, A37)</f>
        <v>2</v>
      </c>
      <c r="C37" s="4">
        <f>COUNTIF(WLSpread!$AB$2:$AB$1048467, A37)</f>
        <v>6</v>
      </c>
      <c r="D37" s="4" t="str">
        <f t="shared" si="1"/>
        <v>2-6</v>
      </c>
      <c r="E37" s="19">
        <f t="shared" si="2"/>
        <v>0.25</v>
      </c>
      <c r="F37" s="4" t="s">
        <v>163</v>
      </c>
      <c r="G37" s="4" t="s">
        <v>222</v>
      </c>
      <c r="H37" s="7">
        <f>COUNTIFS(WLSpread!$Z$2:$Z$823, $A37, WLSpread!$V$2:$V$823, $F37)</f>
        <v>2</v>
      </c>
      <c r="I37" s="4">
        <f>COUNTIFS(WLSpread!$AB$2:$AB$823, $A37, WLSpread!$V$2:$V$823, $F37)</f>
        <v>6</v>
      </c>
      <c r="J37" s="4" t="str">
        <f t="shared" si="3"/>
        <v>2-6</v>
      </c>
      <c r="K37" s="22">
        <f t="shared" si="4"/>
        <v>0.25</v>
      </c>
      <c r="L37" s="4" t="str">
        <f t="shared" si="5"/>
        <v>0-3</v>
      </c>
      <c r="M37" s="4" t="str">
        <f t="shared" si="6"/>
        <v>2-3</v>
      </c>
      <c r="N37" s="4">
        <f>COUNTIFS(WLSpread!$Z$2:$Z$784, $A37, WLSpread!$C$2:$C$784, $A37)</f>
        <v>0</v>
      </c>
      <c r="O37" s="4">
        <f>COUNTIFS(WLSpread!$AB$2:$AB$784, $A37, WLSpread!$C$2:$C$784, $A37)</f>
        <v>3</v>
      </c>
      <c r="P37" s="4">
        <f>COUNTIFS(WLSpread!$Z$2:$Z$784, $A37, WLSpread!$B$2:$B$784, $A37)</f>
        <v>2</v>
      </c>
      <c r="Q37" s="4">
        <f>COUNTIFS(WLSpread!$AB$2:$AB$784, $A37, WLSpread!$B$2:$B$784, $A37)</f>
        <v>3</v>
      </c>
      <c r="R37" s="4">
        <f t="shared" si="7"/>
        <v>8</v>
      </c>
      <c r="S37" s="7"/>
      <c r="T37" s="7"/>
      <c r="U37" s="7"/>
      <c r="V37" s="7"/>
      <c r="W37" s="7"/>
      <c r="X37" s="7"/>
      <c r="Y37" s="7"/>
      <c r="Z37" s="7"/>
    </row>
    <row r="38" ht="15.75" customHeight="1">
      <c r="A38" s="4" t="s">
        <v>87</v>
      </c>
      <c r="B38" s="4">
        <f>COUNTIF(WLSpread!$Z$2:$Z$1048467, A38)</f>
        <v>2</v>
      </c>
      <c r="C38" s="4">
        <f>COUNTIF(WLSpread!$AB$2:$AB$1048467, A38)</f>
        <v>4</v>
      </c>
      <c r="D38" s="4" t="str">
        <f t="shared" si="1"/>
        <v>2-4</v>
      </c>
      <c r="E38" s="19">
        <f t="shared" si="2"/>
        <v>0.3333333333</v>
      </c>
      <c r="F38" s="4" t="s">
        <v>163</v>
      </c>
      <c r="G38" s="4" t="s">
        <v>221</v>
      </c>
      <c r="H38" s="7">
        <f>COUNTIFS(WLSpread!$Z$2:$Z$823, $A38, WLSpread!$V$2:$V$823, $F38)</f>
        <v>2</v>
      </c>
      <c r="I38" s="4">
        <f>COUNTIFS(WLSpread!$AB$2:$AB$823, $A38, WLSpread!$V$2:$V$823, $F38)</f>
        <v>4</v>
      </c>
      <c r="J38" s="4" t="str">
        <f t="shared" si="3"/>
        <v>2-4</v>
      </c>
      <c r="K38" s="22">
        <f t="shared" si="4"/>
        <v>0.3333333333</v>
      </c>
      <c r="L38" s="4" t="str">
        <f t="shared" si="5"/>
        <v>0-3</v>
      </c>
      <c r="M38" s="4" t="str">
        <f t="shared" si="6"/>
        <v>2-1</v>
      </c>
      <c r="N38" s="4">
        <f>COUNTIFS(WLSpread!$Z$2:$Z$784, $A38, WLSpread!$C$2:$C$784, $A38)</f>
        <v>0</v>
      </c>
      <c r="O38" s="4">
        <f>COUNTIFS(WLSpread!$AB$2:$AB$784, $A38, WLSpread!$C$2:$C$784, $A38)</f>
        <v>3</v>
      </c>
      <c r="P38" s="4">
        <f>COUNTIFS(WLSpread!$Z$2:$Z$784, $A38, WLSpread!$B$2:$B$784, $A38)</f>
        <v>2</v>
      </c>
      <c r="Q38" s="4">
        <f>COUNTIFS(WLSpread!$AB$2:$AB$784, $A38, WLSpread!$B$2:$B$784, $A38)</f>
        <v>1</v>
      </c>
      <c r="R38" s="4">
        <f t="shared" si="7"/>
        <v>6</v>
      </c>
      <c r="S38" s="7"/>
      <c r="T38" s="7"/>
      <c r="U38" s="7"/>
      <c r="V38" s="7"/>
      <c r="W38" s="7"/>
      <c r="X38" s="7"/>
      <c r="Y38" s="7"/>
      <c r="Z38" s="7"/>
    </row>
    <row r="39" ht="15.75" customHeight="1">
      <c r="A39" s="4" t="s">
        <v>118</v>
      </c>
      <c r="B39" s="4">
        <f>COUNTIF(WLSpread!$Z$2:$Z$1048467, A39)</f>
        <v>3</v>
      </c>
      <c r="C39" s="4">
        <f>COUNTIF(WLSpread!$AB$2:$AB$1048467, A39)</f>
        <v>7</v>
      </c>
      <c r="D39" s="4" t="str">
        <f t="shared" si="1"/>
        <v>3-7</v>
      </c>
      <c r="E39" s="19">
        <f t="shared" si="2"/>
        <v>0.3</v>
      </c>
      <c r="F39" s="4" t="s">
        <v>198</v>
      </c>
      <c r="G39" s="4" t="s">
        <v>219</v>
      </c>
      <c r="H39" s="7">
        <f>COUNTIFS(WLSpread!$Z$2:$Z$823, $A39, WLSpread!$V$2:$V$823, $F39)</f>
        <v>3</v>
      </c>
      <c r="I39" s="4">
        <f>COUNTIFS(WLSpread!$AB$2:$AB$823, $A39, WLSpread!$V$2:$V$823, $F39)</f>
        <v>7</v>
      </c>
      <c r="J39" s="4" t="str">
        <f t="shared" si="3"/>
        <v>3-7</v>
      </c>
      <c r="K39" s="22">
        <f t="shared" si="4"/>
        <v>0.3</v>
      </c>
      <c r="L39" s="4" t="str">
        <f t="shared" si="5"/>
        <v>2-3</v>
      </c>
      <c r="M39" s="4" t="str">
        <f t="shared" si="6"/>
        <v>1-4</v>
      </c>
      <c r="N39" s="4">
        <f>COUNTIFS(WLSpread!$Z$2:$Z$784, $A39, WLSpread!$C$2:$C$784, $A39)</f>
        <v>2</v>
      </c>
      <c r="O39" s="4">
        <f>COUNTIFS(WLSpread!$AB$2:$AB$784, $A39, WLSpread!$C$2:$C$784, $A39)</f>
        <v>3</v>
      </c>
      <c r="P39" s="4">
        <f>COUNTIFS(WLSpread!$Z$2:$Z$784, $A39, WLSpread!$B$2:$B$784, $A39)</f>
        <v>1</v>
      </c>
      <c r="Q39" s="4">
        <f>COUNTIFS(WLSpread!$AB$2:$AB$784, $A39, WLSpread!$B$2:$B$784, $A39)</f>
        <v>4</v>
      </c>
      <c r="R39" s="4">
        <f t="shared" si="7"/>
        <v>10</v>
      </c>
      <c r="S39" s="7"/>
      <c r="T39" s="7"/>
      <c r="U39" s="7"/>
      <c r="V39" s="7"/>
      <c r="W39" s="7"/>
      <c r="X39" s="7"/>
      <c r="Y39" s="7"/>
      <c r="Z39" s="7"/>
    </row>
    <row r="40" ht="15.75" customHeight="1">
      <c r="A40" s="4" t="s">
        <v>127</v>
      </c>
      <c r="B40" s="4">
        <f>COUNTIF(WLSpread!$Z$2:$Z$1048467, A40)</f>
        <v>4</v>
      </c>
      <c r="C40" s="4">
        <f>COUNTIF(WLSpread!$AB$2:$AB$1048467, A40)</f>
        <v>6</v>
      </c>
      <c r="D40" s="4" t="str">
        <f t="shared" si="1"/>
        <v>4-6</v>
      </c>
      <c r="E40" s="19">
        <f t="shared" si="2"/>
        <v>0.4</v>
      </c>
      <c r="F40" s="4" t="s">
        <v>197</v>
      </c>
      <c r="G40" s="4" t="s">
        <v>197</v>
      </c>
      <c r="H40" s="7">
        <f>COUNTIFS(WLSpread!$Z$2:$Z$823, $A40, WLSpread!$V$2:$V$823, $F40)</f>
        <v>3</v>
      </c>
      <c r="I40" s="4">
        <f>COUNTIFS(WLSpread!$AB$2:$AB$823, $A40, WLSpread!$V$2:$V$823, $F40)</f>
        <v>6</v>
      </c>
      <c r="J40" s="4" t="str">
        <f t="shared" si="3"/>
        <v>3-6</v>
      </c>
      <c r="K40" s="22">
        <f t="shared" si="4"/>
        <v>0.3333333333</v>
      </c>
      <c r="L40" s="4" t="str">
        <f t="shared" si="5"/>
        <v>4-2</v>
      </c>
      <c r="M40" s="4" t="str">
        <f t="shared" si="6"/>
        <v>0-4</v>
      </c>
      <c r="N40" s="4">
        <f>COUNTIFS(WLSpread!$Z$2:$Z$784, $A40, WLSpread!$C$2:$C$784, $A40)</f>
        <v>4</v>
      </c>
      <c r="O40" s="4">
        <f>COUNTIFS(WLSpread!$AB$2:$AB$784, $A40, WLSpread!$C$2:$C$784, $A40)</f>
        <v>2</v>
      </c>
      <c r="P40" s="4">
        <f>COUNTIFS(WLSpread!$Z$2:$Z$784, $A40, WLSpread!$B$2:$B$784, $A40)</f>
        <v>0</v>
      </c>
      <c r="Q40" s="4">
        <f>COUNTIFS(WLSpread!$AB$2:$AB$784, $A40, WLSpread!$B$2:$B$784, $A40)</f>
        <v>4</v>
      </c>
      <c r="R40" s="4">
        <f t="shared" si="7"/>
        <v>10</v>
      </c>
      <c r="S40" s="7"/>
      <c r="T40" s="7"/>
      <c r="U40" s="7"/>
      <c r="V40" s="7"/>
      <c r="W40" s="7"/>
      <c r="X40" s="7"/>
      <c r="Y40" s="7"/>
      <c r="Z40" s="7"/>
    </row>
    <row r="41" ht="15.75" customHeight="1">
      <c r="A41" s="4" t="s">
        <v>153</v>
      </c>
      <c r="B41" s="4">
        <f>COUNTIF(WLSpread!$Z$2:$Z$1048467, A41)</f>
        <v>3</v>
      </c>
      <c r="C41" s="4">
        <f>COUNTIF(WLSpread!$AB$2:$AB$1048467, A41)</f>
        <v>5</v>
      </c>
      <c r="D41" s="4" t="str">
        <f t="shared" si="1"/>
        <v>3-5</v>
      </c>
      <c r="E41" s="19">
        <f t="shared" si="2"/>
        <v>0.375</v>
      </c>
      <c r="F41" s="4" t="s">
        <v>163</v>
      </c>
      <c r="G41" s="4" t="s">
        <v>222</v>
      </c>
      <c r="H41" s="7">
        <f>COUNTIFS(WLSpread!$Z$2:$Z$823, $A41, WLSpread!$V$2:$V$823, $F41)</f>
        <v>3</v>
      </c>
      <c r="I41" s="4">
        <f>COUNTIFS(WLSpread!$AB$2:$AB$823, $A41, WLSpread!$V$2:$V$823, $F41)</f>
        <v>5</v>
      </c>
      <c r="J41" s="4" t="str">
        <f t="shared" si="3"/>
        <v>3-5</v>
      </c>
      <c r="K41" s="22">
        <f t="shared" si="4"/>
        <v>0.375</v>
      </c>
      <c r="L41" s="4" t="str">
        <f t="shared" si="5"/>
        <v>1-2</v>
      </c>
      <c r="M41" s="4" t="str">
        <f t="shared" si="6"/>
        <v>2-3</v>
      </c>
      <c r="N41" s="4">
        <f>COUNTIFS(WLSpread!$Z$2:$Z$784, $A41, WLSpread!$C$2:$C$784, $A41)</f>
        <v>1</v>
      </c>
      <c r="O41" s="4">
        <f>COUNTIFS(WLSpread!$AB$2:$AB$784, $A41, WLSpread!$C$2:$C$784, $A41)</f>
        <v>2</v>
      </c>
      <c r="P41" s="4">
        <f>COUNTIFS(WLSpread!$Z$2:$Z$784, $A41, WLSpread!$B$2:$B$784, $A41)</f>
        <v>2</v>
      </c>
      <c r="Q41" s="4">
        <f>COUNTIFS(WLSpread!$AB$2:$AB$784, $A41, WLSpread!$B$2:$B$784, $A41)</f>
        <v>3</v>
      </c>
      <c r="R41" s="4">
        <f t="shared" si="7"/>
        <v>8</v>
      </c>
      <c r="S41" s="7"/>
      <c r="T41" s="7"/>
      <c r="U41" s="7"/>
      <c r="V41" s="7"/>
      <c r="W41" s="7"/>
      <c r="X41" s="7"/>
      <c r="Y41" s="7"/>
      <c r="Z41" s="7"/>
    </row>
    <row r="42" ht="15.75" customHeight="1">
      <c r="A42" s="4" t="s">
        <v>145</v>
      </c>
      <c r="B42" s="4">
        <f>COUNTIF(WLSpread!$Z$2:$Z$1048467, A42)</f>
        <v>2</v>
      </c>
      <c r="C42" s="4">
        <f>COUNTIF(WLSpread!$AB$2:$AB$1048467, A42)</f>
        <v>5</v>
      </c>
      <c r="D42" s="4" t="str">
        <f t="shared" si="1"/>
        <v>2-5</v>
      </c>
      <c r="E42" s="19">
        <f t="shared" si="2"/>
        <v>0.2857142857</v>
      </c>
      <c r="F42" s="4" t="s">
        <v>163</v>
      </c>
      <c r="G42" s="4" t="s">
        <v>221</v>
      </c>
      <c r="H42" s="7">
        <f>COUNTIFS(WLSpread!$Z$2:$Z$823, $A42, WLSpread!$V$2:$V$823, $F42)</f>
        <v>2</v>
      </c>
      <c r="I42" s="4">
        <f>COUNTIFS(WLSpread!$AB$2:$AB$823, $A42, WLSpread!$V$2:$V$823, $F42)</f>
        <v>5</v>
      </c>
      <c r="J42" s="4" t="str">
        <f t="shared" si="3"/>
        <v>2-5</v>
      </c>
      <c r="K42" s="22">
        <f t="shared" si="4"/>
        <v>0.2857142857</v>
      </c>
      <c r="L42" s="4" t="str">
        <f t="shared" si="5"/>
        <v>1-3</v>
      </c>
      <c r="M42" s="4" t="str">
        <f t="shared" si="6"/>
        <v>1-2</v>
      </c>
      <c r="N42" s="4">
        <f>COUNTIFS(WLSpread!$Z$2:$Z$784, $A42, WLSpread!$C$2:$C$784, $A42)</f>
        <v>1</v>
      </c>
      <c r="O42" s="4">
        <f>COUNTIFS(WLSpread!$AB$2:$AB$784, $A42, WLSpread!$C$2:$C$784, $A42)</f>
        <v>3</v>
      </c>
      <c r="P42" s="4">
        <f>COUNTIFS(WLSpread!$Z$2:$Z$784, $A42, WLSpread!$B$2:$B$784, $A42)</f>
        <v>1</v>
      </c>
      <c r="Q42" s="4">
        <f>COUNTIFS(WLSpread!$AB$2:$AB$784, $A42, WLSpread!$B$2:$B$784, $A42)</f>
        <v>2</v>
      </c>
      <c r="R42" s="4">
        <f t="shared" si="7"/>
        <v>7</v>
      </c>
      <c r="S42" s="7"/>
      <c r="T42" s="7"/>
      <c r="U42" s="7"/>
      <c r="V42" s="7"/>
      <c r="W42" s="7"/>
      <c r="X42" s="7"/>
      <c r="Y42" s="7"/>
      <c r="Z42" s="7"/>
    </row>
    <row r="43" ht="15.75" customHeight="1">
      <c r="A43" s="4" t="s">
        <v>185</v>
      </c>
      <c r="B43" s="4">
        <f>COUNTIF(WLSpread!$Z$2:$Z$1048467, A43)</f>
        <v>3</v>
      </c>
      <c r="C43" s="4">
        <f>COUNTIF(WLSpread!$AB$2:$AB$1048467, A43)</f>
        <v>4</v>
      </c>
      <c r="D43" s="4" t="str">
        <f t="shared" si="1"/>
        <v>3-4</v>
      </c>
      <c r="E43" s="19">
        <f t="shared" si="2"/>
        <v>0.4285714286</v>
      </c>
      <c r="F43" s="4" t="s">
        <v>121</v>
      </c>
      <c r="G43" s="4" t="s">
        <v>205</v>
      </c>
      <c r="H43" s="7">
        <f>COUNTIFS(WLSpread!$Z$2:$Z$823, $A43, WLSpread!$V$2:$V$823, $F43)</f>
        <v>3</v>
      </c>
      <c r="I43" s="4">
        <f>COUNTIFS(WLSpread!$AB$2:$AB$823, $A43, WLSpread!$V$2:$V$823, $F43)</f>
        <v>4</v>
      </c>
      <c r="J43" s="4" t="str">
        <f t="shared" si="3"/>
        <v>3-4</v>
      </c>
      <c r="K43" s="22">
        <f t="shared" si="4"/>
        <v>0.4285714286</v>
      </c>
      <c r="L43" s="4" t="str">
        <f t="shared" si="5"/>
        <v>2-2</v>
      </c>
      <c r="M43" s="4" t="str">
        <f t="shared" si="6"/>
        <v>1-2</v>
      </c>
      <c r="N43" s="4">
        <f>COUNTIFS(WLSpread!$Z$2:$Z$784, $A43, WLSpread!$C$2:$C$784, $A43)</f>
        <v>2</v>
      </c>
      <c r="O43" s="4">
        <f>COUNTIFS(WLSpread!$AB$2:$AB$784, $A43, WLSpread!$C$2:$C$784, $A43)</f>
        <v>2</v>
      </c>
      <c r="P43" s="4">
        <f>COUNTIFS(WLSpread!$Z$2:$Z$784, $A43, WLSpread!$B$2:$B$784, $A43)</f>
        <v>1</v>
      </c>
      <c r="Q43" s="4">
        <f>COUNTIFS(WLSpread!$AB$2:$AB$784, $A43, WLSpread!$B$2:$B$784, $A43)</f>
        <v>2</v>
      </c>
      <c r="R43" s="4">
        <f t="shared" si="7"/>
        <v>7</v>
      </c>
      <c r="S43" s="7"/>
      <c r="T43" s="7"/>
      <c r="U43" s="7"/>
      <c r="V43" s="7"/>
      <c r="W43" s="7"/>
      <c r="X43" s="7"/>
      <c r="Y43" s="7"/>
      <c r="Z43" s="7"/>
    </row>
    <row r="44" ht="15.75" customHeight="1">
      <c r="A44" s="4" t="s">
        <v>103</v>
      </c>
      <c r="B44" s="4">
        <f>COUNTIF(WLSpread!$Z$2:$Z$1048467, A44)</f>
        <v>6</v>
      </c>
      <c r="C44" s="4">
        <f>COUNTIF(WLSpread!$AB$2:$AB$1048467, A44)</f>
        <v>6</v>
      </c>
      <c r="D44" s="4" t="str">
        <f t="shared" si="1"/>
        <v>6-6</v>
      </c>
      <c r="E44" s="19">
        <f t="shared" si="2"/>
        <v>0.5</v>
      </c>
      <c r="F44" s="4" t="s">
        <v>44</v>
      </c>
      <c r="G44" s="4" t="s">
        <v>225</v>
      </c>
      <c r="H44" s="7">
        <f>COUNTIFS(WLSpread!$Z$2:$Z$823, $A44, WLSpread!$V$2:$V$823, $F44)</f>
        <v>3</v>
      </c>
      <c r="I44" s="4">
        <f>COUNTIFS(WLSpread!$AB$2:$AB$823, $A44, WLSpread!$V$2:$V$823, $F44)</f>
        <v>5</v>
      </c>
      <c r="J44" s="4" t="str">
        <f t="shared" si="3"/>
        <v>3-5</v>
      </c>
      <c r="K44" s="22">
        <f t="shared" si="4"/>
        <v>0.375</v>
      </c>
      <c r="L44" s="4" t="str">
        <f t="shared" si="5"/>
        <v>3-2</v>
      </c>
      <c r="M44" s="4" t="str">
        <f t="shared" si="6"/>
        <v>3-4</v>
      </c>
      <c r="N44" s="4">
        <f>COUNTIFS(WLSpread!$Z$2:$Z$784, $A44, WLSpread!$C$2:$C$784, $A44)</f>
        <v>3</v>
      </c>
      <c r="O44" s="4">
        <f>COUNTIFS(WLSpread!$AB$2:$AB$784, $A44, WLSpread!$C$2:$C$784, $A44)</f>
        <v>2</v>
      </c>
      <c r="P44" s="4">
        <f>COUNTIFS(WLSpread!$Z$2:$Z$784, $A44, WLSpread!$B$2:$B$784, $A44)</f>
        <v>3</v>
      </c>
      <c r="Q44" s="4">
        <f>COUNTIFS(WLSpread!$AB$2:$AB$784, $A44, WLSpread!$B$2:$B$784, $A44)</f>
        <v>4</v>
      </c>
      <c r="R44" s="4">
        <f t="shared" si="7"/>
        <v>12</v>
      </c>
      <c r="S44" s="7"/>
      <c r="T44" s="7"/>
      <c r="U44" s="7"/>
      <c r="V44" s="7"/>
      <c r="W44" s="7"/>
      <c r="X44" s="7"/>
      <c r="Y44" s="7"/>
      <c r="Z44" s="7"/>
    </row>
    <row r="45" ht="15.75" customHeight="1">
      <c r="A45" s="4" t="s">
        <v>102</v>
      </c>
      <c r="B45" s="4">
        <f>COUNTIF(WLSpread!$Z$2:$Z$1048467, A45)</f>
        <v>4</v>
      </c>
      <c r="C45" s="4">
        <f>COUNTIF(WLSpread!$AB$2:$AB$1048467, A45)</f>
        <v>7</v>
      </c>
      <c r="D45" s="4" t="str">
        <f t="shared" si="1"/>
        <v>4-7</v>
      </c>
      <c r="E45" s="19">
        <f t="shared" si="2"/>
        <v>0.3636363636</v>
      </c>
      <c r="F45" s="4" t="s">
        <v>201</v>
      </c>
      <c r="G45" s="4" t="s">
        <v>202</v>
      </c>
      <c r="H45" s="7">
        <f>COUNTIFS(WLSpread!$Z$2:$Z$823, $A45, WLSpread!$V$2:$V$823, $F45)</f>
        <v>3</v>
      </c>
      <c r="I45" s="4">
        <f>COUNTIFS(WLSpread!$AB$2:$AB$823, $A45, WLSpread!$V$2:$V$823, $F45)</f>
        <v>5</v>
      </c>
      <c r="J45" s="4" t="str">
        <f t="shared" si="3"/>
        <v>3-5</v>
      </c>
      <c r="K45" s="22">
        <f t="shared" si="4"/>
        <v>0.375</v>
      </c>
      <c r="L45" s="4" t="str">
        <f t="shared" si="5"/>
        <v>2-4</v>
      </c>
      <c r="M45" s="4" t="str">
        <f t="shared" si="6"/>
        <v>2-3</v>
      </c>
      <c r="N45" s="4">
        <f>COUNTIFS(WLSpread!$Z$2:$Z$784, $A45, WLSpread!$C$2:$C$784, $A45)</f>
        <v>2</v>
      </c>
      <c r="O45" s="4">
        <f>COUNTIFS(WLSpread!$AB$2:$AB$784, $A45, WLSpread!$C$2:$C$784, $A45)</f>
        <v>4</v>
      </c>
      <c r="P45" s="4">
        <f>COUNTIFS(WLSpread!$Z$2:$Z$784, $A45, WLSpread!$B$2:$B$784, $A45)</f>
        <v>2</v>
      </c>
      <c r="Q45" s="4">
        <f>COUNTIFS(WLSpread!$AB$2:$AB$784, $A45, WLSpread!$B$2:$B$784, $A45)</f>
        <v>3</v>
      </c>
      <c r="R45" s="4">
        <f t="shared" si="7"/>
        <v>11</v>
      </c>
      <c r="S45" s="7"/>
      <c r="T45" s="7"/>
      <c r="U45" s="7"/>
      <c r="V45" s="7"/>
      <c r="W45" s="7"/>
      <c r="X45" s="7"/>
      <c r="Y45" s="7"/>
      <c r="Z45" s="7"/>
    </row>
    <row r="46" ht="15.75" customHeight="1">
      <c r="A46" s="4" t="s">
        <v>108</v>
      </c>
      <c r="B46" s="4">
        <f>COUNTIF(WLSpread!$Z$2:$Z$1048467, A46)</f>
        <v>3</v>
      </c>
      <c r="C46" s="4">
        <f>COUNTIF(WLSpread!$AB$2:$AB$1048467, A46)</f>
        <v>7</v>
      </c>
      <c r="D46" s="4" t="str">
        <f t="shared" si="1"/>
        <v>3-7</v>
      </c>
      <c r="E46" s="19">
        <f t="shared" si="2"/>
        <v>0.3</v>
      </c>
      <c r="F46" s="4" t="s">
        <v>120</v>
      </c>
      <c r="G46" s="4" t="s">
        <v>218</v>
      </c>
      <c r="H46" s="7">
        <f>COUNTIFS(WLSpread!$Z$2:$Z$823, $A46, WLSpread!$V$2:$V$823, $F46)</f>
        <v>3</v>
      </c>
      <c r="I46" s="4">
        <f>COUNTIFS(WLSpread!$AB$2:$AB$823, $A46, WLSpread!$V$2:$V$823, $F46)</f>
        <v>6</v>
      </c>
      <c r="J46" s="4" t="str">
        <f t="shared" si="3"/>
        <v>3-6</v>
      </c>
      <c r="K46" s="22">
        <f t="shared" si="4"/>
        <v>0.3333333333</v>
      </c>
      <c r="L46" s="4" t="str">
        <f t="shared" si="5"/>
        <v>2-4</v>
      </c>
      <c r="M46" s="4" t="str">
        <f t="shared" si="6"/>
        <v>1-3</v>
      </c>
      <c r="N46" s="4">
        <f>COUNTIFS(WLSpread!$Z$2:$Z$784, $A46, WLSpread!$C$2:$C$784, $A46)</f>
        <v>2</v>
      </c>
      <c r="O46" s="4">
        <f>COUNTIFS(WLSpread!$AB$2:$AB$784, $A46, WLSpread!$C$2:$C$784, $A46)</f>
        <v>4</v>
      </c>
      <c r="P46" s="4">
        <f>COUNTIFS(WLSpread!$Z$2:$Z$784, $A46, WLSpread!$B$2:$B$784, $A46)</f>
        <v>1</v>
      </c>
      <c r="Q46" s="4">
        <f>COUNTIFS(WLSpread!$AB$2:$AB$784, $A46, WLSpread!$B$2:$B$784, $A46)</f>
        <v>3</v>
      </c>
      <c r="R46" s="4">
        <f t="shared" si="7"/>
        <v>10</v>
      </c>
      <c r="S46" s="7"/>
      <c r="T46" s="7"/>
      <c r="U46" s="7"/>
      <c r="V46" s="7"/>
      <c r="W46" s="7"/>
      <c r="X46" s="7"/>
      <c r="Y46" s="7"/>
      <c r="Z46" s="7"/>
    </row>
    <row r="47" ht="15.75" customHeight="1">
      <c r="A47" s="4" t="s">
        <v>148</v>
      </c>
      <c r="B47" s="4">
        <f>COUNTIF(WLSpread!$Z$2:$Z$1048467, A47)</f>
        <v>3</v>
      </c>
      <c r="C47" s="4">
        <f>COUNTIF(WLSpread!$AB$2:$AB$1048467, A47)</f>
        <v>6</v>
      </c>
      <c r="D47" s="4" t="str">
        <f t="shared" si="1"/>
        <v>3-6</v>
      </c>
      <c r="E47" s="19">
        <f t="shared" si="2"/>
        <v>0.3333333333</v>
      </c>
      <c r="F47" s="4" t="s">
        <v>44</v>
      </c>
      <c r="G47" s="4" t="s">
        <v>135</v>
      </c>
      <c r="H47" s="7">
        <f>COUNTIFS(WLSpread!$Z$2:$Z$823, $A47, WLSpread!$V$2:$V$823, $F47)</f>
        <v>3</v>
      </c>
      <c r="I47" s="4">
        <f>COUNTIFS(WLSpread!$AB$2:$AB$823, $A47, WLSpread!$V$2:$V$823, $F47)</f>
        <v>5</v>
      </c>
      <c r="J47" s="4" t="str">
        <f t="shared" si="3"/>
        <v>3-5</v>
      </c>
      <c r="K47" s="22">
        <f t="shared" si="4"/>
        <v>0.375</v>
      </c>
      <c r="L47" s="4" t="str">
        <f t="shared" si="5"/>
        <v>1-3</v>
      </c>
      <c r="M47" s="4" t="str">
        <f t="shared" si="6"/>
        <v>2-3</v>
      </c>
      <c r="N47" s="4">
        <f>COUNTIFS(WLSpread!$Z$2:$Z$784, $A47, WLSpread!$C$2:$C$784, $A47)</f>
        <v>1</v>
      </c>
      <c r="O47" s="4">
        <f>COUNTIFS(WLSpread!$AB$2:$AB$784, $A47, WLSpread!$C$2:$C$784, $A47)</f>
        <v>3</v>
      </c>
      <c r="P47" s="4">
        <f>COUNTIFS(WLSpread!$Z$2:$Z$784, $A47, WLSpread!$B$2:$B$784, $A47)</f>
        <v>2</v>
      </c>
      <c r="Q47" s="4">
        <f>COUNTIFS(WLSpread!$AB$2:$AB$784, $A47, WLSpread!$B$2:$B$784, $A47)</f>
        <v>3</v>
      </c>
      <c r="R47" s="4">
        <f t="shared" si="7"/>
        <v>9</v>
      </c>
      <c r="S47" s="7"/>
      <c r="T47" s="7"/>
      <c r="U47" s="7"/>
      <c r="V47" s="7"/>
      <c r="W47" s="7"/>
      <c r="X47" s="7"/>
      <c r="Y47" s="7"/>
      <c r="Z47" s="7"/>
    </row>
    <row r="48" ht="15.75" customHeight="1">
      <c r="A48" s="4" t="s">
        <v>91</v>
      </c>
      <c r="B48" s="4">
        <f>COUNTIF(WLSpread!$Z$2:$Z$1048467, A48)</f>
        <v>3</v>
      </c>
      <c r="C48" s="4">
        <f>COUNTIF(WLSpread!$AB$2:$AB$1048467, A48)</f>
        <v>4</v>
      </c>
      <c r="D48" s="4" t="str">
        <f t="shared" si="1"/>
        <v>3-4</v>
      </c>
      <c r="E48" s="19">
        <f t="shared" si="2"/>
        <v>0.4285714286</v>
      </c>
      <c r="F48" s="4" t="s">
        <v>163</v>
      </c>
      <c r="G48" s="4" t="s">
        <v>222</v>
      </c>
      <c r="H48" s="7">
        <f>COUNTIFS(WLSpread!$Z$2:$Z$823, $A48, WLSpread!$V$2:$V$823, $F48)</f>
        <v>3</v>
      </c>
      <c r="I48" s="4">
        <f>COUNTIFS(WLSpread!$AB$2:$AB$823, $A48, WLSpread!$V$2:$V$823, $F48)</f>
        <v>4</v>
      </c>
      <c r="J48" s="4" t="str">
        <f t="shared" si="3"/>
        <v>3-4</v>
      </c>
      <c r="K48" s="22">
        <f t="shared" si="4"/>
        <v>0.4285714286</v>
      </c>
      <c r="L48" s="4" t="str">
        <f t="shared" si="5"/>
        <v>1-2</v>
      </c>
      <c r="M48" s="4" t="str">
        <f t="shared" si="6"/>
        <v>2-2</v>
      </c>
      <c r="N48" s="4">
        <f>COUNTIFS(WLSpread!$Z$2:$Z$784, $A48, WLSpread!$C$2:$C$784, $A48)</f>
        <v>1</v>
      </c>
      <c r="O48" s="4">
        <f>COUNTIFS(WLSpread!$AB$2:$AB$784, $A48, WLSpread!$C$2:$C$784, $A48)</f>
        <v>2</v>
      </c>
      <c r="P48" s="4">
        <f>COUNTIFS(WLSpread!$Z$2:$Z$784, $A48, WLSpread!$B$2:$B$784, $A48)</f>
        <v>2</v>
      </c>
      <c r="Q48" s="4">
        <f>COUNTIFS(WLSpread!$AB$2:$AB$784, $A48, WLSpread!$B$2:$B$784, $A48)</f>
        <v>2</v>
      </c>
      <c r="R48" s="4">
        <f t="shared" si="7"/>
        <v>7</v>
      </c>
      <c r="S48" s="7"/>
      <c r="T48" s="7"/>
      <c r="U48" s="7"/>
      <c r="V48" s="7"/>
      <c r="W48" s="7"/>
      <c r="X48" s="7"/>
      <c r="Y48" s="7"/>
      <c r="Z48" s="7"/>
    </row>
    <row r="49" ht="15.75" customHeight="1">
      <c r="A49" s="4" t="s">
        <v>99</v>
      </c>
      <c r="B49" s="4">
        <f>COUNTIF(WLSpread!$Z$2:$Z$1048467, A49)</f>
        <v>5</v>
      </c>
      <c r="C49" s="4">
        <f>COUNTIF(WLSpread!$AB$2:$AB$1048467, A49)</f>
        <v>6</v>
      </c>
      <c r="D49" s="4" t="str">
        <f t="shared" si="1"/>
        <v>5-6</v>
      </c>
      <c r="E49" s="19">
        <f t="shared" si="2"/>
        <v>0.4545454545</v>
      </c>
      <c r="F49" s="4" t="s">
        <v>198</v>
      </c>
      <c r="G49" s="4" t="s">
        <v>209</v>
      </c>
      <c r="H49" s="7">
        <f>COUNTIFS(WLSpread!$Z$2:$Z$823, $A49, WLSpread!$V$2:$V$823, $F49)</f>
        <v>4</v>
      </c>
      <c r="I49" s="4">
        <f>COUNTIFS(WLSpread!$AB$2:$AB$823, $A49, WLSpread!$V$2:$V$823, $F49)</f>
        <v>6</v>
      </c>
      <c r="J49" s="4" t="str">
        <f t="shared" si="3"/>
        <v>4-6</v>
      </c>
      <c r="K49" s="22">
        <f t="shared" si="4"/>
        <v>0.4</v>
      </c>
      <c r="L49" s="4" t="str">
        <f t="shared" si="5"/>
        <v>4-2</v>
      </c>
      <c r="M49" s="4" t="str">
        <f t="shared" si="6"/>
        <v>1-4</v>
      </c>
      <c r="N49" s="4">
        <f>COUNTIFS(WLSpread!$Z$2:$Z$784, $A49, WLSpread!$C$2:$C$784, $A49)</f>
        <v>4</v>
      </c>
      <c r="O49" s="4">
        <f>COUNTIFS(WLSpread!$AB$2:$AB$784, $A49, WLSpread!$C$2:$C$784, $A49)</f>
        <v>2</v>
      </c>
      <c r="P49" s="4">
        <f>COUNTIFS(WLSpread!$Z$2:$Z$784, $A49, WLSpread!$B$2:$B$784, $A49)</f>
        <v>1</v>
      </c>
      <c r="Q49" s="4">
        <f>COUNTIFS(WLSpread!$AB$2:$AB$784, $A49, WLSpread!$B$2:$B$784, $A49)</f>
        <v>4</v>
      </c>
      <c r="R49" s="4">
        <f t="shared" si="7"/>
        <v>11</v>
      </c>
      <c r="S49" s="7"/>
      <c r="T49" s="7"/>
      <c r="U49" s="7"/>
      <c r="V49" s="7"/>
      <c r="W49" s="7"/>
      <c r="X49" s="7"/>
      <c r="Y49" s="7"/>
      <c r="Z49" s="7"/>
    </row>
    <row r="50" ht="15.75" customHeight="1">
      <c r="A50" s="4" t="s">
        <v>175</v>
      </c>
      <c r="B50" s="4">
        <f>COUNTIF(WLSpread!$Z$2:$Z$1048467, A50)</f>
        <v>2</v>
      </c>
      <c r="C50" s="4">
        <f>COUNTIF(WLSpread!$AB$2:$AB$1048467, A50)</f>
        <v>4</v>
      </c>
      <c r="D50" s="4" t="str">
        <f t="shared" si="1"/>
        <v>2-4</v>
      </c>
      <c r="E50" s="19">
        <f t="shared" si="2"/>
        <v>0.3333333333</v>
      </c>
      <c r="F50" s="4" t="s">
        <v>121</v>
      </c>
      <c r="G50" s="4" t="s">
        <v>205</v>
      </c>
      <c r="H50" s="7">
        <f>COUNTIFS(WLSpread!$Z$2:$Z$823, $A50, WLSpread!$V$2:$V$823, $F50)</f>
        <v>2</v>
      </c>
      <c r="I50" s="4">
        <f>COUNTIFS(WLSpread!$AB$2:$AB$823, $A50, WLSpread!$V$2:$V$823, $F50)</f>
        <v>4</v>
      </c>
      <c r="J50" s="4" t="str">
        <f t="shared" si="3"/>
        <v>2-4</v>
      </c>
      <c r="K50" s="22">
        <f t="shared" si="4"/>
        <v>0.3333333333</v>
      </c>
      <c r="L50" s="4" t="str">
        <f t="shared" si="5"/>
        <v>1-1</v>
      </c>
      <c r="M50" s="4" t="str">
        <f t="shared" si="6"/>
        <v>1-3</v>
      </c>
      <c r="N50" s="4">
        <f>COUNTIFS(WLSpread!$Z$2:$Z$784, $A50, WLSpread!$C$2:$C$784, $A50)</f>
        <v>1</v>
      </c>
      <c r="O50" s="4">
        <f>COUNTIFS(WLSpread!$AB$2:$AB$784, $A50, WLSpread!$C$2:$C$784, $A50)</f>
        <v>1</v>
      </c>
      <c r="P50" s="4">
        <f>COUNTIFS(WLSpread!$Z$2:$Z$784, $A50, WLSpread!$B$2:$B$784, $A50)</f>
        <v>1</v>
      </c>
      <c r="Q50" s="4">
        <f>COUNTIFS(WLSpread!$AB$2:$AB$784, $A50, WLSpread!$B$2:$B$784, $A50)</f>
        <v>3</v>
      </c>
      <c r="R50" s="4">
        <f t="shared" si="7"/>
        <v>6</v>
      </c>
      <c r="S50" s="7"/>
      <c r="T50" s="7"/>
      <c r="U50" s="7"/>
      <c r="V50" s="7"/>
      <c r="W50" s="7"/>
      <c r="X50" s="7"/>
      <c r="Y50" s="7"/>
      <c r="Z50" s="7"/>
    </row>
    <row r="51" ht="15.75" customHeight="1">
      <c r="A51" s="4" t="s">
        <v>160</v>
      </c>
      <c r="B51" s="4">
        <f>COUNTIF(WLSpread!$Z$2:$Z$1048467, A51)</f>
        <v>2</v>
      </c>
      <c r="C51" s="4">
        <f>COUNTIF(WLSpread!$AB$2:$AB$1048467, A51)</f>
        <v>5</v>
      </c>
      <c r="D51" s="4" t="str">
        <f t="shared" si="1"/>
        <v>2-5</v>
      </c>
      <c r="E51" s="19">
        <f t="shared" si="2"/>
        <v>0.2857142857</v>
      </c>
      <c r="F51" s="4" t="s">
        <v>165</v>
      </c>
      <c r="G51" s="4" t="s">
        <v>220</v>
      </c>
      <c r="H51" s="7">
        <f>COUNTIFS(WLSpread!$Z$2:$Z$823, $A51, WLSpread!$V$2:$V$823, $F51)</f>
        <v>2</v>
      </c>
      <c r="I51" s="4">
        <f>COUNTIFS(WLSpread!$AB$2:$AB$823, $A51, WLSpread!$V$2:$V$823, $F51)</f>
        <v>5</v>
      </c>
      <c r="J51" s="4" t="str">
        <f t="shared" si="3"/>
        <v>2-5</v>
      </c>
      <c r="K51" s="22">
        <f t="shared" si="4"/>
        <v>0.2857142857</v>
      </c>
      <c r="L51" s="4" t="str">
        <f t="shared" si="5"/>
        <v>2-3</v>
      </c>
      <c r="M51" s="4" t="str">
        <f t="shared" si="6"/>
        <v>0-2</v>
      </c>
      <c r="N51" s="4">
        <f>COUNTIFS(WLSpread!$Z$2:$Z$784, $A51, WLSpread!$C$2:$C$784, $A51)</f>
        <v>2</v>
      </c>
      <c r="O51" s="4">
        <f>COUNTIFS(WLSpread!$AB$2:$AB$784, $A51, WLSpread!$C$2:$C$784, $A51)</f>
        <v>3</v>
      </c>
      <c r="P51" s="4">
        <f>COUNTIFS(WLSpread!$Z$2:$Z$784, $A51, WLSpread!$B$2:$B$784, $A51)</f>
        <v>0</v>
      </c>
      <c r="Q51" s="4">
        <f>COUNTIFS(WLSpread!$AB$2:$AB$784, $A51, WLSpread!$B$2:$B$784, $A51)</f>
        <v>2</v>
      </c>
      <c r="R51" s="4">
        <f t="shared" si="7"/>
        <v>7</v>
      </c>
      <c r="S51" s="7"/>
      <c r="T51" s="7"/>
      <c r="U51" s="7"/>
      <c r="V51" s="7"/>
      <c r="W51" s="7"/>
      <c r="X51" s="7"/>
      <c r="Y51" s="7"/>
      <c r="Z51" s="7"/>
    </row>
    <row r="52" ht="15.75" customHeight="1">
      <c r="A52" s="4" t="s">
        <v>130</v>
      </c>
      <c r="B52" s="4">
        <f>COUNTIF(WLSpread!$Z$2:$Z$1048467, A52)</f>
        <v>3</v>
      </c>
      <c r="C52" s="4">
        <f>COUNTIF(WLSpread!$AB$2:$AB$1048467, A52)</f>
        <v>7</v>
      </c>
      <c r="D52" s="4" t="str">
        <f t="shared" si="1"/>
        <v>3-7</v>
      </c>
      <c r="E52" s="19">
        <f t="shared" si="2"/>
        <v>0.3</v>
      </c>
      <c r="F52" s="4" t="s">
        <v>44</v>
      </c>
      <c r="G52" s="4" t="s">
        <v>225</v>
      </c>
      <c r="H52" s="7">
        <f>COUNTIFS(WLSpread!$Z$2:$Z$823, $A52, WLSpread!$V$2:$V$823, $F52)</f>
        <v>3</v>
      </c>
      <c r="I52" s="4">
        <f>COUNTIFS(WLSpread!$AB$2:$AB$823, $A52, WLSpread!$V$2:$V$823, $F52)</f>
        <v>4</v>
      </c>
      <c r="J52" s="4" t="str">
        <f t="shared" si="3"/>
        <v>3-4</v>
      </c>
      <c r="K52" s="22">
        <f t="shared" si="4"/>
        <v>0.4285714286</v>
      </c>
      <c r="L52" s="4" t="str">
        <f t="shared" si="5"/>
        <v>1-4</v>
      </c>
      <c r="M52" s="4" t="str">
        <f t="shared" si="6"/>
        <v>2-3</v>
      </c>
      <c r="N52" s="4">
        <f>COUNTIFS(WLSpread!$Z$2:$Z$784, $A52, WLSpread!$C$2:$C$784, $A52)</f>
        <v>1</v>
      </c>
      <c r="O52" s="4">
        <f>COUNTIFS(WLSpread!$AB$2:$AB$784, $A52, WLSpread!$C$2:$C$784, $A52)</f>
        <v>4</v>
      </c>
      <c r="P52" s="4">
        <f>COUNTIFS(WLSpread!$Z$2:$Z$784, $A52, WLSpread!$B$2:$B$784, $A52)</f>
        <v>2</v>
      </c>
      <c r="Q52" s="4">
        <f>COUNTIFS(WLSpread!$AB$2:$AB$784, $A52, WLSpread!$B$2:$B$784, $A52)</f>
        <v>3</v>
      </c>
      <c r="R52" s="4">
        <f t="shared" si="7"/>
        <v>10</v>
      </c>
      <c r="S52" s="7"/>
      <c r="T52" s="7"/>
      <c r="U52" s="7"/>
      <c r="V52" s="7"/>
      <c r="W52" s="7"/>
      <c r="X52" s="7"/>
      <c r="Y52" s="7"/>
      <c r="Z52" s="7"/>
    </row>
    <row r="53" ht="15.75" customHeight="1">
      <c r="A53" s="4" t="s">
        <v>186</v>
      </c>
      <c r="B53" s="4">
        <f>COUNTIF(WLSpread!$Z$2:$Z$1048467, A53)</f>
        <v>5</v>
      </c>
      <c r="C53" s="4">
        <f>COUNTIF(WLSpread!$AB$2:$AB$1048467, A53)</f>
        <v>4</v>
      </c>
      <c r="D53" s="4" t="str">
        <f t="shared" si="1"/>
        <v>5-4</v>
      </c>
      <c r="E53" s="19">
        <f t="shared" si="2"/>
        <v>0.5555555556</v>
      </c>
      <c r="F53" s="4" t="s">
        <v>121</v>
      </c>
      <c r="G53" s="4" t="s">
        <v>204</v>
      </c>
      <c r="H53" s="7">
        <f>COUNTIFS(WLSpread!$Z$2:$Z$823, $A53, WLSpread!$V$2:$V$823, $F53)</f>
        <v>4</v>
      </c>
      <c r="I53" s="4">
        <f>COUNTIFS(WLSpread!$AB$2:$AB$823, $A53, WLSpread!$V$2:$V$823, $F53)</f>
        <v>4</v>
      </c>
      <c r="J53" s="4" t="str">
        <f t="shared" si="3"/>
        <v>4-4</v>
      </c>
      <c r="K53" s="22">
        <f t="shared" si="4"/>
        <v>0.5</v>
      </c>
      <c r="L53" s="4" t="str">
        <f t="shared" si="5"/>
        <v>3-1</v>
      </c>
      <c r="M53" s="4" t="str">
        <f t="shared" si="6"/>
        <v>2-3</v>
      </c>
      <c r="N53" s="4">
        <f>COUNTIFS(WLSpread!$Z$2:$Z$784, $A53, WLSpread!$C$2:$C$784, $A53)</f>
        <v>3</v>
      </c>
      <c r="O53" s="4">
        <f>COUNTIFS(WLSpread!$AB$2:$AB$784, $A53, WLSpread!$C$2:$C$784, $A53)</f>
        <v>1</v>
      </c>
      <c r="P53" s="4">
        <f>COUNTIFS(WLSpread!$Z$2:$Z$784, $A53, WLSpread!$B$2:$B$784, $A53)</f>
        <v>2</v>
      </c>
      <c r="Q53" s="4">
        <f>COUNTIFS(WLSpread!$AB$2:$AB$784, $A53, WLSpread!$B$2:$B$784, $A53)</f>
        <v>3</v>
      </c>
      <c r="R53" s="4">
        <f t="shared" si="7"/>
        <v>9</v>
      </c>
      <c r="S53" s="7"/>
      <c r="T53" s="7"/>
      <c r="U53" s="7"/>
      <c r="V53" s="7"/>
      <c r="W53" s="7"/>
      <c r="X53" s="7"/>
      <c r="Y53" s="7"/>
      <c r="Z53" s="7"/>
    </row>
    <row r="54" ht="15.75" customHeight="1">
      <c r="A54" s="4" t="s">
        <v>89</v>
      </c>
      <c r="B54" s="4">
        <f>COUNTIF(WLSpread!$Z$2:$Z$1048467, A54)</f>
        <v>6</v>
      </c>
      <c r="C54" s="4">
        <f>COUNTIF(WLSpread!$AB$2:$AB$1048467, A54)</f>
        <v>5</v>
      </c>
      <c r="D54" s="4" t="str">
        <f t="shared" si="1"/>
        <v>6-5</v>
      </c>
      <c r="E54" s="19">
        <f t="shared" si="2"/>
        <v>0.5454545455</v>
      </c>
      <c r="F54" s="4" t="s">
        <v>120</v>
      </c>
      <c r="G54" s="4" t="s">
        <v>218</v>
      </c>
      <c r="H54" s="7">
        <f>COUNTIFS(WLSpread!$Z$2:$Z$823, $A54, WLSpread!$V$2:$V$823, $F54)</f>
        <v>5</v>
      </c>
      <c r="I54" s="4">
        <f>COUNTIFS(WLSpread!$AB$2:$AB$823, $A54, WLSpread!$V$2:$V$823, $F54)</f>
        <v>5</v>
      </c>
      <c r="J54" s="4" t="str">
        <f t="shared" si="3"/>
        <v>5-5</v>
      </c>
      <c r="K54" s="22">
        <f t="shared" si="4"/>
        <v>0.5</v>
      </c>
      <c r="L54" s="4" t="str">
        <f t="shared" si="5"/>
        <v>4-2</v>
      </c>
      <c r="M54" s="4" t="str">
        <f t="shared" si="6"/>
        <v>2-3</v>
      </c>
      <c r="N54" s="4">
        <f>COUNTIFS(WLSpread!$Z$2:$Z$784, $A54, WLSpread!$C$2:$C$784, $A54)</f>
        <v>4</v>
      </c>
      <c r="O54" s="4">
        <f>COUNTIFS(WLSpread!$AB$2:$AB$784, $A54, WLSpread!$C$2:$C$784, $A54)</f>
        <v>2</v>
      </c>
      <c r="P54" s="4">
        <f>COUNTIFS(WLSpread!$Z$2:$Z$784, $A54, WLSpread!$B$2:$B$784, $A54)</f>
        <v>2</v>
      </c>
      <c r="Q54" s="4">
        <f>COUNTIFS(WLSpread!$AB$2:$AB$784, $A54, WLSpread!$B$2:$B$784, $A54)</f>
        <v>3</v>
      </c>
      <c r="R54" s="4">
        <f t="shared" si="7"/>
        <v>11</v>
      </c>
      <c r="S54" s="7"/>
      <c r="T54" s="7"/>
      <c r="U54" s="7"/>
      <c r="V54" s="7"/>
      <c r="W54" s="7"/>
      <c r="X54" s="7"/>
      <c r="Y54" s="7"/>
      <c r="Z54" s="7"/>
    </row>
    <row r="55" ht="15.75" customHeight="1">
      <c r="A55" s="4" t="s">
        <v>116</v>
      </c>
      <c r="B55" s="4">
        <f>COUNTIF(WLSpread!$Z$2:$Z$1048467, A55)</f>
        <v>4</v>
      </c>
      <c r="C55" s="4">
        <f>COUNTIF(WLSpread!$AB$2:$AB$1048467, A55)</f>
        <v>6</v>
      </c>
      <c r="D55" s="4" t="str">
        <f t="shared" si="1"/>
        <v>4-6</v>
      </c>
      <c r="E55" s="19">
        <f t="shared" si="2"/>
        <v>0.4</v>
      </c>
      <c r="F55" s="4" t="s">
        <v>197</v>
      </c>
      <c r="G55" s="4" t="s">
        <v>197</v>
      </c>
      <c r="H55" s="7">
        <f>COUNTIFS(WLSpread!$Z$2:$Z$823, $A55, WLSpread!$V$2:$V$823, $F55)</f>
        <v>4</v>
      </c>
      <c r="I55" s="4">
        <f>COUNTIFS(WLSpread!$AB$2:$AB$823, $A55, WLSpread!$V$2:$V$823, $F55)</f>
        <v>5</v>
      </c>
      <c r="J55" s="4" t="str">
        <f t="shared" si="3"/>
        <v>4-5</v>
      </c>
      <c r="K55" s="22">
        <f t="shared" si="4"/>
        <v>0.4444444444</v>
      </c>
      <c r="L55" s="4" t="str">
        <f t="shared" si="5"/>
        <v>2-3</v>
      </c>
      <c r="M55" s="4" t="str">
        <f t="shared" si="6"/>
        <v>2-3</v>
      </c>
      <c r="N55" s="4">
        <f>COUNTIFS(WLSpread!$Z$2:$Z$784, $A55, WLSpread!$C$2:$C$784, $A55)</f>
        <v>2</v>
      </c>
      <c r="O55" s="4">
        <f>COUNTIFS(WLSpread!$AB$2:$AB$784, $A55, WLSpread!$C$2:$C$784, $A55)</f>
        <v>3</v>
      </c>
      <c r="P55" s="4">
        <f>COUNTIFS(WLSpread!$Z$2:$Z$784, $A55, WLSpread!$B$2:$B$784, $A55)</f>
        <v>2</v>
      </c>
      <c r="Q55" s="4">
        <f>COUNTIFS(WLSpread!$AB$2:$AB$784, $A55, WLSpread!$B$2:$B$784, $A55)</f>
        <v>3</v>
      </c>
      <c r="R55" s="4">
        <f t="shared" si="7"/>
        <v>10</v>
      </c>
      <c r="S55" s="7"/>
      <c r="T55" s="7"/>
      <c r="U55" s="7"/>
      <c r="V55" s="7"/>
      <c r="W55" s="7"/>
      <c r="X55" s="7"/>
      <c r="Y55" s="7"/>
      <c r="Z55" s="7"/>
    </row>
    <row r="56" ht="15.75" customHeight="1">
      <c r="A56" s="4" t="s">
        <v>82</v>
      </c>
      <c r="B56" s="4">
        <f>COUNTIF(WLSpread!$Z$2:$Z$1048467, A56)</f>
        <v>5</v>
      </c>
      <c r="C56" s="4">
        <f>COUNTIF(WLSpread!$AB$2:$AB$1048467, A56)</f>
        <v>6</v>
      </c>
      <c r="D56" s="4" t="str">
        <f t="shared" si="1"/>
        <v>5-6</v>
      </c>
      <c r="E56" s="19">
        <f t="shared" si="2"/>
        <v>0.4545454545</v>
      </c>
      <c r="F56" s="4" t="s">
        <v>120</v>
      </c>
      <c r="G56" s="4" t="s">
        <v>218</v>
      </c>
      <c r="H56" s="7">
        <f>COUNTIFS(WLSpread!$Z$2:$Z$823, $A56, WLSpread!$V$2:$V$823, $F56)</f>
        <v>5</v>
      </c>
      <c r="I56" s="4">
        <f>COUNTIFS(WLSpread!$AB$2:$AB$823, $A56, WLSpread!$V$2:$V$823, $F56)</f>
        <v>5</v>
      </c>
      <c r="J56" s="4" t="str">
        <f t="shared" si="3"/>
        <v>5-5</v>
      </c>
      <c r="K56" s="22">
        <f t="shared" si="4"/>
        <v>0.5</v>
      </c>
      <c r="L56" s="4" t="str">
        <f t="shared" si="5"/>
        <v>3-3</v>
      </c>
      <c r="M56" s="4" t="str">
        <f t="shared" si="6"/>
        <v>2-3</v>
      </c>
      <c r="N56" s="4">
        <f>COUNTIFS(WLSpread!$Z$2:$Z$784, $A56, WLSpread!$C$2:$C$784, $A56)</f>
        <v>3</v>
      </c>
      <c r="O56" s="4">
        <f>COUNTIFS(WLSpread!$AB$2:$AB$784, $A56, WLSpread!$C$2:$C$784, $A56)</f>
        <v>3</v>
      </c>
      <c r="P56" s="4">
        <f>COUNTIFS(WLSpread!$Z$2:$Z$784, $A56, WLSpread!$B$2:$B$784, $A56)</f>
        <v>2</v>
      </c>
      <c r="Q56" s="4">
        <f>COUNTIFS(WLSpread!$AB$2:$AB$784, $A56, WLSpread!$B$2:$B$784, $A56)</f>
        <v>3</v>
      </c>
      <c r="R56" s="4">
        <f t="shared" si="7"/>
        <v>11</v>
      </c>
      <c r="S56" s="7"/>
      <c r="T56" s="7"/>
      <c r="U56" s="7"/>
      <c r="V56" s="7"/>
      <c r="W56" s="7"/>
      <c r="X56" s="7"/>
      <c r="Y56" s="7"/>
      <c r="Z56" s="7"/>
    </row>
    <row r="57" ht="15.75" customHeight="1">
      <c r="A57" s="4" t="s">
        <v>74</v>
      </c>
      <c r="B57" s="4">
        <f>COUNTIF(WLSpread!$Z$2:$Z$1048467, A57)</f>
        <v>4</v>
      </c>
      <c r="C57" s="4">
        <f>COUNTIF(WLSpread!$AB$2:$AB$1048467, A57)</f>
        <v>3</v>
      </c>
      <c r="D57" s="4" t="str">
        <f t="shared" si="1"/>
        <v>4-3</v>
      </c>
      <c r="E57" s="19">
        <f t="shared" si="2"/>
        <v>0.5714285714</v>
      </c>
      <c r="F57" s="4" t="s">
        <v>163</v>
      </c>
      <c r="G57" s="4" t="s">
        <v>222</v>
      </c>
      <c r="H57" s="7">
        <f>COUNTIFS(WLSpread!$Z$2:$Z$823, $A57, WLSpread!$V$2:$V$823, $F57)</f>
        <v>3</v>
      </c>
      <c r="I57" s="4">
        <f>COUNTIFS(WLSpread!$AB$2:$AB$823, $A57, WLSpread!$V$2:$V$823, $F57)</f>
        <v>3</v>
      </c>
      <c r="J57" s="4" t="str">
        <f t="shared" si="3"/>
        <v>3-3</v>
      </c>
      <c r="K57" s="22">
        <f t="shared" si="4"/>
        <v>0.5</v>
      </c>
      <c r="L57" s="4" t="str">
        <f t="shared" si="5"/>
        <v>3-1</v>
      </c>
      <c r="M57" s="4" t="str">
        <f t="shared" si="6"/>
        <v>1-2</v>
      </c>
      <c r="N57" s="4">
        <f>COUNTIFS(WLSpread!$Z$2:$Z$784, $A57, WLSpread!$C$2:$C$784, $A57)</f>
        <v>3</v>
      </c>
      <c r="O57" s="4">
        <f>COUNTIFS(WLSpread!$AB$2:$AB$784, $A57, WLSpread!$C$2:$C$784, $A57)</f>
        <v>1</v>
      </c>
      <c r="P57" s="4">
        <f>COUNTIFS(WLSpread!$Z$2:$Z$784, $A57, WLSpread!$B$2:$B$784, $A57)</f>
        <v>1</v>
      </c>
      <c r="Q57" s="4">
        <f>COUNTIFS(WLSpread!$AB$2:$AB$784, $A57, WLSpread!$B$2:$B$784, $A57)</f>
        <v>2</v>
      </c>
      <c r="R57" s="4">
        <f t="shared" si="7"/>
        <v>7</v>
      </c>
      <c r="S57" s="7"/>
      <c r="T57" s="7"/>
      <c r="U57" s="7"/>
      <c r="V57" s="7"/>
      <c r="W57" s="7"/>
      <c r="X57" s="7"/>
      <c r="Y57" s="7"/>
      <c r="Z57" s="7"/>
    </row>
    <row r="58" ht="15.75" customHeight="1">
      <c r="A58" s="4" t="s">
        <v>150</v>
      </c>
      <c r="B58" s="4">
        <f>COUNTIF(WLSpread!$Z$2:$Z$1048467, A58)</f>
        <v>2</v>
      </c>
      <c r="C58" s="4">
        <f>COUNTIF(WLSpread!$AB$2:$AB$1048467, A58)</f>
        <v>3</v>
      </c>
      <c r="D58" s="4" t="str">
        <f t="shared" si="1"/>
        <v>2-3</v>
      </c>
      <c r="E58" s="19">
        <f t="shared" si="2"/>
        <v>0.4</v>
      </c>
      <c r="F58" s="4" t="s">
        <v>163</v>
      </c>
      <c r="G58" s="4" t="s">
        <v>221</v>
      </c>
      <c r="H58" s="7">
        <f>COUNTIFS(WLSpread!$Z$2:$Z$823, $A58, WLSpread!$V$2:$V$823, $F58)</f>
        <v>2</v>
      </c>
      <c r="I58" s="4">
        <f>COUNTIFS(WLSpread!$AB$2:$AB$823, $A58, WLSpread!$V$2:$V$823, $F58)</f>
        <v>3</v>
      </c>
      <c r="J58" s="4" t="str">
        <f t="shared" si="3"/>
        <v>2-3</v>
      </c>
      <c r="K58" s="22">
        <f t="shared" si="4"/>
        <v>0.4</v>
      </c>
      <c r="L58" s="4" t="str">
        <f t="shared" si="5"/>
        <v>1-1</v>
      </c>
      <c r="M58" s="4" t="str">
        <f t="shared" si="6"/>
        <v>1-2</v>
      </c>
      <c r="N58" s="4">
        <f>COUNTIFS(WLSpread!$Z$2:$Z$784, $A58, WLSpread!$C$2:$C$784, $A58)</f>
        <v>1</v>
      </c>
      <c r="O58" s="4">
        <f>COUNTIFS(WLSpread!$AB$2:$AB$784, $A58, WLSpread!$C$2:$C$784, $A58)</f>
        <v>1</v>
      </c>
      <c r="P58" s="4">
        <f>COUNTIFS(WLSpread!$Z$2:$Z$784, $A58, WLSpread!$B$2:$B$784, $A58)</f>
        <v>1</v>
      </c>
      <c r="Q58" s="4">
        <f>COUNTIFS(WLSpread!$AB$2:$AB$784, $A58, WLSpread!$B$2:$B$784, $A58)</f>
        <v>2</v>
      </c>
      <c r="R58" s="4">
        <f t="shared" si="7"/>
        <v>5</v>
      </c>
      <c r="S58" s="7"/>
      <c r="T58" s="7"/>
      <c r="U58" s="7"/>
      <c r="V58" s="7"/>
      <c r="W58" s="7"/>
      <c r="X58" s="7"/>
      <c r="Y58" s="7"/>
      <c r="Z58" s="7"/>
    </row>
    <row r="59" ht="15.75" customHeight="1">
      <c r="A59" s="4" t="s">
        <v>117</v>
      </c>
      <c r="B59" s="4">
        <f>COUNTIF(WLSpread!$Z$2:$Z$1048467, A59)</f>
        <v>6</v>
      </c>
      <c r="C59" s="4">
        <f>COUNTIF(WLSpread!$AB$2:$AB$1048467, A59)</f>
        <v>4</v>
      </c>
      <c r="D59" s="4" t="str">
        <f t="shared" si="1"/>
        <v>6-4</v>
      </c>
      <c r="E59" s="19">
        <f t="shared" si="2"/>
        <v>0.6</v>
      </c>
      <c r="F59" s="4" t="s">
        <v>197</v>
      </c>
      <c r="G59" s="4" t="s">
        <v>197</v>
      </c>
      <c r="H59" s="7">
        <f>COUNTIFS(WLSpread!$Z$2:$Z$823, $A59, WLSpread!$V$2:$V$823, $F59)</f>
        <v>4</v>
      </c>
      <c r="I59" s="4">
        <f>COUNTIFS(WLSpread!$AB$2:$AB$823, $A59, WLSpread!$V$2:$V$823, $F59)</f>
        <v>4</v>
      </c>
      <c r="J59" s="4" t="str">
        <f t="shared" si="3"/>
        <v>4-4</v>
      </c>
      <c r="K59" s="22">
        <f t="shared" si="4"/>
        <v>0.5</v>
      </c>
      <c r="L59" s="4" t="str">
        <f t="shared" si="5"/>
        <v>5-0</v>
      </c>
      <c r="M59" s="4" t="str">
        <f t="shared" si="6"/>
        <v>1-4</v>
      </c>
      <c r="N59" s="4">
        <f>COUNTIFS(WLSpread!$Z$2:$Z$784, $A59, WLSpread!$C$2:$C$784, $A59)</f>
        <v>5</v>
      </c>
      <c r="O59" s="4">
        <f>COUNTIFS(WLSpread!$AB$2:$AB$784, $A59, WLSpread!$C$2:$C$784, $A59)</f>
        <v>0</v>
      </c>
      <c r="P59" s="4">
        <f>COUNTIFS(WLSpread!$Z$2:$Z$784, $A59, WLSpread!$B$2:$B$784, $A59)</f>
        <v>1</v>
      </c>
      <c r="Q59" s="4">
        <f>COUNTIFS(WLSpread!$AB$2:$AB$784, $A59, WLSpread!$B$2:$B$784, $A59)</f>
        <v>4</v>
      </c>
      <c r="R59" s="4">
        <f t="shared" si="7"/>
        <v>10</v>
      </c>
      <c r="S59" s="7"/>
      <c r="T59" s="7"/>
      <c r="U59" s="7"/>
      <c r="V59" s="7"/>
      <c r="W59" s="7"/>
      <c r="X59" s="7"/>
      <c r="Y59" s="7"/>
      <c r="Z59" s="7"/>
    </row>
    <row r="60" ht="15.75" customHeight="1">
      <c r="A60" s="4" t="s">
        <v>93</v>
      </c>
      <c r="B60" s="4">
        <f>COUNTIF(WLSpread!$Z$2:$Z$1048467, A60)</f>
        <v>4</v>
      </c>
      <c r="C60" s="4">
        <f>COUNTIF(WLSpread!$AB$2:$AB$1048467, A60)</f>
        <v>5</v>
      </c>
      <c r="D60" s="4" t="str">
        <f t="shared" si="1"/>
        <v>4-5</v>
      </c>
      <c r="E60" s="19">
        <f t="shared" si="2"/>
        <v>0.4444444444</v>
      </c>
      <c r="F60" s="4" t="s">
        <v>120</v>
      </c>
      <c r="G60" s="4" t="s">
        <v>216</v>
      </c>
      <c r="H60" s="7">
        <f>COUNTIFS(WLSpread!$Z$2:$Z$823, $A60, WLSpread!$V$2:$V$823, $F60)</f>
        <v>3</v>
      </c>
      <c r="I60" s="4">
        <f>COUNTIFS(WLSpread!$AB$2:$AB$823, $A60, WLSpread!$V$2:$V$823, $F60)</f>
        <v>4</v>
      </c>
      <c r="J60" s="4" t="str">
        <f t="shared" si="3"/>
        <v>3-4</v>
      </c>
      <c r="K60" s="22">
        <f t="shared" si="4"/>
        <v>0.4285714286</v>
      </c>
      <c r="L60" s="4" t="str">
        <f t="shared" si="5"/>
        <v>3-1</v>
      </c>
      <c r="M60" s="4" t="str">
        <f t="shared" si="6"/>
        <v>1-4</v>
      </c>
      <c r="N60" s="4">
        <f>COUNTIFS(WLSpread!$Z$2:$Z$784, $A60, WLSpread!$C$2:$C$784, $A60)</f>
        <v>3</v>
      </c>
      <c r="O60" s="4">
        <f>COUNTIFS(WLSpread!$AB$2:$AB$784, $A60, WLSpread!$C$2:$C$784, $A60)</f>
        <v>1</v>
      </c>
      <c r="P60" s="4">
        <f>COUNTIFS(WLSpread!$Z$2:$Z$784, $A60, WLSpread!$B$2:$B$784, $A60)</f>
        <v>1</v>
      </c>
      <c r="Q60" s="4">
        <f>COUNTIFS(WLSpread!$AB$2:$AB$784, $A60, WLSpread!$B$2:$B$784, $A60)</f>
        <v>4</v>
      </c>
      <c r="R60" s="4">
        <f t="shared" si="7"/>
        <v>9</v>
      </c>
      <c r="S60" s="7"/>
      <c r="T60" s="7"/>
      <c r="U60" s="7"/>
      <c r="V60" s="7"/>
      <c r="W60" s="7"/>
      <c r="X60" s="7"/>
      <c r="Y60" s="7"/>
      <c r="Z60" s="7"/>
    </row>
    <row r="61" ht="15.75" customHeight="1">
      <c r="A61" s="4" t="s">
        <v>101</v>
      </c>
      <c r="B61" s="4">
        <f>COUNTIF(WLSpread!$Z$2:$Z$1048467, A61)</f>
        <v>6</v>
      </c>
      <c r="C61" s="4">
        <f>COUNTIF(WLSpread!$AB$2:$AB$1048467, A61)</f>
        <v>5</v>
      </c>
      <c r="D61" s="4" t="str">
        <f t="shared" si="1"/>
        <v>6-5</v>
      </c>
      <c r="E61" s="19">
        <f t="shared" si="2"/>
        <v>0.5454545455</v>
      </c>
      <c r="F61" s="4" t="s">
        <v>120</v>
      </c>
      <c r="G61" s="4" t="s">
        <v>216</v>
      </c>
      <c r="H61" s="7">
        <f>COUNTIFS(WLSpread!$Z$2:$Z$823, $A61, WLSpread!$V$2:$V$823, $F61)</f>
        <v>5</v>
      </c>
      <c r="I61" s="4">
        <f>COUNTIFS(WLSpread!$AB$2:$AB$823, $A61, WLSpread!$V$2:$V$823, $F61)</f>
        <v>5</v>
      </c>
      <c r="J61" s="4" t="str">
        <f t="shared" si="3"/>
        <v>5-5</v>
      </c>
      <c r="K61" s="22">
        <f t="shared" si="4"/>
        <v>0.5</v>
      </c>
      <c r="L61" s="4" t="str">
        <f t="shared" si="5"/>
        <v>3-2</v>
      </c>
      <c r="M61" s="4" t="str">
        <f t="shared" si="6"/>
        <v>3-3</v>
      </c>
      <c r="N61" s="4">
        <f>COUNTIFS(WLSpread!$Z$2:$Z$784, $A61, WLSpread!$C$2:$C$784, $A61)</f>
        <v>3</v>
      </c>
      <c r="O61" s="4">
        <f>COUNTIFS(WLSpread!$AB$2:$AB$784, $A61, WLSpread!$C$2:$C$784, $A61)</f>
        <v>2</v>
      </c>
      <c r="P61" s="4">
        <f>COUNTIFS(WLSpread!$Z$2:$Z$784, $A61, WLSpread!$B$2:$B$784, $A61)</f>
        <v>3</v>
      </c>
      <c r="Q61" s="4">
        <f>COUNTIFS(WLSpread!$AB$2:$AB$784, $A61, WLSpread!$B$2:$B$784, $A61)</f>
        <v>3</v>
      </c>
      <c r="R61" s="4">
        <f t="shared" si="7"/>
        <v>11</v>
      </c>
      <c r="S61" s="7"/>
      <c r="T61" s="7"/>
      <c r="U61" s="7"/>
      <c r="V61" s="7"/>
      <c r="W61" s="7"/>
      <c r="X61" s="7"/>
      <c r="Y61" s="7"/>
      <c r="Z61" s="7"/>
    </row>
    <row r="62" ht="15.75" customHeight="1">
      <c r="A62" s="4" t="s">
        <v>172</v>
      </c>
      <c r="B62" s="4">
        <f>COUNTIF(WLSpread!$Z$2:$Z$1048467, A62)</f>
        <v>2</v>
      </c>
      <c r="C62" s="4">
        <f>COUNTIF(WLSpread!$AB$2:$AB$1048467, A62)</f>
        <v>3</v>
      </c>
      <c r="D62" s="4" t="str">
        <f t="shared" si="1"/>
        <v>2-3</v>
      </c>
      <c r="E62" s="19">
        <f t="shared" si="2"/>
        <v>0.4</v>
      </c>
      <c r="F62" s="4" t="s">
        <v>84</v>
      </c>
      <c r="G62" s="4" t="s">
        <v>85</v>
      </c>
      <c r="H62" s="7">
        <f>COUNTIFS(WLSpread!$Z$2:$Z$823, $A62, WLSpread!$V$2:$V$823, $F62)</f>
        <v>2</v>
      </c>
      <c r="I62" s="4">
        <f>COUNTIFS(WLSpread!$AB$2:$AB$823, $A62, WLSpread!$V$2:$V$823, $F62)</f>
        <v>3</v>
      </c>
      <c r="J62" s="4" t="str">
        <f t="shared" si="3"/>
        <v>2-3</v>
      </c>
      <c r="K62" s="22">
        <f t="shared" si="4"/>
        <v>0.4</v>
      </c>
      <c r="L62" s="4" t="str">
        <f t="shared" si="5"/>
        <v>0-2</v>
      </c>
      <c r="M62" s="4" t="str">
        <f t="shared" si="6"/>
        <v>2-1</v>
      </c>
      <c r="N62" s="4">
        <f>COUNTIFS(WLSpread!$Z$2:$Z$784, $A62, WLSpread!$C$2:$C$784, $A62)</f>
        <v>0</v>
      </c>
      <c r="O62" s="4">
        <f>COUNTIFS(WLSpread!$AB$2:$AB$784, $A62, WLSpread!$C$2:$C$784, $A62)</f>
        <v>2</v>
      </c>
      <c r="P62" s="4">
        <f>COUNTIFS(WLSpread!$Z$2:$Z$784, $A62, WLSpread!$B$2:$B$784, $A62)</f>
        <v>2</v>
      </c>
      <c r="Q62" s="4">
        <f>COUNTIFS(WLSpread!$AB$2:$AB$784, $A62, WLSpread!$B$2:$B$784, $A62)</f>
        <v>1</v>
      </c>
      <c r="R62" s="4">
        <f t="shared" si="7"/>
        <v>5</v>
      </c>
      <c r="S62" s="7"/>
      <c r="T62" s="7"/>
      <c r="U62" s="7"/>
      <c r="V62" s="7"/>
      <c r="W62" s="7"/>
      <c r="X62" s="7"/>
      <c r="Y62" s="7"/>
      <c r="Z62" s="7"/>
    </row>
    <row r="63" ht="15.75" customHeight="1">
      <c r="A63" s="4" t="s">
        <v>111</v>
      </c>
      <c r="B63" s="4">
        <f>COUNTIF(WLSpread!$Z$2:$Z$1048467, A63)</f>
        <v>5</v>
      </c>
      <c r="C63" s="4">
        <f>COUNTIF(WLSpread!$AB$2:$AB$1048467, A63)</f>
        <v>6</v>
      </c>
      <c r="D63" s="4" t="str">
        <f t="shared" si="1"/>
        <v>5-6</v>
      </c>
      <c r="E63" s="19">
        <f t="shared" si="2"/>
        <v>0.4545454545</v>
      </c>
      <c r="F63" s="4" t="s">
        <v>201</v>
      </c>
      <c r="G63" s="4" t="s">
        <v>227</v>
      </c>
      <c r="H63" s="7">
        <f>COUNTIFS(WLSpread!$Z$2:$Z$823, $A63, WLSpread!$V$2:$V$823, $F63)</f>
        <v>3</v>
      </c>
      <c r="I63" s="4">
        <f>COUNTIFS(WLSpread!$AB$2:$AB$823, $A63, WLSpread!$V$2:$V$823, $F63)</f>
        <v>4</v>
      </c>
      <c r="J63" s="4" t="str">
        <f t="shared" si="3"/>
        <v>3-4</v>
      </c>
      <c r="K63" s="22">
        <f t="shared" si="4"/>
        <v>0.4285714286</v>
      </c>
      <c r="L63" s="4" t="str">
        <f t="shared" si="5"/>
        <v>2-3</v>
      </c>
      <c r="M63" s="4" t="str">
        <f t="shared" si="6"/>
        <v>3-3</v>
      </c>
      <c r="N63" s="4">
        <f>COUNTIFS(WLSpread!$Z$2:$Z$784, $A63, WLSpread!$C$2:$C$784, $A63)</f>
        <v>2</v>
      </c>
      <c r="O63" s="4">
        <f>COUNTIFS(WLSpread!$AB$2:$AB$784, $A63, WLSpread!$C$2:$C$784, $A63)</f>
        <v>3</v>
      </c>
      <c r="P63" s="4">
        <f>COUNTIFS(WLSpread!$Z$2:$Z$784, $A63, WLSpread!$B$2:$B$784, $A63)</f>
        <v>3</v>
      </c>
      <c r="Q63" s="4">
        <f>COUNTIFS(WLSpread!$AB$2:$AB$784, $A63, WLSpread!$B$2:$B$784, $A63)</f>
        <v>3</v>
      </c>
      <c r="R63" s="4">
        <f t="shared" si="7"/>
        <v>11</v>
      </c>
      <c r="S63" s="7"/>
      <c r="T63" s="7"/>
      <c r="U63" s="7"/>
      <c r="V63" s="7"/>
      <c r="W63" s="7"/>
      <c r="X63" s="7"/>
      <c r="Y63" s="7"/>
      <c r="Z63" s="7"/>
    </row>
    <row r="64" ht="15.75" customHeight="1">
      <c r="A64" s="4" t="s">
        <v>158</v>
      </c>
      <c r="B64" s="4">
        <f>COUNTIF(WLSpread!$Z$2:$Z$1048467, A64)</f>
        <v>1</v>
      </c>
      <c r="C64" s="4">
        <f>COUNTIF(WLSpread!$AB$2:$AB$1048467, A64)</f>
        <v>3</v>
      </c>
      <c r="D64" s="4" t="str">
        <f t="shared" si="1"/>
        <v>1-3</v>
      </c>
      <c r="E64" s="19">
        <f t="shared" si="2"/>
        <v>0.25</v>
      </c>
      <c r="F64" s="4" t="s">
        <v>165</v>
      </c>
      <c r="G64" s="4" t="s">
        <v>220</v>
      </c>
      <c r="H64" s="7">
        <f>COUNTIFS(WLSpread!$Z$2:$Z$823, $A64, WLSpread!$V$2:$V$823, $F64)</f>
        <v>1</v>
      </c>
      <c r="I64" s="4">
        <f>COUNTIFS(WLSpread!$AB$2:$AB$823, $A64, WLSpread!$V$2:$V$823, $F64)</f>
        <v>3</v>
      </c>
      <c r="J64" s="4" t="str">
        <f t="shared" si="3"/>
        <v>1-3</v>
      </c>
      <c r="K64" s="22">
        <f t="shared" si="4"/>
        <v>0.25</v>
      </c>
      <c r="L64" s="4" t="str">
        <f t="shared" si="5"/>
        <v>0-1</v>
      </c>
      <c r="M64" s="4" t="str">
        <f t="shared" si="6"/>
        <v>1-2</v>
      </c>
      <c r="N64" s="4">
        <f>COUNTIFS(WLSpread!$Z$2:$Z$784, $A64, WLSpread!$C$2:$C$784, $A64)</f>
        <v>0</v>
      </c>
      <c r="O64" s="4">
        <f>COUNTIFS(WLSpread!$AB$2:$AB$784, $A64, WLSpread!$C$2:$C$784, $A64)</f>
        <v>1</v>
      </c>
      <c r="P64" s="4">
        <f>COUNTIFS(WLSpread!$Z$2:$Z$784, $A64, WLSpread!$B$2:$B$784, $A64)</f>
        <v>1</v>
      </c>
      <c r="Q64" s="4">
        <f>COUNTIFS(WLSpread!$AB$2:$AB$784, $A64, WLSpread!$B$2:$B$784, $A64)</f>
        <v>2</v>
      </c>
      <c r="R64" s="4">
        <f t="shared" si="7"/>
        <v>4</v>
      </c>
      <c r="S64" s="7"/>
      <c r="T64" s="7"/>
      <c r="U64" s="7"/>
      <c r="V64" s="7"/>
      <c r="W64" s="7"/>
      <c r="X64" s="7"/>
      <c r="Y64" s="7"/>
      <c r="Z64" s="7"/>
    </row>
    <row r="65" ht="15.75" customHeight="1">
      <c r="A65" s="4" t="s">
        <v>136</v>
      </c>
      <c r="B65" s="4">
        <f>COUNTIF(WLSpread!$Z$2:$Z$1048467, A65)</f>
        <v>6</v>
      </c>
      <c r="C65" s="4">
        <f>COUNTIF(WLSpread!$AB$2:$AB$1048467, A65)</f>
        <v>4</v>
      </c>
      <c r="D65" s="4" t="str">
        <f t="shared" si="1"/>
        <v>6-4</v>
      </c>
      <c r="E65" s="19">
        <f t="shared" si="2"/>
        <v>0.6</v>
      </c>
      <c r="F65" s="4" t="s">
        <v>201</v>
      </c>
      <c r="G65" s="4" t="s">
        <v>227</v>
      </c>
      <c r="H65" s="7">
        <f>COUNTIFS(WLSpread!$Z$2:$Z$823, $A65, WLSpread!$V$2:$V$823, $F65)</f>
        <v>4</v>
      </c>
      <c r="I65" s="4">
        <f>COUNTIFS(WLSpread!$AB$2:$AB$823, $A65, WLSpread!$V$2:$V$823, $F65)</f>
        <v>4</v>
      </c>
      <c r="J65" s="4" t="str">
        <f t="shared" si="3"/>
        <v>4-4</v>
      </c>
      <c r="K65" s="22">
        <f t="shared" si="4"/>
        <v>0.5</v>
      </c>
      <c r="L65" s="4" t="str">
        <f t="shared" si="5"/>
        <v>4-2</v>
      </c>
      <c r="M65" s="4" t="str">
        <f t="shared" si="6"/>
        <v>2-2</v>
      </c>
      <c r="N65" s="4">
        <f>COUNTIFS(WLSpread!$Z$2:$Z$784, $A65, WLSpread!$C$2:$C$784, $A65)</f>
        <v>4</v>
      </c>
      <c r="O65" s="4">
        <f>COUNTIFS(WLSpread!$AB$2:$AB$784, $A65, WLSpread!$C$2:$C$784, $A65)</f>
        <v>2</v>
      </c>
      <c r="P65" s="4">
        <f>COUNTIFS(WLSpread!$Z$2:$Z$784, $A65, WLSpread!$B$2:$B$784, $A65)</f>
        <v>2</v>
      </c>
      <c r="Q65" s="4">
        <f>COUNTIFS(WLSpread!$AB$2:$AB$784, $A65, WLSpread!$B$2:$B$784, $A65)</f>
        <v>2</v>
      </c>
      <c r="R65" s="4">
        <f t="shared" si="7"/>
        <v>10</v>
      </c>
      <c r="S65" s="7"/>
      <c r="T65" s="7"/>
      <c r="U65" s="7"/>
      <c r="V65" s="7"/>
      <c r="W65" s="7"/>
      <c r="X65" s="7"/>
      <c r="Y65" s="7"/>
      <c r="Z65" s="7"/>
    </row>
    <row r="66" ht="15.75" customHeight="1">
      <c r="A66" s="4" t="s">
        <v>112</v>
      </c>
      <c r="B66" s="4">
        <f>COUNTIF(WLSpread!$Z$2:$Z$1048467, A66)</f>
        <v>5</v>
      </c>
      <c r="C66" s="4">
        <f>COUNTIF(WLSpread!$AB$2:$AB$1048467, A66)</f>
        <v>5</v>
      </c>
      <c r="D66" s="4" t="str">
        <f t="shared" si="1"/>
        <v>5-5</v>
      </c>
      <c r="E66" s="19">
        <f t="shared" si="2"/>
        <v>0.5</v>
      </c>
      <c r="F66" s="4" t="s">
        <v>120</v>
      </c>
      <c r="G66" s="4" t="s">
        <v>218</v>
      </c>
      <c r="H66" s="7">
        <f>COUNTIFS(WLSpread!$Z$2:$Z$823, $A66, WLSpread!$V$2:$V$823, $F66)</f>
        <v>4</v>
      </c>
      <c r="I66" s="4">
        <f>COUNTIFS(WLSpread!$AB$2:$AB$823, $A66, WLSpread!$V$2:$V$823, $F66)</f>
        <v>5</v>
      </c>
      <c r="J66" s="4" t="str">
        <f t="shared" si="3"/>
        <v>4-5</v>
      </c>
      <c r="K66" s="22">
        <f t="shared" si="4"/>
        <v>0.4444444444</v>
      </c>
      <c r="L66" s="4" t="str">
        <f t="shared" si="5"/>
        <v>5-1</v>
      </c>
      <c r="M66" s="4" t="str">
        <f t="shared" si="6"/>
        <v>0-4</v>
      </c>
      <c r="N66" s="4">
        <f>COUNTIFS(WLSpread!$Z$2:$Z$784, $A66, WLSpread!$C$2:$C$784, $A66)</f>
        <v>5</v>
      </c>
      <c r="O66" s="4">
        <f>COUNTIFS(WLSpread!$AB$2:$AB$784, $A66, WLSpread!$C$2:$C$784, $A66)</f>
        <v>1</v>
      </c>
      <c r="P66" s="4">
        <f>COUNTIFS(WLSpread!$Z$2:$Z$784, $A66, WLSpread!$B$2:$B$784, $A66)</f>
        <v>0</v>
      </c>
      <c r="Q66" s="4">
        <f>COUNTIFS(WLSpread!$AB$2:$AB$784, $A66, WLSpread!$B$2:$B$784, $A66)</f>
        <v>4</v>
      </c>
      <c r="R66" s="4">
        <f t="shared" si="7"/>
        <v>10</v>
      </c>
      <c r="S66" s="7"/>
      <c r="T66" s="7"/>
      <c r="U66" s="7"/>
      <c r="V66" s="7"/>
      <c r="W66" s="7"/>
      <c r="X66" s="7"/>
      <c r="Y66" s="7"/>
      <c r="Z66" s="7"/>
    </row>
    <row r="67" ht="15.75" customHeight="1">
      <c r="A67" s="4" t="s">
        <v>53</v>
      </c>
      <c r="B67" s="4">
        <f>COUNTIF(WLSpread!$Z$2:$Z$1048467, A67)</f>
        <v>5</v>
      </c>
      <c r="C67" s="4">
        <f>COUNTIF(WLSpread!$AB$2:$AB$1048467, A67)</f>
        <v>5</v>
      </c>
      <c r="D67" s="4" t="str">
        <f t="shared" si="1"/>
        <v>5-5</v>
      </c>
      <c r="E67" s="19">
        <f t="shared" si="2"/>
        <v>0.5</v>
      </c>
      <c r="F67" s="4" t="s">
        <v>198</v>
      </c>
      <c r="G67" s="4" t="s">
        <v>219</v>
      </c>
      <c r="H67" s="7">
        <f>COUNTIFS(WLSpread!$Z$2:$Z$823, $A67, WLSpread!$V$2:$V$823, $F67)</f>
        <v>5</v>
      </c>
      <c r="I67" s="4">
        <f>COUNTIFS(WLSpread!$AB$2:$AB$823, $A67, WLSpread!$V$2:$V$823, $F67)</f>
        <v>5</v>
      </c>
      <c r="J67" s="4" t="str">
        <f t="shared" si="3"/>
        <v>5-5</v>
      </c>
      <c r="K67" s="22">
        <f t="shared" si="4"/>
        <v>0.5</v>
      </c>
      <c r="L67" s="4" t="str">
        <f t="shared" si="5"/>
        <v>2-3</v>
      </c>
      <c r="M67" s="4" t="str">
        <f t="shared" si="6"/>
        <v>3-2</v>
      </c>
      <c r="N67" s="4">
        <f>COUNTIFS(WLSpread!$Z$2:$Z$784, $A67, WLSpread!$C$2:$C$784, $A67)</f>
        <v>2</v>
      </c>
      <c r="O67" s="4">
        <f>COUNTIFS(WLSpread!$AB$2:$AB$784, $A67, WLSpread!$C$2:$C$784, $A67)</f>
        <v>3</v>
      </c>
      <c r="P67" s="4">
        <f>COUNTIFS(WLSpread!$Z$2:$Z$784, $A67, WLSpread!$B$2:$B$784, $A67)</f>
        <v>3</v>
      </c>
      <c r="Q67" s="4">
        <f>COUNTIFS(WLSpread!$AB$2:$AB$784, $A67, WLSpread!$B$2:$B$784, $A67)</f>
        <v>2</v>
      </c>
      <c r="R67" s="4">
        <f t="shared" si="7"/>
        <v>10</v>
      </c>
      <c r="S67" s="7"/>
      <c r="T67" s="7"/>
      <c r="U67" s="7"/>
      <c r="V67" s="7"/>
      <c r="W67" s="7"/>
      <c r="X67" s="7"/>
      <c r="Y67" s="7"/>
      <c r="Z67" s="7"/>
    </row>
    <row r="68" ht="15.75" customHeight="1">
      <c r="A68" s="4" t="s">
        <v>107</v>
      </c>
      <c r="B68" s="4">
        <f>COUNTIF(WLSpread!$Z$2:$Z$1048467, A68)</f>
        <v>3</v>
      </c>
      <c r="C68" s="4">
        <f>COUNTIF(WLSpread!$AB$2:$AB$1048467, A68)</f>
        <v>3</v>
      </c>
      <c r="D68" s="4" t="str">
        <f t="shared" si="1"/>
        <v>3-3</v>
      </c>
      <c r="E68" s="19">
        <f t="shared" si="2"/>
        <v>0.5</v>
      </c>
      <c r="F68" s="4" t="s">
        <v>121</v>
      </c>
      <c r="G68" s="4" t="s">
        <v>205</v>
      </c>
      <c r="H68" s="7">
        <f>COUNTIFS(WLSpread!$Z$2:$Z$823, $A68, WLSpread!$V$2:$V$823, $F68)</f>
        <v>2</v>
      </c>
      <c r="I68" s="4">
        <f>COUNTIFS(WLSpread!$AB$2:$AB$823, $A68, WLSpread!$V$2:$V$823, $F68)</f>
        <v>2</v>
      </c>
      <c r="J68" s="4" t="str">
        <f t="shared" si="3"/>
        <v>2-2</v>
      </c>
      <c r="K68" s="22">
        <f t="shared" si="4"/>
        <v>0.5</v>
      </c>
      <c r="L68" s="4" t="str">
        <f t="shared" si="5"/>
        <v>2-1</v>
      </c>
      <c r="M68" s="4" t="str">
        <f t="shared" si="6"/>
        <v>1-2</v>
      </c>
      <c r="N68" s="4">
        <f>COUNTIFS(WLSpread!$Z$2:$Z$784, $A68, WLSpread!$C$2:$C$784, $A68)</f>
        <v>2</v>
      </c>
      <c r="O68" s="4">
        <f>COUNTIFS(WLSpread!$AB$2:$AB$784, $A68, WLSpread!$C$2:$C$784, $A68)</f>
        <v>1</v>
      </c>
      <c r="P68" s="4">
        <f>COUNTIFS(WLSpread!$Z$2:$Z$784, $A68, WLSpread!$B$2:$B$784, $A68)</f>
        <v>1</v>
      </c>
      <c r="Q68" s="4">
        <f>COUNTIFS(WLSpread!$AB$2:$AB$784, $A68, WLSpread!$B$2:$B$784, $A68)</f>
        <v>2</v>
      </c>
      <c r="R68" s="4">
        <f t="shared" si="7"/>
        <v>6</v>
      </c>
      <c r="S68" s="7"/>
      <c r="T68" s="7"/>
      <c r="U68" s="7"/>
      <c r="V68" s="7"/>
      <c r="W68" s="7"/>
      <c r="X68" s="7"/>
      <c r="Y68" s="7"/>
      <c r="Z68" s="7"/>
    </row>
    <row r="69" ht="15.75" customHeight="1">
      <c r="A69" s="4" t="s">
        <v>129</v>
      </c>
      <c r="B69" s="4">
        <f>COUNTIF(WLSpread!$Z$2:$Z$1048467, A69)</f>
        <v>5</v>
      </c>
      <c r="C69" s="4">
        <f>COUNTIF(WLSpread!$AB$2:$AB$1048467, A69)</f>
        <v>5</v>
      </c>
      <c r="D69" s="4" t="str">
        <f t="shared" si="1"/>
        <v>5-5</v>
      </c>
      <c r="E69" s="19">
        <f t="shared" si="2"/>
        <v>0.5</v>
      </c>
      <c r="F69" s="4" t="s">
        <v>198</v>
      </c>
      <c r="G69" s="4" t="s">
        <v>219</v>
      </c>
      <c r="H69" s="7">
        <f>COUNTIFS(WLSpread!$Z$2:$Z$823, $A69, WLSpread!$V$2:$V$823, $F69)</f>
        <v>4</v>
      </c>
      <c r="I69" s="4">
        <f>COUNTIFS(WLSpread!$AB$2:$AB$823, $A69, WLSpread!$V$2:$V$823, $F69)</f>
        <v>5</v>
      </c>
      <c r="J69" s="4" t="str">
        <f t="shared" si="3"/>
        <v>4-5</v>
      </c>
      <c r="K69" s="22">
        <f t="shared" si="4"/>
        <v>0.4444444444</v>
      </c>
      <c r="L69" s="4" t="str">
        <f t="shared" si="5"/>
        <v>2-3</v>
      </c>
      <c r="M69" s="4" t="str">
        <f t="shared" si="6"/>
        <v>3-2</v>
      </c>
      <c r="N69" s="4">
        <f>COUNTIFS(WLSpread!$Z$2:$Z$784, $A69, WLSpread!$C$2:$C$784, $A69)</f>
        <v>2</v>
      </c>
      <c r="O69" s="4">
        <f>COUNTIFS(WLSpread!$AB$2:$AB$784, $A69, WLSpread!$C$2:$C$784, $A69)</f>
        <v>3</v>
      </c>
      <c r="P69" s="4">
        <f>COUNTIFS(WLSpread!$Z$2:$Z$784, $A69, WLSpread!$B$2:$B$784, $A69)</f>
        <v>3</v>
      </c>
      <c r="Q69" s="4">
        <f>COUNTIFS(WLSpread!$AB$2:$AB$784, $A69, WLSpread!$B$2:$B$784, $A69)</f>
        <v>2</v>
      </c>
      <c r="R69" s="4">
        <f t="shared" si="7"/>
        <v>10</v>
      </c>
      <c r="S69" s="7"/>
      <c r="T69" s="7"/>
      <c r="U69" s="7"/>
      <c r="V69" s="7"/>
      <c r="W69" s="7"/>
      <c r="X69" s="7"/>
      <c r="Y69" s="7"/>
      <c r="Z69" s="7"/>
    </row>
    <row r="70" ht="15.75" customHeight="1">
      <c r="A70" s="4" t="s">
        <v>140</v>
      </c>
      <c r="B70" s="4">
        <f>COUNTIF(WLSpread!$Z$2:$Z$1048467, A70)</f>
        <v>2</v>
      </c>
      <c r="C70" s="4">
        <f>COUNTIF(WLSpread!$AB$2:$AB$1048467, A70)</f>
        <v>5</v>
      </c>
      <c r="D70" s="4" t="str">
        <f t="shared" si="1"/>
        <v>2-5</v>
      </c>
      <c r="E70" s="19">
        <f t="shared" si="2"/>
        <v>0.2857142857</v>
      </c>
      <c r="F70" s="4" t="s">
        <v>84</v>
      </c>
      <c r="G70" s="4" t="s">
        <v>159</v>
      </c>
      <c r="H70" s="7">
        <f>COUNTIFS(WLSpread!$Z$2:$Z$823, $A70, WLSpread!$V$2:$V$823, $F70)</f>
        <v>2</v>
      </c>
      <c r="I70" s="4">
        <f>COUNTIFS(WLSpread!$AB$2:$AB$823, $A70, WLSpread!$V$2:$V$823, $F70)</f>
        <v>3</v>
      </c>
      <c r="J70" s="4" t="str">
        <f t="shared" si="3"/>
        <v>2-3</v>
      </c>
      <c r="K70" s="22">
        <f t="shared" si="4"/>
        <v>0.4</v>
      </c>
      <c r="L70" s="4" t="str">
        <f t="shared" si="5"/>
        <v>1-2</v>
      </c>
      <c r="M70" s="4" t="str">
        <f t="shared" si="6"/>
        <v>1-3</v>
      </c>
      <c r="N70" s="4">
        <f>COUNTIFS(WLSpread!$Z$2:$Z$784, $A70, WLSpread!$C$2:$C$784, $A70)</f>
        <v>1</v>
      </c>
      <c r="O70" s="4">
        <f>COUNTIFS(WLSpread!$AB$2:$AB$784, $A70, WLSpread!$C$2:$C$784, $A70)</f>
        <v>2</v>
      </c>
      <c r="P70" s="4">
        <f>COUNTIFS(WLSpread!$Z$2:$Z$784, $A70, WLSpread!$B$2:$B$784, $A70)</f>
        <v>1</v>
      </c>
      <c r="Q70" s="4">
        <f>COUNTIFS(WLSpread!$AB$2:$AB$784, $A70, WLSpread!$B$2:$B$784, $A70)</f>
        <v>3</v>
      </c>
      <c r="R70" s="4">
        <f t="shared" si="7"/>
        <v>7</v>
      </c>
      <c r="S70" s="7"/>
      <c r="T70" s="7"/>
      <c r="U70" s="7"/>
      <c r="V70" s="7"/>
      <c r="W70" s="7"/>
      <c r="X70" s="7"/>
      <c r="Y70" s="7"/>
      <c r="Z70" s="7"/>
    </row>
    <row r="71" ht="15.75" customHeight="1">
      <c r="A71" s="4" t="s">
        <v>190</v>
      </c>
      <c r="B71" s="4">
        <f>COUNTIF(WLSpread!$Z$2:$Z$1048467, A71)</f>
        <v>4</v>
      </c>
      <c r="C71" s="4">
        <f>COUNTIF(WLSpread!$AB$2:$AB$1048467, A71)</f>
        <v>2</v>
      </c>
      <c r="D71" s="4" t="str">
        <f t="shared" si="1"/>
        <v>4-2</v>
      </c>
      <c r="E71" s="19">
        <f t="shared" si="2"/>
        <v>0.6666666667</v>
      </c>
      <c r="F71" s="4" t="s">
        <v>165</v>
      </c>
      <c r="G71" s="4" t="s">
        <v>220</v>
      </c>
      <c r="H71" s="7">
        <f>COUNTIFS(WLSpread!$Z$2:$Z$823, $A71, WLSpread!$V$2:$V$823, $F71)</f>
        <v>4</v>
      </c>
      <c r="I71" s="4">
        <f>COUNTIFS(WLSpread!$AB$2:$AB$823, $A71, WLSpread!$V$2:$V$823, $F71)</f>
        <v>2</v>
      </c>
      <c r="J71" s="4" t="str">
        <f t="shared" si="3"/>
        <v>4-2</v>
      </c>
      <c r="K71" s="22">
        <f t="shared" si="4"/>
        <v>0.6666666667</v>
      </c>
      <c r="L71" s="4" t="str">
        <f t="shared" si="5"/>
        <v>0-1</v>
      </c>
      <c r="M71" s="4" t="str">
        <f t="shared" si="6"/>
        <v>4-1</v>
      </c>
      <c r="N71" s="4">
        <f>COUNTIFS(WLSpread!$Z$2:$Z$784, $A71, WLSpread!$C$2:$C$784, $A71)</f>
        <v>0</v>
      </c>
      <c r="O71" s="4">
        <f>COUNTIFS(WLSpread!$AB$2:$AB$784, $A71, WLSpread!$C$2:$C$784, $A71)</f>
        <v>1</v>
      </c>
      <c r="P71" s="4">
        <f>COUNTIFS(WLSpread!$Z$2:$Z$784, $A71, WLSpread!$B$2:$B$784, $A71)</f>
        <v>4</v>
      </c>
      <c r="Q71" s="4">
        <f>COUNTIFS(WLSpread!$AB$2:$AB$784, $A71, WLSpread!$B$2:$B$784, $A71)</f>
        <v>1</v>
      </c>
      <c r="R71" s="4">
        <f t="shared" si="7"/>
        <v>6</v>
      </c>
      <c r="S71" s="7"/>
      <c r="T71" s="7"/>
      <c r="U71" s="7"/>
      <c r="V71" s="7"/>
      <c r="W71" s="7"/>
      <c r="X71" s="7"/>
      <c r="Y71" s="7"/>
      <c r="Z71" s="7"/>
    </row>
    <row r="72" ht="15.75" customHeight="1">
      <c r="A72" s="4" t="s">
        <v>64</v>
      </c>
      <c r="B72" s="4">
        <f>COUNTIF(WLSpread!$Z$2:$Z$1048467, A72)</f>
        <v>6</v>
      </c>
      <c r="C72" s="4">
        <f>COUNTIF(WLSpread!$AB$2:$AB$1048467, A72)</f>
        <v>5</v>
      </c>
      <c r="D72" s="4" t="str">
        <f t="shared" si="1"/>
        <v>6-5</v>
      </c>
      <c r="E72" s="19">
        <f t="shared" si="2"/>
        <v>0.5454545455</v>
      </c>
      <c r="F72" s="4" t="s">
        <v>198</v>
      </c>
      <c r="G72" s="4" t="s">
        <v>219</v>
      </c>
      <c r="H72" s="7">
        <f>COUNTIFS(WLSpread!$Z$2:$Z$823, $A72, WLSpread!$V$2:$V$823, $F72)</f>
        <v>6</v>
      </c>
      <c r="I72" s="4">
        <f>COUNTIFS(WLSpread!$AB$2:$AB$823, $A72, WLSpread!$V$2:$V$823, $F72)</f>
        <v>4</v>
      </c>
      <c r="J72" s="4" t="str">
        <f t="shared" si="3"/>
        <v>6-4</v>
      </c>
      <c r="K72" s="22">
        <f t="shared" si="4"/>
        <v>0.6</v>
      </c>
      <c r="L72" s="4" t="str">
        <f t="shared" si="5"/>
        <v>4-1</v>
      </c>
      <c r="M72" s="4" t="str">
        <f t="shared" si="6"/>
        <v>2-4</v>
      </c>
      <c r="N72" s="4">
        <f>COUNTIFS(WLSpread!$Z$2:$Z$784, $A72, WLSpread!$C$2:$C$784, $A72)</f>
        <v>4</v>
      </c>
      <c r="O72" s="4">
        <f>COUNTIFS(WLSpread!$AB$2:$AB$784, $A72, WLSpread!$C$2:$C$784, $A72)</f>
        <v>1</v>
      </c>
      <c r="P72" s="4">
        <f>COUNTIFS(WLSpread!$Z$2:$Z$784, $A72, WLSpread!$B$2:$B$784, $A72)</f>
        <v>2</v>
      </c>
      <c r="Q72" s="4">
        <f>COUNTIFS(WLSpread!$AB$2:$AB$784, $A72, WLSpread!$B$2:$B$784, $A72)</f>
        <v>4</v>
      </c>
      <c r="R72" s="4">
        <f t="shared" si="7"/>
        <v>11</v>
      </c>
      <c r="S72" s="7"/>
      <c r="T72" s="7"/>
      <c r="U72" s="7"/>
      <c r="V72" s="7"/>
      <c r="W72" s="7"/>
      <c r="X72" s="7"/>
      <c r="Y72" s="7"/>
      <c r="Z72" s="7"/>
    </row>
    <row r="73" ht="15.75" customHeight="1">
      <c r="A73" s="4" t="s">
        <v>113</v>
      </c>
      <c r="B73" s="4">
        <f>COUNTIF(WLSpread!$Z$2:$Z$1048467, A73)</f>
        <v>6</v>
      </c>
      <c r="C73" s="4">
        <f>COUNTIF(WLSpread!$AB$2:$AB$1048467, A73)</f>
        <v>4</v>
      </c>
      <c r="D73" s="4" t="str">
        <f t="shared" si="1"/>
        <v>6-4</v>
      </c>
      <c r="E73" s="19">
        <f t="shared" si="2"/>
        <v>0.6</v>
      </c>
      <c r="F73" s="4" t="s">
        <v>197</v>
      </c>
      <c r="G73" s="4" t="s">
        <v>197</v>
      </c>
      <c r="H73" s="7">
        <f>COUNTIFS(WLSpread!$Z$2:$Z$823, $A73, WLSpread!$V$2:$V$823, $F73)</f>
        <v>5</v>
      </c>
      <c r="I73" s="4">
        <f>COUNTIFS(WLSpread!$AB$2:$AB$823, $A73, WLSpread!$V$2:$V$823, $F73)</f>
        <v>4</v>
      </c>
      <c r="J73" s="4" t="str">
        <f t="shared" si="3"/>
        <v>5-4</v>
      </c>
      <c r="K73" s="22">
        <f t="shared" si="4"/>
        <v>0.5555555556</v>
      </c>
      <c r="L73" s="4" t="str">
        <f t="shared" si="5"/>
        <v>3-3</v>
      </c>
      <c r="M73" s="4" t="str">
        <f t="shared" si="6"/>
        <v>3-1</v>
      </c>
      <c r="N73" s="4">
        <f>COUNTIFS(WLSpread!$Z$2:$Z$784, $A73, WLSpread!$C$2:$C$784, $A73)</f>
        <v>3</v>
      </c>
      <c r="O73" s="4">
        <f>COUNTIFS(WLSpread!$AB$2:$AB$784, $A73, WLSpread!$C$2:$C$784, $A73)</f>
        <v>3</v>
      </c>
      <c r="P73" s="4">
        <f>COUNTIFS(WLSpread!$Z$2:$Z$784, $A73, WLSpread!$B$2:$B$784, $A73)</f>
        <v>3</v>
      </c>
      <c r="Q73" s="4">
        <f>COUNTIFS(WLSpread!$AB$2:$AB$784, $A73, WLSpread!$B$2:$B$784, $A73)</f>
        <v>1</v>
      </c>
      <c r="R73" s="4">
        <f t="shared" si="7"/>
        <v>10</v>
      </c>
      <c r="S73" s="7"/>
      <c r="T73" s="7"/>
      <c r="U73" s="7"/>
      <c r="V73" s="7"/>
      <c r="W73" s="7"/>
      <c r="X73" s="7"/>
      <c r="Y73" s="7"/>
      <c r="Z73" s="7"/>
    </row>
    <row r="74" ht="15.75" customHeight="1">
      <c r="A74" s="4" t="s">
        <v>86</v>
      </c>
      <c r="B74" s="4">
        <f>COUNTIF(WLSpread!$Z$2:$Z$1048467, A74)</f>
        <v>7</v>
      </c>
      <c r="C74" s="4">
        <f>COUNTIF(WLSpread!$AB$2:$AB$1048467, A74)</f>
        <v>3</v>
      </c>
      <c r="D74" s="4" t="str">
        <f t="shared" si="1"/>
        <v>7-3</v>
      </c>
      <c r="E74" s="19">
        <f t="shared" si="2"/>
        <v>0.7</v>
      </c>
      <c r="F74" s="4" t="s">
        <v>44</v>
      </c>
      <c r="G74" s="4" t="s">
        <v>225</v>
      </c>
      <c r="H74" s="7">
        <f>COUNTIFS(WLSpread!$Z$2:$Z$823, $A74, WLSpread!$V$2:$V$823, $F74)</f>
        <v>4</v>
      </c>
      <c r="I74" s="4">
        <f>COUNTIFS(WLSpread!$AB$2:$AB$823, $A74, WLSpread!$V$2:$V$823, $F74)</f>
        <v>3</v>
      </c>
      <c r="J74" s="4" t="str">
        <f t="shared" si="3"/>
        <v>4-3</v>
      </c>
      <c r="K74" s="22">
        <f t="shared" si="4"/>
        <v>0.5714285714</v>
      </c>
      <c r="L74" s="4" t="str">
        <f t="shared" si="5"/>
        <v>3-1</v>
      </c>
      <c r="M74" s="4" t="str">
        <f t="shared" si="6"/>
        <v>4-2</v>
      </c>
      <c r="N74" s="4">
        <f>COUNTIFS(WLSpread!$Z$2:$Z$784, $A74, WLSpread!$C$2:$C$784, $A74)</f>
        <v>3</v>
      </c>
      <c r="O74" s="4">
        <f>COUNTIFS(WLSpread!$AB$2:$AB$784, $A74, WLSpread!$C$2:$C$784, $A74)</f>
        <v>1</v>
      </c>
      <c r="P74" s="4">
        <f>COUNTIFS(WLSpread!$Z$2:$Z$784, $A74, WLSpread!$B$2:$B$784, $A74)</f>
        <v>4</v>
      </c>
      <c r="Q74" s="4">
        <f>COUNTIFS(WLSpread!$AB$2:$AB$784, $A74, WLSpread!$B$2:$B$784, $A74)</f>
        <v>2</v>
      </c>
      <c r="R74" s="4">
        <f t="shared" si="7"/>
        <v>10</v>
      </c>
      <c r="S74" s="7"/>
      <c r="T74" s="7"/>
      <c r="U74" s="7"/>
      <c r="V74" s="7"/>
      <c r="W74" s="7"/>
      <c r="X74" s="7"/>
      <c r="Y74" s="7"/>
      <c r="Z74" s="7"/>
    </row>
    <row r="75" ht="15.75" customHeight="1">
      <c r="A75" s="4" t="s">
        <v>60</v>
      </c>
      <c r="B75" s="4">
        <f>COUNTIF(WLSpread!$Z$2:$Z$1048467, A75)</f>
        <v>8</v>
      </c>
      <c r="C75" s="4">
        <f>COUNTIF(WLSpread!$AB$2:$AB$1048467, A75)</f>
        <v>3</v>
      </c>
      <c r="D75" s="4" t="str">
        <f t="shared" si="1"/>
        <v>8-3</v>
      </c>
      <c r="E75" s="19">
        <f t="shared" si="2"/>
        <v>0.7272727273</v>
      </c>
      <c r="F75" s="4" t="s">
        <v>44</v>
      </c>
      <c r="G75" s="4" t="s">
        <v>225</v>
      </c>
      <c r="H75" s="7">
        <f>COUNTIFS(WLSpread!$Z$2:$Z$823, $A75, WLSpread!$V$2:$V$823, $F75)</f>
        <v>5</v>
      </c>
      <c r="I75" s="4">
        <f>COUNTIFS(WLSpread!$AB$2:$AB$823, $A75, WLSpread!$V$2:$V$823, $F75)</f>
        <v>3</v>
      </c>
      <c r="J75" s="4" t="str">
        <f t="shared" si="3"/>
        <v>5-3</v>
      </c>
      <c r="K75" s="22">
        <f t="shared" si="4"/>
        <v>0.625</v>
      </c>
      <c r="L75" s="4" t="str">
        <f t="shared" si="5"/>
        <v>6-0</v>
      </c>
      <c r="M75" s="4" t="str">
        <f t="shared" si="6"/>
        <v>2-3</v>
      </c>
      <c r="N75" s="4">
        <f>COUNTIFS(WLSpread!$Z$2:$Z$784, $A75, WLSpread!$C$2:$C$784, $A75)</f>
        <v>6</v>
      </c>
      <c r="O75" s="4">
        <f>COUNTIFS(WLSpread!$AB$2:$AB$784, $A75, WLSpread!$C$2:$C$784, $A75)</f>
        <v>0</v>
      </c>
      <c r="P75" s="4">
        <f>COUNTIFS(WLSpread!$Z$2:$Z$784, $A75, WLSpread!$B$2:$B$784, $A75)</f>
        <v>2</v>
      </c>
      <c r="Q75" s="4">
        <f>COUNTIFS(WLSpread!$AB$2:$AB$784, $A75, WLSpread!$B$2:$B$784, $A75)</f>
        <v>3</v>
      </c>
      <c r="R75" s="4">
        <f t="shared" si="7"/>
        <v>11</v>
      </c>
      <c r="S75" s="7"/>
      <c r="T75" s="7"/>
      <c r="U75" s="7"/>
      <c r="V75" s="7"/>
      <c r="W75" s="7"/>
      <c r="X75" s="7"/>
      <c r="Y75" s="7"/>
      <c r="Z75" s="7"/>
    </row>
    <row r="76" ht="15.75" customHeight="1">
      <c r="A76" s="4" t="s">
        <v>131</v>
      </c>
      <c r="B76" s="4">
        <f>COUNTIF(WLSpread!$Z$2:$Z$1048467, A76)</f>
        <v>8</v>
      </c>
      <c r="C76" s="4">
        <f>COUNTIF(WLSpread!$AB$2:$AB$1048467, A76)</f>
        <v>5</v>
      </c>
      <c r="D76" s="4" t="str">
        <f t="shared" si="1"/>
        <v>8-5</v>
      </c>
      <c r="E76" s="19">
        <f t="shared" si="2"/>
        <v>0.6153846154</v>
      </c>
      <c r="F76" s="4" t="s">
        <v>201</v>
      </c>
      <c r="G76" s="4" t="s">
        <v>227</v>
      </c>
      <c r="H76" s="7">
        <f>COUNTIFS(WLSpread!$Z$2:$Z$823, $A76, WLSpread!$V$2:$V$823, $F76)</f>
        <v>4</v>
      </c>
      <c r="I76" s="4">
        <f>COUNTIFS(WLSpread!$AB$2:$AB$823, $A76, WLSpread!$V$2:$V$823, $F76)</f>
        <v>4</v>
      </c>
      <c r="J76" s="4" t="str">
        <f t="shared" si="3"/>
        <v>4-4</v>
      </c>
      <c r="K76" s="22">
        <f t="shared" si="4"/>
        <v>0.5</v>
      </c>
      <c r="L76" s="4" t="str">
        <f t="shared" si="5"/>
        <v>7-1</v>
      </c>
      <c r="M76" s="4" t="str">
        <f t="shared" si="6"/>
        <v>1-4</v>
      </c>
      <c r="N76" s="4">
        <f>COUNTIFS(WLSpread!$Z$2:$Z$784, $A76, WLSpread!$C$2:$C$784, $A76)</f>
        <v>7</v>
      </c>
      <c r="O76" s="4">
        <f>COUNTIFS(WLSpread!$AB$2:$AB$784, $A76, WLSpread!$C$2:$C$784, $A76)</f>
        <v>1</v>
      </c>
      <c r="P76" s="4">
        <f>COUNTIFS(WLSpread!$Z$2:$Z$784, $A76, WLSpread!$B$2:$B$784, $A76)</f>
        <v>1</v>
      </c>
      <c r="Q76" s="4">
        <f>COUNTIFS(WLSpread!$AB$2:$AB$784, $A76, WLSpread!$B$2:$B$784, $A76)</f>
        <v>4</v>
      </c>
      <c r="R76" s="4">
        <f t="shared" si="7"/>
        <v>13</v>
      </c>
      <c r="S76" s="7"/>
      <c r="T76" s="7"/>
      <c r="U76" s="7"/>
      <c r="V76" s="7"/>
      <c r="W76" s="7"/>
      <c r="X76" s="7"/>
      <c r="Y76" s="7"/>
      <c r="Z76" s="7"/>
    </row>
    <row r="77" ht="15.75" customHeight="1">
      <c r="A77" s="4" t="s">
        <v>193</v>
      </c>
      <c r="B77" s="4">
        <f>COUNTIF(WLSpread!$Z$2:$Z$1048467, A77)</f>
        <v>6</v>
      </c>
      <c r="C77" s="4">
        <f>COUNTIF(WLSpread!$AB$2:$AB$1048467, A77)</f>
        <v>7</v>
      </c>
      <c r="D77" s="4" t="str">
        <f t="shared" si="1"/>
        <v>6-7</v>
      </c>
      <c r="E77" s="19">
        <f t="shared" si="2"/>
        <v>0.4615384615</v>
      </c>
      <c r="F77" s="4" t="s">
        <v>84</v>
      </c>
      <c r="G77" s="4" t="s">
        <v>159</v>
      </c>
      <c r="H77" s="7">
        <f>COUNTIFS(WLSpread!$Z$2:$Z$823, $A77, WLSpread!$V$2:$V$823, $F77)</f>
        <v>5</v>
      </c>
      <c r="I77" s="4">
        <f>COUNTIFS(WLSpread!$AB$2:$AB$823, $A77, WLSpread!$V$2:$V$823, $F77)</f>
        <v>3</v>
      </c>
      <c r="J77" s="4" t="str">
        <f t="shared" si="3"/>
        <v>5-3</v>
      </c>
      <c r="K77" s="22">
        <f t="shared" si="4"/>
        <v>0.625</v>
      </c>
      <c r="L77" s="4" t="str">
        <f t="shared" si="5"/>
        <v>3-2</v>
      </c>
      <c r="M77" s="4" t="str">
        <f t="shared" si="6"/>
        <v>3-5</v>
      </c>
      <c r="N77" s="4">
        <f>COUNTIFS(WLSpread!$Z$2:$Z$784, $A77, WLSpread!$C$2:$C$784, $A77)</f>
        <v>3</v>
      </c>
      <c r="O77" s="4">
        <f>COUNTIFS(WLSpread!$AB$2:$AB$784, $A77, WLSpread!$C$2:$C$784, $A77)</f>
        <v>2</v>
      </c>
      <c r="P77" s="4">
        <f>COUNTIFS(WLSpread!$Z$2:$Z$784, $A77, WLSpread!$B$2:$B$784, $A77)</f>
        <v>3</v>
      </c>
      <c r="Q77" s="4">
        <f>COUNTIFS(WLSpread!$AB$2:$AB$784, $A77, WLSpread!$B$2:$B$784, $A77)</f>
        <v>5</v>
      </c>
      <c r="R77" s="4">
        <f t="shared" si="7"/>
        <v>13</v>
      </c>
      <c r="S77" s="7"/>
      <c r="T77" s="7"/>
      <c r="U77" s="7"/>
      <c r="V77" s="7"/>
      <c r="W77" s="7"/>
      <c r="X77" s="7"/>
      <c r="Y77" s="7"/>
      <c r="Z77" s="7"/>
    </row>
    <row r="78" ht="15.75" customHeight="1">
      <c r="A78" s="4" t="s">
        <v>62</v>
      </c>
      <c r="B78" s="4">
        <f>COUNTIF(WLSpread!$Z$2:$Z$1048467, A78)</f>
        <v>4</v>
      </c>
      <c r="C78" s="4">
        <f>COUNTIF(WLSpread!$AB$2:$AB$1048467, A78)</f>
        <v>3</v>
      </c>
      <c r="D78" s="4" t="str">
        <f t="shared" si="1"/>
        <v>4-3</v>
      </c>
      <c r="E78" s="19">
        <f t="shared" si="2"/>
        <v>0.5714285714</v>
      </c>
      <c r="F78" s="4" t="s">
        <v>165</v>
      </c>
      <c r="G78" s="4" t="s">
        <v>220</v>
      </c>
      <c r="H78" s="7">
        <f>COUNTIFS(WLSpread!$Z$2:$Z$823, $A78, WLSpread!$V$2:$V$823, $F78)</f>
        <v>4</v>
      </c>
      <c r="I78" s="4">
        <f>COUNTIFS(WLSpread!$AB$2:$AB$823, $A78, WLSpread!$V$2:$V$823, $F78)</f>
        <v>2</v>
      </c>
      <c r="J78" s="4" t="str">
        <f t="shared" si="3"/>
        <v>4-2</v>
      </c>
      <c r="K78" s="22">
        <f t="shared" si="4"/>
        <v>0.6666666667</v>
      </c>
      <c r="L78" s="4" t="str">
        <f t="shared" si="5"/>
        <v>2-0</v>
      </c>
      <c r="M78" s="4" t="str">
        <f t="shared" si="6"/>
        <v>2-3</v>
      </c>
      <c r="N78" s="4">
        <f>COUNTIFS(WLSpread!$Z$2:$Z$784, $A78, WLSpread!$C$2:$C$784, $A78)</f>
        <v>2</v>
      </c>
      <c r="O78" s="4">
        <f>COUNTIFS(WLSpread!$AB$2:$AB$784, $A78, WLSpread!$C$2:$C$784, $A78)</f>
        <v>0</v>
      </c>
      <c r="P78" s="4">
        <f>COUNTIFS(WLSpread!$Z$2:$Z$784, $A78, WLSpread!$B$2:$B$784, $A78)</f>
        <v>2</v>
      </c>
      <c r="Q78" s="4">
        <f>COUNTIFS(WLSpread!$AB$2:$AB$784, $A78, WLSpread!$B$2:$B$784, $A78)</f>
        <v>3</v>
      </c>
      <c r="R78" s="4">
        <f t="shared" si="7"/>
        <v>7</v>
      </c>
      <c r="S78" s="7"/>
      <c r="T78" s="7"/>
      <c r="U78" s="7"/>
      <c r="V78" s="7"/>
      <c r="W78" s="7"/>
      <c r="X78" s="7"/>
      <c r="Y78" s="7"/>
      <c r="Z78" s="7"/>
    </row>
    <row r="79" ht="15.75" customHeight="1">
      <c r="A79" s="4" t="s">
        <v>144</v>
      </c>
      <c r="B79" s="4">
        <f>COUNTIF(WLSpread!$Z$2:$Z$1048467, A79)</f>
        <v>3</v>
      </c>
      <c r="C79" s="4">
        <f>COUNTIF(WLSpread!$AB$2:$AB$1048467, A79)</f>
        <v>3</v>
      </c>
      <c r="D79" s="4" t="str">
        <f t="shared" si="1"/>
        <v>3-3</v>
      </c>
      <c r="E79" s="19">
        <f t="shared" si="2"/>
        <v>0.5</v>
      </c>
      <c r="F79" s="4" t="s">
        <v>121</v>
      </c>
      <c r="G79" s="4" t="s">
        <v>204</v>
      </c>
      <c r="H79" s="7">
        <f>COUNTIFS(WLSpread!$Z$2:$Z$823, $A79, WLSpread!$V$2:$V$823, $F79)</f>
        <v>3</v>
      </c>
      <c r="I79" s="4">
        <f>COUNTIFS(WLSpread!$AB$2:$AB$823, $A79, WLSpread!$V$2:$V$823, $F79)</f>
        <v>3</v>
      </c>
      <c r="J79" s="4" t="str">
        <f t="shared" si="3"/>
        <v>3-3</v>
      </c>
      <c r="K79" s="22">
        <f t="shared" si="4"/>
        <v>0.5</v>
      </c>
      <c r="L79" s="4" t="str">
        <f t="shared" si="5"/>
        <v>1-1</v>
      </c>
      <c r="M79" s="4" t="str">
        <f t="shared" si="6"/>
        <v>2-2</v>
      </c>
      <c r="N79" s="4">
        <f>COUNTIFS(WLSpread!$Z$2:$Z$784, $A79, WLSpread!$C$2:$C$784, $A79)</f>
        <v>1</v>
      </c>
      <c r="O79" s="4">
        <f>COUNTIFS(WLSpread!$AB$2:$AB$784, $A79, WLSpread!$C$2:$C$784, $A79)</f>
        <v>1</v>
      </c>
      <c r="P79" s="4">
        <f>COUNTIFS(WLSpread!$Z$2:$Z$784, $A79, WLSpread!$B$2:$B$784, $A79)</f>
        <v>2</v>
      </c>
      <c r="Q79" s="4">
        <f>COUNTIFS(WLSpread!$AB$2:$AB$784, $A79, WLSpread!$B$2:$B$784, $A79)</f>
        <v>2</v>
      </c>
      <c r="R79" s="4">
        <f t="shared" si="7"/>
        <v>6</v>
      </c>
      <c r="S79" s="7"/>
      <c r="T79" s="7"/>
      <c r="U79" s="7"/>
      <c r="V79" s="7"/>
      <c r="W79" s="7"/>
      <c r="X79" s="7"/>
      <c r="Y79" s="7"/>
      <c r="Z79" s="7"/>
    </row>
    <row r="80" ht="15.75" customHeight="1">
      <c r="A80" s="4" t="s">
        <v>157</v>
      </c>
      <c r="B80" s="4">
        <f>COUNTIF(WLSpread!$Z$2:$Z$1048467, A80)</f>
        <v>3</v>
      </c>
      <c r="C80" s="4">
        <f>COUNTIF(WLSpread!$AB$2:$AB$1048467, A80)</f>
        <v>3</v>
      </c>
      <c r="D80" s="4" t="str">
        <f t="shared" si="1"/>
        <v>3-3</v>
      </c>
      <c r="E80" s="19">
        <f t="shared" si="2"/>
        <v>0.5</v>
      </c>
      <c r="F80" s="4" t="s">
        <v>49</v>
      </c>
      <c r="G80" s="4" t="s">
        <v>195</v>
      </c>
      <c r="H80" s="7">
        <f>COUNTIFS(WLSpread!$Z$2:$Z$823, $A80, WLSpread!$V$2:$V$823, $F80)</f>
        <v>3</v>
      </c>
      <c r="I80" s="4">
        <f>COUNTIFS(WLSpread!$AB$2:$AB$823, $A80, WLSpread!$V$2:$V$823, $F80)</f>
        <v>3</v>
      </c>
      <c r="J80" s="4" t="str">
        <f t="shared" si="3"/>
        <v>3-3</v>
      </c>
      <c r="K80" s="22">
        <f t="shared" si="4"/>
        <v>0.5</v>
      </c>
      <c r="L80" s="4" t="str">
        <f t="shared" si="5"/>
        <v>1-2</v>
      </c>
      <c r="M80" s="4" t="str">
        <f t="shared" si="6"/>
        <v>2-1</v>
      </c>
      <c r="N80" s="4">
        <f>COUNTIFS(WLSpread!$Z$2:$Z$784, $A80, WLSpread!$C$2:$C$784, $A80)</f>
        <v>1</v>
      </c>
      <c r="O80" s="4">
        <f>COUNTIFS(WLSpread!$AB$2:$AB$784, $A80, WLSpread!$C$2:$C$784, $A80)</f>
        <v>2</v>
      </c>
      <c r="P80" s="4">
        <f>COUNTIFS(WLSpread!$Z$2:$Z$784, $A80, WLSpread!$B$2:$B$784, $A80)</f>
        <v>2</v>
      </c>
      <c r="Q80" s="4">
        <f>COUNTIFS(WLSpread!$AB$2:$AB$784, $A80, WLSpread!$B$2:$B$784, $A80)</f>
        <v>1</v>
      </c>
      <c r="R80" s="4">
        <f t="shared" si="7"/>
        <v>6</v>
      </c>
      <c r="S80" s="7"/>
      <c r="T80" s="7"/>
      <c r="U80" s="7"/>
      <c r="V80" s="7"/>
      <c r="W80" s="7"/>
      <c r="X80" s="7"/>
      <c r="Y80" s="7"/>
      <c r="Z80" s="7"/>
    </row>
    <row r="81" ht="15.75" customHeight="1">
      <c r="A81" s="4" t="s">
        <v>126</v>
      </c>
      <c r="B81" s="4">
        <f>COUNTIF(WLSpread!$Z$2:$Z$1048467, A81)</f>
        <v>4</v>
      </c>
      <c r="C81" s="4">
        <f>COUNTIF(WLSpread!$AB$2:$AB$1048467, A81)</f>
        <v>2</v>
      </c>
      <c r="D81" s="4" t="str">
        <f t="shared" si="1"/>
        <v>4-2</v>
      </c>
      <c r="E81" s="19">
        <f t="shared" si="2"/>
        <v>0.6666666667</v>
      </c>
      <c r="F81" s="4" t="s">
        <v>49</v>
      </c>
      <c r="G81" s="4" t="s">
        <v>195</v>
      </c>
      <c r="H81" s="7">
        <f>COUNTIFS(WLSpread!$Z$2:$Z$823, $A81, WLSpread!$V$2:$V$823, $F81)</f>
        <v>4</v>
      </c>
      <c r="I81" s="4">
        <f>COUNTIFS(WLSpread!$AB$2:$AB$823, $A81, WLSpread!$V$2:$V$823, $F81)</f>
        <v>2</v>
      </c>
      <c r="J81" s="4" t="str">
        <f t="shared" si="3"/>
        <v>4-2</v>
      </c>
      <c r="K81" s="22">
        <f t="shared" si="4"/>
        <v>0.6666666667</v>
      </c>
      <c r="L81" s="4" t="str">
        <f t="shared" si="5"/>
        <v>2-1</v>
      </c>
      <c r="M81" s="4" t="str">
        <f t="shared" si="6"/>
        <v>2-1</v>
      </c>
      <c r="N81" s="4">
        <f>COUNTIFS(WLSpread!$Z$2:$Z$784, $A81, WLSpread!$C$2:$C$784, $A81)</f>
        <v>2</v>
      </c>
      <c r="O81" s="4">
        <f>COUNTIFS(WLSpread!$AB$2:$AB$784, $A81, WLSpread!$C$2:$C$784, $A81)</f>
        <v>1</v>
      </c>
      <c r="P81" s="4">
        <f>COUNTIFS(WLSpread!$Z$2:$Z$784, $A81, WLSpread!$B$2:$B$784, $A81)</f>
        <v>2</v>
      </c>
      <c r="Q81" s="4">
        <f>COUNTIFS(WLSpread!$AB$2:$AB$784, $A81, WLSpread!$B$2:$B$784, $A81)</f>
        <v>1</v>
      </c>
      <c r="R81" s="4">
        <f t="shared" si="7"/>
        <v>6</v>
      </c>
      <c r="S81" s="7"/>
      <c r="T81" s="7"/>
      <c r="U81" s="7"/>
      <c r="V81" s="7"/>
      <c r="W81" s="7"/>
      <c r="X81" s="7"/>
      <c r="Y81" s="7"/>
      <c r="Z81" s="7"/>
    </row>
    <row r="82" ht="15.75" customHeight="1">
      <c r="A82" s="4" t="s">
        <v>196</v>
      </c>
      <c r="B82" s="4">
        <f>COUNTIF(WLSpread!$Z$2:$Z$1048467, A82)</f>
        <v>3</v>
      </c>
      <c r="C82" s="4">
        <f>COUNTIF(WLSpread!$AB$2:$AB$1048467, A82)</f>
        <v>5</v>
      </c>
      <c r="D82" s="4" t="str">
        <f t="shared" si="1"/>
        <v>3-5</v>
      </c>
      <c r="E82" s="19">
        <f t="shared" si="2"/>
        <v>0.375</v>
      </c>
      <c r="F82" s="4" t="s">
        <v>44</v>
      </c>
      <c r="G82" s="4" t="s">
        <v>225</v>
      </c>
      <c r="H82" s="7">
        <f>COUNTIFS(WLSpread!$Z$2:$Z$823, $A82, WLSpread!$V$2:$V$823, $F82)</f>
        <v>3</v>
      </c>
      <c r="I82" s="4">
        <f>COUNTIFS(WLSpread!$AB$2:$AB$823, $A82, WLSpread!$V$2:$V$823, $F82)</f>
        <v>3</v>
      </c>
      <c r="J82" s="4" t="str">
        <f t="shared" si="3"/>
        <v>3-3</v>
      </c>
      <c r="K82" s="22">
        <f t="shared" si="4"/>
        <v>0.5</v>
      </c>
      <c r="L82" s="4" t="str">
        <f t="shared" si="5"/>
        <v>2-3</v>
      </c>
      <c r="M82" s="4" t="str">
        <f t="shared" si="6"/>
        <v>1-2</v>
      </c>
      <c r="N82" s="4">
        <f>COUNTIFS(WLSpread!$Z$2:$Z$784, $A82, WLSpread!$C$2:$C$784, $A82)</f>
        <v>2</v>
      </c>
      <c r="O82" s="4">
        <f>COUNTIFS(WLSpread!$AB$2:$AB$784, $A82, WLSpread!$C$2:$C$784, $A82)</f>
        <v>3</v>
      </c>
      <c r="P82" s="4">
        <f>COUNTIFS(WLSpread!$Z$2:$Z$784, $A82, WLSpread!$B$2:$B$784, $A82)</f>
        <v>1</v>
      </c>
      <c r="Q82" s="4">
        <f>COUNTIFS(WLSpread!$AB$2:$AB$784, $A82, WLSpread!$B$2:$B$784, $A82)</f>
        <v>2</v>
      </c>
      <c r="R82" s="4">
        <f t="shared" si="7"/>
        <v>8</v>
      </c>
      <c r="S82" s="7"/>
      <c r="T82" s="7"/>
      <c r="U82" s="7"/>
      <c r="V82" s="7"/>
      <c r="W82" s="7"/>
      <c r="X82" s="7"/>
      <c r="Y82" s="7"/>
      <c r="Z82" s="7"/>
    </row>
    <row r="83" ht="15.75" customHeight="1">
      <c r="A83" s="4" t="s">
        <v>125</v>
      </c>
      <c r="B83" s="4">
        <f>COUNTIF(WLSpread!$Z$2:$Z$1048467, A83)</f>
        <v>3</v>
      </c>
      <c r="C83" s="4">
        <f>COUNTIF(WLSpread!$AB$2:$AB$1048467, A83)</f>
        <v>4</v>
      </c>
      <c r="D83" s="4" t="str">
        <f t="shared" si="1"/>
        <v>3-4</v>
      </c>
      <c r="E83" s="19">
        <f t="shared" si="2"/>
        <v>0.4285714286</v>
      </c>
      <c r="F83" s="4" t="s">
        <v>165</v>
      </c>
      <c r="G83" s="4" t="s">
        <v>199</v>
      </c>
      <c r="H83" s="7">
        <f>COUNTIFS(WLSpread!$Z$2:$Z$823, $A83, WLSpread!$V$2:$V$823, $F83)</f>
        <v>3</v>
      </c>
      <c r="I83" s="4">
        <f>COUNTIFS(WLSpread!$AB$2:$AB$823, $A83, WLSpread!$V$2:$V$823, $F83)</f>
        <v>4</v>
      </c>
      <c r="J83" s="4" t="str">
        <f t="shared" si="3"/>
        <v>3-4</v>
      </c>
      <c r="K83" s="22">
        <f t="shared" si="4"/>
        <v>0.4285714286</v>
      </c>
      <c r="L83" s="4" t="str">
        <f t="shared" si="5"/>
        <v>2-2</v>
      </c>
      <c r="M83" s="4" t="str">
        <f t="shared" si="6"/>
        <v>1-2</v>
      </c>
      <c r="N83" s="4">
        <f>COUNTIFS(WLSpread!$Z$2:$Z$784, $A83, WLSpread!$C$2:$C$784, $A83)</f>
        <v>2</v>
      </c>
      <c r="O83" s="4">
        <f>COUNTIFS(WLSpread!$AB$2:$AB$784, $A83, WLSpread!$C$2:$C$784, $A83)</f>
        <v>2</v>
      </c>
      <c r="P83" s="4">
        <f>COUNTIFS(WLSpread!$Z$2:$Z$784, $A83, WLSpread!$B$2:$B$784, $A83)</f>
        <v>1</v>
      </c>
      <c r="Q83" s="4">
        <f>COUNTIFS(WLSpread!$AB$2:$AB$784, $A83, WLSpread!$B$2:$B$784, $A83)</f>
        <v>2</v>
      </c>
      <c r="R83" s="4">
        <f t="shared" si="7"/>
        <v>7</v>
      </c>
      <c r="S83" s="7"/>
      <c r="T83" s="7"/>
      <c r="U83" s="7"/>
      <c r="V83" s="7"/>
      <c r="W83" s="7"/>
      <c r="X83" s="7"/>
      <c r="Y83" s="7"/>
      <c r="Z83" s="7"/>
    </row>
    <row r="84" ht="15.75" customHeight="1">
      <c r="A84" s="4" t="s">
        <v>55</v>
      </c>
      <c r="B84" s="4">
        <f>COUNTIF(WLSpread!$Z$2:$Z$1048467, A84)</f>
        <v>8</v>
      </c>
      <c r="C84" s="4">
        <f>COUNTIF(WLSpread!$AB$2:$AB$1048467, A84)</f>
        <v>3</v>
      </c>
      <c r="D84" s="4" t="str">
        <f t="shared" si="1"/>
        <v>8-3</v>
      </c>
      <c r="E84" s="19">
        <f t="shared" si="2"/>
        <v>0.7272727273</v>
      </c>
      <c r="F84" s="4" t="s">
        <v>197</v>
      </c>
      <c r="G84" s="4" t="s">
        <v>197</v>
      </c>
      <c r="H84" s="7">
        <f>COUNTIFS(WLSpread!$Z$2:$Z$823, $A84, WLSpread!$V$2:$V$823, $F84)</f>
        <v>6</v>
      </c>
      <c r="I84" s="4">
        <f>COUNTIFS(WLSpread!$AB$2:$AB$823, $A84, WLSpread!$V$2:$V$823, $F84)</f>
        <v>3</v>
      </c>
      <c r="J84" s="4" t="str">
        <f t="shared" si="3"/>
        <v>6-3</v>
      </c>
      <c r="K84" s="22">
        <f t="shared" si="4"/>
        <v>0.6666666667</v>
      </c>
      <c r="L84" s="4" t="str">
        <f t="shared" si="5"/>
        <v>4-1</v>
      </c>
      <c r="M84" s="4" t="str">
        <f t="shared" si="6"/>
        <v>4-2</v>
      </c>
      <c r="N84" s="4">
        <f>COUNTIFS(WLSpread!$Z$2:$Z$784, $A84, WLSpread!$C$2:$C$784, $A84)</f>
        <v>4</v>
      </c>
      <c r="O84" s="4">
        <f>COUNTIFS(WLSpread!$AB$2:$AB$784, $A84, WLSpread!$C$2:$C$784, $A84)</f>
        <v>1</v>
      </c>
      <c r="P84" s="4">
        <f>COUNTIFS(WLSpread!$Z$2:$Z$784, $A84, WLSpread!$B$2:$B$784, $A84)</f>
        <v>4</v>
      </c>
      <c r="Q84" s="4">
        <f>COUNTIFS(WLSpread!$AB$2:$AB$784, $A84, WLSpread!$B$2:$B$784, $A84)</f>
        <v>2</v>
      </c>
      <c r="R84" s="4">
        <f t="shared" si="7"/>
        <v>11</v>
      </c>
      <c r="S84" s="7"/>
      <c r="T84" s="7"/>
      <c r="U84" s="7"/>
      <c r="V84" s="7"/>
      <c r="W84" s="7"/>
      <c r="X84" s="7"/>
      <c r="Y84" s="7"/>
      <c r="Z84" s="7"/>
    </row>
    <row r="85" ht="15.75" customHeight="1">
      <c r="A85" s="4" t="s">
        <v>46</v>
      </c>
      <c r="B85" s="4">
        <f>COUNTIF(WLSpread!$Z$2:$Z$1048467, A85)</f>
        <v>7</v>
      </c>
      <c r="C85" s="4">
        <f>COUNTIF(WLSpread!$AB$2:$AB$1048467, A85)</f>
        <v>3</v>
      </c>
      <c r="D85" s="4" t="str">
        <f t="shared" si="1"/>
        <v>7-3</v>
      </c>
      <c r="E85" s="19">
        <f t="shared" si="2"/>
        <v>0.7</v>
      </c>
      <c r="F85" s="4" t="s">
        <v>197</v>
      </c>
      <c r="G85" s="4" t="s">
        <v>197</v>
      </c>
      <c r="H85" s="7">
        <f>COUNTIFS(WLSpread!$Z$2:$Z$823, $A85, WLSpread!$V$2:$V$823, $F85)</f>
        <v>5</v>
      </c>
      <c r="I85" s="4">
        <f>COUNTIFS(WLSpread!$AB$2:$AB$823, $A85, WLSpread!$V$2:$V$823, $F85)</f>
        <v>3</v>
      </c>
      <c r="J85" s="4" t="str">
        <f t="shared" si="3"/>
        <v>5-3</v>
      </c>
      <c r="K85" s="22">
        <f t="shared" si="4"/>
        <v>0.625</v>
      </c>
      <c r="L85" s="4" t="str">
        <f t="shared" si="5"/>
        <v>3-2</v>
      </c>
      <c r="M85" s="4" t="str">
        <f t="shared" si="6"/>
        <v>4-1</v>
      </c>
      <c r="N85" s="4">
        <f>COUNTIFS(WLSpread!$Z$2:$Z$784, $A85, WLSpread!$C$2:$C$784, $A85)</f>
        <v>3</v>
      </c>
      <c r="O85" s="4">
        <f>COUNTIFS(WLSpread!$AB$2:$AB$784, $A85, WLSpread!$C$2:$C$784, $A85)</f>
        <v>2</v>
      </c>
      <c r="P85" s="4">
        <f>COUNTIFS(WLSpread!$Z$2:$Z$784, $A85, WLSpread!$B$2:$B$784, $A85)</f>
        <v>4</v>
      </c>
      <c r="Q85" s="4">
        <f>COUNTIFS(WLSpread!$AB$2:$AB$784, $A85, WLSpread!$B$2:$B$784, $A85)</f>
        <v>1</v>
      </c>
      <c r="R85" s="4">
        <f t="shared" si="7"/>
        <v>10</v>
      </c>
      <c r="S85" s="7"/>
      <c r="T85" s="7"/>
      <c r="U85" s="7"/>
      <c r="V85" s="7"/>
      <c r="W85" s="7"/>
      <c r="X85" s="7"/>
      <c r="Y85" s="7"/>
      <c r="Z85" s="7"/>
    </row>
    <row r="86" ht="15.75" customHeight="1">
      <c r="A86" s="4" t="s">
        <v>47</v>
      </c>
      <c r="B86" s="4">
        <f>COUNTIF(WLSpread!$Z$2:$Z$1048467, A86)</f>
        <v>6</v>
      </c>
      <c r="C86" s="4">
        <f>COUNTIF(WLSpread!$AB$2:$AB$1048467, A86)</f>
        <v>4</v>
      </c>
      <c r="D86" s="4" t="str">
        <f t="shared" si="1"/>
        <v>6-4</v>
      </c>
      <c r="E86" s="19">
        <f t="shared" si="2"/>
        <v>0.6</v>
      </c>
      <c r="F86" s="4" t="s">
        <v>44</v>
      </c>
      <c r="G86" s="4" t="s">
        <v>135</v>
      </c>
      <c r="H86" s="7">
        <f>COUNTIFS(WLSpread!$Z$2:$Z$823, $A86, WLSpread!$V$2:$V$823, $F86)</f>
        <v>5</v>
      </c>
      <c r="I86" s="4">
        <f>COUNTIFS(WLSpread!$AB$2:$AB$823, $A86, WLSpread!$V$2:$V$823, $F86)</f>
        <v>3</v>
      </c>
      <c r="J86" s="4" t="str">
        <f t="shared" si="3"/>
        <v>5-3</v>
      </c>
      <c r="K86" s="22">
        <f t="shared" si="4"/>
        <v>0.625</v>
      </c>
      <c r="L86" s="4" t="str">
        <f t="shared" si="5"/>
        <v>2-2</v>
      </c>
      <c r="M86" s="4" t="str">
        <f t="shared" si="6"/>
        <v>4-2</v>
      </c>
      <c r="N86" s="4">
        <f>COUNTIFS(WLSpread!$Z$2:$Z$784, $A86, WLSpread!$C$2:$C$784, $A86)</f>
        <v>2</v>
      </c>
      <c r="O86" s="4">
        <f>COUNTIFS(WLSpread!$AB$2:$AB$784, $A86, WLSpread!$C$2:$C$784, $A86)</f>
        <v>2</v>
      </c>
      <c r="P86" s="4">
        <f>COUNTIFS(WLSpread!$Z$2:$Z$784, $A86, WLSpread!$B$2:$B$784, $A86)</f>
        <v>4</v>
      </c>
      <c r="Q86" s="4">
        <f>COUNTIFS(WLSpread!$AB$2:$AB$784, $A86, WLSpread!$B$2:$B$784, $A86)</f>
        <v>2</v>
      </c>
      <c r="R86" s="4">
        <f t="shared" si="7"/>
        <v>10</v>
      </c>
      <c r="S86" s="7"/>
      <c r="T86" s="7"/>
      <c r="U86" s="7"/>
      <c r="V86" s="7"/>
      <c r="W86" s="7"/>
      <c r="X86" s="7"/>
      <c r="Y86" s="7"/>
      <c r="Z86" s="7"/>
    </row>
    <row r="87" ht="15.75" customHeight="1">
      <c r="A87" s="4" t="s">
        <v>149</v>
      </c>
      <c r="B87" s="4">
        <f>COUNTIF(WLSpread!$Z$2:$Z$1048467, A87)</f>
        <v>5</v>
      </c>
      <c r="C87" s="4">
        <f>COUNTIF(WLSpread!$AB$2:$AB$1048467, A87)</f>
        <v>5</v>
      </c>
      <c r="D87" s="4" t="str">
        <f t="shared" si="1"/>
        <v>5-5</v>
      </c>
      <c r="E87" s="19">
        <f t="shared" si="2"/>
        <v>0.5</v>
      </c>
      <c r="F87" s="4" t="s">
        <v>198</v>
      </c>
      <c r="G87" s="4" t="s">
        <v>209</v>
      </c>
      <c r="H87" s="7">
        <f>COUNTIFS(WLSpread!$Z$2:$Z$823, $A87, WLSpread!$V$2:$V$823, $F87)</f>
        <v>5</v>
      </c>
      <c r="I87" s="4">
        <f>COUNTIFS(WLSpread!$AB$2:$AB$823, $A87, WLSpread!$V$2:$V$823, $F87)</f>
        <v>5</v>
      </c>
      <c r="J87" s="4" t="str">
        <f t="shared" si="3"/>
        <v>5-5</v>
      </c>
      <c r="K87" s="22">
        <f t="shared" si="4"/>
        <v>0.5</v>
      </c>
      <c r="L87" s="4" t="str">
        <f t="shared" si="5"/>
        <v>3-2</v>
      </c>
      <c r="M87" s="4" t="str">
        <f t="shared" si="6"/>
        <v>2-3</v>
      </c>
      <c r="N87" s="4">
        <f>COUNTIFS(WLSpread!$Z$2:$Z$784, $A87, WLSpread!$C$2:$C$784, $A87)</f>
        <v>3</v>
      </c>
      <c r="O87" s="4">
        <f>COUNTIFS(WLSpread!$AB$2:$AB$784, $A87, WLSpread!$C$2:$C$784, $A87)</f>
        <v>2</v>
      </c>
      <c r="P87" s="4">
        <f>COUNTIFS(WLSpread!$Z$2:$Z$784, $A87, WLSpread!$B$2:$B$784, $A87)</f>
        <v>2</v>
      </c>
      <c r="Q87" s="4">
        <f>COUNTIFS(WLSpread!$AB$2:$AB$784, $A87, WLSpread!$B$2:$B$784, $A87)</f>
        <v>3</v>
      </c>
      <c r="R87" s="4">
        <f t="shared" si="7"/>
        <v>10</v>
      </c>
      <c r="S87" s="7"/>
      <c r="T87" s="7"/>
      <c r="U87" s="7"/>
      <c r="V87" s="7"/>
      <c r="W87" s="7"/>
      <c r="X87" s="7"/>
      <c r="Y87" s="7"/>
      <c r="Z87" s="7"/>
    </row>
    <row r="88" ht="15.75" customHeight="1">
      <c r="A88" s="4" t="s">
        <v>38</v>
      </c>
      <c r="B88" s="4">
        <f>COUNTIF(WLSpread!$Z$2:$Z$1048467, A88)</f>
        <v>8</v>
      </c>
      <c r="C88" s="4">
        <f>COUNTIF(WLSpread!$AB$2:$AB$1048467, A88)</f>
        <v>4</v>
      </c>
      <c r="D88" s="4" t="str">
        <f t="shared" si="1"/>
        <v>8-4</v>
      </c>
      <c r="E88" s="19">
        <f t="shared" si="2"/>
        <v>0.6666666667</v>
      </c>
      <c r="F88" s="4" t="s">
        <v>120</v>
      </c>
      <c r="G88" s="4" t="s">
        <v>218</v>
      </c>
      <c r="H88" s="7">
        <f>COUNTIFS(WLSpread!$Z$2:$Z$823, $A88, WLSpread!$V$2:$V$823, $F88)</f>
        <v>7</v>
      </c>
      <c r="I88" s="4">
        <f>COUNTIFS(WLSpread!$AB$2:$AB$823, $A88, WLSpread!$V$2:$V$823, $F88)</f>
        <v>3</v>
      </c>
      <c r="J88" s="4" t="str">
        <f t="shared" si="3"/>
        <v>7-3</v>
      </c>
      <c r="K88" s="22">
        <f t="shared" si="4"/>
        <v>0.7</v>
      </c>
      <c r="L88" s="4" t="str">
        <f t="shared" si="5"/>
        <v>5-2</v>
      </c>
      <c r="M88" s="4" t="str">
        <f t="shared" si="6"/>
        <v>3-2</v>
      </c>
      <c r="N88" s="4">
        <f>COUNTIFS(WLSpread!$Z$2:$Z$784, $A88, WLSpread!$C$2:$C$784, $A88)</f>
        <v>5</v>
      </c>
      <c r="O88" s="4">
        <f>COUNTIFS(WLSpread!$AB$2:$AB$784, $A88, WLSpread!$C$2:$C$784, $A88)</f>
        <v>2</v>
      </c>
      <c r="P88" s="4">
        <f>COUNTIFS(WLSpread!$Z$2:$Z$784, $A88, WLSpread!$B$2:$B$784, $A88)</f>
        <v>3</v>
      </c>
      <c r="Q88" s="4">
        <f>COUNTIFS(WLSpread!$AB$2:$AB$784, $A88, WLSpread!$B$2:$B$784, $A88)</f>
        <v>2</v>
      </c>
      <c r="R88" s="4">
        <f t="shared" si="7"/>
        <v>12</v>
      </c>
      <c r="S88" s="7"/>
      <c r="T88" s="7"/>
      <c r="U88" s="7"/>
      <c r="V88" s="7"/>
      <c r="W88" s="7"/>
      <c r="X88" s="7"/>
      <c r="Y88" s="7"/>
      <c r="Z88" s="7"/>
    </row>
    <row r="89" ht="15.75" customHeight="1">
      <c r="A89" s="4" t="s">
        <v>173</v>
      </c>
      <c r="B89" s="4">
        <f>COUNTIF(WLSpread!$Z$2:$Z$1048467, A89)</f>
        <v>4</v>
      </c>
      <c r="C89" s="4">
        <f>COUNTIF(WLSpread!$AB$2:$AB$1048467, A89)</f>
        <v>4</v>
      </c>
      <c r="D89" s="4" t="str">
        <f t="shared" si="1"/>
        <v>4-4</v>
      </c>
      <c r="E89" s="19">
        <f t="shared" si="2"/>
        <v>0.5</v>
      </c>
      <c r="F89" s="4" t="s">
        <v>121</v>
      </c>
      <c r="G89" s="4" t="s">
        <v>204</v>
      </c>
      <c r="H89" s="7">
        <f>COUNTIFS(WLSpread!$Z$2:$Z$823, $A89, WLSpread!$V$2:$V$823, $F89)</f>
        <v>4</v>
      </c>
      <c r="I89" s="4">
        <f>COUNTIFS(WLSpread!$AB$2:$AB$823, $A89, WLSpread!$V$2:$V$823, $F89)</f>
        <v>2</v>
      </c>
      <c r="J89" s="4" t="str">
        <f t="shared" si="3"/>
        <v>4-2</v>
      </c>
      <c r="K89" s="22">
        <f t="shared" si="4"/>
        <v>0.6666666667</v>
      </c>
      <c r="L89" s="4" t="str">
        <f t="shared" si="5"/>
        <v>3-1</v>
      </c>
      <c r="M89" s="4" t="str">
        <f t="shared" si="6"/>
        <v>1-3</v>
      </c>
      <c r="N89" s="4">
        <f>COUNTIFS(WLSpread!$Z$2:$Z$784, $A89, WLSpread!$C$2:$C$784, $A89)</f>
        <v>3</v>
      </c>
      <c r="O89" s="4">
        <f>COUNTIFS(WLSpread!$AB$2:$AB$784, $A89, WLSpread!$C$2:$C$784, $A89)</f>
        <v>1</v>
      </c>
      <c r="P89" s="4">
        <f>COUNTIFS(WLSpread!$Z$2:$Z$784, $A89, WLSpread!$B$2:$B$784, $A89)</f>
        <v>1</v>
      </c>
      <c r="Q89" s="4">
        <f>COUNTIFS(WLSpread!$AB$2:$AB$784, $A89, WLSpread!$B$2:$B$784, $A89)</f>
        <v>3</v>
      </c>
      <c r="R89" s="4">
        <f t="shared" si="7"/>
        <v>8</v>
      </c>
      <c r="S89" s="7"/>
      <c r="T89" s="7"/>
      <c r="U89" s="7"/>
      <c r="V89" s="7"/>
      <c r="W89" s="7"/>
      <c r="X89" s="7"/>
      <c r="Y89" s="7"/>
      <c r="Z89" s="7"/>
    </row>
    <row r="90" ht="15.75" customHeight="1">
      <c r="A90" s="4" t="s">
        <v>110</v>
      </c>
      <c r="B90" s="4">
        <f>COUNTIF(WLSpread!$Z$2:$Z$1048467, A90)</f>
        <v>5</v>
      </c>
      <c r="C90" s="4">
        <f>COUNTIF(WLSpread!$AB$2:$AB$1048467, A90)</f>
        <v>5</v>
      </c>
      <c r="D90" s="4" t="str">
        <f t="shared" si="1"/>
        <v>5-5</v>
      </c>
      <c r="E90" s="19">
        <f t="shared" si="2"/>
        <v>0.5</v>
      </c>
      <c r="F90" s="4" t="s">
        <v>84</v>
      </c>
      <c r="G90" s="4" t="s">
        <v>85</v>
      </c>
      <c r="H90" s="7">
        <f>COUNTIFS(WLSpread!$Z$2:$Z$823, $A90, WLSpread!$V$2:$V$823, $F90)</f>
        <v>4</v>
      </c>
      <c r="I90" s="4">
        <f>COUNTIFS(WLSpread!$AB$2:$AB$823, $A90, WLSpread!$V$2:$V$823, $F90)</f>
        <v>2</v>
      </c>
      <c r="J90" s="4" t="str">
        <f t="shared" si="3"/>
        <v>4-2</v>
      </c>
      <c r="K90" s="22">
        <f t="shared" si="4"/>
        <v>0.6666666667</v>
      </c>
      <c r="L90" s="4" t="str">
        <f t="shared" si="5"/>
        <v>3-1</v>
      </c>
      <c r="M90" s="4" t="str">
        <f t="shared" si="6"/>
        <v>2-4</v>
      </c>
      <c r="N90" s="4">
        <f>COUNTIFS(WLSpread!$Z$2:$Z$784, $A90, WLSpread!$C$2:$C$784, $A90)</f>
        <v>3</v>
      </c>
      <c r="O90" s="4">
        <f>COUNTIFS(WLSpread!$AB$2:$AB$784, $A90, WLSpread!$C$2:$C$784, $A90)</f>
        <v>1</v>
      </c>
      <c r="P90" s="4">
        <f>COUNTIFS(WLSpread!$Z$2:$Z$784, $A90, WLSpread!$B$2:$B$784, $A90)</f>
        <v>2</v>
      </c>
      <c r="Q90" s="4">
        <f>COUNTIFS(WLSpread!$AB$2:$AB$784, $A90, WLSpread!$B$2:$B$784, $A90)</f>
        <v>4</v>
      </c>
      <c r="R90" s="4">
        <f t="shared" si="7"/>
        <v>10</v>
      </c>
      <c r="S90" s="7"/>
      <c r="T90" s="7"/>
      <c r="U90" s="7"/>
      <c r="V90" s="7"/>
      <c r="W90" s="7"/>
      <c r="X90" s="7"/>
      <c r="Y90" s="7"/>
      <c r="Z90" s="7"/>
    </row>
    <row r="91" ht="15.75" customHeight="1">
      <c r="A91" s="4" t="s">
        <v>119</v>
      </c>
      <c r="B91" s="4">
        <f>COUNTIF(WLSpread!$Z$2:$Z$1048467, A91)</f>
        <v>6</v>
      </c>
      <c r="C91" s="4">
        <f>COUNTIF(WLSpread!$AB$2:$AB$1048467, A91)</f>
        <v>3</v>
      </c>
      <c r="D91" s="4" t="str">
        <f t="shared" si="1"/>
        <v>6-3</v>
      </c>
      <c r="E91" s="19">
        <f t="shared" si="2"/>
        <v>0.6666666667</v>
      </c>
      <c r="F91" s="4" t="s">
        <v>84</v>
      </c>
      <c r="G91" s="4" t="s">
        <v>85</v>
      </c>
      <c r="H91" s="7">
        <f>COUNTIFS(WLSpread!$Z$2:$Z$823, $A91, WLSpread!$V$2:$V$823, $F91)</f>
        <v>4</v>
      </c>
      <c r="I91" s="4">
        <f>COUNTIFS(WLSpread!$AB$2:$AB$823, $A91, WLSpread!$V$2:$V$823, $F91)</f>
        <v>1</v>
      </c>
      <c r="J91" s="4" t="str">
        <f t="shared" si="3"/>
        <v>4-1</v>
      </c>
      <c r="K91" s="22">
        <f t="shared" si="4"/>
        <v>0.8</v>
      </c>
      <c r="L91" s="4" t="str">
        <f t="shared" si="5"/>
        <v>3-1</v>
      </c>
      <c r="M91" s="4" t="str">
        <f t="shared" si="6"/>
        <v>3-2</v>
      </c>
      <c r="N91" s="4">
        <f>COUNTIFS(WLSpread!$Z$2:$Z$784, $A91, WLSpread!$C$2:$C$784, $A91)</f>
        <v>3</v>
      </c>
      <c r="O91" s="4">
        <f>COUNTIFS(WLSpread!$AB$2:$AB$784, $A91, WLSpread!$C$2:$C$784, $A91)</f>
        <v>1</v>
      </c>
      <c r="P91" s="4">
        <f>COUNTIFS(WLSpread!$Z$2:$Z$784, $A91, WLSpread!$B$2:$B$784, $A91)</f>
        <v>3</v>
      </c>
      <c r="Q91" s="4">
        <f>COUNTIFS(WLSpread!$AB$2:$AB$784, $A91, WLSpread!$B$2:$B$784, $A91)</f>
        <v>2</v>
      </c>
      <c r="R91" s="4">
        <f t="shared" si="7"/>
        <v>9</v>
      </c>
      <c r="S91" s="7"/>
      <c r="T91" s="7"/>
      <c r="U91" s="7"/>
      <c r="V91" s="7"/>
      <c r="W91" s="7"/>
      <c r="X91" s="7"/>
      <c r="Y91" s="7"/>
      <c r="Z91" s="7"/>
    </row>
    <row r="92" ht="15.75" customHeight="1">
      <c r="A92" s="4" t="s">
        <v>179</v>
      </c>
      <c r="B92" s="4">
        <f>COUNTIF(WLSpread!$Z$2:$Z$1048467, A92)</f>
        <v>2</v>
      </c>
      <c r="C92" s="4">
        <f>COUNTIF(WLSpread!$AB$2:$AB$1048467, A92)</f>
        <v>1</v>
      </c>
      <c r="D92" s="4" t="str">
        <f t="shared" si="1"/>
        <v>2-1</v>
      </c>
      <c r="E92" s="19">
        <f t="shared" si="2"/>
        <v>0.6666666667</v>
      </c>
      <c r="F92" s="4" t="s">
        <v>49</v>
      </c>
      <c r="G92" s="4" t="s">
        <v>183</v>
      </c>
      <c r="H92" s="7">
        <f>COUNTIFS(WLSpread!$Z$2:$Z$823, $A92, WLSpread!$V$2:$V$823, $F92)</f>
        <v>2</v>
      </c>
      <c r="I92" s="4">
        <f>COUNTIFS(WLSpread!$AB$2:$AB$823, $A92, WLSpread!$V$2:$V$823, $F92)</f>
        <v>1</v>
      </c>
      <c r="J92" s="4" t="str">
        <f t="shared" si="3"/>
        <v>2-1</v>
      </c>
      <c r="K92" s="22">
        <f t="shared" si="4"/>
        <v>0.6666666667</v>
      </c>
      <c r="L92" s="4" t="str">
        <f t="shared" si="5"/>
        <v>1-0</v>
      </c>
      <c r="M92" s="4" t="str">
        <f t="shared" si="6"/>
        <v>1-1</v>
      </c>
      <c r="N92" s="4">
        <f>COUNTIFS(WLSpread!$Z$2:$Z$784, $A92, WLSpread!$C$2:$C$784, $A92)</f>
        <v>1</v>
      </c>
      <c r="O92" s="4">
        <f>COUNTIFS(WLSpread!$AB$2:$AB$784, $A92, WLSpread!$C$2:$C$784, $A92)</f>
        <v>0</v>
      </c>
      <c r="P92" s="4">
        <f>COUNTIFS(WLSpread!$Z$2:$Z$784, $A92, WLSpread!$B$2:$B$784, $A92)</f>
        <v>1</v>
      </c>
      <c r="Q92" s="4">
        <f>COUNTIFS(WLSpread!$AB$2:$AB$784, $A92, WLSpread!$B$2:$B$784, $A92)</f>
        <v>1</v>
      </c>
      <c r="R92" s="4">
        <f t="shared" si="7"/>
        <v>3</v>
      </c>
      <c r="S92" s="7"/>
      <c r="T92" s="7"/>
      <c r="U92" s="7"/>
      <c r="V92" s="7"/>
      <c r="W92" s="7"/>
      <c r="X92" s="7"/>
      <c r="Y92" s="7"/>
      <c r="Z92" s="7"/>
    </row>
    <row r="93" ht="15.75" customHeight="1">
      <c r="A93" s="4" t="s">
        <v>142</v>
      </c>
      <c r="B93" s="4">
        <f>COUNTIF(WLSpread!$Z$2:$Z$1048467, A93)</f>
        <v>2</v>
      </c>
      <c r="C93" s="4">
        <f>COUNTIF(WLSpread!$AB$2:$AB$1048467, A93)</f>
        <v>1</v>
      </c>
      <c r="D93" s="4" t="str">
        <f t="shared" si="1"/>
        <v>2-1</v>
      </c>
      <c r="E93" s="19">
        <f t="shared" si="2"/>
        <v>0.6666666667</v>
      </c>
      <c r="F93" s="4" t="s">
        <v>49</v>
      </c>
      <c r="G93" s="4" t="s">
        <v>183</v>
      </c>
      <c r="H93" s="7">
        <f>COUNTIFS(WLSpread!$Z$2:$Z$823, $A93, WLSpread!$V$2:$V$823, $F93)</f>
        <v>2</v>
      </c>
      <c r="I93" s="4">
        <f>COUNTIFS(WLSpread!$AB$2:$AB$823, $A93, WLSpread!$V$2:$V$823, $F93)</f>
        <v>1</v>
      </c>
      <c r="J93" s="4" t="str">
        <f t="shared" si="3"/>
        <v>2-1</v>
      </c>
      <c r="K93" s="22">
        <f t="shared" si="4"/>
        <v>0.6666666667</v>
      </c>
      <c r="L93" s="4" t="str">
        <f t="shared" si="5"/>
        <v>2-0</v>
      </c>
      <c r="M93" s="4" t="str">
        <f t="shared" si="6"/>
        <v>0-1</v>
      </c>
      <c r="N93" s="4">
        <f>COUNTIFS(WLSpread!$Z$2:$Z$784, $A93, WLSpread!$C$2:$C$784, $A93)</f>
        <v>2</v>
      </c>
      <c r="O93" s="4">
        <f>COUNTIFS(WLSpread!$AB$2:$AB$784, $A93, WLSpread!$C$2:$C$784, $A93)</f>
        <v>0</v>
      </c>
      <c r="P93" s="4">
        <f>COUNTIFS(WLSpread!$Z$2:$Z$784, $A93, WLSpread!$B$2:$B$784, $A93)</f>
        <v>0</v>
      </c>
      <c r="Q93" s="4">
        <f>COUNTIFS(WLSpread!$AB$2:$AB$784, $A93, WLSpread!$B$2:$B$784, $A93)</f>
        <v>1</v>
      </c>
      <c r="R93" s="4">
        <f t="shared" si="7"/>
        <v>3</v>
      </c>
      <c r="S93" s="7"/>
      <c r="T93" s="7"/>
      <c r="U93" s="7"/>
      <c r="V93" s="7"/>
      <c r="W93" s="7"/>
      <c r="X93" s="7"/>
      <c r="Y93" s="7"/>
      <c r="Z93" s="7"/>
    </row>
    <row r="94" ht="15.75" customHeight="1">
      <c r="A94" s="3" t="s">
        <v>109</v>
      </c>
      <c r="B94" s="4">
        <f>COUNTIF(WLSpread!$Z$2:$Z$1048467, A94)</f>
        <v>8</v>
      </c>
      <c r="C94" s="4">
        <f>COUNTIF(WLSpread!$AB$2:$AB$1048467, A94)</f>
        <v>4</v>
      </c>
      <c r="D94" s="4" t="str">
        <f t="shared" si="1"/>
        <v>8-4</v>
      </c>
      <c r="E94" s="19">
        <f t="shared" si="2"/>
        <v>0.6666666667</v>
      </c>
      <c r="F94" s="4" t="s">
        <v>120</v>
      </c>
      <c r="G94" s="4" t="s">
        <v>216</v>
      </c>
      <c r="H94" s="7">
        <f>COUNTIFS(WLSpread!$Z$2:$Z$823, $A94, WLSpread!$V$2:$V$823, $F94)</f>
        <v>7</v>
      </c>
      <c r="I94" s="4">
        <f>COUNTIFS(WLSpread!$AB$2:$AB$823, $A94, WLSpread!$V$2:$V$823, $F94)</f>
        <v>3</v>
      </c>
      <c r="J94" s="4" t="str">
        <f t="shared" si="3"/>
        <v>7-3</v>
      </c>
      <c r="K94" s="22">
        <f t="shared" si="4"/>
        <v>0.7</v>
      </c>
      <c r="L94" s="4" t="str">
        <f t="shared" si="5"/>
        <v>5-1</v>
      </c>
      <c r="M94" s="4" t="str">
        <f t="shared" si="6"/>
        <v>3-3</v>
      </c>
      <c r="N94" s="4">
        <f>COUNTIFS(WLSpread!$Z$2:$Z$784, $A94, WLSpread!$C$2:$C$784, $A94)</f>
        <v>5</v>
      </c>
      <c r="O94" s="4">
        <f>COUNTIFS(WLSpread!$AB$2:$AB$784, $A94, WLSpread!$C$2:$C$784, $A94)</f>
        <v>1</v>
      </c>
      <c r="P94" s="4">
        <f>COUNTIFS(WLSpread!$Z$2:$Z$784, $A94, WLSpread!$B$2:$B$784, $A94)</f>
        <v>3</v>
      </c>
      <c r="Q94" s="4">
        <f>COUNTIFS(WLSpread!$AB$2:$AB$784, $A94, WLSpread!$B$2:$B$784, $A94)</f>
        <v>3</v>
      </c>
      <c r="R94" s="4">
        <f t="shared" si="7"/>
        <v>12</v>
      </c>
      <c r="S94" s="7"/>
      <c r="T94" s="7"/>
      <c r="U94" s="7"/>
      <c r="V94" s="7"/>
      <c r="W94" s="7"/>
      <c r="X94" s="7"/>
      <c r="Y94" s="7"/>
      <c r="Z94" s="7"/>
    </row>
    <row r="95" ht="15.75" customHeight="1">
      <c r="A95" s="4" t="s">
        <v>98</v>
      </c>
      <c r="B95" s="4">
        <f>COUNTIF(WLSpread!$Z$2:$Z$1048467, A95)</f>
        <v>9</v>
      </c>
      <c r="C95" s="4">
        <f>COUNTIF(WLSpread!$AB$2:$AB$1048467, A95)</f>
        <v>3</v>
      </c>
      <c r="D95" s="4" t="str">
        <f t="shared" si="1"/>
        <v>9-3</v>
      </c>
      <c r="E95" s="19">
        <f t="shared" si="2"/>
        <v>0.75</v>
      </c>
      <c r="F95" s="4" t="s">
        <v>201</v>
      </c>
      <c r="G95" s="4" t="s">
        <v>227</v>
      </c>
      <c r="H95" s="7">
        <f>COUNTIFS(WLSpread!$Z$2:$Z$823, $A95, WLSpread!$V$2:$V$823, $F95)</f>
        <v>6</v>
      </c>
      <c r="I95" s="4">
        <f>COUNTIFS(WLSpread!$AB$2:$AB$823, $A95, WLSpread!$V$2:$V$823, $F95)</f>
        <v>2</v>
      </c>
      <c r="J95" s="4" t="str">
        <f t="shared" si="3"/>
        <v>6-2</v>
      </c>
      <c r="K95" s="22">
        <f t="shared" si="4"/>
        <v>0.75</v>
      </c>
      <c r="L95" s="4" t="str">
        <f t="shared" si="5"/>
        <v>5-1</v>
      </c>
      <c r="M95" s="4" t="str">
        <f t="shared" si="6"/>
        <v>4-2</v>
      </c>
      <c r="N95" s="4">
        <f>COUNTIFS(WLSpread!$Z$2:$Z$784, $A95, WLSpread!$C$2:$C$784, $A95)</f>
        <v>5</v>
      </c>
      <c r="O95" s="4">
        <f>COUNTIFS(WLSpread!$AB$2:$AB$784, $A95, WLSpread!$C$2:$C$784, $A95)</f>
        <v>1</v>
      </c>
      <c r="P95" s="4">
        <f>COUNTIFS(WLSpread!$Z$2:$Z$784, $A95, WLSpread!$B$2:$B$784, $A95)</f>
        <v>4</v>
      </c>
      <c r="Q95" s="4">
        <f>COUNTIFS(WLSpread!$AB$2:$AB$784, $A95, WLSpread!$B$2:$B$784, $A95)</f>
        <v>2</v>
      </c>
      <c r="R95" s="4">
        <f t="shared" si="7"/>
        <v>12</v>
      </c>
      <c r="S95" s="7"/>
      <c r="T95" s="7"/>
      <c r="U95" s="7"/>
      <c r="V95" s="7"/>
      <c r="W95" s="7"/>
      <c r="X95" s="7"/>
      <c r="Y95" s="7"/>
      <c r="Z95" s="7"/>
    </row>
    <row r="96" ht="15.75" customHeight="1">
      <c r="A96" s="4" t="s">
        <v>97</v>
      </c>
      <c r="B96" s="4">
        <f>COUNTIF(WLSpread!$Z$2:$Z$1048467, A96)</f>
        <v>6</v>
      </c>
      <c r="C96" s="4">
        <f>COUNTIF(WLSpread!$AB$2:$AB$1048467, A96)</f>
        <v>2</v>
      </c>
      <c r="D96" s="4" t="str">
        <f t="shared" si="1"/>
        <v>6-2</v>
      </c>
      <c r="E96" s="19">
        <f t="shared" si="2"/>
        <v>0.75</v>
      </c>
      <c r="F96" s="4" t="s">
        <v>163</v>
      </c>
      <c r="G96" s="4" t="s">
        <v>222</v>
      </c>
      <c r="H96" s="7">
        <f>COUNTIFS(WLSpread!$Z$2:$Z$823, $A96, WLSpread!$V$2:$V$823, $F96)</f>
        <v>6</v>
      </c>
      <c r="I96" s="4">
        <f>COUNTIFS(WLSpread!$AB$2:$AB$823, $A96, WLSpread!$V$2:$V$823, $F96)</f>
        <v>2</v>
      </c>
      <c r="J96" s="4" t="str">
        <f t="shared" si="3"/>
        <v>6-2</v>
      </c>
      <c r="K96" s="22">
        <f t="shared" si="4"/>
        <v>0.75</v>
      </c>
      <c r="L96" s="4" t="str">
        <f t="shared" si="5"/>
        <v>3-1</v>
      </c>
      <c r="M96" s="4" t="str">
        <f t="shared" si="6"/>
        <v>3-1</v>
      </c>
      <c r="N96" s="4">
        <f>COUNTIFS(WLSpread!$Z$2:$Z$784, $A96, WLSpread!$C$2:$C$784, $A96)</f>
        <v>3</v>
      </c>
      <c r="O96" s="4">
        <f>COUNTIFS(WLSpread!$AB$2:$AB$784, $A96, WLSpread!$C$2:$C$784, $A96)</f>
        <v>1</v>
      </c>
      <c r="P96" s="4">
        <f>COUNTIFS(WLSpread!$Z$2:$Z$784, $A96, WLSpread!$B$2:$B$784, $A96)</f>
        <v>3</v>
      </c>
      <c r="Q96" s="4">
        <f>COUNTIFS(WLSpread!$AB$2:$AB$784, $A96, WLSpread!$B$2:$B$784, $A96)</f>
        <v>1</v>
      </c>
      <c r="R96" s="4">
        <f t="shared" si="7"/>
        <v>8</v>
      </c>
      <c r="S96" s="7"/>
      <c r="T96" s="7"/>
      <c r="U96" s="7"/>
      <c r="V96" s="7"/>
      <c r="W96" s="7"/>
      <c r="X96" s="7"/>
      <c r="Y96" s="7"/>
      <c r="Z96" s="7"/>
    </row>
    <row r="97" ht="15.75" customHeight="1">
      <c r="A97" s="4" t="s">
        <v>105</v>
      </c>
      <c r="B97" s="4">
        <f>COUNTIF(WLSpread!$Z$2:$Z$1048467, A97)</f>
        <v>7</v>
      </c>
      <c r="C97" s="4">
        <f>COUNTIF(WLSpread!$AB$2:$AB$1048467, A97)</f>
        <v>5</v>
      </c>
      <c r="D97" s="4" t="str">
        <f t="shared" si="1"/>
        <v>7-5</v>
      </c>
      <c r="E97" s="19">
        <f t="shared" si="2"/>
        <v>0.5833333333</v>
      </c>
      <c r="F97" s="4" t="s">
        <v>84</v>
      </c>
      <c r="G97" s="4" t="s">
        <v>85</v>
      </c>
      <c r="H97" s="7">
        <f>COUNTIFS(WLSpread!$Z$2:$Z$823, $A97, WLSpread!$V$2:$V$823, $F97)</f>
        <v>5</v>
      </c>
      <c r="I97" s="4">
        <f>COUNTIFS(WLSpread!$AB$2:$AB$823, $A97, WLSpread!$V$2:$V$823, $F97)</f>
        <v>2</v>
      </c>
      <c r="J97" s="4" t="str">
        <f t="shared" si="3"/>
        <v>5-2</v>
      </c>
      <c r="K97" s="22">
        <f t="shared" si="4"/>
        <v>0.7142857143</v>
      </c>
      <c r="L97" s="4" t="str">
        <f t="shared" si="5"/>
        <v>5-2</v>
      </c>
      <c r="M97" s="4" t="str">
        <f t="shared" si="6"/>
        <v>2-3</v>
      </c>
      <c r="N97" s="4">
        <f>COUNTIFS(WLSpread!$Z$2:$Z$784, $A97, WLSpread!$C$2:$C$784, $A97)</f>
        <v>5</v>
      </c>
      <c r="O97" s="4">
        <f>COUNTIFS(WLSpread!$AB$2:$AB$784, $A97, WLSpread!$C$2:$C$784, $A97)</f>
        <v>2</v>
      </c>
      <c r="P97" s="4">
        <f>COUNTIFS(WLSpread!$Z$2:$Z$784, $A97, WLSpread!$B$2:$B$784, $A97)</f>
        <v>2</v>
      </c>
      <c r="Q97" s="4">
        <f>COUNTIFS(WLSpread!$AB$2:$AB$784, $A97, WLSpread!$B$2:$B$784, $A97)</f>
        <v>3</v>
      </c>
      <c r="R97" s="4">
        <f t="shared" si="7"/>
        <v>12</v>
      </c>
      <c r="S97" s="7"/>
      <c r="T97" s="7"/>
      <c r="U97" s="7"/>
      <c r="V97" s="7"/>
      <c r="W97" s="7"/>
      <c r="X97" s="7"/>
      <c r="Y97" s="7"/>
      <c r="Z97" s="7"/>
    </row>
    <row r="98" ht="15.75" customHeight="1">
      <c r="A98" s="4" t="s">
        <v>138</v>
      </c>
      <c r="B98" s="4">
        <f>COUNTIF(WLSpread!$Z$2:$Z$1048467, A98)</f>
        <v>3</v>
      </c>
      <c r="C98" s="4">
        <f>COUNTIF(WLSpread!$AB$2:$AB$1048467, A98)</f>
        <v>1</v>
      </c>
      <c r="D98" s="4" t="str">
        <f t="shared" si="1"/>
        <v>3-1</v>
      </c>
      <c r="E98" s="19">
        <f t="shared" si="2"/>
        <v>0.75</v>
      </c>
      <c r="F98" s="4" t="s">
        <v>165</v>
      </c>
      <c r="G98" s="4" t="s">
        <v>220</v>
      </c>
      <c r="H98" s="7">
        <f>COUNTIFS(WLSpread!$Z$2:$Z$823, $A98, WLSpread!$V$2:$V$823, $F98)</f>
        <v>3</v>
      </c>
      <c r="I98" s="4">
        <f>COUNTIFS(WLSpread!$AB$2:$AB$823, $A98, WLSpread!$V$2:$V$823, $F98)</f>
        <v>1</v>
      </c>
      <c r="J98" s="4" t="str">
        <f t="shared" si="3"/>
        <v>3-1</v>
      </c>
      <c r="K98" s="22">
        <f t="shared" si="4"/>
        <v>0.75</v>
      </c>
      <c r="L98" s="4" t="str">
        <f t="shared" si="5"/>
        <v>3-1</v>
      </c>
      <c r="M98" s="4" t="str">
        <f t="shared" si="6"/>
        <v>0-0</v>
      </c>
      <c r="N98" s="4">
        <f>COUNTIFS(WLSpread!$Z$2:$Z$784, $A98, WLSpread!$C$2:$C$784, $A98)</f>
        <v>3</v>
      </c>
      <c r="O98" s="4">
        <f>COUNTIFS(WLSpread!$AB$2:$AB$784, $A98, WLSpread!$C$2:$C$784, $A98)</f>
        <v>1</v>
      </c>
      <c r="P98" s="4">
        <f>COUNTIFS(WLSpread!$Z$2:$Z$784, $A98, WLSpread!$B$2:$B$784, $A98)</f>
        <v>0</v>
      </c>
      <c r="Q98" s="4">
        <f>COUNTIFS(WLSpread!$AB$2:$AB$784, $A98, WLSpread!$B$2:$B$784, $A98)</f>
        <v>0</v>
      </c>
      <c r="R98" s="4">
        <f t="shared" si="7"/>
        <v>4</v>
      </c>
      <c r="S98" s="7"/>
      <c r="T98" s="7"/>
      <c r="U98" s="7"/>
      <c r="V98" s="7"/>
      <c r="W98" s="7"/>
      <c r="X98" s="7"/>
      <c r="Y98" s="7"/>
      <c r="Z98" s="7"/>
    </row>
    <row r="99" ht="15.75" customHeight="1">
      <c r="A99" s="4" t="s">
        <v>191</v>
      </c>
      <c r="B99" s="4">
        <f>COUNTIF(WLSpread!$Z$2:$Z$1048467, A99)</f>
        <v>3</v>
      </c>
      <c r="C99" s="4">
        <f>COUNTIF(WLSpread!$AB$2:$AB$1048467, A99)</f>
        <v>1</v>
      </c>
      <c r="D99" s="4" t="str">
        <f t="shared" si="1"/>
        <v>3-1</v>
      </c>
      <c r="E99" s="19">
        <f t="shared" si="2"/>
        <v>0.75</v>
      </c>
      <c r="F99" s="4" t="s">
        <v>49</v>
      </c>
      <c r="G99" s="4" t="s">
        <v>183</v>
      </c>
      <c r="H99" s="7">
        <f>COUNTIFS(WLSpread!$Z$2:$Z$823, $A99, WLSpread!$V$2:$V$823, $F99)</f>
        <v>3</v>
      </c>
      <c r="I99" s="4">
        <f>COUNTIFS(WLSpread!$AB$2:$AB$823, $A99, WLSpread!$V$2:$V$823, $F99)</f>
        <v>1</v>
      </c>
      <c r="J99" s="4" t="str">
        <f t="shared" si="3"/>
        <v>3-1</v>
      </c>
      <c r="K99" s="22">
        <f t="shared" si="4"/>
        <v>0.75</v>
      </c>
      <c r="L99" s="4" t="str">
        <f t="shared" si="5"/>
        <v>2-0</v>
      </c>
      <c r="M99" s="4" t="str">
        <f t="shared" si="6"/>
        <v>1-1</v>
      </c>
      <c r="N99" s="4">
        <f>COUNTIFS(WLSpread!$Z$2:$Z$784, $A99, WLSpread!$C$2:$C$784, $A99)</f>
        <v>2</v>
      </c>
      <c r="O99" s="4">
        <f>COUNTIFS(WLSpread!$AB$2:$AB$784, $A99, WLSpread!$C$2:$C$784, $A99)</f>
        <v>0</v>
      </c>
      <c r="P99" s="4">
        <f>COUNTIFS(WLSpread!$Z$2:$Z$784, $A99, WLSpread!$B$2:$B$784, $A99)</f>
        <v>1</v>
      </c>
      <c r="Q99" s="4">
        <f>COUNTIFS(WLSpread!$AB$2:$AB$784, $A99, WLSpread!$B$2:$B$784, $A99)</f>
        <v>1</v>
      </c>
      <c r="R99" s="4">
        <f t="shared" si="7"/>
        <v>4</v>
      </c>
      <c r="S99" s="7"/>
      <c r="T99" s="7"/>
      <c r="U99" s="7"/>
      <c r="V99" s="7"/>
      <c r="W99" s="7"/>
      <c r="X99" s="7"/>
      <c r="Y99" s="7"/>
      <c r="Z99" s="7"/>
    </row>
    <row r="100" ht="15.75" customHeight="1">
      <c r="A100" s="4" t="s">
        <v>51</v>
      </c>
      <c r="B100" s="4">
        <f>COUNTIF(WLSpread!$Z$2:$Z$1048467, A100)</f>
        <v>9</v>
      </c>
      <c r="C100" s="4">
        <f>COUNTIF(WLSpread!$AB$2:$AB$1048467, A100)</f>
        <v>2</v>
      </c>
      <c r="D100" s="4" t="str">
        <f t="shared" si="1"/>
        <v>9-2</v>
      </c>
      <c r="E100" s="19">
        <f t="shared" si="2"/>
        <v>0.8181818182</v>
      </c>
      <c r="F100" s="4" t="s">
        <v>197</v>
      </c>
      <c r="G100" s="4" t="s">
        <v>197</v>
      </c>
      <c r="H100" s="7">
        <f>COUNTIFS(WLSpread!$Z$2:$Z$823, $A100, WLSpread!$V$2:$V$823, $F100)</f>
        <v>7</v>
      </c>
      <c r="I100" s="4">
        <f>COUNTIFS(WLSpread!$AB$2:$AB$823, $A100, WLSpread!$V$2:$V$823, $F100)</f>
        <v>2</v>
      </c>
      <c r="J100" s="4" t="str">
        <f t="shared" si="3"/>
        <v>7-2</v>
      </c>
      <c r="K100" s="22">
        <f t="shared" si="4"/>
        <v>0.7777777778</v>
      </c>
      <c r="L100" s="4" t="str">
        <f t="shared" si="5"/>
        <v>6-1</v>
      </c>
      <c r="M100" s="4" t="str">
        <f t="shared" si="6"/>
        <v>3-1</v>
      </c>
      <c r="N100" s="4">
        <f>COUNTIFS(WLSpread!$Z$2:$Z$784, $A100, WLSpread!$C$2:$C$784, $A100)</f>
        <v>6</v>
      </c>
      <c r="O100" s="4">
        <f>COUNTIFS(WLSpread!$AB$2:$AB$784, $A100, WLSpread!$C$2:$C$784, $A100)</f>
        <v>1</v>
      </c>
      <c r="P100" s="4">
        <f>COUNTIFS(WLSpread!$Z$2:$Z$784, $A100, WLSpread!$B$2:$B$784, $A100)</f>
        <v>3</v>
      </c>
      <c r="Q100" s="4">
        <f>COUNTIFS(WLSpread!$AB$2:$AB$784, $A100, WLSpread!$B$2:$B$784, $A100)</f>
        <v>1</v>
      </c>
      <c r="R100" s="4">
        <f t="shared" si="7"/>
        <v>11</v>
      </c>
      <c r="S100" s="7"/>
      <c r="T100" s="7"/>
      <c r="U100" s="7"/>
      <c r="V100" s="7"/>
      <c r="W100" s="7"/>
      <c r="X100" s="7"/>
      <c r="Y100" s="7"/>
      <c r="Z100" s="7"/>
    </row>
    <row r="101" ht="15.75" customHeight="1">
      <c r="A101" s="4" t="s">
        <v>33</v>
      </c>
      <c r="B101" s="4">
        <f>COUNTIF(WLSpread!$Z$2:$Z$1048467, A101)</f>
        <v>8</v>
      </c>
      <c r="C101" s="4">
        <f>COUNTIF(WLSpread!$AB$2:$AB$1048467, A101)</f>
        <v>2</v>
      </c>
      <c r="D101" s="4" t="str">
        <f t="shared" si="1"/>
        <v>8-2</v>
      </c>
      <c r="E101" s="19">
        <f t="shared" si="2"/>
        <v>0.8</v>
      </c>
      <c r="F101" s="4" t="s">
        <v>198</v>
      </c>
      <c r="G101" s="4" t="s">
        <v>209</v>
      </c>
      <c r="H101" s="7">
        <f>COUNTIFS(WLSpread!$Z$2:$Z$823, $A101, WLSpread!$V$2:$V$823, $F101)</f>
        <v>7</v>
      </c>
      <c r="I101" s="4">
        <f>COUNTIFS(WLSpread!$AB$2:$AB$823, $A101, WLSpread!$V$2:$V$823, $F101)</f>
        <v>2</v>
      </c>
      <c r="J101" s="4" t="str">
        <f t="shared" si="3"/>
        <v>7-2</v>
      </c>
      <c r="K101" s="22">
        <f t="shared" si="4"/>
        <v>0.7777777778</v>
      </c>
      <c r="L101" s="4" t="str">
        <f t="shared" si="5"/>
        <v>3-1</v>
      </c>
      <c r="M101" s="4" t="str">
        <f t="shared" si="6"/>
        <v>5-1</v>
      </c>
      <c r="N101" s="4">
        <f>COUNTIFS(WLSpread!$Z$2:$Z$784, $A101, WLSpread!$C$2:$C$784, $A101)</f>
        <v>3</v>
      </c>
      <c r="O101" s="4">
        <f>COUNTIFS(WLSpread!$AB$2:$AB$784, $A101, WLSpread!$C$2:$C$784, $A101)</f>
        <v>1</v>
      </c>
      <c r="P101" s="4">
        <f>COUNTIFS(WLSpread!$Z$2:$Z$784, $A101, WLSpread!$B$2:$B$784, $A101)</f>
        <v>5</v>
      </c>
      <c r="Q101" s="4">
        <f>COUNTIFS(WLSpread!$AB$2:$AB$784, $A101, WLSpread!$B$2:$B$784, $A101)</f>
        <v>1</v>
      </c>
      <c r="R101" s="4">
        <f t="shared" si="7"/>
        <v>10</v>
      </c>
      <c r="S101" s="7"/>
      <c r="T101" s="7"/>
      <c r="U101" s="7"/>
      <c r="V101" s="7"/>
      <c r="W101" s="7"/>
      <c r="X101" s="7"/>
      <c r="Y101" s="7"/>
      <c r="Z101" s="7"/>
    </row>
    <row r="102" ht="15.75" customHeight="1">
      <c r="A102" s="4" t="s">
        <v>95</v>
      </c>
      <c r="B102" s="4">
        <f>COUNTIF(WLSpread!$Z$2:$Z$1048467, A102)</f>
        <v>7</v>
      </c>
      <c r="C102" s="4">
        <f>COUNTIF(WLSpread!$AB$2:$AB$1048467, A102)</f>
        <v>3</v>
      </c>
      <c r="D102" s="4" t="str">
        <f t="shared" si="1"/>
        <v>7-3</v>
      </c>
      <c r="E102" s="19">
        <f t="shared" si="2"/>
        <v>0.7</v>
      </c>
      <c r="F102" s="4" t="s">
        <v>84</v>
      </c>
      <c r="G102" s="4" t="s">
        <v>159</v>
      </c>
      <c r="H102" s="7">
        <f>COUNTIFS(WLSpread!$Z$2:$Z$823, $A102, WLSpread!$V$2:$V$823, $F102)</f>
        <v>4</v>
      </c>
      <c r="I102" s="4">
        <f>COUNTIFS(WLSpread!$AB$2:$AB$823, $A102, WLSpread!$V$2:$V$823, $F102)</f>
        <v>2</v>
      </c>
      <c r="J102" s="4" t="str">
        <f t="shared" si="3"/>
        <v>4-2</v>
      </c>
      <c r="K102" s="22">
        <f t="shared" si="4"/>
        <v>0.6666666667</v>
      </c>
      <c r="L102" s="4" t="str">
        <f t="shared" si="5"/>
        <v>5-2</v>
      </c>
      <c r="M102" s="4" t="str">
        <f t="shared" si="6"/>
        <v>2-1</v>
      </c>
      <c r="N102" s="4">
        <f>COUNTIFS(WLSpread!$Z$2:$Z$784, $A102, WLSpread!$C$2:$C$784, $A102)</f>
        <v>5</v>
      </c>
      <c r="O102" s="4">
        <f>COUNTIFS(WLSpread!$AB$2:$AB$784, $A102, WLSpread!$C$2:$C$784, $A102)</f>
        <v>2</v>
      </c>
      <c r="P102" s="4">
        <f>COUNTIFS(WLSpread!$Z$2:$Z$784, $A102, WLSpread!$B$2:$B$784, $A102)</f>
        <v>2</v>
      </c>
      <c r="Q102" s="4">
        <f>COUNTIFS(WLSpread!$AB$2:$AB$784, $A102, WLSpread!$B$2:$B$784, $A102)</f>
        <v>1</v>
      </c>
      <c r="R102" s="4">
        <f t="shared" si="7"/>
        <v>10</v>
      </c>
      <c r="S102" s="7"/>
      <c r="T102" s="7"/>
      <c r="U102" s="7"/>
      <c r="V102" s="7"/>
      <c r="W102" s="7"/>
      <c r="X102" s="7"/>
      <c r="Y102" s="7"/>
      <c r="Z102" s="7"/>
    </row>
    <row r="103" ht="15.75" customHeight="1">
      <c r="A103" s="4" t="s">
        <v>151</v>
      </c>
      <c r="B103" s="4">
        <f>COUNTIF(WLSpread!$Z$2:$Z$1048467, A103)</f>
        <v>4</v>
      </c>
      <c r="C103" s="4">
        <f>COUNTIF(WLSpread!$AB$2:$AB$1048467, A103)</f>
        <v>2</v>
      </c>
      <c r="D103" s="4" t="str">
        <f t="shared" si="1"/>
        <v>4-2</v>
      </c>
      <c r="E103" s="19">
        <f t="shared" si="2"/>
        <v>0.6666666667</v>
      </c>
      <c r="F103" s="4" t="s">
        <v>49</v>
      </c>
      <c r="G103" s="4" t="s">
        <v>195</v>
      </c>
      <c r="H103" s="7">
        <f>COUNTIFS(WLSpread!$Z$2:$Z$823, $A103, WLSpread!$V$2:$V$823, $F103)</f>
        <v>4</v>
      </c>
      <c r="I103" s="4">
        <f>COUNTIFS(WLSpread!$AB$2:$AB$823, $A103, WLSpread!$V$2:$V$823, $F103)</f>
        <v>2</v>
      </c>
      <c r="J103" s="4" t="str">
        <f t="shared" si="3"/>
        <v>4-2</v>
      </c>
      <c r="K103" s="22">
        <f t="shared" si="4"/>
        <v>0.6666666667</v>
      </c>
      <c r="L103" s="4" t="str">
        <f t="shared" si="5"/>
        <v>2-1</v>
      </c>
      <c r="M103" s="4" t="str">
        <f t="shared" si="6"/>
        <v>2-1</v>
      </c>
      <c r="N103" s="4">
        <f>COUNTIFS(WLSpread!$Z$2:$Z$784, $A103, WLSpread!$C$2:$C$784, $A103)</f>
        <v>2</v>
      </c>
      <c r="O103" s="4">
        <f>COUNTIFS(WLSpread!$AB$2:$AB$784, $A103, WLSpread!$C$2:$C$784, $A103)</f>
        <v>1</v>
      </c>
      <c r="P103" s="4">
        <f>COUNTIFS(WLSpread!$Z$2:$Z$784, $A103, WLSpread!$B$2:$B$784, $A103)</f>
        <v>2</v>
      </c>
      <c r="Q103" s="4">
        <f>COUNTIFS(WLSpread!$AB$2:$AB$784, $A103, WLSpread!$B$2:$B$784, $A103)</f>
        <v>1</v>
      </c>
      <c r="R103" s="4">
        <f t="shared" si="7"/>
        <v>6</v>
      </c>
      <c r="S103" s="7"/>
      <c r="T103" s="7"/>
      <c r="U103" s="7"/>
      <c r="V103" s="7"/>
      <c r="W103" s="7"/>
      <c r="X103" s="7"/>
      <c r="Y103" s="7"/>
      <c r="Z103" s="7"/>
    </row>
    <row r="104" ht="15.75" customHeight="1">
      <c r="A104" s="4" t="s">
        <v>124</v>
      </c>
      <c r="B104" s="4">
        <f>COUNTIF(WLSpread!$Z$2:$Z$1048467, A104)</f>
        <v>5</v>
      </c>
      <c r="C104" s="4">
        <f>COUNTIF(WLSpread!$AB$2:$AB$1048467, A104)</f>
        <v>4</v>
      </c>
      <c r="D104" s="4" t="str">
        <f t="shared" si="1"/>
        <v>5-4</v>
      </c>
      <c r="E104" s="19">
        <f t="shared" si="2"/>
        <v>0.5555555556</v>
      </c>
      <c r="F104" s="4" t="s">
        <v>84</v>
      </c>
      <c r="G104" s="4" t="s">
        <v>159</v>
      </c>
      <c r="H104" s="7">
        <f>COUNTIFS(WLSpread!$Z$2:$Z$823, $A104, WLSpread!$V$2:$V$823, $F104)</f>
        <v>4</v>
      </c>
      <c r="I104" s="4">
        <f>COUNTIFS(WLSpread!$AB$2:$AB$823, $A104, WLSpread!$V$2:$V$823, $F104)</f>
        <v>2</v>
      </c>
      <c r="J104" s="4" t="str">
        <f t="shared" si="3"/>
        <v>4-2</v>
      </c>
      <c r="K104" s="22">
        <f t="shared" si="4"/>
        <v>0.6666666667</v>
      </c>
      <c r="L104" s="4" t="str">
        <f t="shared" si="5"/>
        <v>4-1</v>
      </c>
      <c r="M104" s="4" t="str">
        <f t="shared" si="6"/>
        <v>1-3</v>
      </c>
      <c r="N104" s="4">
        <f>COUNTIFS(WLSpread!$Z$2:$Z$784, $A104, WLSpread!$C$2:$C$784, $A104)</f>
        <v>4</v>
      </c>
      <c r="O104" s="4">
        <f>COUNTIFS(WLSpread!$AB$2:$AB$784, $A104, WLSpread!$C$2:$C$784, $A104)</f>
        <v>1</v>
      </c>
      <c r="P104" s="4">
        <f>COUNTIFS(WLSpread!$Z$2:$Z$784, $A104, WLSpread!$B$2:$B$784, $A104)</f>
        <v>1</v>
      </c>
      <c r="Q104" s="4">
        <f>COUNTIFS(WLSpread!$AB$2:$AB$784, $A104, WLSpread!$B$2:$B$784, $A104)</f>
        <v>3</v>
      </c>
      <c r="R104" s="4">
        <f t="shared" si="7"/>
        <v>9</v>
      </c>
      <c r="S104" s="7"/>
      <c r="T104" s="7"/>
      <c r="U104" s="7"/>
      <c r="V104" s="7"/>
      <c r="W104" s="7"/>
      <c r="X104" s="7"/>
      <c r="Y104" s="7"/>
      <c r="Z104" s="7"/>
    </row>
    <row r="105" ht="15.75" customHeight="1">
      <c r="A105" s="4" t="s">
        <v>134</v>
      </c>
      <c r="B105" s="4">
        <f>COUNTIF(WLSpread!$Z$2:$Z$1048467, A105)</f>
        <v>7</v>
      </c>
      <c r="C105" s="4">
        <f>COUNTIF(WLSpread!$AB$2:$AB$1048467, A105)</f>
        <v>1</v>
      </c>
      <c r="D105" s="4" t="str">
        <f t="shared" si="1"/>
        <v>7-1</v>
      </c>
      <c r="E105" s="19">
        <f t="shared" si="2"/>
        <v>0.875</v>
      </c>
      <c r="F105" s="4" t="s">
        <v>49</v>
      </c>
      <c r="G105" s="4" t="s">
        <v>195</v>
      </c>
      <c r="H105" s="7">
        <f>COUNTIFS(WLSpread!$Z$2:$Z$823, $A105, WLSpread!$V$2:$V$823, $F105)</f>
        <v>6</v>
      </c>
      <c r="I105" s="4">
        <f>COUNTIFS(WLSpread!$AB$2:$AB$823, $A105, WLSpread!$V$2:$V$823, $F105)</f>
        <v>1</v>
      </c>
      <c r="J105" s="4" t="str">
        <f t="shared" si="3"/>
        <v>6-1</v>
      </c>
      <c r="K105" s="22">
        <f t="shared" si="4"/>
        <v>0.8571428571</v>
      </c>
      <c r="L105" s="4" t="str">
        <f t="shared" si="5"/>
        <v>3-0</v>
      </c>
      <c r="M105" s="4" t="str">
        <f t="shared" si="6"/>
        <v>4-1</v>
      </c>
      <c r="N105" s="4">
        <f>COUNTIFS(WLSpread!$Z$2:$Z$784, $A105, WLSpread!$C$2:$C$784, $A105)</f>
        <v>3</v>
      </c>
      <c r="O105" s="4">
        <f>COUNTIFS(WLSpread!$AB$2:$AB$784, $A105, WLSpread!$C$2:$C$784, $A105)</f>
        <v>0</v>
      </c>
      <c r="P105" s="4">
        <f>COUNTIFS(WLSpread!$Z$2:$Z$784, $A105, WLSpread!$B$2:$B$784, $A105)</f>
        <v>4</v>
      </c>
      <c r="Q105" s="4">
        <f>COUNTIFS(WLSpread!$AB$2:$AB$784, $A105, WLSpread!$B$2:$B$784, $A105)</f>
        <v>1</v>
      </c>
      <c r="R105" s="4">
        <f t="shared" si="7"/>
        <v>8</v>
      </c>
      <c r="S105" s="7"/>
      <c r="T105" s="7"/>
      <c r="U105" s="7"/>
      <c r="V105" s="7"/>
      <c r="W105" s="7"/>
      <c r="X105" s="7"/>
      <c r="Y105" s="7"/>
      <c r="Z105" s="7"/>
    </row>
    <row r="106" ht="15.75" customHeight="1">
      <c r="A106" s="4" t="s">
        <v>189</v>
      </c>
      <c r="B106" s="4">
        <f>COUNTIF(WLSpread!$Z$2:$Z$1048467, A106)</f>
        <v>7</v>
      </c>
      <c r="C106" s="4">
        <f>COUNTIF(WLSpread!$AB$2:$AB$1048467, A106)</f>
        <v>2</v>
      </c>
      <c r="D106" s="4" t="str">
        <f t="shared" si="1"/>
        <v>7-2</v>
      </c>
      <c r="E106" s="19">
        <f t="shared" si="2"/>
        <v>0.7777777778</v>
      </c>
      <c r="F106" s="4" t="s">
        <v>163</v>
      </c>
      <c r="G106" s="4" t="s">
        <v>222</v>
      </c>
      <c r="H106" s="7">
        <f>COUNTIFS(WLSpread!$Z$2:$Z$823, $A106, WLSpread!$V$2:$V$823, $F106)</f>
        <v>6</v>
      </c>
      <c r="I106" s="4">
        <f>COUNTIFS(WLSpread!$AB$2:$AB$823, $A106, WLSpread!$V$2:$V$823, $F106)</f>
        <v>2</v>
      </c>
      <c r="J106" s="4" t="str">
        <f t="shared" si="3"/>
        <v>6-2</v>
      </c>
      <c r="K106" s="22">
        <f t="shared" si="4"/>
        <v>0.75</v>
      </c>
      <c r="L106" s="4" t="str">
        <f t="shared" si="5"/>
        <v>5-0</v>
      </c>
      <c r="M106" s="4" t="str">
        <f t="shared" si="6"/>
        <v>2-2</v>
      </c>
      <c r="N106" s="4">
        <f>COUNTIFS(WLSpread!$Z$2:$Z$784, $A106, WLSpread!$C$2:$C$784, $A106)</f>
        <v>5</v>
      </c>
      <c r="O106" s="4">
        <f>COUNTIFS(WLSpread!$AB$2:$AB$784, $A106, WLSpread!$C$2:$C$784, $A106)</f>
        <v>0</v>
      </c>
      <c r="P106" s="4">
        <f>COUNTIFS(WLSpread!$Z$2:$Z$784, $A106, WLSpread!$B$2:$B$784, $A106)</f>
        <v>2</v>
      </c>
      <c r="Q106" s="4">
        <f>COUNTIFS(WLSpread!$AB$2:$AB$784, $A106, WLSpread!$B$2:$B$784, $A106)</f>
        <v>2</v>
      </c>
      <c r="R106" s="4">
        <f t="shared" si="7"/>
        <v>9</v>
      </c>
      <c r="S106" s="7"/>
      <c r="T106" s="7"/>
      <c r="U106" s="7"/>
      <c r="V106" s="7"/>
      <c r="W106" s="7"/>
      <c r="X106" s="7"/>
      <c r="Y106" s="7"/>
      <c r="Z106" s="7"/>
    </row>
    <row r="107" ht="15.75" customHeight="1">
      <c r="A107" s="4" t="s">
        <v>164</v>
      </c>
      <c r="B107" s="4">
        <f>COUNTIF(WLSpread!$Z$2:$Z$1048467, A107)</f>
        <v>7</v>
      </c>
      <c r="C107" s="4">
        <f>COUNTIF(WLSpread!$AB$2:$AB$1048467, A107)</f>
        <v>2</v>
      </c>
      <c r="D107" s="4" t="str">
        <f t="shared" si="1"/>
        <v>7-2</v>
      </c>
      <c r="E107" s="19">
        <f t="shared" si="2"/>
        <v>0.7777777778</v>
      </c>
      <c r="F107" s="4" t="s">
        <v>121</v>
      </c>
      <c r="G107" s="4" t="s">
        <v>204</v>
      </c>
      <c r="H107" s="7">
        <f>COUNTIFS(WLSpread!$Z$2:$Z$823, $A107, WLSpread!$V$2:$V$823, $F107)</f>
        <v>6</v>
      </c>
      <c r="I107" s="4">
        <f>COUNTIFS(WLSpread!$AB$2:$AB$823, $A107, WLSpread!$V$2:$V$823, $F107)</f>
        <v>2</v>
      </c>
      <c r="J107" s="4" t="str">
        <f t="shared" si="3"/>
        <v>6-2</v>
      </c>
      <c r="K107" s="22">
        <f t="shared" si="4"/>
        <v>0.75</v>
      </c>
      <c r="L107" s="4" t="str">
        <f t="shared" si="5"/>
        <v>5-0</v>
      </c>
      <c r="M107" s="4" t="str">
        <f t="shared" si="6"/>
        <v>2-2</v>
      </c>
      <c r="N107" s="4">
        <f>COUNTIFS(WLSpread!$Z$2:$Z$784, $A107, WLSpread!$C$2:$C$784, $A107)</f>
        <v>5</v>
      </c>
      <c r="O107" s="4">
        <f>COUNTIFS(WLSpread!$AB$2:$AB$784, $A107, WLSpread!$C$2:$C$784, $A107)</f>
        <v>0</v>
      </c>
      <c r="P107" s="4">
        <f>COUNTIFS(WLSpread!$Z$2:$Z$784, $A107, WLSpread!$B$2:$B$784, $A107)</f>
        <v>2</v>
      </c>
      <c r="Q107" s="4">
        <f>COUNTIFS(WLSpread!$AB$2:$AB$784, $A107, WLSpread!$B$2:$B$784, $A107)</f>
        <v>2</v>
      </c>
      <c r="R107" s="4">
        <f t="shared" si="7"/>
        <v>9</v>
      </c>
      <c r="S107" s="7"/>
      <c r="T107" s="7"/>
      <c r="U107" s="7"/>
      <c r="V107" s="7"/>
      <c r="W107" s="7"/>
      <c r="X107" s="7"/>
      <c r="Y107" s="7"/>
      <c r="Z107" s="7"/>
    </row>
    <row r="108" ht="15.75" customHeight="1">
      <c r="A108" s="4" t="s">
        <v>174</v>
      </c>
      <c r="B108" s="4">
        <f>COUNTIF(WLSpread!$Z$2:$Z$1048467, A108)</f>
        <v>6</v>
      </c>
      <c r="C108" s="4">
        <f>COUNTIF(WLSpread!$AB$2:$AB$1048467, A108)</f>
        <v>2</v>
      </c>
      <c r="D108" s="4" t="str">
        <f t="shared" si="1"/>
        <v>6-2</v>
      </c>
      <c r="E108" s="19">
        <f t="shared" si="2"/>
        <v>0.75</v>
      </c>
      <c r="F108" s="4" t="s">
        <v>163</v>
      </c>
      <c r="G108" s="4" t="s">
        <v>221</v>
      </c>
      <c r="H108" s="7">
        <f>COUNTIFS(WLSpread!$Z$2:$Z$823, $A108, WLSpread!$V$2:$V$823, $F108)</f>
        <v>6</v>
      </c>
      <c r="I108" s="4">
        <f>COUNTIFS(WLSpread!$AB$2:$AB$823, $A108, WLSpread!$V$2:$V$823, $F108)</f>
        <v>1</v>
      </c>
      <c r="J108" s="4" t="str">
        <f t="shared" si="3"/>
        <v>6-1</v>
      </c>
      <c r="K108" s="22">
        <f t="shared" si="4"/>
        <v>0.8571428571</v>
      </c>
      <c r="L108" s="4" t="str">
        <f t="shared" si="5"/>
        <v>3-1</v>
      </c>
      <c r="M108" s="4" t="str">
        <f t="shared" si="6"/>
        <v>3-1</v>
      </c>
      <c r="N108" s="4">
        <f>COUNTIFS(WLSpread!$Z$2:$Z$784, $A108, WLSpread!$C$2:$C$784, $A108)</f>
        <v>3</v>
      </c>
      <c r="O108" s="4">
        <f>COUNTIFS(WLSpread!$AB$2:$AB$784, $A108, WLSpread!$C$2:$C$784, $A108)</f>
        <v>1</v>
      </c>
      <c r="P108" s="4">
        <f>COUNTIFS(WLSpread!$Z$2:$Z$784, $A108, WLSpread!$B$2:$B$784, $A108)</f>
        <v>3</v>
      </c>
      <c r="Q108" s="4">
        <f>COUNTIFS(WLSpread!$AB$2:$AB$784, $A108, WLSpread!$B$2:$B$784, $A108)</f>
        <v>1</v>
      </c>
      <c r="R108" s="4">
        <f t="shared" si="7"/>
        <v>8</v>
      </c>
      <c r="S108" s="7"/>
      <c r="T108" s="7"/>
      <c r="U108" s="7"/>
      <c r="V108" s="7"/>
      <c r="W108" s="7"/>
      <c r="X108" s="7"/>
      <c r="Y108" s="7"/>
      <c r="Z108" s="7"/>
    </row>
    <row r="109" ht="15.75" customHeight="1">
      <c r="A109" s="4" t="s">
        <v>40</v>
      </c>
      <c r="B109" s="4">
        <f>COUNTIF(WLSpread!$Z$2:$Z$1048467, A109)</f>
        <v>8</v>
      </c>
      <c r="C109" s="4">
        <f>COUNTIF(WLSpread!$AB$2:$AB$1048467, A109)</f>
        <v>3</v>
      </c>
      <c r="D109" s="4" t="str">
        <f t="shared" si="1"/>
        <v>8-3</v>
      </c>
      <c r="E109" s="19">
        <f t="shared" si="2"/>
        <v>0.7272727273</v>
      </c>
      <c r="F109" s="4" t="s">
        <v>120</v>
      </c>
      <c r="G109" s="4" t="s">
        <v>218</v>
      </c>
      <c r="H109" s="7">
        <f>COUNTIFS(WLSpread!$Z$2:$Z$823, $A109, WLSpread!$V$2:$V$823, $F109)</f>
        <v>7</v>
      </c>
      <c r="I109" s="4">
        <f>COUNTIFS(WLSpread!$AB$2:$AB$823, $A109, WLSpread!$V$2:$V$823, $F109)</f>
        <v>2</v>
      </c>
      <c r="J109" s="4" t="str">
        <f t="shared" si="3"/>
        <v>7-2</v>
      </c>
      <c r="K109" s="22">
        <f t="shared" si="4"/>
        <v>0.7777777778</v>
      </c>
      <c r="L109" s="4" t="str">
        <f t="shared" si="5"/>
        <v>4-2</v>
      </c>
      <c r="M109" s="4" t="str">
        <f t="shared" si="6"/>
        <v>4-1</v>
      </c>
      <c r="N109" s="4">
        <f>COUNTIFS(WLSpread!$Z$2:$Z$784, $A109, WLSpread!$C$2:$C$784, $A109)</f>
        <v>4</v>
      </c>
      <c r="O109" s="4">
        <f>COUNTIFS(WLSpread!$AB$2:$AB$784, $A109, WLSpread!$C$2:$C$784, $A109)</f>
        <v>2</v>
      </c>
      <c r="P109" s="4">
        <f>COUNTIFS(WLSpread!$Z$2:$Z$784, $A109, WLSpread!$B$2:$B$784, $A109)</f>
        <v>4</v>
      </c>
      <c r="Q109" s="4">
        <f>COUNTIFS(WLSpread!$AB$2:$AB$784, $A109, WLSpread!$B$2:$B$784, $A109)</f>
        <v>1</v>
      </c>
      <c r="R109" s="4">
        <f t="shared" si="7"/>
        <v>11</v>
      </c>
      <c r="S109" s="7"/>
      <c r="T109" s="7"/>
      <c r="U109" s="7"/>
      <c r="V109" s="7"/>
      <c r="W109" s="7"/>
      <c r="X109" s="7"/>
      <c r="Y109" s="7"/>
      <c r="Z109" s="7"/>
    </row>
    <row r="110" ht="15.75" customHeight="1">
      <c r="A110" s="4" t="s">
        <v>58</v>
      </c>
      <c r="B110" s="4">
        <f>COUNTIF(WLSpread!$Z$2:$Z$1048467, A110)</f>
        <v>10</v>
      </c>
      <c r="C110" s="4">
        <f>COUNTIF(WLSpread!$AB$2:$AB$1048467, A110)</f>
        <v>1</v>
      </c>
      <c r="D110" s="4" t="str">
        <f t="shared" si="1"/>
        <v>10-1</v>
      </c>
      <c r="E110" s="19">
        <f t="shared" si="2"/>
        <v>0.9090909091</v>
      </c>
      <c r="F110" s="4" t="s">
        <v>201</v>
      </c>
      <c r="G110" s="4" t="s">
        <v>202</v>
      </c>
      <c r="H110" s="7">
        <f>COUNTIFS(WLSpread!$Z$2:$Z$823, $A110, WLSpread!$V$2:$V$823, $F110)</f>
        <v>7</v>
      </c>
      <c r="I110" s="4">
        <f>COUNTIFS(WLSpread!$AB$2:$AB$823, $A110, WLSpread!$V$2:$V$823, $F110)</f>
        <v>1</v>
      </c>
      <c r="J110" s="4" t="str">
        <f t="shared" si="3"/>
        <v>7-1</v>
      </c>
      <c r="K110" s="22">
        <f t="shared" si="4"/>
        <v>0.875</v>
      </c>
      <c r="L110" s="4" t="str">
        <f t="shared" si="5"/>
        <v>3-1</v>
      </c>
      <c r="M110" s="4" t="str">
        <f t="shared" si="6"/>
        <v>7-0</v>
      </c>
      <c r="N110" s="4">
        <f>COUNTIFS(WLSpread!$Z$2:$Z$784, $A110, WLSpread!$C$2:$C$784, $A110)</f>
        <v>3</v>
      </c>
      <c r="O110" s="4">
        <f>COUNTIFS(WLSpread!$AB$2:$AB$784, $A110, WLSpread!$C$2:$C$784, $A110)</f>
        <v>1</v>
      </c>
      <c r="P110" s="4">
        <f>COUNTIFS(WLSpread!$Z$2:$Z$784, $A110, WLSpread!$B$2:$B$784, $A110)</f>
        <v>7</v>
      </c>
      <c r="Q110" s="4">
        <f>COUNTIFS(WLSpread!$AB$2:$AB$784, $A110, WLSpread!$B$2:$B$784, $A110)</f>
        <v>0</v>
      </c>
      <c r="R110" s="4">
        <f t="shared" si="7"/>
        <v>11</v>
      </c>
      <c r="S110" s="7"/>
      <c r="T110" s="7"/>
      <c r="U110" s="7"/>
      <c r="V110" s="7"/>
      <c r="W110" s="7"/>
      <c r="X110" s="7"/>
      <c r="Y110" s="7"/>
      <c r="Z110" s="7"/>
    </row>
    <row r="111" ht="15.75" customHeight="1">
      <c r="A111" s="4" t="s">
        <v>79</v>
      </c>
      <c r="B111" s="4">
        <f>COUNTIF(WLSpread!$Z$2:$Z$1048467, A111)</f>
        <v>9</v>
      </c>
      <c r="C111" s="4">
        <f>COUNTIF(WLSpread!$AB$2:$AB$1048467, A111)</f>
        <v>1</v>
      </c>
      <c r="D111" s="4" t="str">
        <f t="shared" si="1"/>
        <v>9-1</v>
      </c>
      <c r="E111" s="19">
        <f t="shared" si="2"/>
        <v>0.9</v>
      </c>
      <c r="F111" s="4" t="s">
        <v>198</v>
      </c>
      <c r="G111" s="4" t="s">
        <v>219</v>
      </c>
      <c r="H111" s="7">
        <f>COUNTIFS(WLSpread!$Z$2:$Z$823, $A111, WLSpread!$V$2:$V$823, $F111)</f>
        <v>8</v>
      </c>
      <c r="I111" s="4">
        <f>COUNTIFS(WLSpread!$AB$2:$AB$823, $A111, WLSpread!$V$2:$V$823, $F111)</f>
        <v>1</v>
      </c>
      <c r="J111" s="4" t="str">
        <f t="shared" si="3"/>
        <v>8-1</v>
      </c>
      <c r="K111" s="22">
        <f t="shared" si="4"/>
        <v>0.8888888889</v>
      </c>
      <c r="L111" s="4" t="str">
        <f t="shared" si="5"/>
        <v>4-0</v>
      </c>
      <c r="M111" s="4" t="str">
        <f t="shared" si="6"/>
        <v>5-1</v>
      </c>
      <c r="N111" s="4">
        <f>COUNTIFS(WLSpread!$Z$2:$Z$784, $A111, WLSpread!$C$2:$C$784, $A111)</f>
        <v>4</v>
      </c>
      <c r="O111" s="4">
        <f>COUNTIFS(WLSpread!$AB$2:$AB$784, $A111, WLSpread!$C$2:$C$784, $A111)</f>
        <v>0</v>
      </c>
      <c r="P111" s="4">
        <f>COUNTIFS(WLSpread!$Z$2:$Z$784, $A111, WLSpread!$B$2:$B$784, $A111)</f>
        <v>5</v>
      </c>
      <c r="Q111" s="4">
        <f>COUNTIFS(WLSpread!$AB$2:$AB$784, $A111, WLSpread!$B$2:$B$784, $A111)</f>
        <v>1</v>
      </c>
      <c r="R111" s="4">
        <f t="shared" si="7"/>
        <v>10</v>
      </c>
      <c r="S111" s="7"/>
      <c r="T111" s="7"/>
      <c r="U111" s="7"/>
      <c r="V111" s="7"/>
      <c r="W111" s="7"/>
      <c r="X111" s="7"/>
      <c r="Y111" s="7"/>
      <c r="Z111" s="7"/>
    </row>
    <row r="112" ht="15.75" customHeight="1">
      <c r="A112" s="4" t="s">
        <v>23</v>
      </c>
      <c r="B112" s="4">
        <f>COUNTIF(WLSpread!$Z$2:$Z$1048467, A112)</f>
        <v>13</v>
      </c>
      <c r="C112" s="4">
        <f>COUNTIF(WLSpread!$AB$2:$AB$1048467, A112)</f>
        <v>0</v>
      </c>
      <c r="D112" s="4" t="str">
        <f t="shared" si="1"/>
        <v>13-0</v>
      </c>
      <c r="E112" s="19">
        <f t="shared" si="2"/>
        <v>1</v>
      </c>
      <c r="F112" s="4" t="s">
        <v>198</v>
      </c>
      <c r="G112" s="4" t="s">
        <v>219</v>
      </c>
      <c r="H112" s="7">
        <f>COUNTIFS(WLSpread!$Z$2:$Z$823, $A112, WLSpread!$V$2:$V$823, $F112)</f>
        <v>11</v>
      </c>
      <c r="I112" s="4">
        <f>COUNTIFS(WLSpread!$AB$2:$AB$823, $A112, WLSpread!$V$2:$V$823, $F112)</f>
        <v>0</v>
      </c>
      <c r="J112" s="4" t="str">
        <f t="shared" si="3"/>
        <v>11-0</v>
      </c>
      <c r="K112" s="22">
        <f t="shared" si="4"/>
        <v>1</v>
      </c>
      <c r="L112" s="4" t="str">
        <f t="shared" si="5"/>
        <v>7-0</v>
      </c>
      <c r="M112" s="4" t="str">
        <f t="shared" si="6"/>
        <v>6-0</v>
      </c>
      <c r="N112" s="4">
        <f>COUNTIFS(WLSpread!$Z$2:$Z$784, $A112, WLSpread!$C$2:$C$784, $A112)</f>
        <v>7</v>
      </c>
      <c r="O112" s="4">
        <f>COUNTIFS(WLSpread!$AB$2:$AB$784, $A112, WLSpread!$C$2:$C$784, $A112)</f>
        <v>0</v>
      </c>
      <c r="P112" s="4">
        <f>COUNTIFS(WLSpread!$Z$2:$Z$784, $A112, WLSpread!$B$2:$B$784, $A112)</f>
        <v>6</v>
      </c>
      <c r="Q112" s="4">
        <f>COUNTIFS(WLSpread!$AB$2:$AB$784, $A112, WLSpread!$B$2:$B$784, $A112)</f>
        <v>0</v>
      </c>
      <c r="R112" s="4">
        <f t="shared" si="7"/>
        <v>13</v>
      </c>
      <c r="S112" s="7"/>
      <c r="T112" s="7"/>
      <c r="U112" s="7"/>
      <c r="V112" s="7"/>
      <c r="W112" s="7"/>
      <c r="X112" s="7"/>
      <c r="Y112" s="7"/>
      <c r="Z112" s="7"/>
    </row>
    <row r="113" ht="15.75" customHeight="1">
      <c r="A113" s="4" t="s">
        <v>18</v>
      </c>
      <c r="B113" s="4">
        <f>COUNTIF(WLSpread!$Z$2:$Z$1048467, A113)</f>
        <v>10</v>
      </c>
      <c r="C113" s="4">
        <f>COUNTIF(WLSpread!$AB$2:$AB$1048467, A113)</f>
        <v>2</v>
      </c>
      <c r="D113" s="4" t="str">
        <f t="shared" si="1"/>
        <v>10-2</v>
      </c>
      <c r="E113" s="19">
        <f t="shared" si="2"/>
        <v>0.8333333333</v>
      </c>
      <c r="F113" s="4" t="s">
        <v>120</v>
      </c>
      <c r="G113" s="4" t="s">
        <v>216</v>
      </c>
      <c r="H113" s="7">
        <f>COUNTIFS(WLSpread!$Z$2:$Z$823, $A113, WLSpread!$V$2:$V$823, $F113)</f>
        <v>9</v>
      </c>
      <c r="I113" s="4">
        <f>COUNTIFS(WLSpread!$AB$2:$AB$823, $A113, WLSpread!$V$2:$V$823, $F113)</f>
        <v>1</v>
      </c>
      <c r="J113" s="4" t="str">
        <f t="shared" si="3"/>
        <v>9-1</v>
      </c>
      <c r="K113" s="22">
        <f t="shared" si="4"/>
        <v>0.9</v>
      </c>
      <c r="L113" s="4" t="str">
        <f t="shared" si="5"/>
        <v>6-1</v>
      </c>
      <c r="M113" s="4" t="str">
        <f t="shared" si="6"/>
        <v>4-1</v>
      </c>
      <c r="N113" s="4">
        <f>COUNTIFS(WLSpread!$Z$2:$Z$784, $A113, WLSpread!$C$2:$C$784, $A113)</f>
        <v>6</v>
      </c>
      <c r="O113" s="4">
        <f>COUNTIFS(WLSpread!$AB$2:$AB$784, $A113, WLSpread!$C$2:$C$784, $A113)</f>
        <v>1</v>
      </c>
      <c r="P113" s="4">
        <f>COUNTIFS(WLSpread!$Z$2:$Z$784, $A113, WLSpread!$B$2:$B$784, $A113)</f>
        <v>4</v>
      </c>
      <c r="Q113" s="4">
        <f>COUNTIFS(WLSpread!$AB$2:$AB$784, $A113, WLSpread!$B$2:$B$784, $A113)</f>
        <v>1</v>
      </c>
      <c r="R113" s="4">
        <f t="shared" si="7"/>
        <v>12</v>
      </c>
      <c r="S113" s="7"/>
      <c r="T113" s="7"/>
      <c r="U113" s="7"/>
      <c r="V113" s="7"/>
      <c r="W113" s="7"/>
      <c r="X113" s="7"/>
      <c r="Y113" s="7"/>
      <c r="Z113" s="7"/>
    </row>
    <row r="114" ht="15.75" customHeight="1">
      <c r="A114" s="4" t="s">
        <v>48</v>
      </c>
      <c r="B114" s="4">
        <f>COUNTIF(WLSpread!$Z$2:$Z$1048467, A114)</f>
        <v>8</v>
      </c>
      <c r="C114" s="4">
        <f>COUNTIF(WLSpread!$AB$2:$AB$1048467, A114)</f>
        <v>4</v>
      </c>
      <c r="D114" s="4" t="str">
        <f t="shared" si="1"/>
        <v>8-4</v>
      </c>
      <c r="E114" s="19">
        <f t="shared" si="2"/>
        <v>0.6666666667</v>
      </c>
      <c r="F114" s="4" t="s">
        <v>198</v>
      </c>
      <c r="G114" s="4" t="s">
        <v>209</v>
      </c>
      <c r="H114" s="7">
        <f>COUNTIFS(WLSpread!$Z$2:$Z$823, $A114, WLSpread!$V$2:$V$823, $F114)</f>
        <v>8</v>
      </c>
      <c r="I114" s="4">
        <f>COUNTIFS(WLSpread!$AB$2:$AB$823, $A114, WLSpread!$V$2:$V$823, $F114)</f>
        <v>3</v>
      </c>
      <c r="J114" s="4" t="str">
        <f t="shared" si="3"/>
        <v>8-3</v>
      </c>
      <c r="K114" s="22">
        <f t="shared" si="4"/>
        <v>0.7272727273</v>
      </c>
      <c r="L114" s="4" t="str">
        <f t="shared" si="5"/>
        <v>4-2</v>
      </c>
      <c r="M114" s="4" t="str">
        <f t="shared" si="6"/>
        <v>4-2</v>
      </c>
      <c r="N114" s="4">
        <f>COUNTIFS(WLSpread!$Z$2:$Z$784, $A114, WLSpread!$C$2:$C$784, $A114)</f>
        <v>4</v>
      </c>
      <c r="O114" s="4">
        <f>COUNTIFS(WLSpread!$AB$2:$AB$784, $A114, WLSpread!$C$2:$C$784, $A114)</f>
        <v>2</v>
      </c>
      <c r="P114" s="4">
        <f>COUNTIFS(WLSpread!$Z$2:$Z$784, $A114, WLSpread!$B$2:$B$784, $A114)</f>
        <v>4</v>
      </c>
      <c r="Q114" s="4">
        <f>COUNTIFS(WLSpread!$AB$2:$AB$784, $A114, WLSpread!$B$2:$B$784, $A114)</f>
        <v>2</v>
      </c>
      <c r="R114" s="4">
        <f t="shared" si="7"/>
        <v>12</v>
      </c>
      <c r="S114" s="7"/>
      <c r="T114" s="7"/>
      <c r="U114" s="7"/>
      <c r="V114" s="7"/>
      <c r="W114" s="7"/>
      <c r="X114" s="7"/>
      <c r="Y114" s="7"/>
      <c r="Z114" s="7"/>
    </row>
    <row r="115" ht="15.75" customHeight="1">
      <c r="A115" s="4" t="s">
        <v>92</v>
      </c>
      <c r="B115" s="4">
        <f>COUNTIF(WLSpread!$Z$2:$Z$1048467, A115)</f>
        <v>9</v>
      </c>
      <c r="C115" s="4">
        <f>COUNTIF(WLSpread!$AB$2:$AB$1048467, A115)</f>
        <v>3</v>
      </c>
      <c r="D115" s="4" t="str">
        <f t="shared" si="1"/>
        <v>9-3</v>
      </c>
      <c r="E115" s="19">
        <f t="shared" si="2"/>
        <v>0.75</v>
      </c>
      <c r="F115" s="4" t="s">
        <v>197</v>
      </c>
      <c r="G115" s="4" t="s">
        <v>197</v>
      </c>
      <c r="H115" s="7">
        <f>COUNTIFS(WLSpread!$Z$2:$Z$823, $A115, WLSpread!$V$2:$V$823, $F115)</f>
        <v>8</v>
      </c>
      <c r="I115" s="4">
        <f>COUNTIFS(WLSpread!$AB$2:$AB$823, $A115, WLSpread!$V$2:$V$823, $F115)</f>
        <v>2</v>
      </c>
      <c r="J115" s="4" t="str">
        <f t="shared" si="3"/>
        <v>8-2</v>
      </c>
      <c r="K115" s="22">
        <f t="shared" si="4"/>
        <v>0.8</v>
      </c>
      <c r="L115" s="4" t="str">
        <f t="shared" si="5"/>
        <v>6-2</v>
      </c>
      <c r="M115" s="4" t="str">
        <f t="shared" si="6"/>
        <v>3-1</v>
      </c>
      <c r="N115" s="4">
        <f>COUNTIFS(WLSpread!$Z$2:$Z$784, $A115, WLSpread!$C$2:$C$784, $A115)</f>
        <v>6</v>
      </c>
      <c r="O115" s="4">
        <f>COUNTIFS(WLSpread!$AB$2:$AB$784, $A115, WLSpread!$C$2:$C$784, $A115)</f>
        <v>2</v>
      </c>
      <c r="P115" s="4">
        <f>COUNTIFS(WLSpread!$Z$2:$Z$784, $A115, WLSpread!$B$2:$B$784, $A115)</f>
        <v>3</v>
      </c>
      <c r="Q115" s="4">
        <f>COUNTIFS(WLSpread!$AB$2:$AB$784, $A115, WLSpread!$B$2:$B$784, $A115)</f>
        <v>1</v>
      </c>
      <c r="R115" s="4">
        <f t="shared" si="7"/>
        <v>12</v>
      </c>
      <c r="S115" s="7"/>
      <c r="T115" s="7"/>
      <c r="U115" s="7"/>
      <c r="V115" s="7"/>
      <c r="W115" s="7"/>
      <c r="X115" s="7"/>
      <c r="Y115" s="7"/>
      <c r="Z115" s="7"/>
    </row>
    <row r="116" ht="15.75" customHeight="1">
      <c r="A116" s="4" t="s">
        <v>69</v>
      </c>
      <c r="B116" s="4">
        <f>COUNTIF(WLSpread!$Z$2:$Z$1048467, A116)</f>
        <v>9</v>
      </c>
      <c r="C116" s="4">
        <f>COUNTIF(WLSpread!$AB$2:$AB$1048467, A116)</f>
        <v>1</v>
      </c>
      <c r="D116" s="4" t="str">
        <f t="shared" si="1"/>
        <v>9-1</v>
      </c>
      <c r="E116" s="19">
        <f t="shared" si="2"/>
        <v>0.9</v>
      </c>
      <c r="F116" s="4" t="s">
        <v>44</v>
      </c>
      <c r="G116" s="4" t="s">
        <v>135</v>
      </c>
      <c r="H116" s="7">
        <f>COUNTIFS(WLSpread!$Z$2:$Z$823, $A116, WLSpread!$V$2:$V$823, $F116)</f>
        <v>7</v>
      </c>
      <c r="I116" s="4">
        <f>COUNTIFS(WLSpread!$AB$2:$AB$823, $A116, WLSpread!$V$2:$V$823, $F116)</f>
        <v>0</v>
      </c>
      <c r="J116" s="4" t="str">
        <f t="shared" si="3"/>
        <v>7-0</v>
      </c>
      <c r="K116" s="22">
        <f t="shared" si="4"/>
        <v>1</v>
      </c>
      <c r="L116" s="4" t="str">
        <f t="shared" si="5"/>
        <v>7-1</v>
      </c>
      <c r="M116" s="4" t="str">
        <f t="shared" si="6"/>
        <v>2-0</v>
      </c>
      <c r="N116" s="4">
        <f>COUNTIFS(WLSpread!$Z$2:$Z$784, $A116, WLSpread!$C$2:$C$784, $A116)</f>
        <v>7</v>
      </c>
      <c r="O116" s="4">
        <f>COUNTIFS(WLSpread!$AB$2:$AB$784, $A116, WLSpread!$C$2:$C$784, $A116)</f>
        <v>1</v>
      </c>
      <c r="P116" s="4">
        <f>COUNTIFS(WLSpread!$Z$2:$Z$784, $A116, WLSpread!$B$2:$B$784, $A116)</f>
        <v>2</v>
      </c>
      <c r="Q116" s="4">
        <f>COUNTIFS(WLSpread!$AB$2:$AB$784, $A116, WLSpread!$B$2:$B$784, $A116)</f>
        <v>0</v>
      </c>
      <c r="R116" s="4">
        <f t="shared" si="7"/>
        <v>10</v>
      </c>
      <c r="S116" s="7"/>
      <c r="T116" s="7"/>
      <c r="U116" s="7"/>
      <c r="V116" s="7"/>
      <c r="W116" s="7"/>
      <c r="X116" s="7"/>
      <c r="Y116" s="7"/>
      <c r="Z116" s="7"/>
    </row>
    <row r="117" ht="15.75" customHeight="1">
      <c r="A117" s="4" t="s">
        <v>26</v>
      </c>
      <c r="B117" s="4">
        <f>COUNTIF(WLSpread!$Z$2:$Z$1048467, A117)</f>
        <v>7</v>
      </c>
      <c r="C117" s="4">
        <f>COUNTIF(WLSpread!$AB$2:$AB$1048467, A117)</f>
        <v>1</v>
      </c>
      <c r="D117" s="4" t="str">
        <f t="shared" si="1"/>
        <v>7-1</v>
      </c>
      <c r="E117" s="19">
        <f t="shared" si="2"/>
        <v>0.875</v>
      </c>
      <c r="F117" s="4" t="s">
        <v>163</v>
      </c>
      <c r="G117" s="4" t="s">
        <v>221</v>
      </c>
      <c r="H117" s="7">
        <f>COUNTIFS(WLSpread!$Z$2:$Z$823, $A117, WLSpread!$V$2:$V$823, $F117)</f>
        <v>6</v>
      </c>
      <c r="I117" s="4">
        <f>COUNTIFS(WLSpread!$AB$2:$AB$823, $A117, WLSpread!$V$2:$V$823, $F117)</f>
        <v>0</v>
      </c>
      <c r="J117" s="4" t="str">
        <f t="shared" si="3"/>
        <v>6-0</v>
      </c>
      <c r="K117" s="22">
        <f t="shared" si="4"/>
        <v>1</v>
      </c>
      <c r="L117" s="4" t="str">
        <f t="shared" si="5"/>
        <v>4-0</v>
      </c>
      <c r="M117" s="4" t="str">
        <f t="shared" si="6"/>
        <v>3-1</v>
      </c>
      <c r="N117" s="4">
        <f>COUNTIFS(WLSpread!$Z$2:$Z$784, $A117, WLSpread!$C$2:$C$784, $A117)</f>
        <v>4</v>
      </c>
      <c r="O117" s="4">
        <f>COUNTIFS(WLSpread!$AB$2:$AB$784, $A117, WLSpread!$C$2:$C$784, $A117)</f>
        <v>0</v>
      </c>
      <c r="P117" s="4">
        <f>COUNTIFS(WLSpread!$Z$2:$Z$784, $A117, WLSpread!$B$2:$B$784, $A117)</f>
        <v>3</v>
      </c>
      <c r="Q117" s="4">
        <f>COUNTIFS(WLSpread!$AB$2:$AB$784, $A117, WLSpread!$B$2:$B$784, $A117)</f>
        <v>1</v>
      </c>
      <c r="R117" s="4">
        <f t="shared" si="7"/>
        <v>8</v>
      </c>
      <c r="S117" s="7"/>
      <c r="T117" s="7"/>
      <c r="U117" s="7"/>
      <c r="V117" s="7"/>
      <c r="W117" s="7"/>
      <c r="X117" s="7"/>
      <c r="Y117" s="7"/>
      <c r="Z117" s="7"/>
    </row>
    <row r="118" ht="15.75" customHeight="1">
      <c r="A118" s="4" t="s">
        <v>28</v>
      </c>
      <c r="B118" s="4">
        <f>COUNTIF(WLSpread!$Z$2:$Z$1048467, A118)</f>
        <v>10</v>
      </c>
      <c r="C118" s="4">
        <f>COUNTIF(WLSpread!$AB$2:$AB$1048467, A118)</f>
        <v>2</v>
      </c>
      <c r="D118" s="4" t="str">
        <f t="shared" si="1"/>
        <v>10-2</v>
      </c>
      <c r="E118" s="19">
        <f t="shared" si="2"/>
        <v>0.8333333333</v>
      </c>
      <c r="F118" s="3" t="s">
        <v>120</v>
      </c>
      <c r="G118" s="4" t="s">
        <v>215</v>
      </c>
      <c r="H118" s="7">
        <f>COUNTIFS(WLSpread!$Z$2:$Z$823, $A118, WLSpread!$V$2:$V$823, $F118)</f>
        <v>9</v>
      </c>
      <c r="I118" s="4">
        <f>COUNTIFS(WLSpread!$AB$2:$AB$823, $A118, WLSpread!$V$2:$V$823, $F118)</f>
        <v>1</v>
      </c>
      <c r="J118" s="4" t="str">
        <f t="shared" si="3"/>
        <v>9-1</v>
      </c>
      <c r="K118" s="22">
        <f t="shared" si="4"/>
        <v>0.9</v>
      </c>
      <c r="L118" s="4" t="str">
        <f t="shared" si="5"/>
        <v>6-1</v>
      </c>
      <c r="M118" s="4" t="str">
        <f t="shared" si="6"/>
        <v>4-1</v>
      </c>
      <c r="N118" s="4">
        <f>COUNTIFS(WLSpread!$Z$2:$Z$784, $A118, WLSpread!$C$2:$C$784, $A118)</f>
        <v>6</v>
      </c>
      <c r="O118" s="4">
        <f>COUNTIFS(WLSpread!$AB$2:$AB$784, $A118, WLSpread!$C$2:$C$784, $A118)</f>
        <v>1</v>
      </c>
      <c r="P118" s="4">
        <f>COUNTIFS(WLSpread!$Z$2:$Z$784, $A118, WLSpread!$B$2:$B$784, $A118)</f>
        <v>4</v>
      </c>
      <c r="Q118" s="4">
        <f>COUNTIFS(WLSpread!$AB$2:$AB$784, $A118, WLSpread!$B$2:$B$784, $A118)</f>
        <v>1</v>
      </c>
      <c r="R118" s="4">
        <f t="shared" si="7"/>
        <v>12</v>
      </c>
      <c r="S118" s="7"/>
      <c r="T118" s="7"/>
      <c r="U118" s="7"/>
      <c r="V118" s="7"/>
      <c r="W118" s="7"/>
      <c r="X118" s="7"/>
      <c r="Y118" s="7"/>
      <c r="Z118" s="7"/>
    </row>
    <row r="119" ht="15.75" customHeight="1">
      <c r="A119" s="4" t="s">
        <v>100</v>
      </c>
      <c r="B119" s="4">
        <f>COUNTIF(WLSpread!$Z$2:$Z$1048467, A119)</f>
        <v>11</v>
      </c>
      <c r="C119" s="4">
        <f>COUNTIF(WLSpread!$AB$2:$AB$1048467, A119)</f>
        <v>1</v>
      </c>
      <c r="D119" s="4" t="str">
        <f t="shared" si="1"/>
        <v>11-1</v>
      </c>
      <c r="E119" s="19">
        <f t="shared" si="2"/>
        <v>0.9166666667</v>
      </c>
      <c r="F119" s="4" t="s">
        <v>201</v>
      </c>
      <c r="G119" s="4" t="s">
        <v>227</v>
      </c>
      <c r="H119" s="7">
        <f>COUNTIFS(WLSpread!$Z$2:$Z$823, $A119, WLSpread!$V$2:$V$823, $F119)</f>
        <v>8</v>
      </c>
      <c r="I119" s="4">
        <f>COUNTIFS(WLSpread!$AB$2:$AB$823, $A119, WLSpread!$V$2:$V$823, $F119)</f>
        <v>0</v>
      </c>
      <c r="J119" s="4" t="str">
        <f t="shared" si="3"/>
        <v>8-0</v>
      </c>
      <c r="K119" s="22">
        <f t="shared" si="4"/>
        <v>1</v>
      </c>
      <c r="L119" s="4" t="str">
        <f t="shared" si="5"/>
        <v>6-1</v>
      </c>
      <c r="M119" s="4" t="str">
        <f t="shared" si="6"/>
        <v>5-0</v>
      </c>
      <c r="N119" s="4">
        <f>COUNTIFS(WLSpread!$Z$2:$Z$784, $A119, WLSpread!$C$2:$C$784, $A119)</f>
        <v>6</v>
      </c>
      <c r="O119" s="4">
        <f>COUNTIFS(WLSpread!$AB$2:$AB$784, $A119, WLSpread!$C$2:$C$784, $A119)</f>
        <v>1</v>
      </c>
      <c r="P119" s="4">
        <f>COUNTIFS(WLSpread!$Z$2:$Z$784, $A119, WLSpread!$B$2:$B$784, $A119)</f>
        <v>5</v>
      </c>
      <c r="Q119" s="4">
        <f>COUNTIFS(WLSpread!$AB$2:$AB$784, $A119, WLSpread!$B$2:$B$784, $A119)</f>
        <v>0</v>
      </c>
      <c r="R119" s="4">
        <f t="shared" si="7"/>
        <v>12</v>
      </c>
      <c r="S119" s="7"/>
      <c r="T119" s="7"/>
      <c r="U119" s="7"/>
      <c r="V119" s="7"/>
      <c r="W119" s="7"/>
      <c r="X119" s="7"/>
      <c r="Y119" s="7"/>
      <c r="Z119" s="7"/>
    </row>
    <row r="120" ht="15.75" customHeight="1">
      <c r="A120" s="4" t="s">
        <v>180</v>
      </c>
      <c r="B120" s="4">
        <f>COUNTIF(WLSpread!$Z$2:$Z$1048467, A120)</f>
        <v>4</v>
      </c>
      <c r="C120" s="4">
        <f>COUNTIF(WLSpread!$AB$2:$AB$1048467, A120)</f>
        <v>2</v>
      </c>
      <c r="D120" s="4" t="str">
        <f t="shared" si="1"/>
        <v>4-2</v>
      </c>
      <c r="E120" s="19">
        <f t="shared" si="2"/>
        <v>0.6666666667</v>
      </c>
      <c r="F120" s="4" t="s">
        <v>165</v>
      </c>
      <c r="G120" s="4" t="s">
        <v>199</v>
      </c>
      <c r="H120" s="7">
        <f>COUNTIFS(WLSpread!$Z$2:$Z$823, $A120, WLSpread!$V$2:$V$823, $F120)</f>
        <v>3</v>
      </c>
      <c r="I120" s="4">
        <f>COUNTIFS(WLSpread!$AB$2:$AB$823, $A120, WLSpread!$V$2:$V$823, $F120)</f>
        <v>1</v>
      </c>
      <c r="J120" s="4" t="str">
        <f t="shared" si="3"/>
        <v>3-1</v>
      </c>
      <c r="K120" s="22">
        <f t="shared" si="4"/>
        <v>0.75</v>
      </c>
      <c r="L120" s="4" t="str">
        <f t="shared" si="5"/>
        <v>2-2</v>
      </c>
      <c r="M120" s="4" t="str">
        <f t="shared" si="6"/>
        <v>2-0</v>
      </c>
      <c r="N120" s="4">
        <f>COUNTIFS(WLSpread!$Z$2:$Z$784, $A120, WLSpread!$C$2:$C$784, $A120)</f>
        <v>2</v>
      </c>
      <c r="O120" s="4">
        <f>COUNTIFS(WLSpread!$AB$2:$AB$784, $A120, WLSpread!$C$2:$C$784, $A120)</f>
        <v>2</v>
      </c>
      <c r="P120" s="4">
        <f>COUNTIFS(WLSpread!$Z$2:$Z$784, $A120, WLSpread!$B$2:$B$784, $A120)</f>
        <v>2</v>
      </c>
      <c r="Q120" s="4">
        <f>COUNTIFS(WLSpread!$AB$2:$AB$784, $A120, WLSpread!$B$2:$B$784, $A120)</f>
        <v>0</v>
      </c>
      <c r="R120" s="4">
        <f t="shared" si="7"/>
        <v>6</v>
      </c>
      <c r="S120" s="7"/>
      <c r="T120" s="7"/>
      <c r="U120" s="7"/>
      <c r="V120" s="7"/>
      <c r="W120" s="7"/>
      <c r="X120" s="7"/>
      <c r="Y120" s="7"/>
      <c r="Z120" s="7"/>
    </row>
    <row r="121" ht="15.75" customHeight="1">
      <c r="A121" s="4" t="s">
        <v>182</v>
      </c>
      <c r="B121" s="4">
        <f>COUNTIF(WLSpread!$Z$2:$Z$1048467, A121)</f>
        <v>7</v>
      </c>
      <c r="C121" s="4">
        <f>COUNTIF(WLSpread!$AB$2:$AB$1048467, A121)</f>
        <v>1</v>
      </c>
      <c r="D121" s="4" t="str">
        <f t="shared" si="1"/>
        <v>7-1</v>
      </c>
      <c r="E121" s="19">
        <f t="shared" si="2"/>
        <v>0.875</v>
      </c>
      <c r="F121" s="4" t="s">
        <v>121</v>
      </c>
      <c r="G121" s="4" t="s">
        <v>204</v>
      </c>
      <c r="H121" s="7">
        <f>COUNTIFS(WLSpread!$Z$2:$Z$823, $A121, WLSpread!$V$2:$V$823, $F121)</f>
        <v>7</v>
      </c>
      <c r="I121" s="4">
        <f>COUNTIFS(WLSpread!$AB$2:$AB$823, $A121, WLSpread!$V$2:$V$823, $F121)</f>
        <v>0</v>
      </c>
      <c r="J121" s="4" t="str">
        <f t="shared" si="3"/>
        <v>7-0</v>
      </c>
      <c r="K121" s="22">
        <f t="shared" si="4"/>
        <v>1</v>
      </c>
      <c r="L121" s="4" t="str">
        <f t="shared" si="5"/>
        <v>5-1</v>
      </c>
      <c r="M121" s="4" t="str">
        <f t="shared" si="6"/>
        <v>2-0</v>
      </c>
      <c r="N121" s="4">
        <f>COUNTIFS(WLSpread!$Z$2:$Z$784, $A121, WLSpread!$C$2:$C$784, $A121)</f>
        <v>5</v>
      </c>
      <c r="O121" s="4">
        <f>COUNTIFS(WLSpread!$AB$2:$AB$784, $A121, WLSpread!$C$2:$C$784, $A121)</f>
        <v>1</v>
      </c>
      <c r="P121" s="4">
        <f>COUNTIFS(WLSpread!$Z$2:$Z$784, $A121, WLSpread!$B$2:$B$784, $A121)</f>
        <v>2</v>
      </c>
      <c r="Q121" s="4">
        <f>COUNTIFS(WLSpread!$AB$2:$AB$784, $A121, WLSpread!$B$2:$B$784, $A121)</f>
        <v>0</v>
      </c>
      <c r="R121" s="4">
        <f t="shared" si="7"/>
        <v>8</v>
      </c>
      <c r="S121" s="7"/>
      <c r="T121" s="7"/>
      <c r="U121" s="7"/>
      <c r="V121" s="7"/>
      <c r="W121" s="7"/>
      <c r="X121" s="7"/>
      <c r="Y121" s="7"/>
      <c r="Z121" s="7"/>
    </row>
    <row r="122" ht="15.75" customHeight="1">
      <c r="A122" s="4" t="s">
        <v>90</v>
      </c>
      <c r="B122" s="4">
        <f>COUNTIF(WLSpread!$Z$2:$Z$1048467, A122)</f>
        <v>5</v>
      </c>
      <c r="C122" s="4">
        <f>COUNTIF(WLSpread!$AB$2:$AB$1048467, A122)</f>
        <v>1</v>
      </c>
      <c r="D122" s="4" t="str">
        <f t="shared" si="1"/>
        <v>5-1</v>
      </c>
      <c r="E122" s="19">
        <f t="shared" si="2"/>
        <v>0.8333333333</v>
      </c>
      <c r="F122" s="4" t="s">
        <v>165</v>
      </c>
      <c r="G122" s="4" t="s">
        <v>199</v>
      </c>
      <c r="H122" s="7">
        <f>COUNTIFS(WLSpread!$Z$2:$Z$823, $A122, WLSpread!$V$2:$V$823, $F122)</f>
        <v>5</v>
      </c>
      <c r="I122" s="4">
        <f>COUNTIFS(WLSpread!$AB$2:$AB$823, $A122, WLSpread!$V$2:$V$823, $F122)</f>
        <v>1</v>
      </c>
      <c r="J122" s="4" t="str">
        <f t="shared" si="3"/>
        <v>5-1</v>
      </c>
      <c r="K122" s="22">
        <f t="shared" si="4"/>
        <v>0.8333333333</v>
      </c>
      <c r="L122" s="4" t="str">
        <f t="shared" si="5"/>
        <v>2-1</v>
      </c>
      <c r="M122" s="4" t="str">
        <f t="shared" si="6"/>
        <v>3-0</v>
      </c>
      <c r="N122" s="4">
        <f>COUNTIFS(WLSpread!$Z$2:$Z$784, $A122, WLSpread!$C$2:$C$784, $A122)</f>
        <v>2</v>
      </c>
      <c r="O122" s="4">
        <f>COUNTIFS(WLSpread!$AB$2:$AB$784, $A122, WLSpread!$C$2:$C$784, $A122)</f>
        <v>1</v>
      </c>
      <c r="P122" s="4">
        <f>COUNTIFS(WLSpread!$Z$2:$Z$784, $A122, WLSpread!$B$2:$B$784, $A122)</f>
        <v>3</v>
      </c>
      <c r="Q122" s="4">
        <f>COUNTIFS(WLSpread!$AB$2:$AB$784, $A122, WLSpread!$B$2:$B$784, $A122)</f>
        <v>0</v>
      </c>
      <c r="R122" s="4">
        <f t="shared" si="7"/>
        <v>6</v>
      </c>
      <c r="S122" s="7"/>
      <c r="T122" s="7"/>
      <c r="U122" s="7"/>
      <c r="V122" s="7"/>
      <c r="W122" s="7"/>
      <c r="X122" s="7"/>
      <c r="Y122" s="7"/>
      <c r="Z122" s="7"/>
    </row>
    <row r="123" ht="15.75" customHeight="1">
      <c r="A123" s="4" t="s">
        <v>162</v>
      </c>
      <c r="B123" s="4">
        <f>COUNTIF(WLSpread!$Z$2:$Z$1048467, A123)</f>
        <v>6</v>
      </c>
      <c r="C123" s="4">
        <f>COUNTIF(WLSpread!$AB$2:$AB$1048467, A123)</f>
        <v>1</v>
      </c>
      <c r="D123" s="4" t="str">
        <f t="shared" si="1"/>
        <v>6-1</v>
      </c>
      <c r="E123" s="19">
        <f t="shared" si="2"/>
        <v>0.8571428571</v>
      </c>
      <c r="F123" s="4" t="s">
        <v>49</v>
      </c>
      <c r="G123" s="4" t="s">
        <v>183</v>
      </c>
      <c r="H123" s="7">
        <f>COUNTIFS(WLSpread!$Z$2:$Z$823, $A123, WLSpread!$V$2:$V$823, $F123)</f>
        <v>5</v>
      </c>
      <c r="I123" s="4">
        <f>COUNTIFS(WLSpread!$AB$2:$AB$823, $A123, WLSpread!$V$2:$V$823, $F123)</f>
        <v>1</v>
      </c>
      <c r="J123" s="4" t="str">
        <f t="shared" si="3"/>
        <v>5-1</v>
      </c>
      <c r="K123" s="22">
        <f t="shared" si="4"/>
        <v>0.8333333333</v>
      </c>
      <c r="L123" s="4" t="str">
        <f t="shared" si="5"/>
        <v>4-1</v>
      </c>
      <c r="M123" s="4" t="str">
        <f t="shared" si="6"/>
        <v>2-0</v>
      </c>
      <c r="N123" s="4">
        <f>COUNTIFS(WLSpread!$Z$2:$Z$784, $A123, WLSpread!$C$2:$C$784, $A123)</f>
        <v>4</v>
      </c>
      <c r="O123" s="4">
        <f>COUNTIFS(WLSpread!$AB$2:$AB$784, $A123, WLSpread!$C$2:$C$784, $A123)</f>
        <v>1</v>
      </c>
      <c r="P123" s="4">
        <f>COUNTIFS(WLSpread!$Z$2:$Z$784, $A123, WLSpread!$B$2:$B$784, $A123)</f>
        <v>2</v>
      </c>
      <c r="Q123" s="4">
        <f>COUNTIFS(WLSpread!$AB$2:$AB$784, $A123, WLSpread!$B$2:$B$784, $A123)</f>
        <v>0</v>
      </c>
      <c r="R123" s="4">
        <f t="shared" si="7"/>
        <v>7</v>
      </c>
      <c r="S123" s="7"/>
      <c r="T123" s="7"/>
      <c r="U123" s="7"/>
      <c r="V123" s="7"/>
      <c r="W123" s="7"/>
      <c r="X123" s="7"/>
      <c r="Y123" s="7"/>
      <c r="Z123" s="7"/>
    </row>
    <row r="124" ht="15.75" customHeight="1">
      <c r="A124" s="4" t="s">
        <v>106</v>
      </c>
      <c r="B124" s="4">
        <f>COUNTIF(WLSpread!$Z$2:$Z$1048467, A124)</f>
        <v>10</v>
      </c>
      <c r="C124" s="4">
        <f>COUNTIF(WLSpread!$AB$2:$AB$1048467, A124)</f>
        <v>1</v>
      </c>
      <c r="D124" s="4" t="str">
        <f t="shared" si="1"/>
        <v>10-1</v>
      </c>
      <c r="E124" s="19">
        <f t="shared" si="2"/>
        <v>0.9090909091</v>
      </c>
      <c r="F124" s="4" t="s">
        <v>215</v>
      </c>
      <c r="G124" s="4" t="s">
        <v>215</v>
      </c>
      <c r="H124" s="7">
        <f>COUNTIFS(WLSpread!$Z$2:$Z$823, $A124, WLSpread!$V$2:$V$823, $F124)</f>
        <v>1</v>
      </c>
      <c r="I124" s="4">
        <f>COUNTIFS(WLSpread!$AB$2:$AB$823, $A124, WLSpread!$V$2:$V$823, $F124)</f>
        <v>0</v>
      </c>
      <c r="J124" s="4" t="str">
        <f t="shared" si="3"/>
        <v>1-0</v>
      </c>
      <c r="K124" s="22">
        <f t="shared" si="4"/>
        <v>1</v>
      </c>
      <c r="L124" s="4" t="str">
        <f t="shared" si="5"/>
        <v>6-0</v>
      </c>
      <c r="M124" s="4" t="str">
        <f t="shared" si="6"/>
        <v>4-1</v>
      </c>
      <c r="N124" s="4">
        <f>COUNTIFS(WLSpread!$Z$2:$Z$784, $A124, WLSpread!$C$2:$C$784, $A124)</f>
        <v>6</v>
      </c>
      <c r="O124" s="4">
        <f>COUNTIFS(WLSpread!$AB$2:$AB$784, $A124, WLSpread!$C$2:$C$784, $A124)</f>
        <v>0</v>
      </c>
      <c r="P124" s="4">
        <f>COUNTIFS(WLSpread!$Z$2:$Z$784, $A124, WLSpread!$B$2:$B$784, $A124)</f>
        <v>4</v>
      </c>
      <c r="Q124" s="4">
        <f>COUNTIFS(WLSpread!$AB$2:$AB$784, $A124, WLSpread!$B$2:$B$784, $A124)</f>
        <v>1</v>
      </c>
      <c r="R124" s="4">
        <f t="shared" si="7"/>
        <v>11</v>
      </c>
      <c r="S124" s="7"/>
      <c r="T124" s="7"/>
      <c r="U124" s="7"/>
      <c r="V124" s="7"/>
      <c r="W124" s="7"/>
      <c r="X124" s="7"/>
      <c r="Y124" s="7"/>
      <c r="Z124" s="7"/>
    </row>
    <row r="125" ht="15.75" customHeight="1">
      <c r="A125" s="4" t="s">
        <v>132</v>
      </c>
      <c r="B125" s="4">
        <f>COUNTIF(WLSpread!$Z$2:$Z$1048467, A125)</f>
        <v>6</v>
      </c>
      <c r="C125" s="4">
        <f>COUNTIF(WLSpread!$AB$2:$AB$1048467, A125)</f>
        <v>3</v>
      </c>
      <c r="D125" s="4" t="str">
        <f t="shared" si="1"/>
        <v>6-3</v>
      </c>
      <c r="E125" s="19">
        <f t="shared" si="2"/>
        <v>0.6666666667</v>
      </c>
      <c r="F125" s="4" t="s">
        <v>44</v>
      </c>
      <c r="G125" s="4" t="s">
        <v>225</v>
      </c>
      <c r="H125" s="7">
        <f>COUNTIFS(WLSpread!$Z$2:$Z$823, $A125, WLSpread!$V$2:$V$823, $F125)</f>
        <v>6</v>
      </c>
      <c r="I125" s="4">
        <f>COUNTIFS(WLSpread!$AB$2:$AB$823, $A125, WLSpread!$V$2:$V$823, $F125)</f>
        <v>1</v>
      </c>
      <c r="J125" s="4" t="str">
        <f t="shared" si="3"/>
        <v>6-1</v>
      </c>
      <c r="K125" s="22">
        <f t="shared" si="4"/>
        <v>0.8571428571</v>
      </c>
      <c r="L125" s="4" t="str">
        <f t="shared" si="5"/>
        <v>3-0</v>
      </c>
      <c r="M125" s="4" t="str">
        <f t="shared" si="6"/>
        <v>3-3</v>
      </c>
      <c r="N125" s="4">
        <f>COUNTIFS(WLSpread!$Z$2:$Z$784, $A125, WLSpread!$C$2:$C$784, $A125)</f>
        <v>3</v>
      </c>
      <c r="O125" s="4">
        <f>COUNTIFS(WLSpread!$AB$2:$AB$784, $A125, WLSpread!$C$2:$C$784, $A125)</f>
        <v>0</v>
      </c>
      <c r="P125" s="4">
        <f>COUNTIFS(WLSpread!$Z$2:$Z$784, $A125, WLSpread!$B$2:$B$784, $A125)</f>
        <v>3</v>
      </c>
      <c r="Q125" s="4">
        <f>COUNTIFS(WLSpread!$AB$2:$AB$784, $A125, WLSpread!$B$2:$B$784, $A125)</f>
        <v>3</v>
      </c>
      <c r="R125" s="4">
        <f t="shared" si="7"/>
        <v>9</v>
      </c>
      <c r="S125" s="7"/>
      <c r="T125" s="7"/>
      <c r="U125" s="7"/>
      <c r="V125" s="7"/>
      <c r="W125" s="7"/>
      <c r="X125" s="7"/>
      <c r="Y125" s="7"/>
      <c r="Z125" s="7"/>
    </row>
    <row r="126" ht="15.75" customHeight="1">
      <c r="A126" s="4" t="s">
        <v>176</v>
      </c>
      <c r="B126" s="4">
        <f>COUNTIF(WLSpread!$Z$2:$Z$1048467, A126)</f>
        <v>5</v>
      </c>
      <c r="C126" s="4">
        <f>COUNTIF(WLSpread!$AB$2:$AB$1048467, A126)</f>
        <v>2</v>
      </c>
      <c r="D126" s="4" t="str">
        <f t="shared" si="1"/>
        <v>5-2</v>
      </c>
      <c r="E126" s="19">
        <f t="shared" si="2"/>
        <v>0.7142857143</v>
      </c>
      <c r="F126" s="4" t="s">
        <v>121</v>
      </c>
      <c r="G126" s="4" t="s">
        <v>205</v>
      </c>
      <c r="H126" s="7">
        <f>COUNTIFS(WLSpread!$Z$2:$Z$823, $A126, WLSpread!$V$2:$V$823, $F126)</f>
        <v>5</v>
      </c>
      <c r="I126" s="4">
        <f>COUNTIFS(WLSpread!$AB$2:$AB$823, $A126, WLSpread!$V$2:$V$823, $F126)</f>
        <v>1</v>
      </c>
      <c r="J126" s="4" t="str">
        <f t="shared" si="3"/>
        <v>5-1</v>
      </c>
      <c r="K126" s="22">
        <f t="shared" si="4"/>
        <v>0.8333333333</v>
      </c>
      <c r="L126" s="4" t="str">
        <f t="shared" si="5"/>
        <v>2-1</v>
      </c>
      <c r="M126" s="4" t="str">
        <f t="shared" si="6"/>
        <v>3-1</v>
      </c>
      <c r="N126" s="4">
        <f>COUNTIFS(WLSpread!$Z$2:$Z$784, $A126, WLSpread!$C$2:$C$784, $A126)</f>
        <v>2</v>
      </c>
      <c r="O126" s="4">
        <f>COUNTIFS(WLSpread!$AB$2:$AB$784, $A126, WLSpread!$C$2:$C$784, $A126)</f>
        <v>1</v>
      </c>
      <c r="P126" s="4">
        <f>COUNTIFS(WLSpread!$Z$2:$Z$784, $A126, WLSpread!$B$2:$B$784, $A126)</f>
        <v>3</v>
      </c>
      <c r="Q126" s="4">
        <f>COUNTIFS(WLSpread!$AB$2:$AB$784, $A126, WLSpread!$B$2:$B$784, $A126)</f>
        <v>1</v>
      </c>
      <c r="R126" s="4">
        <f t="shared" si="7"/>
        <v>7</v>
      </c>
      <c r="S126" s="7"/>
      <c r="T126" s="7"/>
      <c r="U126" s="7"/>
      <c r="V126" s="7"/>
      <c r="W126" s="7"/>
      <c r="X126" s="7"/>
      <c r="Y126" s="7"/>
      <c r="Z126" s="7"/>
    </row>
    <row r="127" ht="15.75" customHeight="1">
      <c r="A127" s="4" t="s">
        <v>155</v>
      </c>
      <c r="B127" s="4">
        <f>COUNTIF(WLSpread!$Z$2:$Z$1048467, A127)</f>
        <v>0</v>
      </c>
      <c r="C127" s="4">
        <f>COUNTIF(WLSpread!$AB$2:$AB$1048467, A127)</f>
        <v>0</v>
      </c>
      <c r="D127" s="4" t="str">
        <f t="shared" si="1"/>
        <v>0-0</v>
      </c>
      <c r="E127" s="19" t="str">
        <f t="shared" si="2"/>
        <v>#DIV/0!</v>
      </c>
      <c r="F127" s="4" t="s">
        <v>44</v>
      </c>
      <c r="G127" s="4" t="s">
        <v>135</v>
      </c>
      <c r="H127" s="7">
        <f>COUNTIFS(WLSpread!$Z$2:$Z$823, $A127, WLSpread!$V$2:$V$823, $F127)</f>
        <v>0</v>
      </c>
      <c r="I127" s="4">
        <f>COUNTIFS(WLSpread!$AB$2:$AB$823, $A127, WLSpread!$V$2:$V$823, $F127)</f>
        <v>0</v>
      </c>
      <c r="J127" s="4" t="str">
        <f t="shared" si="3"/>
        <v>0-0</v>
      </c>
      <c r="K127" s="22" t="str">
        <f t="shared" si="4"/>
        <v>#DIV/0!</v>
      </c>
      <c r="L127" s="4" t="str">
        <f t="shared" si="5"/>
        <v>0-0</v>
      </c>
      <c r="M127" s="4" t="str">
        <f t="shared" si="6"/>
        <v>0-0</v>
      </c>
      <c r="N127" s="4">
        <f>COUNTIFS(WLSpread!$Z$2:$Z$784, $A127, WLSpread!$C$2:$C$784, $A127)</f>
        <v>0</v>
      </c>
      <c r="O127" s="4">
        <f>COUNTIFS(WLSpread!$AB$2:$AB$784, $A127, WLSpread!$C$2:$C$784, $A127)</f>
        <v>0</v>
      </c>
      <c r="P127" s="4">
        <f>COUNTIFS(WLSpread!$Z$2:$Z$784, $A127, WLSpread!$B$2:$B$784, $A127)</f>
        <v>0</v>
      </c>
      <c r="Q127" s="4">
        <f>COUNTIFS(WLSpread!$AB$2:$AB$784, $A127, WLSpread!$B$2:$B$784, $A127)</f>
        <v>0</v>
      </c>
      <c r="R127" s="4">
        <f t="shared" si="7"/>
        <v>0</v>
      </c>
      <c r="S127" s="7"/>
      <c r="T127" s="7"/>
      <c r="U127" s="7"/>
      <c r="V127" s="7"/>
      <c r="W127" s="7"/>
      <c r="X127" s="7"/>
      <c r="Y127" s="7"/>
      <c r="Z127" s="7"/>
    </row>
    <row r="128" ht="15.75" customHeight="1">
      <c r="A128" s="4" t="s">
        <v>188</v>
      </c>
      <c r="B128" s="4">
        <f>COUNTIF(WLSpread!$Z$2:$Z$1048467, A128)</f>
        <v>0</v>
      </c>
      <c r="C128" s="4">
        <f>COUNTIF(WLSpread!$AB$2:$AB$1048467, A128)</f>
        <v>0</v>
      </c>
      <c r="D128" s="4" t="str">
        <f t="shared" si="1"/>
        <v>0-0</v>
      </c>
      <c r="E128" s="19" t="str">
        <f t="shared" si="2"/>
        <v>#DIV/0!</v>
      </c>
      <c r="F128" s="4" t="s">
        <v>215</v>
      </c>
      <c r="G128" s="4" t="s">
        <v>215</v>
      </c>
      <c r="H128" s="7">
        <f>COUNTIFS(WLSpread!$Z$2:$Z$823, $A128, WLSpread!$V$2:$V$823, $F128)</f>
        <v>0</v>
      </c>
      <c r="I128" s="4">
        <f>COUNTIFS(WLSpread!$AB$2:$AB$823, $A128, WLSpread!$V$2:$V$823, $F128)</f>
        <v>0</v>
      </c>
      <c r="J128" s="4" t="str">
        <f t="shared" si="3"/>
        <v>0-0</v>
      </c>
      <c r="K128" s="22" t="str">
        <f t="shared" si="4"/>
        <v>#DIV/0!</v>
      </c>
      <c r="L128" s="4" t="str">
        <f t="shared" si="5"/>
        <v>0-0</v>
      </c>
      <c r="M128" s="4" t="str">
        <f t="shared" si="6"/>
        <v>0-0</v>
      </c>
      <c r="N128" s="4">
        <f>COUNTIFS(WLSpread!$Z$2:$Z$784, $A128, WLSpread!$C$2:$C$784, $A128)</f>
        <v>0</v>
      </c>
      <c r="O128" s="4">
        <f>COUNTIFS(WLSpread!$AB$2:$AB$784, $A128, WLSpread!$C$2:$C$784, $A128)</f>
        <v>0</v>
      </c>
      <c r="P128" s="4">
        <f>COUNTIFS(WLSpread!$Z$2:$Z$784, $A128, WLSpread!$B$2:$B$784, $A128)</f>
        <v>0</v>
      </c>
      <c r="Q128" s="4">
        <f>COUNTIFS(WLSpread!$AB$2:$AB$784, $A128, WLSpread!$B$2:$B$784, $A128)</f>
        <v>0</v>
      </c>
      <c r="R128" s="4">
        <f t="shared" si="7"/>
        <v>0</v>
      </c>
      <c r="S128" s="7"/>
      <c r="T128" s="7"/>
      <c r="U128" s="7"/>
      <c r="V128" s="7"/>
      <c r="W128" s="7"/>
      <c r="X128" s="7"/>
      <c r="Y128" s="7"/>
      <c r="Z128" s="7"/>
    </row>
    <row r="129" ht="15.75" customHeight="1">
      <c r="A129" s="4" t="s">
        <v>154</v>
      </c>
      <c r="B129" s="4">
        <f>COUNTIF(WLSpread!$Z$2:$Z$1048467, A129)</f>
        <v>0</v>
      </c>
      <c r="C129" s="4">
        <f>COUNTIF(WLSpread!$AB$2:$AB$1048467, A129)</f>
        <v>0</v>
      </c>
      <c r="D129" s="4" t="str">
        <f t="shared" si="1"/>
        <v>0-0</v>
      </c>
      <c r="E129" s="19" t="str">
        <f t="shared" si="2"/>
        <v>#DIV/0!</v>
      </c>
      <c r="F129" s="4" t="s">
        <v>84</v>
      </c>
      <c r="G129" s="4" t="s">
        <v>159</v>
      </c>
      <c r="H129" s="7">
        <f>COUNTIFS(WLSpread!$Z$2:$Z$823, $A129, WLSpread!$V$2:$V$823, $F129)</f>
        <v>0</v>
      </c>
      <c r="I129" s="4">
        <f>COUNTIFS(WLSpread!$AB$2:$AB$823, $A129, WLSpread!$V$2:$V$823, $F129)</f>
        <v>0</v>
      </c>
      <c r="J129" s="4" t="str">
        <f t="shared" si="3"/>
        <v>0-0</v>
      </c>
      <c r="K129" s="22" t="str">
        <f t="shared" si="4"/>
        <v>#DIV/0!</v>
      </c>
      <c r="L129" s="4" t="str">
        <f t="shared" si="5"/>
        <v>0-0</v>
      </c>
      <c r="M129" s="4" t="str">
        <f t="shared" si="6"/>
        <v>0-0</v>
      </c>
      <c r="N129" s="4">
        <f>COUNTIFS(WLSpread!$Z$2:$Z$784, $A129, WLSpread!$C$2:$C$784, $A129)</f>
        <v>0</v>
      </c>
      <c r="O129" s="4">
        <f>COUNTIFS(WLSpread!$AB$2:$AB$784, $A129, WLSpread!$C$2:$C$784, $A129)</f>
        <v>0</v>
      </c>
      <c r="P129" s="4">
        <f>COUNTIFS(WLSpread!$Z$2:$Z$784, $A129, WLSpread!$B$2:$B$784, $A129)</f>
        <v>0</v>
      </c>
      <c r="Q129" s="4">
        <f>COUNTIFS(WLSpread!$AB$2:$AB$784, $A129, WLSpread!$B$2:$B$784, $A129)</f>
        <v>0</v>
      </c>
      <c r="R129" s="4">
        <f t="shared" si="7"/>
        <v>0</v>
      </c>
      <c r="S129" s="7"/>
      <c r="T129" s="7"/>
      <c r="U129" s="7"/>
      <c r="V129" s="7"/>
      <c r="W129" s="7"/>
      <c r="X129" s="7"/>
      <c r="Y129" s="7"/>
      <c r="Z129" s="7"/>
    </row>
    <row r="130" ht="15.75" customHeight="1">
      <c r="A130" s="4" t="s">
        <v>73</v>
      </c>
      <c r="B130" s="4">
        <f>COUNTIF(WLSpread!$Z$2:$Z$1048467, A130)</f>
        <v>11</v>
      </c>
      <c r="C130" s="4">
        <f>COUNTIF(WLSpread!$AB$2:$AB$1048467, A130)</f>
        <v>1</v>
      </c>
      <c r="D130" s="4" t="str">
        <f t="shared" si="1"/>
        <v>11-1</v>
      </c>
      <c r="E130" s="19">
        <f t="shared" si="2"/>
        <v>0.9166666667</v>
      </c>
      <c r="F130" s="4" t="s">
        <v>215</v>
      </c>
      <c r="G130" s="4" t="s">
        <v>215</v>
      </c>
      <c r="H130" s="7">
        <f>COUNTIFS(WLSpread!$Z$2:$Z$823, $A130, WLSpread!$V$2:$V$823, $F130)</f>
        <v>0</v>
      </c>
      <c r="I130" s="4">
        <f>COUNTIFS(WLSpread!$AB$2:$AB$823, $A130, WLSpread!$V$2:$V$823, $F130)</f>
        <v>0</v>
      </c>
      <c r="J130" s="4" t="str">
        <f t="shared" si="3"/>
        <v>0-0</v>
      </c>
      <c r="K130" s="22" t="str">
        <f t="shared" si="4"/>
        <v>#DIV/0!</v>
      </c>
      <c r="L130" s="4" t="str">
        <f t="shared" si="5"/>
        <v>8-0</v>
      </c>
      <c r="M130" s="4" t="str">
        <f t="shared" si="6"/>
        <v>3-1</v>
      </c>
      <c r="N130" s="4">
        <f>COUNTIFS(WLSpread!$Z$2:$Z$784, $A130, WLSpread!$C$2:$C$784, $A130)</f>
        <v>8</v>
      </c>
      <c r="O130" s="4">
        <f>COUNTIFS(WLSpread!$AB$2:$AB$784, $A130, WLSpread!$C$2:$C$784, $A130)</f>
        <v>0</v>
      </c>
      <c r="P130" s="4">
        <f>COUNTIFS(WLSpread!$Z$2:$Z$784, $A130, WLSpread!$B$2:$B$784, $A130)</f>
        <v>3</v>
      </c>
      <c r="Q130" s="4">
        <f>COUNTIFS(WLSpread!$AB$2:$AB$784, $A130, WLSpread!$B$2:$B$784, $A130)</f>
        <v>1</v>
      </c>
      <c r="R130" s="4">
        <f t="shared" si="7"/>
        <v>12</v>
      </c>
      <c r="S130" s="7"/>
      <c r="T130" s="7"/>
      <c r="U130" s="7"/>
      <c r="V130" s="7"/>
      <c r="W130" s="7"/>
      <c r="X130" s="7"/>
      <c r="Y130" s="7"/>
      <c r="Z130" s="7"/>
    </row>
    <row r="131" ht="15.75" customHeight="1">
      <c r="A131" s="4" t="s">
        <v>88</v>
      </c>
      <c r="B131" s="4">
        <f>COUNTIF(WLSpread!$Z$2:$Z$1048467, A131)</f>
        <v>9</v>
      </c>
      <c r="C131" s="4">
        <f>COUNTIF(WLSpread!$AB$2:$AB$1048467, A131)</f>
        <v>3</v>
      </c>
      <c r="D131" s="4" t="str">
        <f t="shared" si="1"/>
        <v>9-3</v>
      </c>
      <c r="E131" s="19">
        <f t="shared" si="2"/>
        <v>0.75</v>
      </c>
      <c r="F131" s="4" t="s">
        <v>215</v>
      </c>
      <c r="G131" s="4" t="s">
        <v>215</v>
      </c>
      <c r="H131" s="7">
        <f>COUNTIFS(WLSpread!$Z$2:$Z$823, $A131, WLSpread!$V$2:$V$823, $F131)</f>
        <v>0</v>
      </c>
      <c r="I131" s="4">
        <f>COUNTIFS(WLSpread!$AB$2:$AB$823, $A131, WLSpread!$V$2:$V$823, $F131)</f>
        <v>0</v>
      </c>
      <c r="J131" s="4" t="str">
        <f t="shared" si="3"/>
        <v>0-0</v>
      </c>
      <c r="K131" s="22" t="str">
        <f t="shared" si="4"/>
        <v>#DIV/0!</v>
      </c>
      <c r="L131" s="4" t="str">
        <f t="shared" si="5"/>
        <v>8-1</v>
      </c>
      <c r="M131" s="4" t="str">
        <f t="shared" si="6"/>
        <v>1-2</v>
      </c>
      <c r="N131" s="4">
        <f>COUNTIFS(WLSpread!$Z$2:$Z$784, $A131, WLSpread!$C$2:$C$784, $A131)</f>
        <v>8</v>
      </c>
      <c r="O131" s="4">
        <f>COUNTIFS(WLSpread!$AB$2:$AB$784, $A131, WLSpread!$C$2:$C$784, $A131)</f>
        <v>1</v>
      </c>
      <c r="P131" s="4">
        <f>COUNTIFS(WLSpread!$Z$2:$Z$784, $A131, WLSpread!$B$2:$B$784, $A131)</f>
        <v>1</v>
      </c>
      <c r="Q131" s="4">
        <f>COUNTIFS(WLSpread!$AB$2:$AB$784, $A131, WLSpread!$B$2:$B$784, $A131)</f>
        <v>2</v>
      </c>
      <c r="R131" s="4">
        <f t="shared" si="7"/>
        <v>12</v>
      </c>
      <c r="S131" s="7"/>
      <c r="T131" s="7"/>
      <c r="U131" s="7"/>
      <c r="V131" s="7"/>
      <c r="W131" s="7"/>
      <c r="X131" s="7"/>
      <c r="Y131" s="7"/>
      <c r="Z131" s="7"/>
    </row>
    <row r="132" ht="15.75" customHeight="1">
      <c r="A132" s="4"/>
      <c r="B132" s="4"/>
      <c r="C132" s="4"/>
      <c r="D132" s="4"/>
      <c r="E132" s="19"/>
      <c r="F132" s="4"/>
      <c r="G132" s="4"/>
      <c r="H132" s="7"/>
      <c r="I132" s="4"/>
      <c r="J132" s="4"/>
      <c r="K132" s="22"/>
      <c r="L132" s="4"/>
      <c r="M132" s="4"/>
      <c r="N132" s="4"/>
      <c r="O132" s="4"/>
      <c r="P132" s="4"/>
      <c r="Q132" s="4"/>
      <c r="R132" s="4"/>
      <c r="S132" s="7"/>
      <c r="T132" s="7"/>
      <c r="U132" s="7"/>
      <c r="V132" s="7"/>
      <c r="W132" s="7"/>
      <c r="X132" s="7"/>
      <c r="Y132" s="7"/>
      <c r="Z132" s="7"/>
    </row>
    <row r="133" ht="15.75" customHeight="1">
      <c r="A133" s="4"/>
      <c r="B133" s="4"/>
      <c r="C133" s="4"/>
      <c r="D133" s="4"/>
      <c r="E133" s="19"/>
      <c r="F133" s="4"/>
      <c r="G133" s="4"/>
      <c r="H133" s="7"/>
      <c r="I133" s="4"/>
      <c r="J133" s="4"/>
      <c r="K133" s="22"/>
      <c r="L133" s="4"/>
      <c r="M133" s="4"/>
      <c r="N133" s="4"/>
      <c r="O133" s="4"/>
      <c r="P133" s="4"/>
      <c r="Q133" s="4"/>
      <c r="R133" s="4"/>
      <c r="S133" s="7"/>
      <c r="T133" s="7"/>
      <c r="U133" s="7"/>
      <c r="V133" s="7"/>
      <c r="W133" s="7"/>
      <c r="X133" s="7"/>
      <c r="Y133" s="7"/>
      <c r="Z133" s="7"/>
    </row>
    <row r="134" ht="15.75" customHeight="1">
      <c r="A134" s="4"/>
      <c r="B134" s="4"/>
      <c r="C134" s="4"/>
      <c r="D134" s="4"/>
      <c r="E134" s="19"/>
      <c r="F134" s="4"/>
      <c r="G134" s="4"/>
      <c r="H134" s="7"/>
      <c r="I134" s="4"/>
      <c r="J134" s="4"/>
      <c r="K134" s="22"/>
      <c r="L134" s="4"/>
      <c r="M134" s="4"/>
      <c r="N134" s="4"/>
      <c r="O134" s="4"/>
      <c r="P134" s="4"/>
      <c r="Q134" s="4"/>
      <c r="R134" s="4"/>
      <c r="S134" s="7"/>
      <c r="T134" s="7"/>
      <c r="U134" s="7"/>
      <c r="V134" s="7"/>
      <c r="W134" s="7"/>
      <c r="X134" s="7"/>
      <c r="Y134" s="7"/>
      <c r="Z134" s="7"/>
    </row>
    <row r="135" ht="15.75" customHeight="1">
      <c r="A135" s="4"/>
      <c r="B135" s="4"/>
      <c r="C135" s="4"/>
      <c r="D135" s="4"/>
      <c r="E135" s="19"/>
      <c r="F135" s="4"/>
      <c r="G135" s="4"/>
      <c r="H135" s="7"/>
      <c r="I135" s="4"/>
      <c r="J135" s="4"/>
      <c r="K135" s="22"/>
      <c r="L135" s="4"/>
      <c r="M135" s="4"/>
      <c r="N135" s="4"/>
      <c r="O135" s="4"/>
      <c r="P135" s="4"/>
      <c r="Q135" s="4"/>
      <c r="R135" s="4"/>
      <c r="S135" s="7"/>
      <c r="T135" s="7"/>
      <c r="U135" s="7"/>
      <c r="V135" s="7"/>
      <c r="W135" s="7"/>
      <c r="X135" s="7"/>
      <c r="Y135" s="7"/>
      <c r="Z135" s="7"/>
    </row>
    <row r="136" ht="15.75" customHeight="1">
      <c r="A136" s="4"/>
      <c r="B136" s="4"/>
      <c r="C136" s="4"/>
      <c r="D136" s="4"/>
      <c r="E136" s="19"/>
      <c r="F136" s="4"/>
      <c r="G136" s="4"/>
      <c r="H136" s="7"/>
      <c r="I136" s="4"/>
      <c r="J136" s="4"/>
      <c r="K136" s="22"/>
      <c r="L136" s="4"/>
      <c r="M136" s="4"/>
      <c r="N136" s="4"/>
      <c r="O136" s="4"/>
      <c r="P136" s="4"/>
      <c r="Q136" s="4"/>
      <c r="R136" s="4"/>
      <c r="S136" s="7"/>
      <c r="T136" s="7"/>
      <c r="U136" s="7"/>
      <c r="V136" s="7"/>
      <c r="W136" s="7"/>
      <c r="X136" s="7"/>
      <c r="Y136" s="7"/>
      <c r="Z136" s="7"/>
    </row>
    <row r="137" ht="15.75" customHeight="1">
      <c r="A137" s="4"/>
      <c r="B137" s="4"/>
      <c r="C137" s="4"/>
      <c r="D137" s="4"/>
      <c r="E137" s="19"/>
      <c r="F137" s="4"/>
      <c r="G137" s="4"/>
      <c r="H137" s="7"/>
      <c r="I137" s="4"/>
      <c r="J137" s="4"/>
      <c r="K137" s="22"/>
      <c r="L137" s="4"/>
      <c r="M137" s="4"/>
      <c r="N137" s="4"/>
      <c r="O137" s="4"/>
      <c r="P137" s="4"/>
      <c r="Q137" s="4"/>
      <c r="R137" s="4"/>
      <c r="S137" s="7"/>
      <c r="T137" s="7"/>
      <c r="U137" s="7"/>
      <c r="V137" s="7"/>
      <c r="W137" s="7"/>
      <c r="X137" s="7"/>
      <c r="Y137" s="7"/>
      <c r="Z137" s="7"/>
    </row>
    <row r="138" ht="15.75" customHeight="1">
      <c r="A138" s="4"/>
      <c r="B138" s="4"/>
      <c r="C138" s="4"/>
      <c r="D138" s="4"/>
      <c r="E138" s="19"/>
      <c r="F138" s="4"/>
      <c r="G138" s="4"/>
      <c r="H138" s="7"/>
      <c r="I138" s="4"/>
      <c r="J138" s="4"/>
      <c r="K138" s="22"/>
      <c r="L138" s="4"/>
      <c r="M138" s="4"/>
      <c r="N138" s="4"/>
      <c r="O138" s="4"/>
      <c r="P138" s="4"/>
      <c r="Q138" s="4"/>
      <c r="R138" s="4"/>
      <c r="S138" s="7"/>
      <c r="T138" s="7"/>
      <c r="U138" s="7"/>
      <c r="V138" s="7"/>
      <c r="W138" s="7"/>
      <c r="X138" s="7"/>
      <c r="Y138" s="7"/>
      <c r="Z138" s="7"/>
    </row>
    <row r="139" ht="15.75" customHeight="1">
      <c r="A139" s="4"/>
      <c r="B139" s="4"/>
      <c r="C139" s="4"/>
      <c r="D139" s="4"/>
      <c r="E139" s="19"/>
      <c r="F139" s="4"/>
      <c r="G139" s="4"/>
      <c r="H139" s="7"/>
      <c r="I139" s="4"/>
      <c r="J139" s="4"/>
      <c r="K139" s="22"/>
      <c r="L139" s="4"/>
      <c r="M139" s="4"/>
      <c r="N139" s="4"/>
      <c r="O139" s="4"/>
      <c r="P139" s="4"/>
      <c r="Q139" s="4"/>
      <c r="R139" s="4"/>
      <c r="S139" s="7"/>
      <c r="T139" s="7"/>
      <c r="U139" s="7"/>
      <c r="V139" s="7"/>
      <c r="W139" s="7"/>
      <c r="X139" s="7"/>
      <c r="Y139" s="7"/>
      <c r="Z139" s="7"/>
    </row>
    <row r="140" ht="15.75" customHeight="1">
      <c r="A140" s="4"/>
      <c r="B140" s="4"/>
      <c r="C140" s="4"/>
      <c r="D140" s="4"/>
      <c r="E140" s="19"/>
      <c r="F140" s="4"/>
      <c r="G140" s="4"/>
      <c r="H140" s="7"/>
      <c r="I140" s="4"/>
      <c r="J140" s="4"/>
      <c r="K140" s="22"/>
      <c r="L140" s="4"/>
      <c r="M140" s="4"/>
      <c r="N140" s="4"/>
      <c r="O140" s="4"/>
      <c r="P140" s="4"/>
      <c r="Q140" s="4"/>
      <c r="R140" s="4"/>
      <c r="S140" s="7"/>
      <c r="T140" s="7"/>
      <c r="U140" s="7"/>
      <c r="V140" s="7"/>
      <c r="W140" s="7"/>
      <c r="X140" s="7"/>
      <c r="Y140" s="7"/>
      <c r="Z140" s="7"/>
    </row>
    <row r="141" ht="15.75" customHeight="1">
      <c r="A141" s="4"/>
      <c r="B141" s="4"/>
      <c r="C141" s="4"/>
      <c r="D141" s="4"/>
      <c r="E141" s="19"/>
      <c r="F141" s="4"/>
      <c r="G141" s="4"/>
      <c r="H141" s="7"/>
      <c r="I141" s="4"/>
      <c r="J141" s="4"/>
      <c r="K141" s="22"/>
      <c r="L141" s="4"/>
      <c r="M141" s="4"/>
      <c r="N141" s="4"/>
      <c r="O141" s="4"/>
      <c r="P141" s="4"/>
      <c r="Q141" s="4"/>
      <c r="R141" s="4"/>
      <c r="S141" s="7"/>
      <c r="T141" s="7"/>
      <c r="U141" s="7"/>
      <c r="V141" s="7"/>
      <c r="W141" s="7"/>
      <c r="X141" s="7"/>
      <c r="Y141" s="7"/>
      <c r="Z141" s="7"/>
    </row>
    <row r="142" ht="15.75" customHeight="1">
      <c r="A142" s="4"/>
      <c r="B142" s="4"/>
      <c r="C142" s="4"/>
      <c r="D142" s="4"/>
      <c r="E142" s="19"/>
      <c r="F142" s="4"/>
      <c r="G142" s="4"/>
      <c r="H142" s="7"/>
      <c r="I142" s="4"/>
      <c r="J142" s="4"/>
      <c r="K142" s="22"/>
      <c r="L142" s="4"/>
      <c r="M142" s="4"/>
      <c r="N142" s="4"/>
      <c r="O142" s="4"/>
      <c r="P142" s="4"/>
      <c r="Q142" s="4"/>
      <c r="R142" s="4"/>
      <c r="S142" s="7"/>
      <c r="T142" s="7"/>
      <c r="U142" s="7"/>
      <c r="V142" s="7"/>
      <c r="W142" s="7"/>
      <c r="X142" s="7"/>
      <c r="Y142" s="7"/>
      <c r="Z142" s="7"/>
    </row>
    <row r="143" ht="15.75" customHeight="1">
      <c r="A143" s="4"/>
      <c r="B143" s="4"/>
      <c r="C143" s="4"/>
      <c r="D143" s="4"/>
      <c r="E143" s="19"/>
      <c r="F143" s="4"/>
      <c r="G143" s="4"/>
      <c r="H143" s="7"/>
      <c r="I143" s="4"/>
      <c r="J143" s="4"/>
      <c r="K143" s="22"/>
      <c r="L143" s="4"/>
      <c r="M143" s="4"/>
      <c r="N143" s="4"/>
      <c r="O143" s="4"/>
      <c r="P143" s="4"/>
      <c r="Q143" s="4"/>
      <c r="R143" s="4"/>
      <c r="S143" s="7"/>
      <c r="T143" s="7"/>
      <c r="U143" s="7"/>
      <c r="V143" s="7"/>
      <c r="W143" s="7"/>
      <c r="X143" s="7"/>
      <c r="Y143" s="7"/>
      <c r="Z143" s="7"/>
    </row>
    <row r="144" ht="15.75" customHeight="1">
      <c r="A144" s="4"/>
      <c r="B144" s="4"/>
      <c r="C144" s="4"/>
      <c r="D144" s="4"/>
      <c r="E144" s="19"/>
      <c r="F144" s="4"/>
      <c r="G144" s="4"/>
      <c r="H144" s="7"/>
      <c r="I144" s="4"/>
      <c r="J144" s="4"/>
      <c r="K144" s="22"/>
      <c r="L144" s="4"/>
      <c r="M144" s="4"/>
      <c r="N144" s="4"/>
      <c r="O144" s="4"/>
      <c r="P144" s="4"/>
      <c r="Q144" s="4"/>
      <c r="R144" s="4"/>
      <c r="S144" s="7"/>
      <c r="T144" s="7"/>
      <c r="U144" s="7"/>
      <c r="V144" s="7"/>
      <c r="W144" s="7"/>
      <c r="X144" s="7"/>
      <c r="Y144" s="7"/>
      <c r="Z144" s="7"/>
    </row>
    <row r="145" ht="15.75" customHeight="1">
      <c r="A145" s="4"/>
      <c r="B145" s="4"/>
      <c r="C145" s="4"/>
      <c r="D145" s="4"/>
      <c r="E145" s="19"/>
      <c r="F145" s="4"/>
      <c r="G145" s="4"/>
      <c r="H145" s="7"/>
      <c r="I145" s="4"/>
      <c r="J145" s="4"/>
      <c r="K145" s="22"/>
      <c r="L145" s="4"/>
      <c r="M145" s="4"/>
      <c r="N145" s="4"/>
      <c r="O145" s="4"/>
      <c r="P145" s="4"/>
      <c r="Q145" s="4"/>
      <c r="R145" s="4"/>
      <c r="S145" s="7"/>
      <c r="T145" s="7"/>
      <c r="U145" s="7"/>
      <c r="V145" s="7"/>
      <c r="W145" s="7"/>
      <c r="X145" s="7"/>
      <c r="Y145" s="7"/>
      <c r="Z145" s="7"/>
    </row>
    <row r="146" ht="15.75" customHeight="1">
      <c r="A146" s="4"/>
      <c r="B146" s="4"/>
      <c r="C146" s="4"/>
      <c r="D146" s="4"/>
      <c r="E146" s="19"/>
      <c r="F146" s="4"/>
      <c r="G146" s="4"/>
      <c r="H146" s="7"/>
      <c r="I146" s="4"/>
      <c r="J146" s="4"/>
      <c r="K146" s="22"/>
      <c r="L146" s="4"/>
      <c r="M146" s="4"/>
      <c r="N146" s="4"/>
      <c r="O146" s="4"/>
      <c r="P146" s="4"/>
      <c r="Q146" s="4"/>
      <c r="R146" s="4"/>
      <c r="S146" s="7"/>
      <c r="T146" s="7"/>
      <c r="U146" s="7"/>
      <c r="V146" s="7"/>
      <c r="W146" s="7"/>
      <c r="X146" s="7"/>
      <c r="Y146" s="7"/>
      <c r="Z146" s="7"/>
    </row>
    <row r="147" ht="15.75" customHeight="1">
      <c r="A147" s="4"/>
      <c r="B147" s="4"/>
      <c r="C147" s="4"/>
      <c r="D147" s="4"/>
      <c r="E147" s="19"/>
      <c r="F147" s="4"/>
      <c r="G147" s="4"/>
      <c r="H147" s="7"/>
      <c r="I147" s="4"/>
      <c r="J147" s="4"/>
      <c r="K147" s="22"/>
      <c r="L147" s="4"/>
      <c r="M147" s="4"/>
      <c r="N147" s="4"/>
      <c r="O147" s="4"/>
      <c r="P147" s="4"/>
      <c r="Q147" s="4"/>
      <c r="R147" s="4"/>
      <c r="S147" s="7"/>
      <c r="T147" s="7"/>
      <c r="U147" s="7"/>
      <c r="V147" s="7"/>
      <c r="W147" s="7"/>
      <c r="X147" s="7"/>
      <c r="Y147" s="7"/>
      <c r="Z147" s="7"/>
    </row>
    <row r="148" ht="15.75" customHeight="1">
      <c r="A148" s="4"/>
      <c r="B148" s="4"/>
      <c r="C148" s="4"/>
      <c r="D148" s="4"/>
      <c r="E148" s="19"/>
      <c r="F148" s="4"/>
      <c r="G148" s="4"/>
      <c r="H148" s="7"/>
      <c r="I148" s="4"/>
      <c r="J148" s="4"/>
      <c r="K148" s="22"/>
      <c r="L148" s="4"/>
      <c r="M148" s="4"/>
      <c r="N148" s="4"/>
      <c r="O148" s="4"/>
      <c r="P148" s="4"/>
      <c r="Q148" s="4"/>
      <c r="R148" s="4"/>
      <c r="S148" s="7"/>
      <c r="T148" s="7"/>
      <c r="U148" s="7"/>
      <c r="V148" s="7"/>
      <c r="W148" s="7"/>
      <c r="X148" s="7"/>
      <c r="Y148" s="7"/>
      <c r="Z148" s="7"/>
    </row>
    <row r="149" ht="15.75" customHeight="1">
      <c r="A149" s="4"/>
      <c r="B149" s="4"/>
      <c r="C149" s="4"/>
      <c r="D149" s="4"/>
      <c r="E149" s="19"/>
      <c r="F149" s="4"/>
      <c r="G149" s="4"/>
      <c r="H149" s="7"/>
      <c r="I149" s="4"/>
      <c r="J149" s="4"/>
      <c r="K149" s="22"/>
      <c r="L149" s="4"/>
      <c r="M149" s="4"/>
      <c r="N149" s="4"/>
      <c r="O149" s="4"/>
      <c r="P149" s="4"/>
      <c r="Q149" s="4"/>
      <c r="R149" s="4"/>
      <c r="S149" s="7"/>
      <c r="T149" s="7"/>
      <c r="U149" s="7"/>
      <c r="V149" s="7"/>
      <c r="W149" s="7"/>
      <c r="X149" s="7"/>
      <c r="Y149" s="7"/>
      <c r="Z149" s="7"/>
    </row>
    <row r="150" ht="15.75" customHeight="1">
      <c r="A150" s="4"/>
      <c r="B150" s="4"/>
      <c r="C150" s="4"/>
      <c r="D150" s="4"/>
      <c r="E150" s="19"/>
      <c r="F150" s="4"/>
      <c r="G150" s="4"/>
      <c r="H150" s="7"/>
      <c r="I150" s="4"/>
      <c r="J150" s="4"/>
      <c r="K150" s="22"/>
      <c r="L150" s="4"/>
      <c r="M150" s="4"/>
      <c r="N150" s="4"/>
      <c r="O150" s="4"/>
      <c r="P150" s="4"/>
      <c r="Q150" s="4"/>
      <c r="R150" s="4"/>
      <c r="S150" s="7"/>
      <c r="T150" s="7"/>
      <c r="U150" s="7"/>
      <c r="V150" s="7"/>
      <c r="W150" s="7"/>
      <c r="X150" s="7"/>
      <c r="Y150" s="7"/>
      <c r="Z150" s="7"/>
    </row>
    <row r="151" ht="15.75" customHeight="1">
      <c r="A151" s="4"/>
      <c r="B151" s="4"/>
      <c r="C151" s="4"/>
      <c r="D151" s="4"/>
      <c r="E151" s="19"/>
      <c r="F151" s="4"/>
      <c r="G151" s="4"/>
      <c r="H151" s="7"/>
      <c r="I151" s="4"/>
      <c r="J151" s="4"/>
      <c r="K151" s="22"/>
      <c r="L151" s="4"/>
      <c r="M151" s="4"/>
      <c r="N151" s="4"/>
      <c r="O151" s="4"/>
      <c r="P151" s="4"/>
      <c r="Q151" s="4"/>
      <c r="R151" s="4"/>
      <c r="S151" s="7"/>
      <c r="T151" s="7"/>
      <c r="U151" s="7"/>
      <c r="V151" s="7"/>
      <c r="W151" s="7"/>
      <c r="X151" s="7"/>
      <c r="Y151" s="7"/>
      <c r="Z151" s="7"/>
    </row>
    <row r="152" ht="15.75" customHeight="1">
      <c r="A152" s="4"/>
      <c r="B152" s="4"/>
      <c r="C152" s="4"/>
      <c r="D152" s="4"/>
      <c r="E152" s="19"/>
      <c r="F152" s="4"/>
      <c r="G152" s="4"/>
      <c r="H152" s="7"/>
      <c r="I152" s="4"/>
      <c r="J152" s="4"/>
      <c r="K152" s="22"/>
      <c r="L152" s="4"/>
      <c r="M152" s="4"/>
      <c r="N152" s="4"/>
      <c r="O152" s="4"/>
      <c r="P152" s="4"/>
      <c r="Q152" s="4"/>
      <c r="R152" s="4"/>
      <c r="S152" s="7"/>
      <c r="T152" s="7"/>
      <c r="U152" s="7"/>
      <c r="V152" s="7"/>
      <c r="W152" s="7"/>
      <c r="X152" s="7"/>
      <c r="Y152" s="7"/>
      <c r="Z152" s="7"/>
    </row>
    <row r="153" ht="15.75" customHeight="1">
      <c r="A153" s="4"/>
      <c r="B153" s="4"/>
      <c r="C153" s="4"/>
      <c r="D153" s="4"/>
      <c r="E153" s="19"/>
      <c r="F153" s="4"/>
      <c r="G153" s="4"/>
      <c r="H153" s="7"/>
      <c r="I153" s="4"/>
      <c r="J153" s="4"/>
      <c r="K153" s="22"/>
      <c r="L153" s="4"/>
      <c r="M153" s="4"/>
      <c r="N153" s="4"/>
      <c r="O153" s="4"/>
      <c r="P153" s="4"/>
      <c r="Q153" s="4"/>
      <c r="R153" s="4"/>
      <c r="S153" s="7"/>
      <c r="T153" s="7"/>
      <c r="U153" s="7"/>
      <c r="V153" s="7"/>
      <c r="W153" s="7"/>
      <c r="X153" s="7"/>
      <c r="Y153" s="7"/>
      <c r="Z153" s="7"/>
    </row>
    <row r="154" ht="15.75" customHeight="1">
      <c r="A154" s="4"/>
      <c r="B154" s="4"/>
      <c r="C154" s="4"/>
      <c r="D154" s="4"/>
      <c r="E154" s="19"/>
      <c r="F154" s="4"/>
      <c r="G154" s="4"/>
      <c r="H154" s="7"/>
      <c r="I154" s="4"/>
      <c r="J154" s="4"/>
      <c r="K154" s="22"/>
      <c r="L154" s="4"/>
      <c r="M154" s="4"/>
      <c r="N154" s="4"/>
      <c r="O154" s="4"/>
      <c r="P154" s="4"/>
      <c r="Q154" s="4"/>
      <c r="R154" s="4"/>
      <c r="S154" s="7"/>
      <c r="T154" s="7"/>
      <c r="U154" s="7"/>
      <c r="V154" s="7"/>
      <c r="W154" s="7"/>
      <c r="X154" s="7"/>
      <c r="Y154" s="7"/>
      <c r="Z154" s="7"/>
    </row>
    <row r="155" ht="15.75" customHeight="1">
      <c r="A155" s="4"/>
      <c r="B155" s="4"/>
      <c r="C155" s="4"/>
      <c r="D155" s="4"/>
      <c r="E155" s="19"/>
      <c r="F155" s="4"/>
      <c r="G155" s="4"/>
      <c r="H155" s="7"/>
      <c r="I155" s="4"/>
      <c r="J155" s="4"/>
      <c r="K155" s="22"/>
      <c r="L155" s="4"/>
      <c r="M155" s="4"/>
      <c r="N155" s="4"/>
      <c r="O155" s="4"/>
      <c r="P155" s="4"/>
      <c r="Q155" s="4"/>
      <c r="R155" s="4"/>
      <c r="S155" s="7"/>
      <c r="T155" s="7"/>
      <c r="U155" s="7"/>
      <c r="V155" s="7"/>
      <c r="W155" s="7"/>
      <c r="X155" s="7"/>
      <c r="Y155" s="7"/>
      <c r="Z155" s="7"/>
    </row>
    <row r="156" ht="15.75" customHeight="1">
      <c r="A156" s="4"/>
      <c r="B156" s="4"/>
      <c r="C156" s="4"/>
      <c r="D156" s="4"/>
      <c r="E156" s="19"/>
      <c r="F156" s="4"/>
      <c r="G156" s="4"/>
      <c r="H156" s="7"/>
      <c r="I156" s="4"/>
      <c r="J156" s="4"/>
      <c r="K156" s="22"/>
      <c r="L156" s="4"/>
      <c r="M156" s="4"/>
      <c r="N156" s="4"/>
      <c r="O156" s="4"/>
      <c r="P156" s="4"/>
      <c r="Q156" s="4"/>
      <c r="R156" s="4"/>
      <c r="S156" s="7"/>
      <c r="T156" s="7"/>
      <c r="U156" s="7"/>
      <c r="V156" s="7"/>
      <c r="W156" s="7"/>
      <c r="X156" s="7"/>
      <c r="Y156" s="7"/>
      <c r="Z156" s="7"/>
    </row>
    <row r="157" ht="15.75" customHeight="1">
      <c r="A157" s="4"/>
      <c r="B157" s="4"/>
      <c r="C157" s="4"/>
      <c r="D157" s="4"/>
      <c r="E157" s="19"/>
      <c r="F157" s="4"/>
      <c r="G157" s="4"/>
      <c r="H157" s="7"/>
      <c r="I157" s="4"/>
      <c r="J157" s="4"/>
      <c r="K157" s="22"/>
      <c r="L157" s="4"/>
      <c r="M157" s="4"/>
      <c r="N157" s="4"/>
      <c r="O157" s="4"/>
      <c r="P157" s="4"/>
      <c r="Q157" s="4"/>
      <c r="R157" s="4"/>
      <c r="S157" s="7"/>
      <c r="T157" s="7"/>
      <c r="U157" s="7"/>
      <c r="V157" s="7"/>
      <c r="W157" s="7"/>
      <c r="X157" s="7"/>
      <c r="Y157" s="7"/>
      <c r="Z157" s="7"/>
    </row>
    <row r="158" ht="15.75" customHeight="1">
      <c r="A158" s="4"/>
      <c r="B158" s="4"/>
      <c r="C158" s="4"/>
      <c r="D158" s="4"/>
      <c r="E158" s="19"/>
      <c r="F158" s="4"/>
      <c r="G158" s="4"/>
      <c r="H158" s="7"/>
      <c r="I158" s="4"/>
      <c r="J158" s="4"/>
      <c r="K158" s="22"/>
      <c r="L158" s="4"/>
      <c r="M158" s="4"/>
      <c r="N158" s="4"/>
      <c r="O158" s="4"/>
      <c r="P158" s="4"/>
      <c r="Q158" s="4"/>
      <c r="R158" s="4"/>
      <c r="S158" s="7"/>
      <c r="T158" s="7"/>
      <c r="U158" s="7"/>
      <c r="V158" s="7"/>
      <c r="W158" s="7"/>
      <c r="X158" s="7"/>
      <c r="Y158" s="7"/>
      <c r="Z158" s="7"/>
    </row>
    <row r="159" ht="15.75" customHeight="1">
      <c r="A159" s="4"/>
      <c r="B159" s="4"/>
      <c r="C159" s="4"/>
      <c r="D159" s="4"/>
      <c r="E159" s="19"/>
      <c r="F159" s="4"/>
      <c r="G159" s="4"/>
      <c r="H159" s="7"/>
      <c r="I159" s="4"/>
      <c r="J159" s="4"/>
      <c r="K159" s="22"/>
      <c r="L159" s="4"/>
      <c r="M159" s="4"/>
      <c r="N159" s="4"/>
      <c r="O159" s="4"/>
      <c r="P159" s="4"/>
      <c r="Q159" s="4"/>
      <c r="R159" s="4"/>
      <c r="S159" s="7"/>
      <c r="T159" s="7"/>
      <c r="U159" s="7"/>
      <c r="V159" s="7"/>
      <c r="W159" s="7"/>
      <c r="X159" s="7"/>
      <c r="Y159" s="7"/>
      <c r="Z159" s="7"/>
    </row>
    <row r="160" ht="15.75" customHeight="1">
      <c r="A160" s="4"/>
      <c r="B160" s="4"/>
      <c r="C160" s="4"/>
      <c r="D160" s="4"/>
      <c r="E160" s="19"/>
      <c r="F160" s="4"/>
      <c r="G160" s="4"/>
      <c r="H160" s="7"/>
      <c r="I160" s="4"/>
      <c r="J160" s="4"/>
      <c r="K160" s="22"/>
      <c r="L160" s="4"/>
      <c r="M160" s="4"/>
      <c r="N160" s="4"/>
      <c r="O160" s="4"/>
      <c r="P160" s="4"/>
      <c r="Q160" s="4"/>
      <c r="R160" s="4"/>
      <c r="S160" s="7"/>
      <c r="T160" s="7"/>
      <c r="U160" s="7"/>
      <c r="V160" s="7"/>
      <c r="W160" s="7"/>
      <c r="X160" s="7"/>
      <c r="Y160" s="7"/>
      <c r="Z160" s="7"/>
    </row>
    <row r="161" ht="15.75" customHeight="1">
      <c r="A161" s="4"/>
      <c r="B161" s="4"/>
      <c r="C161" s="4"/>
      <c r="D161" s="4"/>
      <c r="E161" s="19"/>
      <c r="F161" s="4"/>
      <c r="G161" s="4"/>
      <c r="H161" s="7"/>
      <c r="I161" s="4"/>
      <c r="J161" s="4"/>
      <c r="K161" s="22"/>
      <c r="L161" s="4"/>
      <c r="M161" s="4"/>
      <c r="N161" s="4"/>
      <c r="O161" s="4"/>
      <c r="P161" s="4"/>
      <c r="Q161" s="4"/>
      <c r="R161" s="4"/>
      <c r="S161" s="7"/>
      <c r="T161" s="7"/>
      <c r="U161" s="7"/>
      <c r="V161" s="7"/>
      <c r="W161" s="7"/>
      <c r="X161" s="7"/>
      <c r="Y161" s="7"/>
      <c r="Z161" s="7"/>
    </row>
    <row r="162" ht="15.75" customHeight="1">
      <c r="A162" s="4"/>
      <c r="B162" s="4"/>
      <c r="C162" s="4"/>
      <c r="D162" s="4"/>
      <c r="E162" s="19"/>
      <c r="F162" s="4"/>
      <c r="G162" s="4"/>
      <c r="H162" s="7"/>
      <c r="I162" s="4"/>
      <c r="J162" s="4"/>
      <c r="K162" s="22"/>
      <c r="L162" s="4"/>
      <c r="M162" s="4"/>
      <c r="N162" s="4"/>
      <c r="O162" s="4"/>
      <c r="P162" s="4"/>
      <c r="Q162" s="4"/>
      <c r="R162" s="4"/>
      <c r="S162" s="7"/>
      <c r="T162" s="7"/>
      <c r="U162" s="7"/>
      <c r="V162" s="7"/>
      <c r="W162" s="7"/>
      <c r="X162" s="7"/>
      <c r="Y162" s="7"/>
      <c r="Z162" s="7"/>
    </row>
    <row r="163" ht="15.75" customHeight="1">
      <c r="A163" s="4"/>
      <c r="B163" s="4"/>
      <c r="C163" s="4"/>
      <c r="D163" s="4"/>
      <c r="E163" s="19"/>
      <c r="F163" s="4"/>
      <c r="G163" s="4"/>
      <c r="H163" s="7"/>
      <c r="I163" s="4"/>
      <c r="J163" s="4"/>
      <c r="K163" s="22"/>
      <c r="L163" s="4"/>
      <c r="M163" s="4"/>
      <c r="N163" s="4"/>
      <c r="O163" s="4"/>
      <c r="P163" s="4"/>
      <c r="Q163" s="4"/>
      <c r="R163" s="4"/>
      <c r="S163" s="7"/>
      <c r="T163" s="7"/>
      <c r="U163" s="7"/>
      <c r="V163" s="7"/>
      <c r="W163" s="7"/>
      <c r="X163" s="7"/>
      <c r="Y163" s="7"/>
      <c r="Z163" s="7"/>
    </row>
    <row r="164" ht="15.75" customHeight="1">
      <c r="A164" s="4"/>
      <c r="B164" s="4"/>
      <c r="C164" s="4"/>
      <c r="D164" s="4"/>
      <c r="E164" s="19"/>
      <c r="F164" s="4"/>
      <c r="G164" s="4"/>
      <c r="H164" s="7"/>
      <c r="I164" s="4"/>
      <c r="J164" s="4"/>
      <c r="K164" s="22"/>
      <c r="L164" s="4"/>
      <c r="M164" s="4"/>
      <c r="N164" s="4"/>
      <c r="O164" s="4"/>
      <c r="P164" s="4"/>
      <c r="Q164" s="4"/>
      <c r="R164" s="4"/>
      <c r="S164" s="7"/>
      <c r="T164" s="7"/>
      <c r="U164" s="7"/>
      <c r="V164" s="7"/>
      <c r="W164" s="7"/>
      <c r="X164" s="7"/>
      <c r="Y164" s="7"/>
      <c r="Z164" s="7"/>
    </row>
    <row r="165" ht="15.75" customHeight="1">
      <c r="A165" s="4"/>
      <c r="B165" s="4"/>
      <c r="C165" s="4"/>
      <c r="D165" s="4"/>
      <c r="E165" s="19"/>
      <c r="F165" s="4"/>
      <c r="G165" s="4"/>
      <c r="H165" s="7"/>
      <c r="I165" s="4"/>
      <c r="J165" s="4"/>
      <c r="K165" s="22"/>
      <c r="L165" s="4"/>
      <c r="M165" s="4"/>
      <c r="N165" s="4"/>
      <c r="O165" s="4"/>
      <c r="P165" s="4"/>
      <c r="Q165" s="4"/>
      <c r="R165" s="4"/>
      <c r="S165" s="7"/>
      <c r="T165" s="7"/>
      <c r="U165" s="7"/>
      <c r="V165" s="7"/>
      <c r="W165" s="7"/>
      <c r="X165" s="7"/>
      <c r="Y165" s="7"/>
      <c r="Z165" s="7"/>
    </row>
    <row r="166" ht="15.75" customHeight="1">
      <c r="A166" s="4"/>
      <c r="B166" s="4"/>
      <c r="C166" s="4"/>
      <c r="D166" s="4"/>
      <c r="E166" s="19"/>
      <c r="F166" s="4"/>
      <c r="G166" s="4"/>
      <c r="H166" s="7"/>
      <c r="I166" s="4"/>
      <c r="J166" s="4"/>
      <c r="K166" s="22"/>
      <c r="L166" s="4"/>
      <c r="M166" s="4"/>
      <c r="N166" s="4"/>
      <c r="O166" s="4"/>
      <c r="P166" s="4"/>
      <c r="Q166" s="4"/>
      <c r="R166" s="4"/>
      <c r="S166" s="7"/>
      <c r="T166" s="7"/>
      <c r="U166" s="7"/>
      <c r="V166" s="7"/>
      <c r="W166" s="7"/>
      <c r="X166" s="7"/>
      <c r="Y166" s="7"/>
      <c r="Z166" s="7"/>
    </row>
    <row r="167" ht="15.75" customHeight="1">
      <c r="A167" s="4"/>
      <c r="B167" s="4"/>
      <c r="C167" s="4"/>
      <c r="D167" s="4"/>
      <c r="E167" s="19"/>
      <c r="F167" s="4"/>
      <c r="G167" s="4"/>
      <c r="H167" s="7"/>
      <c r="I167" s="4"/>
      <c r="J167" s="4"/>
      <c r="K167" s="22"/>
      <c r="L167" s="4"/>
      <c r="M167" s="4"/>
      <c r="N167" s="4"/>
      <c r="O167" s="4"/>
      <c r="P167" s="4"/>
      <c r="Q167" s="4"/>
      <c r="R167" s="4"/>
      <c r="S167" s="7"/>
      <c r="T167" s="7"/>
      <c r="U167" s="7"/>
      <c r="V167" s="7"/>
      <c r="W167" s="7"/>
      <c r="X167" s="7"/>
      <c r="Y167" s="7"/>
      <c r="Z167" s="7"/>
    </row>
    <row r="168" ht="15.75" customHeight="1">
      <c r="A168" s="4"/>
      <c r="B168" s="4"/>
      <c r="C168" s="4"/>
      <c r="D168" s="4"/>
      <c r="E168" s="19"/>
      <c r="F168" s="4"/>
      <c r="G168" s="4"/>
      <c r="H168" s="7"/>
      <c r="I168" s="4"/>
      <c r="J168" s="4"/>
      <c r="K168" s="22"/>
      <c r="L168" s="4"/>
      <c r="M168" s="4"/>
      <c r="N168" s="4"/>
      <c r="O168" s="4"/>
      <c r="P168" s="4"/>
      <c r="Q168" s="4"/>
      <c r="R168" s="4"/>
      <c r="S168" s="7"/>
      <c r="T168" s="7"/>
      <c r="U168" s="7"/>
      <c r="V168" s="7"/>
      <c r="W168" s="7"/>
      <c r="X168" s="7"/>
      <c r="Y168" s="7"/>
      <c r="Z168" s="7"/>
    </row>
    <row r="169" ht="15.75" customHeight="1">
      <c r="A169" s="4"/>
      <c r="B169" s="4"/>
      <c r="C169" s="4"/>
      <c r="D169" s="4"/>
      <c r="E169" s="19"/>
      <c r="F169" s="4"/>
      <c r="G169" s="4"/>
      <c r="H169" s="7"/>
      <c r="I169" s="4"/>
      <c r="J169" s="4"/>
      <c r="K169" s="22"/>
      <c r="L169" s="4"/>
      <c r="M169" s="4"/>
      <c r="N169" s="4"/>
      <c r="O169" s="4"/>
      <c r="P169" s="4"/>
      <c r="Q169" s="4"/>
      <c r="R169" s="4"/>
      <c r="S169" s="7"/>
      <c r="T169" s="7"/>
      <c r="U169" s="7"/>
      <c r="V169" s="7"/>
      <c r="W169" s="7"/>
      <c r="X169" s="7"/>
      <c r="Y169" s="7"/>
      <c r="Z169" s="7"/>
    </row>
    <row r="170" ht="15.75" customHeight="1">
      <c r="A170" s="4"/>
      <c r="B170" s="4"/>
      <c r="C170" s="4"/>
      <c r="D170" s="4"/>
      <c r="E170" s="19"/>
      <c r="F170" s="4"/>
      <c r="G170" s="4"/>
      <c r="H170" s="7"/>
      <c r="I170" s="4"/>
      <c r="J170" s="4"/>
      <c r="K170" s="22"/>
      <c r="L170" s="4"/>
      <c r="M170" s="4"/>
      <c r="N170" s="4"/>
      <c r="O170" s="4"/>
      <c r="P170" s="4"/>
      <c r="Q170" s="4"/>
      <c r="R170" s="4"/>
      <c r="S170" s="7"/>
      <c r="T170" s="7"/>
      <c r="U170" s="7"/>
      <c r="V170" s="7"/>
      <c r="W170" s="7"/>
      <c r="X170" s="7"/>
      <c r="Y170" s="7"/>
      <c r="Z170" s="7"/>
    </row>
    <row r="171" ht="15.75" customHeight="1">
      <c r="A171" s="4"/>
      <c r="B171" s="4"/>
      <c r="C171" s="4"/>
      <c r="D171" s="4"/>
      <c r="E171" s="19"/>
      <c r="F171" s="4"/>
      <c r="G171" s="4"/>
      <c r="H171" s="7"/>
      <c r="I171" s="4"/>
      <c r="J171" s="4"/>
      <c r="K171" s="22"/>
      <c r="L171" s="4"/>
      <c r="M171" s="4"/>
      <c r="N171" s="4"/>
      <c r="O171" s="4"/>
      <c r="P171" s="4"/>
      <c r="Q171" s="4"/>
      <c r="R171" s="4"/>
      <c r="S171" s="7"/>
      <c r="T171" s="7"/>
      <c r="U171" s="7"/>
      <c r="V171" s="7"/>
      <c r="W171" s="7"/>
      <c r="X171" s="7"/>
      <c r="Y171" s="7"/>
      <c r="Z171" s="7"/>
    </row>
    <row r="172" ht="15.75" customHeight="1">
      <c r="A172" s="4"/>
      <c r="B172" s="4"/>
      <c r="C172" s="4"/>
      <c r="D172" s="4"/>
      <c r="E172" s="19"/>
      <c r="F172" s="4"/>
      <c r="G172" s="4"/>
      <c r="H172" s="7"/>
      <c r="I172" s="4"/>
      <c r="J172" s="4"/>
      <c r="K172" s="22"/>
      <c r="L172" s="4"/>
      <c r="M172" s="4"/>
      <c r="N172" s="4"/>
      <c r="O172" s="4"/>
      <c r="P172" s="4"/>
      <c r="Q172" s="4"/>
      <c r="R172" s="4"/>
      <c r="S172" s="7"/>
      <c r="T172" s="7"/>
      <c r="U172" s="7"/>
      <c r="V172" s="7"/>
      <c r="W172" s="7"/>
      <c r="X172" s="7"/>
      <c r="Y172" s="7"/>
      <c r="Z172" s="7"/>
    </row>
    <row r="173" ht="15.75" customHeight="1">
      <c r="A173" s="4"/>
      <c r="B173" s="4"/>
      <c r="C173" s="4"/>
      <c r="D173" s="4"/>
      <c r="E173" s="19"/>
      <c r="F173" s="4"/>
      <c r="G173" s="4"/>
      <c r="H173" s="7"/>
      <c r="I173" s="4"/>
      <c r="J173" s="4"/>
      <c r="K173" s="22"/>
      <c r="L173" s="4"/>
      <c r="M173" s="4"/>
      <c r="N173" s="4"/>
      <c r="O173" s="4"/>
      <c r="P173" s="4"/>
      <c r="Q173" s="4"/>
      <c r="R173" s="4"/>
      <c r="S173" s="7"/>
      <c r="T173" s="7"/>
      <c r="U173" s="7"/>
      <c r="V173" s="7"/>
      <c r="W173" s="7"/>
      <c r="X173" s="7"/>
      <c r="Y173" s="7"/>
      <c r="Z173" s="7"/>
    </row>
    <row r="174" ht="15.75" customHeight="1">
      <c r="A174" s="4"/>
      <c r="B174" s="4"/>
      <c r="C174" s="4"/>
      <c r="D174" s="4"/>
      <c r="E174" s="19"/>
      <c r="F174" s="4"/>
      <c r="G174" s="4"/>
      <c r="H174" s="7"/>
      <c r="I174" s="4"/>
      <c r="J174" s="4"/>
      <c r="K174" s="22"/>
      <c r="L174" s="4"/>
      <c r="M174" s="4"/>
      <c r="N174" s="4"/>
      <c r="O174" s="4"/>
      <c r="P174" s="4"/>
      <c r="Q174" s="4"/>
      <c r="R174" s="4"/>
      <c r="S174" s="7"/>
      <c r="T174" s="7"/>
      <c r="U174" s="7"/>
      <c r="V174" s="7"/>
      <c r="W174" s="7"/>
      <c r="X174" s="7"/>
      <c r="Y174" s="7"/>
      <c r="Z174" s="7"/>
    </row>
    <row r="175" ht="15.75" customHeight="1">
      <c r="A175" s="4"/>
      <c r="B175" s="4"/>
      <c r="C175" s="4"/>
      <c r="D175" s="4"/>
      <c r="E175" s="19"/>
      <c r="F175" s="4"/>
      <c r="G175" s="4"/>
      <c r="H175" s="7"/>
      <c r="I175" s="4"/>
      <c r="J175" s="4"/>
      <c r="K175" s="22"/>
      <c r="L175" s="4"/>
      <c r="M175" s="4"/>
      <c r="N175" s="4"/>
      <c r="O175" s="4"/>
      <c r="P175" s="4"/>
      <c r="Q175" s="4"/>
      <c r="R175" s="4"/>
      <c r="S175" s="7"/>
      <c r="T175" s="7"/>
      <c r="U175" s="7"/>
      <c r="V175" s="7"/>
      <c r="W175" s="7"/>
      <c r="X175" s="7"/>
      <c r="Y175" s="7"/>
      <c r="Z175" s="7"/>
    </row>
    <row r="176" ht="15.75" customHeight="1">
      <c r="A176" s="4"/>
      <c r="B176" s="4"/>
      <c r="C176" s="4"/>
      <c r="D176" s="4"/>
      <c r="E176" s="19"/>
      <c r="F176" s="4"/>
      <c r="G176" s="4"/>
      <c r="H176" s="7"/>
      <c r="I176" s="4"/>
      <c r="J176" s="4"/>
      <c r="K176" s="22"/>
      <c r="L176" s="4"/>
      <c r="M176" s="4"/>
      <c r="N176" s="4"/>
      <c r="O176" s="4"/>
      <c r="P176" s="4"/>
      <c r="Q176" s="4"/>
      <c r="R176" s="4"/>
      <c r="S176" s="7"/>
      <c r="T176" s="7"/>
      <c r="U176" s="7"/>
      <c r="V176" s="7"/>
      <c r="W176" s="7"/>
      <c r="X176" s="7"/>
      <c r="Y176" s="7"/>
      <c r="Z176" s="7"/>
    </row>
    <row r="177" ht="15.75" customHeight="1">
      <c r="A177" s="4"/>
      <c r="B177" s="4"/>
      <c r="C177" s="4"/>
      <c r="D177" s="4"/>
      <c r="E177" s="19"/>
      <c r="F177" s="4"/>
      <c r="G177" s="4"/>
      <c r="H177" s="7"/>
      <c r="I177" s="4"/>
      <c r="J177" s="4"/>
      <c r="K177" s="22"/>
      <c r="L177" s="4"/>
      <c r="M177" s="4"/>
      <c r="N177" s="4"/>
      <c r="O177" s="4"/>
      <c r="P177" s="4"/>
      <c r="Q177" s="4"/>
      <c r="R177" s="4"/>
      <c r="S177" s="7"/>
      <c r="T177" s="7"/>
      <c r="U177" s="7"/>
      <c r="V177" s="7"/>
      <c r="W177" s="7"/>
      <c r="X177" s="7"/>
      <c r="Y177" s="7"/>
      <c r="Z177" s="7"/>
    </row>
    <row r="178" ht="15.75" customHeight="1">
      <c r="A178" s="4"/>
      <c r="B178" s="4"/>
      <c r="C178" s="4"/>
      <c r="D178" s="4"/>
      <c r="E178" s="19"/>
      <c r="F178" s="4"/>
      <c r="G178" s="4"/>
      <c r="H178" s="7"/>
      <c r="I178" s="4"/>
      <c r="J178" s="4"/>
      <c r="K178" s="22"/>
      <c r="L178" s="4"/>
      <c r="M178" s="4"/>
      <c r="N178" s="4"/>
      <c r="O178" s="4"/>
      <c r="P178" s="4"/>
      <c r="Q178" s="4"/>
      <c r="R178" s="4"/>
      <c r="S178" s="7"/>
      <c r="T178" s="7"/>
      <c r="U178" s="7"/>
      <c r="V178" s="7"/>
      <c r="W178" s="7"/>
      <c r="X178" s="7"/>
      <c r="Y178" s="7"/>
      <c r="Z178" s="7"/>
    </row>
    <row r="179" ht="15.75" customHeight="1">
      <c r="A179" s="4"/>
      <c r="B179" s="4"/>
      <c r="C179" s="4"/>
      <c r="D179" s="4"/>
      <c r="E179" s="19"/>
      <c r="F179" s="4"/>
      <c r="G179" s="4"/>
      <c r="H179" s="7"/>
      <c r="I179" s="4"/>
      <c r="J179" s="4"/>
      <c r="K179" s="22"/>
      <c r="L179" s="4"/>
      <c r="M179" s="4"/>
      <c r="N179" s="4"/>
      <c r="O179" s="4"/>
      <c r="P179" s="4"/>
      <c r="Q179" s="4"/>
      <c r="R179" s="4"/>
      <c r="S179" s="7"/>
      <c r="T179" s="7"/>
      <c r="U179" s="7"/>
      <c r="V179" s="7"/>
      <c r="W179" s="7"/>
      <c r="X179" s="7"/>
      <c r="Y179" s="7"/>
      <c r="Z179" s="7"/>
    </row>
    <row r="180" ht="15.75" customHeight="1">
      <c r="A180" s="4"/>
      <c r="B180" s="4"/>
      <c r="C180" s="4"/>
      <c r="D180" s="4"/>
      <c r="E180" s="19"/>
      <c r="F180" s="4"/>
      <c r="G180" s="4"/>
      <c r="H180" s="7"/>
      <c r="I180" s="4"/>
      <c r="J180" s="4"/>
      <c r="K180" s="22"/>
      <c r="L180" s="4"/>
      <c r="M180" s="4"/>
      <c r="N180" s="4"/>
      <c r="O180" s="4"/>
      <c r="P180" s="4"/>
      <c r="Q180" s="4"/>
      <c r="R180" s="4"/>
      <c r="S180" s="7"/>
      <c r="T180" s="7"/>
      <c r="U180" s="7"/>
      <c r="V180" s="7"/>
      <c r="W180" s="7"/>
      <c r="X180" s="7"/>
      <c r="Y180" s="7"/>
      <c r="Z180" s="7"/>
    </row>
    <row r="181" ht="15.75" customHeight="1">
      <c r="A181" s="4"/>
      <c r="B181" s="4"/>
      <c r="C181" s="4"/>
      <c r="D181" s="4"/>
      <c r="E181" s="19"/>
      <c r="F181" s="4"/>
      <c r="G181" s="4"/>
      <c r="H181" s="7"/>
      <c r="I181" s="4"/>
      <c r="J181" s="4"/>
      <c r="K181" s="22"/>
      <c r="L181" s="4"/>
      <c r="M181" s="4"/>
      <c r="N181" s="4"/>
      <c r="O181" s="4"/>
      <c r="P181" s="4"/>
      <c r="Q181" s="4"/>
      <c r="R181" s="4"/>
      <c r="S181" s="7"/>
      <c r="T181" s="7"/>
      <c r="U181" s="7"/>
      <c r="V181" s="7"/>
      <c r="W181" s="7"/>
      <c r="X181" s="7"/>
      <c r="Y181" s="7"/>
      <c r="Z181" s="7"/>
    </row>
    <row r="182" ht="15.75" customHeight="1">
      <c r="A182" s="4"/>
      <c r="B182" s="4"/>
      <c r="C182" s="4"/>
      <c r="D182" s="4"/>
      <c r="E182" s="19"/>
      <c r="F182" s="4"/>
      <c r="G182" s="4"/>
      <c r="H182" s="7"/>
      <c r="I182" s="4"/>
      <c r="J182" s="4"/>
      <c r="K182" s="22"/>
      <c r="L182" s="4"/>
      <c r="M182" s="4"/>
      <c r="N182" s="4"/>
      <c r="O182" s="4"/>
      <c r="P182" s="4"/>
      <c r="Q182" s="4"/>
      <c r="R182" s="4"/>
      <c r="S182" s="7"/>
      <c r="T182" s="7"/>
      <c r="U182" s="7"/>
      <c r="V182" s="7"/>
      <c r="W182" s="7"/>
      <c r="X182" s="7"/>
      <c r="Y182" s="7"/>
      <c r="Z182" s="7"/>
    </row>
    <row r="183" ht="15.75" customHeight="1">
      <c r="A183" s="4"/>
      <c r="B183" s="4"/>
      <c r="C183" s="4"/>
      <c r="D183" s="4"/>
      <c r="E183" s="19"/>
      <c r="F183" s="4"/>
      <c r="G183" s="4"/>
      <c r="H183" s="7"/>
      <c r="I183" s="4"/>
      <c r="J183" s="4"/>
      <c r="K183" s="22"/>
      <c r="L183" s="4"/>
      <c r="M183" s="4"/>
      <c r="N183" s="4"/>
      <c r="O183" s="4"/>
      <c r="P183" s="4"/>
      <c r="Q183" s="4"/>
      <c r="R183" s="4"/>
      <c r="S183" s="7"/>
      <c r="T183" s="7"/>
      <c r="U183" s="7"/>
      <c r="V183" s="7"/>
      <c r="W183" s="7"/>
      <c r="X183" s="7"/>
      <c r="Y183" s="7"/>
      <c r="Z183" s="7"/>
    </row>
    <row r="184" ht="15.75" customHeight="1">
      <c r="A184" s="4"/>
      <c r="B184" s="4"/>
      <c r="C184" s="4"/>
      <c r="D184" s="4"/>
      <c r="E184" s="19"/>
      <c r="F184" s="4"/>
      <c r="G184" s="4"/>
      <c r="H184" s="7"/>
      <c r="I184" s="4"/>
      <c r="J184" s="4"/>
      <c r="K184" s="22"/>
      <c r="L184" s="4"/>
      <c r="M184" s="4"/>
      <c r="N184" s="4"/>
      <c r="O184" s="4"/>
      <c r="P184" s="4"/>
      <c r="Q184" s="4"/>
      <c r="R184" s="4"/>
      <c r="S184" s="7"/>
      <c r="T184" s="7"/>
      <c r="U184" s="7"/>
      <c r="V184" s="7"/>
      <c r="W184" s="7"/>
      <c r="X184" s="7"/>
      <c r="Y184" s="7"/>
      <c r="Z184" s="7"/>
    </row>
    <row r="185" ht="15.75" customHeight="1">
      <c r="A185" s="4"/>
      <c r="B185" s="4"/>
      <c r="C185" s="4"/>
      <c r="D185" s="4"/>
      <c r="E185" s="19"/>
      <c r="F185" s="4"/>
      <c r="G185" s="4"/>
      <c r="H185" s="7"/>
      <c r="I185" s="4"/>
      <c r="J185" s="4"/>
      <c r="K185" s="22"/>
      <c r="L185" s="4"/>
      <c r="M185" s="4"/>
      <c r="N185" s="4"/>
      <c r="O185" s="4"/>
      <c r="P185" s="4"/>
      <c r="Q185" s="4"/>
      <c r="R185" s="4"/>
      <c r="S185" s="7"/>
      <c r="T185" s="7"/>
      <c r="U185" s="7"/>
      <c r="V185" s="7"/>
      <c r="W185" s="7"/>
      <c r="X185" s="7"/>
      <c r="Y185" s="7"/>
      <c r="Z185" s="7"/>
    </row>
    <row r="186" ht="15.75" customHeight="1">
      <c r="A186" s="4"/>
      <c r="B186" s="4"/>
      <c r="C186" s="4"/>
      <c r="D186" s="4"/>
      <c r="E186" s="19"/>
      <c r="F186" s="4"/>
      <c r="G186" s="4"/>
      <c r="H186" s="7"/>
      <c r="I186" s="4"/>
      <c r="J186" s="4"/>
      <c r="K186" s="22"/>
      <c r="L186" s="4"/>
      <c r="M186" s="4"/>
      <c r="N186" s="4"/>
      <c r="O186" s="4"/>
      <c r="P186" s="4"/>
      <c r="Q186" s="4"/>
      <c r="R186" s="4"/>
      <c r="S186" s="7"/>
      <c r="T186" s="7"/>
      <c r="U186" s="7"/>
      <c r="V186" s="7"/>
      <c r="W186" s="7"/>
      <c r="X186" s="7"/>
      <c r="Y186" s="7"/>
      <c r="Z186" s="7"/>
    </row>
    <row r="187" ht="15.75" customHeight="1">
      <c r="A187" s="4"/>
      <c r="B187" s="4"/>
      <c r="C187" s="4"/>
      <c r="D187" s="4"/>
      <c r="E187" s="19"/>
      <c r="F187" s="4"/>
      <c r="G187" s="4"/>
      <c r="H187" s="7"/>
      <c r="I187" s="4"/>
      <c r="J187" s="4"/>
      <c r="K187" s="22"/>
      <c r="L187" s="4"/>
      <c r="M187" s="4"/>
      <c r="N187" s="4"/>
      <c r="O187" s="4"/>
      <c r="P187" s="4"/>
      <c r="Q187" s="4"/>
      <c r="R187" s="4"/>
      <c r="S187" s="7"/>
      <c r="T187" s="7"/>
      <c r="U187" s="7"/>
      <c r="V187" s="7"/>
      <c r="W187" s="7"/>
      <c r="X187" s="7"/>
      <c r="Y187" s="7"/>
      <c r="Z187" s="7"/>
    </row>
    <row r="188" ht="15.75" customHeight="1">
      <c r="A188" s="4"/>
      <c r="B188" s="4"/>
      <c r="C188" s="4"/>
      <c r="D188" s="4"/>
      <c r="E188" s="19"/>
      <c r="F188" s="4"/>
      <c r="G188" s="4"/>
      <c r="H188" s="7"/>
      <c r="I188" s="4"/>
      <c r="J188" s="4"/>
      <c r="K188" s="22"/>
      <c r="L188" s="4"/>
      <c r="M188" s="4"/>
      <c r="N188" s="4"/>
      <c r="O188" s="4"/>
      <c r="P188" s="4"/>
      <c r="Q188" s="4"/>
      <c r="R188" s="4"/>
      <c r="S188" s="7"/>
      <c r="T188" s="7"/>
      <c r="U188" s="7"/>
      <c r="V188" s="7"/>
      <c r="W188" s="7"/>
      <c r="X188" s="7"/>
      <c r="Y188" s="7"/>
      <c r="Z188" s="7"/>
    </row>
    <row r="189" ht="15.75" customHeight="1">
      <c r="A189" s="4"/>
      <c r="B189" s="4"/>
      <c r="C189" s="4"/>
      <c r="D189" s="4"/>
      <c r="E189" s="19"/>
      <c r="F189" s="4"/>
      <c r="G189" s="4"/>
      <c r="H189" s="7"/>
      <c r="I189" s="4"/>
      <c r="J189" s="4"/>
      <c r="K189" s="22"/>
      <c r="L189" s="4"/>
      <c r="M189" s="4"/>
      <c r="N189" s="4"/>
      <c r="O189" s="4"/>
      <c r="P189" s="4"/>
      <c r="Q189" s="4"/>
      <c r="R189" s="4"/>
      <c r="S189" s="7"/>
      <c r="T189" s="7"/>
      <c r="U189" s="7"/>
      <c r="V189" s="7"/>
      <c r="W189" s="7"/>
      <c r="X189" s="7"/>
      <c r="Y189" s="7"/>
      <c r="Z189" s="7"/>
    </row>
    <row r="190" ht="15.75" customHeight="1">
      <c r="A190" s="4"/>
      <c r="B190" s="4"/>
      <c r="C190" s="4"/>
      <c r="D190" s="4"/>
      <c r="E190" s="19"/>
      <c r="F190" s="4"/>
      <c r="G190" s="4"/>
      <c r="H190" s="7"/>
      <c r="I190" s="4"/>
      <c r="J190" s="4"/>
      <c r="K190" s="22"/>
      <c r="L190" s="4"/>
      <c r="M190" s="4"/>
      <c r="N190" s="4"/>
      <c r="O190" s="4"/>
      <c r="P190" s="4"/>
      <c r="Q190" s="4"/>
      <c r="R190" s="4"/>
      <c r="S190" s="7"/>
      <c r="T190" s="7"/>
      <c r="U190" s="7"/>
      <c r="V190" s="7"/>
      <c r="W190" s="7"/>
      <c r="X190" s="7"/>
      <c r="Y190" s="7"/>
      <c r="Z190" s="7"/>
    </row>
    <row r="191" ht="15.75" customHeight="1">
      <c r="A191" s="4"/>
      <c r="B191" s="4"/>
      <c r="C191" s="4"/>
      <c r="D191" s="4"/>
      <c r="E191" s="19"/>
      <c r="F191" s="4"/>
      <c r="G191" s="4"/>
      <c r="H191" s="7"/>
      <c r="I191" s="4"/>
      <c r="J191" s="4"/>
      <c r="K191" s="22"/>
      <c r="L191" s="4"/>
      <c r="M191" s="4"/>
      <c r="N191" s="4"/>
      <c r="O191" s="4"/>
      <c r="P191" s="4"/>
      <c r="Q191" s="4"/>
      <c r="R191" s="4"/>
      <c r="S191" s="7"/>
      <c r="T191" s="7"/>
      <c r="U191" s="7"/>
      <c r="V191" s="7"/>
      <c r="W191" s="7"/>
      <c r="X191" s="7"/>
      <c r="Y191" s="7"/>
      <c r="Z191" s="7"/>
    </row>
    <row r="192" ht="15.75" customHeight="1">
      <c r="A192" s="4"/>
      <c r="B192" s="4"/>
      <c r="C192" s="4"/>
      <c r="D192" s="4"/>
      <c r="E192" s="19"/>
      <c r="F192" s="4"/>
      <c r="G192" s="4"/>
      <c r="H192" s="7"/>
      <c r="I192" s="4"/>
      <c r="J192" s="4"/>
      <c r="K192" s="22"/>
      <c r="L192" s="4"/>
      <c r="M192" s="4"/>
      <c r="N192" s="4"/>
      <c r="O192" s="4"/>
      <c r="P192" s="4"/>
      <c r="Q192" s="4"/>
      <c r="R192" s="4"/>
      <c r="S192" s="7"/>
      <c r="T192" s="7"/>
      <c r="U192" s="7"/>
      <c r="V192" s="7"/>
      <c r="W192" s="7"/>
      <c r="X192" s="7"/>
      <c r="Y192" s="7"/>
      <c r="Z192" s="7"/>
    </row>
    <row r="193" ht="15.75" customHeight="1">
      <c r="A193" s="4"/>
      <c r="B193" s="4"/>
      <c r="C193" s="4"/>
      <c r="D193" s="4"/>
      <c r="E193" s="19"/>
      <c r="F193" s="4"/>
      <c r="G193" s="4"/>
      <c r="H193" s="7"/>
      <c r="I193" s="4"/>
      <c r="J193" s="4"/>
      <c r="K193" s="22"/>
      <c r="L193" s="4"/>
      <c r="M193" s="4"/>
      <c r="N193" s="4"/>
      <c r="O193" s="4"/>
      <c r="P193" s="4"/>
      <c r="Q193" s="4"/>
      <c r="R193" s="4"/>
      <c r="S193" s="7"/>
      <c r="T193" s="7"/>
      <c r="U193" s="7"/>
      <c r="V193" s="7"/>
      <c r="W193" s="7"/>
      <c r="X193" s="7"/>
      <c r="Y193" s="7"/>
      <c r="Z193" s="7"/>
    </row>
    <row r="194" ht="15.75" customHeight="1">
      <c r="A194" s="4"/>
      <c r="B194" s="4"/>
      <c r="C194" s="4"/>
      <c r="D194" s="4"/>
      <c r="E194" s="19"/>
      <c r="F194" s="4"/>
      <c r="G194" s="4"/>
      <c r="H194" s="7"/>
      <c r="I194" s="4"/>
      <c r="J194" s="4"/>
      <c r="K194" s="22"/>
      <c r="L194" s="4"/>
      <c r="M194" s="4"/>
      <c r="N194" s="4"/>
      <c r="O194" s="4"/>
      <c r="P194" s="4"/>
      <c r="Q194" s="4"/>
      <c r="R194" s="4"/>
      <c r="S194" s="7"/>
      <c r="T194" s="7"/>
      <c r="U194" s="7"/>
      <c r="V194" s="7"/>
      <c r="W194" s="7"/>
      <c r="X194" s="7"/>
      <c r="Y194" s="7"/>
      <c r="Z194" s="7"/>
    </row>
    <row r="195" ht="15.75" customHeight="1">
      <c r="A195" s="4"/>
      <c r="B195" s="4"/>
      <c r="C195" s="4"/>
      <c r="D195" s="4"/>
      <c r="E195" s="19"/>
      <c r="F195" s="4"/>
      <c r="G195" s="4"/>
      <c r="H195" s="7"/>
      <c r="I195" s="4"/>
      <c r="J195" s="4"/>
      <c r="K195" s="22"/>
      <c r="L195" s="4"/>
      <c r="M195" s="4"/>
      <c r="N195" s="4"/>
      <c r="O195" s="4"/>
      <c r="P195" s="4"/>
      <c r="Q195" s="4"/>
      <c r="R195" s="4"/>
      <c r="S195" s="7"/>
      <c r="T195" s="7"/>
      <c r="U195" s="7"/>
      <c r="V195" s="7"/>
      <c r="W195" s="7"/>
      <c r="X195" s="7"/>
      <c r="Y195" s="7"/>
      <c r="Z195" s="7"/>
    </row>
    <row r="196" ht="15.75" customHeight="1">
      <c r="A196" s="4"/>
      <c r="B196" s="4"/>
      <c r="C196" s="4"/>
      <c r="D196" s="4"/>
      <c r="E196" s="19"/>
      <c r="F196" s="4"/>
      <c r="G196" s="4"/>
      <c r="H196" s="7"/>
      <c r="I196" s="4"/>
      <c r="J196" s="4"/>
      <c r="K196" s="22"/>
      <c r="L196" s="4"/>
      <c r="M196" s="4"/>
      <c r="N196" s="4"/>
      <c r="O196" s="4"/>
      <c r="P196" s="4"/>
      <c r="Q196" s="4"/>
      <c r="R196" s="4"/>
      <c r="S196" s="7"/>
      <c r="T196" s="7"/>
      <c r="U196" s="7"/>
      <c r="V196" s="7"/>
      <c r="W196" s="7"/>
      <c r="X196" s="7"/>
      <c r="Y196" s="7"/>
      <c r="Z196" s="7"/>
    </row>
    <row r="197" ht="15.75" customHeight="1">
      <c r="A197" s="4"/>
      <c r="B197" s="4"/>
      <c r="C197" s="4"/>
      <c r="D197" s="4"/>
      <c r="E197" s="19"/>
      <c r="F197" s="4"/>
      <c r="G197" s="4"/>
      <c r="H197" s="7"/>
      <c r="I197" s="4"/>
      <c r="J197" s="4"/>
      <c r="K197" s="22"/>
      <c r="L197" s="4"/>
      <c r="M197" s="4"/>
      <c r="N197" s="4"/>
      <c r="O197" s="4"/>
      <c r="P197" s="4"/>
      <c r="Q197" s="4"/>
      <c r="R197" s="4"/>
      <c r="S197" s="7"/>
      <c r="T197" s="7"/>
      <c r="U197" s="7"/>
      <c r="V197" s="7"/>
      <c r="W197" s="7"/>
      <c r="X197" s="7"/>
      <c r="Y197" s="7"/>
      <c r="Z197" s="7"/>
    </row>
    <row r="198" ht="15.75" customHeight="1">
      <c r="A198" s="4"/>
      <c r="B198" s="4"/>
      <c r="C198" s="4"/>
      <c r="D198" s="4"/>
      <c r="E198" s="19"/>
      <c r="F198" s="4"/>
      <c r="G198" s="4"/>
      <c r="H198" s="7"/>
      <c r="I198" s="4"/>
      <c r="J198" s="4"/>
      <c r="K198" s="22"/>
      <c r="L198" s="4"/>
      <c r="M198" s="4"/>
      <c r="N198" s="4"/>
      <c r="O198" s="4"/>
      <c r="P198" s="4"/>
      <c r="Q198" s="4"/>
      <c r="R198" s="4"/>
      <c r="S198" s="7"/>
      <c r="T198" s="7"/>
      <c r="U198" s="7"/>
      <c r="V198" s="7"/>
      <c r="W198" s="7"/>
      <c r="X198" s="7"/>
      <c r="Y198" s="7"/>
      <c r="Z198" s="7"/>
    </row>
    <row r="199" ht="15.75" customHeight="1">
      <c r="A199" s="4"/>
      <c r="B199" s="4"/>
      <c r="C199" s="4"/>
      <c r="D199" s="4"/>
      <c r="E199" s="19"/>
      <c r="F199" s="4"/>
      <c r="G199" s="4"/>
      <c r="H199" s="7"/>
      <c r="I199" s="4"/>
      <c r="J199" s="4"/>
      <c r="K199" s="22"/>
      <c r="L199" s="4"/>
      <c r="M199" s="4"/>
      <c r="N199" s="4"/>
      <c r="O199" s="4"/>
      <c r="P199" s="4"/>
      <c r="Q199" s="4"/>
      <c r="R199" s="4"/>
      <c r="S199" s="7"/>
      <c r="T199" s="7"/>
      <c r="U199" s="7"/>
      <c r="V199" s="7"/>
      <c r="W199" s="7"/>
      <c r="X199" s="7"/>
      <c r="Y199" s="7"/>
      <c r="Z199" s="7"/>
    </row>
    <row r="200" ht="15.75" customHeight="1">
      <c r="A200" s="4"/>
      <c r="B200" s="4"/>
      <c r="C200" s="4"/>
      <c r="D200" s="4"/>
      <c r="E200" s="19"/>
      <c r="F200" s="4"/>
      <c r="G200" s="4"/>
      <c r="H200" s="7"/>
      <c r="I200" s="4"/>
      <c r="J200" s="4"/>
      <c r="K200" s="22"/>
      <c r="L200" s="4"/>
      <c r="M200" s="4"/>
      <c r="N200" s="4"/>
      <c r="O200" s="4"/>
      <c r="P200" s="4"/>
      <c r="Q200" s="4"/>
      <c r="R200" s="4"/>
      <c r="S200" s="7"/>
      <c r="T200" s="7"/>
      <c r="U200" s="7"/>
      <c r="V200" s="7"/>
      <c r="W200" s="7"/>
      <c r="X200" s="7"/>
      <c r="Y200" s="7"/>
      <c r="Z200" s="7"/>
    </row>
    <row r="201" ht="15.75" customHeight="1">
      <c r="A201" s="4"/>
      <c r="B201" s="4"/>
      <c r="C201" s="4"/>
      <c r="D201" s="4"/>
      <c r="E201" s="19"/>
      <c r="F201" s="4"/>
      <c r="G201" s="4"/>
      <c r="H201" s="7"/>
      <c r="I201" s="4"/>
      <c r="J201" s="4"/>
      <c r="K201" s="22"/>
      <c r="L201" s="4"/>
      <c r="M201" s="4"/>
      <c r="N201" s="4"/>
      <c r="O201" s="4"/>
      <c r="P201" s="4"/>
      <c r="Q201" s="4"/>
      <c r="R201" s="4"/>
      <c r="S201" s="7"/>
      <c r="T201" s="7"/>
      <c r="U201" s="7"/>
      <c r="V201" s="7"/>
      <c r="W201" s="7"/>
      <c r="X201" s="7"/>
      <c r="Y201" s="7"/>
      <c r="Z201" s="7"/>
    </row>
    <row r="202" ht="15.75" customHeight="1">
      <c r="A202" s="4"/>
      <c r="B202" s="4"/>
      <c r="C202" s="4"/>
      <c r="D202" s="4"/>
      <c r="E202" s="19"/>
      <c r="F202" s="4"/>
      <c r="G202" s="4"/>
      <c r="H202" s="7"/>
      <c r="I202" s="4"/>
      <c r="J202" s="4"/>
      <c r="K202" s="22"/>
      <c r="L202" s="4"/>
      <c r="M202" s="4"/>
      <c r="N202" s="4"/>
      <c r="O202" s="4"/>
      <c r="P202" s="4"/>
      <c r="Q202" s="4"/>
      <c r="R202" s="4"/>
      <c r="S202" s="7"/>
      <c r="T202" s="7"/>
      <c r="U202" s="7"/>
      <c r="V202" s="7"/>
      <c r="W202" s="7"/>
      <c r="X202" s="7"/>
      <c r="Y202" s="7"/>
      <c r="Z202" s="7"/>
    </row>
    <row r="203" ht="15.75" customHeight="1">
      <c r="A203" s="4"/>
      <c r="B203" s="4"/>
      <c r="C203" s="4"/>
      <c r="D203" s="4"/>
      <c r="E203" s="19"/>
      <c r="F203" s="4"/>
      <c r="G203" s="4"/>
      <c r="H203" s="7"/>
      <c r="I203" s="4"/>
      <c r="J203" s="4"/>
      <c r="K203" s="22"/>
      <c r="L203" s="4"/>
      <c r="M203" s="4"/>
      <c r="N203" s="4"/>
      <c r="O203" s="4"/>
      <c r="P203" s="4"/>
      <c r="Q203" s="4"/>
      <c r="R203" s="4"/>
      <c r="S203" s="7"/>
      <c r="T203" s="7"/>
      <c r="U203" s="7"/>
      <c r="V203" s="7"/>
      <c r="W203" s="7"/>
      <c r="X203" s="7"/>
      <c r="Y203" s="7"/>
      <c r="Z203" s="7"/>
    </row>
    <row r="204" ht="15.75" customHeight="1">
      <c r="A204" s="4"/>
      <c r="B204" s="4"/>
      <c r="C204" s="4"/>
      <c r="D204" s="4"/>
      <c r="E204" s="19"/>
      <c r="F204" s="4"/>
      <c r="G204" s="4"/>
      <c r="H204" s="7"/>
      <c r="I204" s="4"/>
      <c r="J204" s="4"/>
      <c r="K204" s="22"/>
      <c r="L204" s="4"/>
      <c r="M204" s="4"/>
      <c r="N204" s="4"/>
      <c r="O204" s="4"/>
      <c r="P204" s="4"/>
      <c r="Q204" s="4"/>
      <c r="R204" s="4"/>
      <c r="S204" s="7"/>
      <c r="T204" s="7"/>
      <c r="U204" s="7"/>
      <c r="V204" s="7"/>
      <c r="W204" s="7"/>
      <c r="X204" s="7"/>
      <c r="Y204" s="7"/>
      <c r="Z204" s="7"/>
    </row>
    <row r="205" ht="15.75" customHeight="1">
      <c r="A205" s="4"/>
      <c r="B205" s="4"/>
      <c r="C205" s="4"/>
      <c r="D205" s="4"/>
      <c r="E205" s="19"/>
      <c r="F205" s="4"/>
      <c r="G205" s="4"/>
      <c r="H205" s="7"/>
      <c r="I205" s="4"/>
      <c r="J205" s="4"/>
      <c r="K205" s="22"/>
      <c r="L205" s="4"/>
      <c r="M205" s="4"/>
      <c r="N205" s="4"/>
      <c r="O205" s="4"/>
      <c r="P205" s="4"/>
      <c r="Q205" s="4"/>
      <c r="R205" s="4"/>
      <c r="S205" s="7"/>
      <c r="T205" s="7"/>
      <c r="U205" s="7"/>
      <c r="V205" s="7"/>
      <c r="W205" s="7"/>
      <c r="X205" s="7"/>
      <c r="Y205" s="7"/>
      <c r="Z205" s="7"/>
    </row>
    <row r="206" ht="15.75" customHeight="1">
      <c r="A206" s="4"/>
      <c r="B206" s="4"/>
      <c r="C206" s="4"/>
      <c r="D206" s="4"/>
      <c r="E206" s="19"/>
      <c r="F206" s="4"/>
      <c r="G206" s="4"/>
      <c r="H206" s="7"/>
      <c r="I206" s="4"/>
      <c r="J206" s="4"/>
      <c r="K206" s="22"/>
      <c r="L206" s="4"/>
      <c r="M206" s="4"/>
      <c r="N206" s="4"/>
      <c r="O206" s="4"/>
      <c r="P206" s="4"/>
      <c r="Q206" s="4"/>
      <c r="R206" s="4"/>
      <c r="S206" s="7"/>
      <c r="T206" s="7"/>
      <c r="U206" s="7"/>
      <c r="V206" s="7"/>
      <c r="W206" s="7"/>
      <c r="X206" s="7"/>
      <c r="Y206" s="7"/>
      <c r="Z206" s="7"/>
    </row>
    <row r="207" ht="15.75" customHeight="1">
      <c r="A207" s="4"/>
      <c r="B207" s="4"/>
      <c r="C207" s="4"/>
      <c r="D207" s="4"/>
      <c r="E207" s="19"/>
      <c r="F207" s="4"/>
      <c r="G207" s="4"/>
      <c r="H207" s="7"/>
      <c r="I207" s="4"/>
      <c r="J207" s="4"/>
      <c r="K207" s="22"/>
      <c r="L207" s="4"/>
      <c r="M207" s="4"/>
      <c r="N207" s="4"/>
      <c r="O207" s="4"/>
      <c r="P207" s="4"/>
      <c r="Q207" s="4"/>
      <c r="R207" s="4"/>
      <c r="S207" s="7"/>
      <c r="T207" s="7"/>
      <c r="U207" s="7"/>
      <c r="V207" s="7"/>
      <c r="W207" s="7"/>
      <c r="X207" s="7"/>
      <c r="Y207" s="7"/>
      <c r="Z207" s="7"/>
    </row>
    <row r="208" ht="15.75" customHeight="1">
      <c r="A208" s="4"/>
      <c r="B208" s="4"/>
      <c r="C208" s="4"/>
      <c r="D208" s="4"/>
      <c r="E208" s="19"/>
      <c r="F208" s="4"/>
      <c r="G208" s="4"/>
      <c r="H208" s="7"/>
      <c r="I208" s="4"/>
      <c r="J208" s="4"/>
      <c r="K208" s="22"/>
      <c r="L208" s="4"/>
      <c r="M208" s="4"/>
      <c r="N208" s="4"/>
      <c r="O208" s="4"/>
      <c r="P208" s="4"/>
      <c r="Q208" s="4"/>
      <c r="R208" s="4"/>
      <c r="S208" s="7"/>
      <c r="T208" s="7"/>
      <c r="U208" s="7"/>
      <c r="V208" s="7"/>
      <c r="W208" s="7"/>
      <c r="X208" s="7"/>
      <c r="Y208" s="7"/>
      <c r="Z208" s="7"/>
    </row>
    <row r="209" ht="15.75" customHeight="1">
      <c r="A209" s="4"/>
      <c r="B209" s="4"/>
      <c r="C209" s="4"/>
      <c r="D209" s="4"/>
      <c r="E209" s="19"/>
      <c r="F209" s="4"/>
      <c r="G209" s="4"/>
      <c r="H209" s="7"/>
      <c r="I209" s="4"/>
      <c r="J209" s="4"/>
      <c r="K209" s="22"/>
      <c r="L209" s="4"/>
      <c r="M209" s="4"/>
      <c r="N209" s="4"/>
      <c r="O209" s="4"/>
      <c r="P209" s="4"/>
      <c r="Q209" s="4"/>
      <c r="R209" s="4"/>
      <c r="S209" s="7"/>
      <c r="T209" s="7"/>
      <c r="U209" s="7"/>
      <c r="V209" s="7"/>
      <c r="W209" s="7"/>
      <c r="X209" s="7"/>
      <c r="Y209" s="7"/>
      <c r="Z209" s="7"/>
    </row>
    <row r="210" ht="15.75" customHeight="1">
      <c r="A210" s="4"/>
      <c r="B210" s="4"/>
      <c r="C210" s="4"/>
      <c r="D210" s="4"/>
      <c r="E210" s="19"/>
      <c r="F210" s="4"/>
      <c r="G210" s="4"/>
      <c r="H210" s="7"/>
      <c r="I210" s="4"/>
      <c r="J210" s="4"/>
      <c r="K210" s="22"/>
      <c r="L210" s="4"/>
      <c r="M210" s="4"/>
      <c r="N210" s="4"/>
      <c r="O210" s="4"/>
      <c r="P210" s="4"/>
      <c r="Q210" s="4"/>
      <c r="R210" s="4"/>
      <c r="S210" s="7"/>
      <c r="T210" s="7"/>
      <c r="U210" s="7"/>
      <c r="V210" s="7"/>
      <c r="W210" s="7"/>
      <c r="X210" s="7"/>
      <c r="Y210" s="7"/>
      <c r="Z210" s="7"/>
    </row>
    <row r="211" ht="15.75" customHeight="1">
      <c r="A211" s="4"/>
      <c r="B211" s="4"/>
      <c r="C211" s="4"/>
      <c r="D211" s="4"/>
      <c r="E211" s="19"/>
      <c r="F211" s="4"/>
      <c r="G211" s="4"/>
      <c r="H211" s="7"/>
      <c r="I211" s="4"/>
      <c r="J211" s="4"/>
      <c r="K211" s="22"/>
      <c r="L211" s="4"/>
      <c r="M211" s="4"/>
      <c r="N211" s="4"/>
      <c r="O211" s="4"/>
      <c r="P211" s="4"/>
      <c r="Q211" s="4"/>
      <c r="R211" s="4"/>
      <c r="S211" s="7"/>
      <c r="T211" s="7"/>
      <c r="U211" s="7"/>
      <c r="V211" s="7"/>
      <c r="W211" s="7"/>
      <c r="X211" s="7"/>
      <c r="Y211" s="7"/>
      <c r="Z211" s="7"/>
    </row>
    <row r="212" ht="15.75" customHeight="1">
      <c r="A212" s="4"/>
      <c r="B212" s="4"/>
      <c r="C212" s="4"/>
      <c r="D212" s="4"/>
      <c r="E212" s="19"/>
      <c r="F212" s="4"/>
      <c r="G212" s="4"/>
      <c r="H212" s="7"/>
      <c r="I212" s="4"/>
      <c r="J212" s="4"/>
      <c r="K212" s="22"/>
      <c r="L212" s="4"/>
      <c r="M212" s="4"/>
      <c r="N212" s="4"/>
      <c r="O212" s="4"/>
      <c r="P212" s="4"/>
      <c r="Q212" s="4"/>
      <c r="R212" s="4"/>
      <c r="S212" s="7"/>
      <c r="T212" s="7"/>
      <c r="U212" s="7"/>
      <c r="V212" s="7"/>
      <c r="W212" s="7"/>
      <c r="X212" s="7"/>
      <c r="Y212" s="7"/>
      <c r="Z212" s="7"/>
    </row>
    <row r="213" ht="15.75" customHeight="1">
      <c r="A213" s="4"/>
      <c r="B213" s="4"/>
      <c r="C213" s="4"/>
      <c r="D213" s="4"/>
      <c r="E213" s="19"/>
      <c r="F213" s="4"/>
      <c r="G213" s="4"/>
      <c r="H213" s="7"/>
      <c r="I213" s="4"/>
      <c r="J213" s="4"/>
      <c r="K213" s="22"/>
      <c r="L213" s="4"/>
      <c r="M213" s="4"/>
      <c r="N213" s="4"/>
      <c r="O213" s="4"/>
      <c r="P213" s="4"/>
      <c r="Q213" s="4"/>
      <c r="R213" s="4"/>
      <c r="S213" s="7"/>
      <c r="T213" s="7"/>
      <c r="U213" s="7"/>
      <c r="V213" s="7"/>
      <c r="W213" s="7"/>
      <c r="X213" s="7"/>
      <c r="Y213" s="7"/>
      <c r="Z213" s="7"/>
    </row>
    <row r="214" ht="15.75" customHeight="1">
      <c r="A214" s="4"/>
      <c r="B214" s="4"/>
      <c r="C214" s="4"/>
      <c r="D214" s="4"/>
      <c r="E214" s="19"/>
      <c r="F214" s="4"/>
      <c r="G214" s="4"/>
      <c r="H214" s="7"/>
      <c r="I214" s="4"/>
      <c r="J214" s="4"/>
      <c r="K214" s="22"/>
      <c r="L214" s="4"/>
      <c r="M214" s="4"/>
      <c r="N214" s="4"/>
      <c r="O214" s="4"/>
      <c r="P214" s="4"/>
      <c r="Q214" s="4"/>
      <c r="R214" s="4"/>
      <c r="S214" s="7"/>
      <c r="T214" s="7"/>
      <c r="U214" s="7"/>
      <c r="V214" s="7"/>
      <c r="W214" s="7"/>
      <c r="X214" s="7"/>
      <c r="Y214" s="7"/>
      <c r="Z214" s="7"/>
    </row>
    <row r="215" ht="15.75" customHeight="1">
      <c r="A215" s="4"/>
      <c r="B215" s="4"/>
      <c r="C215" s="4"/>
      <c r="D215" s="4"/>
      <c r="E215" s="19"/>
      <c r="F215" s="4"/>
      <c r="G215" s="4"/>
      <c r="H215" s="7"/>
      <c r="I215" s="4"/>
      <c r="J215" s="4"/>
      <c r="K215" s="22"/>
      <c r="L215" s="4"/>
      <c r="M215" s="4"/>
      <c r="N215" s="4"/>
      <c r="O215" s="4"/>
      <c r="P215" s="4"/>
      <c r="Q215" s="4"/>
      <c r="R215" s="4"/>
      <c r="S215" s="7"/>
      <c r="T215" s="7"/>
      <c r="U215" s="7"/>
      <c r="V215" s="7"/>
      <c r="W215" s="7"/>
      <c r="X215" s="7"/>
      <c r="Y215" s="7"/>
      <c r="Z215" s="7"/>
    </row>
    <row r="216" ht="15.75" customHeight="1">
      <c r="A216" s="4"/>
      <c r="B216" s="4"/>
      <c r="C216" s="4"/>
      <c r="D216" s="4"/>
      <c r="E216" s="19"/>
      <c r="F216" s="4"/>
      <c r="G216" s="4"/>
      <c r="H216" s="7"/>
      <c r="I216" s="4"/>
      <c r="J216" s="4"/>
      <c r="K216" s="22"/>
      <c r="L216" s="4"/>
      <c r="M216" s="4"/>
      <c r="N216" s="4"/>
      <c r="O216" s="4"/>
      <c r="P216" s="4"/>
      <c r="Q216" s="4"/>
      <c r="R216" s="4"/>
      <c r="S216" s="7"/>
      <c r="T216" s="7"/>
      <c r="U216" s="7"/>
      <c r="V216" s="7"/>
      <c r="W216" s="7"/>
      <c r="X216" s="7"/>
      <c r="Y216" s="7"/>
      <c r="Z216" s="7"/>
    </row>
    <row r="217" ht="15.75" customHeight="1">
      <c r="A217" s="4"/>
      <c r="B217" s="4"/>
      <c r="C217" s="4"/>
      <c r="D217" s="4"/>
      <c r="E217" s="19"/>
      <c r="F217" s="4"/>
      <c r="G217" s="4"/>
      <c r="H217" s="7"/>
      <c r="I217" s="4"/>
      <c r="J217" s="4"/>
      <c r="K217" s="22"/>
      <c r="L217" s="4"/>
      <c r="M217" s="4"/>
      <c r="N217" s="4"/>
      <c r="O217" s="4"/>
      <c r="P217" s="4"/>
      <c r="Q217" s="4"/>
      <c r="R217" s="4"/>
      <c r="S217" s="7"/>
      <c r="T217" s="7"/>
      <c r="U217" s="7"/>
      <c r="V217" s="7"/>
      <c r="W217" s="7"/>
      <c r="X217" s="7"/>
      <c r="Y217" s="7"/>
      <c r="Z217" s="7"/>
    </row>
    <row r="218" ht="15.75" customHeight="1">
      <c r="A218" s="4"/>
      <c r="B218" s="4"/>
      <c r="C218" s="4"/>
      <c r="D218" s="4"/>
      <c r="E218" s="19"/>
      <c r="F218" s="4"/>
      <c r="G218" s="4"/>
      <c r="H218" s="7"/>
      <c r="I218" s="4"/>
      <c r="J218" s="4"/>
      <c r="K218" s="22"/>
      <c r="L218" s="4"/>
      <c r="M218" s="4"/>
      <c r="N218" s="4"/>
      <c r="O218" s="4"/>
      <c r="P218" s="4"/>
      <c r="Q218" s="4"/>
      <c r="R218" s="4"/>
      <c r="S218" s="7"/>
      <c r="T218" s="7"/>
      <c r="U218" s="7"/>
      <c r="V218" s="7"/>
      <c r="W218" s="7"/>
      <c r="X218" s="7"/>
      <c r="Y218" s="7"/>
      <c r="Z218" s="7"/>
    </row>
    <row r="219" ht="15.75" customHeight="1">
      <c r="A219" s="4"/>
      <c r="B219" s="4"/>
      <c r="C219" s="4"/>
      <c r="D219" s="4"/>
      <c r="E219" s="19"/>
      <c r="F219" s="4"/>
      <c r="G219" s="4"/>
      <c r="H219" s="7"/>
      <c r="I219" s="4"/>
      <c r="J219" s="4"/>
      <c r="K219" s="22"/>
      <c r="L219" s="4"/>
      <c r="M219" s="4"/>
      <c r="N219" s="4"/>
      <c r="O219" s="4"/>
      <c r="P219" s="4"/>
      <c r="Q219" s="4"/>
      <c r="R219" s="4"/>
      <c r="S219" s="7"/>
      <c r="T219" s="7"/>
      <c r="U219" s="7"/>
      <c r="V219" s="7"/>
      <c r="W219" s="7"/>
      <c r="X219" s="7"/>
      <c r="Y219" s="7"/>
      <c r="Z219" s="7"/>
    </row>
    <row r="220" ht="15.75" customHeight="1">
      <c r="A220" s="4"/>
      <c r="B220" s="4"/>
      <c r="C220" s="4"/>
      <c r="D220" s="4"/>
      <c r="E220" s="19"/>
      <c r="F220" s="4"/>
      <c r="G220" s="4"/>
      <c r="H220" s="7"/>
      <c r="I220" s="4"/>
      <c r="J220" s="4"/>
      <c r="K220" s="22"/>
      <c r="L220" s="4"/>
      <c r="M220" s="4"/>
      <c r="N220" s="4"/>
      <c r="O220" s="4"/>
      <c r="P220" s="4"/>
      <c r="Q220" s="4"/>
      <c r="R220" s="4"/>
      <c r="S220" s="7"/>
      <c r="T220" s="7"/>
      <c r="U220" s="7"/>
      <c r="V220" s="7"/>
      <c r="W220" s="7"/>
      <c r="X220" s="7"/>
      <c r="Y220" s="7"/>
      <c r="Z220" s="7"/>
    </row>
    <row r="221" ht="15.75" customHeight="1">
      <c r="A221" s="4"/>
      <c r="B221" s="4"/>
      <c r="C221" s="4"/>
      <c r="D221" s="4"/>
      <c r="E221" s="19"/>
      <c r="F221" s="4"/>
      <c r="G221" s="4"/>
      <c r="H221" s="7"/>
      <c r="I221" s="4"/>
      <c r="J221" s="4"/>
      <c r="K221" s="22"/>
      <c r="L221" s="4"/>
      <c r="M221" s="4"/>
      <c r="N221" s="4"/>
      <c r="O221" s="4"/>
      <c r="P221" s="4"/>
      <c r="Q221" s="4"/>
      <c r="R221" s="4"/>
      <c r="S221" s="7"/>
      <c r="T221" s="7"/>
      <c r="U221" s="7"/>
      <c r="V221" s="7"/>
      <c r="W221" s="7"/>
      <c r="X221" s="7"/>
      <c r="Y221" s="7"/>
      <c r="Z221" s="7"/>
    </row>
    <row r="222" ht="15.75" customHeight="1">
      <c r="A222" s="4"/>
      <c r="B222" s="4"/>
      <c r="C222" s="4"/>
      <c r="D222" s="4"/>
      <c r="E222" s="19"/>
      <c r="F222" s="4"/>
      <c r="G222" s="4"/>
      <c r="H222" s="7"/>
      <c r="I222" s="4"/>
      <c r="J222" s="4"/>
      <c r="K222" s="22"/>
      <c r="L222" s="4"/>
      <c r="M222" s="4"/>
      <c r="N222" s="4"/>
      <c r="O222" s="4"/>
      <c r="P222" s="4"/>
      <c r="Q222" s="4"/>
      <c r="R222" s="4"/>
      <c r="S222" s="7"/>
      <c r="T222" s="7"/>
      <c r="U222" s="7"/>
      <c r="V222" s="7"/>
      <c r="W222" s="7"/>
      <c r="X222" s="7"/>
      <c r="Y222" s="7"/>
      <c r="Z222" s="7"/>
    </row>
    <row r="223" ht="15.75" customHeight="1">
      <c r="A223" s="4"/>
      <c r="B223" s="4"/>
      <c r="C223" s="4"/>
      <c r="D223" s="4"/>
      <c r="E223" s="19"/>
      <c r="F223" s="4"/>
      <c r="G223" s="4"/>
      <c r="H223" s="7"/>
      <c r="I223" s="4"/>
      <c r="J223" s="4"/>
      <c r="K223" s="22"/>
      <c r="L223" s="4"/>
      <c r="M223" s="4"/>
      <c r="N223" s="4"/>
      <c r="O223" s="4"/>
      <c r="P223" s="4"/>
      <c r="Q223" s="4"/>
      <c r="R223" s="4"/>
      <c r="S223" s="7"/>
      <c r="T223" s="7"/>
      <c r="U223" s="7"/>
      <c r="V223" s="7"/>
      <c r="W223" s="7"/>
      <c r="X223" s="7"/>
      <c r="Y223" s="7"/>
      <c r="Z223" s="7"/>
    </row>
    <row r="224" ht="15.75" customHeight="1">
      <c r="A224" s="4"/>
      <c r="B224" s="4"/>
      <c r="C224" s="4"/>
      <c r="D224" s="4"/>
      <c r="E224" s="19"/>
      <c r="F224" s="4"/>
      <c r="G224" s="4"/>
      <c r="H224" s="7"/>
      <c r="I224" s="4"/>
      <c r="J224" s="4"/>
      <c r="K224" s="22"/>
      <c r="L224" s="4"/>
      <c r="M224" s="4"/>
      <c r="N224" s="4"/>
      <c r="O224" s="4"/>
      <c r="P224" s="4"/>
      <c r="Q224" s="4"/>
      <c r="R224" s="4"/>
      <c r="S224" s="7"/>
      <c r="T224" s="7"/>
      <c r="U224" s="7"/>
      <c r="V224" s="7"/>
      <c r="W224" s="7"/>
      <c r="X224" s="7"/>
      <c r="Y224" s="7"/>
      <c r="Z224" s="7"/>
    </row>
    <row r="225" ht="15.75" customHeight="1">
      <c r="A225" s="4"/>
      <c r="B225" s="4"/>
      <c r="C225" s="4"/>
      <c r="D225" s="4"/>
      <c r="E225" s="19"/>
      <c r="F225" s="4"/>
      <c r="G225" s="4"/>
      <c r="H225" s="7"/>
      <c r="I225" s="4"/>
      <c r="J225" s="4"/>
      <c r="K225" s="22"/>
      <c r="L225" s="4"/>
      <c r="M225" s="4"/>
      <c r="N225" s="4"/>
      <c r="O225" s="4"/>
      <c r="P225" s="4"/>
      <c r="Q225" s="4"/>
      <c r="R225" s="4"/>
      <c r="S225" s="7"/>
      <c r="T225" s="7"/>
      <c r="U225" s="7"/>
      <c r="V225" s="7"/>
      <c r="W225" s="7"/>
      <c r="X225" s="7"/>
      <c r="Y225" s="7"/>
      <c r="Z225" s="7"/>
    </row>
    <row r="226" ht="15.75" customHeight="1">
      <c r="A226" s="4"/>
      <c r="B226" s="4"/>
      <c r="C226" s="4"/>
      <c r="D226" s="4"/>
      <c r="E226" s="19"/>
      <c r="F226" s="4"/>
      <c r="G226" s="4"/>
      <c r="H226" s="7"/>
      <c r="I226" s="4"/>
      <c r="J226" s="4"/>
      <c r="K226" s="22"/>
      <c r="L226" s="4"/>
      <c r="M226" s="4"/>
      <c r="N226" s="4"/>
      <c r="O226" s="4"/>
      <c r="P226" s="4"/>
      <c r="Q226" s="4"/>
      <c r="R226" s="4"/>
      <c r="S226" s="7"/>
      <c r="T226" s="7"/>
      <c r="U226" s="7"/>
      <c r="V226" s="7"/>
      <c r="W226" s="7"/>
      <c r="X226" s="7"/>
      <c r="Y226" s="7"/>
      <c r="Z226" s="7"/>
    </row>
    <row r="227" ht="15.75" customHeight="1">
      <c r="A227" s="4"/>
      <c r="B227" s="4"/>
      <c r="C227" s="4"/>
      <c r="D227" s="4"/>
      <c r="E227" s="19"/>
      <c r="F227" s="4"/>
      <c r="G227" s="4"/>
      <c r="H227" s="7"/>
      <c r="I227" s="4"/>
      <c r="J227" s="4"/>
      <c r="K227" s="22"/>
      <c r="L227" s="4"/>
      <c r="M227" s="4"/>
      <c r="N227" s="4"/>
      <c r="O227" s="4"/>
      <c r="P227" s="4"/>
      <c r="Q227" s="4"/>
      <c r="R227" s="4"/>
      <c r="S227" s="7"/>
      <c r="T227" s="7"/>
      <c r="U227" s="7"/>
      <c r="V227" s="7"/>
      <c r="W227" s="7"/>
      <c r="X227" s="7"/>
      <c r="Y227" s="7"/>
      <c r="Z227" s="7"/>
    </row>
    <row r="228" ht="15.75" customHeight="1">
      <c r="A228" s="4"/>
      <c r="B228" s="4"/>
      <c r="C228" s="4"/>
      <c r="D228" s="4"/>
      <c r="E228" s="19"/>
      <c r="F228" s="4"/>
      <c r="G228" s="4"/>
      <c r="H228" s="7"/>
      <c r="I228" s="4"/>
      <c r="J228" s="4"/>
      <c r="K228" s="22"/>
      <c r="L228" s="4"/>
      <c r="M228" s="4"/>
      <c r="N228" s="4"/>
      <c r="O228" s="4"/>
      <c r="P228" s="4"/>
      <c r="Q228" s="4"/>
      <c r="R228" s="4"/>
      <c r="S228" s="7"/>
      <c r="T228" s="7"/>
      <c r="U228" s="7"/>
      <c r="V228" s="7"/>
      <c r="W228" s="7"/>
      <c r="X228" s="7"/>
      <c r="Y228" s="7"/>
      <c r="Z228" s="7"/>
    </row>
    <row r="229" ht="15.75" customHeight="1">
      <c r="A229" s="4"/>
      <c r="B229" s="4"/>
      <c r="C229" s="4"/>
      <c r="D229" s="4"/>
      <c r="E229" s="19"/>
      <c r="F229" s="4"/>
      <c r="G229" s="4"/>
      <c r="H229" s="7"/>
      <c r="I229" s="4"/>
      <c r="J229" s="4"/>
      <c r="K229" s="22"/>
      <c r="L229" s="4"/>
      <c r="M229" s="4"/>
      <c r="N229" s="4"/>
      <c r="O229" s="4"/>
      <c r="P229" s="4"/>
      <c r="Q229" s="4"/>
      <c r="R229" s="4"/>
      <c r="S229" s="7"/>
      <c r="T229" s="7"/>
      <c r="U229" s="7"/>
      <c r="V229" s="7"/>
      <c r="W229" s="7"/>
      <c r="X229" s="7"/>
      <c r="Y229" s="7"/>
      <c r="Z229" s="7"/>
    </row>
    <row r="230" ht="15.75" customHeight="1">
      <c r="A230" s="4"/>
      <c r="B230" s="4"/>
      <c r="C230" s="4"/>
      <c r="D230" s="4"/>
      <c r="E230" s="19"/>
      <c r="F230" s="4"/>
      <c r="G230" s="4"/>
      <c r="H230" s="7"/>
      <c r="I230" s="4"/>
      <c r="J230" s="4"/>
      <c r="K230" s="22"/>
      <c r="L230" s="4"/>
      <c r="M230" s="4"/>
      <c r="N230" s="4"/>
      <c r="O230" s="4"/>
      <c r="P230" s="4"/>
      <c r="Q230" s="4"/>
      <c r="R230" s="4"/>
      <c r="S230" s="7"/>
      <c r="T230" s="7"/>
      <c r="U230" s="7"/>
      <c r="V230" s="7"/>
      <c r="W230" s="7"/>
      <c r="X230" s="7"/>
      <c r="Y230" s="7"/>
      <c r="Z230" s="7"/>
    </row>
    <row r="231" ht="15.75" customHeight="1">
      <c r="A231" s="4"/>
      <c r="B231" s="4"/>
      <c r="C231" s="4"/>
      <c r="D231" s="4"/>
      <c r="E231" s="19"/>
      <c r="F231" s="4"/>
      <c r="G231" s="4"/>
      <c r="H231" s="7"/>
      <c r="I231" s="4"/>
      <c r="J231" s="4"/>
      <c r="K231" s="22"/>
      <c r="L231" s="4"/>
      <c r="M231" s="4"/>
      <c r="N231" s="4"/>
      <c r="O231" s="4"/>
      <c r="P231" s="4"/>
      <c r="Q231" s="4"/>
      <c r="R231" s="4"/>
      <c r="S231" s="7"/>
      <c r="T231" s="7"/>
      <c r="U231" s="7"/>
      <c r="V231" s="7"/>
      <c r="W231" s="7"/>
      <c r="X231" s="7"/>
      <c r="Y231" s="7"/>
      <c r="Z231" s="7"/>
    </row>
    <row r="232" ht="15.75" customHeight="1">
      <c r="A232" s="4"/>
      <c r="B232" s="4"/>
      <c r="C232" s="4"/>
      <c r="D232" s="4"/>
      <c r="E232" s="19"/>
      <c r="F232" s="4"/>
      <c r="G232" s="4"/>
      <c r="H232" s="7"/>
      <c r="I232" s="4"/>
      <c r="J232" s="4"/>
      <c r="K232" s="22"/>
      <c r="L232" s="4"/>
      <c r="M232" s="4"/>
      <c r="N232" s="4"/>
      <c r="O232" s="4"/>
      <c r="P232" s="4"/>
      <c r="Q232" s="4"/>
      <c r="R232" s="4"/>
      <c r="S232" s="7"/>
      <c r="T232" s="7"/>
      <c r="U232" s="7"/>
      <c r="V232" s="7"/>
      <c r="W232" s="7"/>
      <c r="X232" s="7"/>
      <c r="Y232" s="7"/>
      <c r="Z232" s="7"/>
    </row>
    <row r="233" ht="15.75" customHeight="1">
      <c r="A233" s="4"/>
      <c r="B233" s="4"/>
      <c r="C233" s="4"/>
      <c r="D233" s="4"/>
      <c r="E233" s="19"/>
      <c r="F233" s="4"/>
      <c r="G233" s="4"/>
      <c r="H233" s="7"/>
      <c r="I233" s="4"/>
      <c r="J233" s="4"/>
      <c r="K233" s="22"/>
      <c r="L233" s="4"/>
      <c r="M233" s="4"/>
      <c r="N233" s="4"/>
      <c r="O233" s="4"/>
      <c r="P233" s="4"/>
      <c r="Q233" s="4"/>
      <c r="R233" s="4"/>
      <c r="S233" s="7"/>
      <c r="T233" s="7"/>
      <c r="U233" s="7"/>
      <c r="V233" s="7"/>
      <c r="W233" s="7"/>
      <c r="X233" s="7"/>
      <c r="Y233" s="7"/>
      <c r="Z233" s="7"/>
    </row>
    <row r="234" ht="15.75" customHeight="1">
      <c r="A234" s="4"/>
      <c r="B234" s="4"/>
      <c r="C234" s="4"/>
      <c r="D234" s="4"/>
      <c r="E234" s="19"/>
      <c r="F234" s="4"/>
      <c r="G234" s="4"/>
      <c r="H234" s="7"/>
      <c r="I234" s="4"/>
      <c r="J234" s="4"/>
      <c r="K234" s="22"/>
      <c r="L234" s="4"/>
      <c r="M234" s="4"/>
      <c r="N234" s="4"/>
      <c r="O234" s="4"/>
      <c r="P234" s="4"/>
      <c r="Q234" s="4"/>
      <c r="R234" s="4"/>
      <c r="S234" s="7"/>
      <c r="T234" s="7"/>
      <c r="U234" s="7"/>
      <c r="V234" s="7"/>
      <c r="W234" s="7"/>
      <c r="X234" s="7"/>
      <c r="Y234" s="7"/>
      <c r="Z234" s="7"/>
    </row>
    <row r="235" ht="15.75" customHeight="1">
      <c r="A235" s="4"/>
      <c r="B235" s="4"/>
      <c r="C235" s="4"/>
      <c r="D235" s="4"/>
      <c r="E235" s="19"/>
      <c r="F235" s="4"/>
      <c r="G235" s="4"/>
      <c r="H235" s="7"/>
      <c r="I235" s="4"/>
      <c r="J235" s="4"/>
      <c r="K235" s="22"/>
      <c r="L235" s="4"/>
      <c r="M235" s="4"/>
      <c r="N235" s="4"/>
      <c r="O235" s="4"/>
      <c r="P235" s="4"/>
      <c r="Q235" s="4"/>
      <c r="R235" s="4"/>
      <c r="S235" s="7"/>
      <c r="T235" s="7"/>
      <c r="U235" s="7"/>
      <c r="V235" s="7"/>
      <c r="W235" s="7"/>
      <c r="X235" s="7"/>
      <c r="Y235" s="7"/>
      <c r="Z235" s="7"/>
    </row>
    <row r="236" ht="15.75" customHeight="1">
      <c r="A236" s="4"/>
      <c r="B236" s="4"/>
      <c r="C236" s="4"/>
      <c r="D236" s="4"/>
      <c r="E236" s="19"/>
      <c r="F236" s="4"/>
      <c r="G236" s="4"/>
      <c r="H236" s="7"/>
      <c r="I236" s="4"/>
      <c r="J236" s="4"/>
      <c r="K236" s="22"/>
      <c r="L236" s="4"/>
      <c r="M236" s="4"/>
      <c r="N236" s="4"/>
      <c r="O236" s="4"/>
      <c r="P236" s="4"/>
      <c r="Q236" s="4"/>
      <c r="R236" s="4"/>
      <c r="S236" s="7"/>
      <c r="T236" s="7"/>
      <c r="U236" s="7"/>
      <c r="V236" s="7"/>
      <c r="W236" s="7"/>
      <c r="X236" s="7"/>
      <c r="Y236" s="7"/>
      <c r="Z236" s="7"/>
    </row>
    <row r="237" ht="15.75" customHeight="1">
      <c r="A237" s="4"/>
      <c r="B237" s="4"/>
      <c r="C237" s="4"/>
      <c r="D237" s="4"/>
      <c r="E237" s="19"/>
      <c r="F237" s="4"/>
      <c r="G237" s="4"/>
      <c r="H237" s="7"/>
      <c r="I237" s="4"/>
      <c r="J237" s="4"/>
      <c r="K237" s="22"/>
      <c r="L237" s="4"/>
      <c r="M237" s="4"/>
      <c r="N237" s="4"/>
      <c r="O237" s="4"/>
      <c r="P237" s="4"/>
      <c r="Q237" s="4"/>
      <c r="R237" s="4"/>
      <c r="S237" s="7"/>
      <c r="T237" s="7"/>
      <c r="U237" s="7"/>
      <c r="V237" s="7"/>
      <c r="W237" s="7"/>
      <c r="X237" s="7"/>
      <c r="Y237" s="7"/>
      <c r="Z237" s="7"/>
    </row>
    <row r="238" ht="15.75" customHeight="1">
      <c r="A238" s="4"/>
      <c r="B238" s="4"/>
      <c r="C238" s="4"/>
      <c r="D238" s="4"/>
      <c r="E238" s="19"/>
      <c r="F238" s="4"/>
      <c r="G238" s="4"/>
      <c r="H238" s="7"/>
      <c r="I238" s="4"/>
      <c r="J238" s="4"/>
      <c r="K238" s="22"/>
      <c r="L238" s="4"/>
      <c r="M238" s="4"/>
      <c r="N238" s="4"/>
      <c r="O238" s="4"/>
      <c r="P238" s="4"/>
      <c r="Q238" s="4"/>
      <c r="R238" s="4"/>
      <c r="S238" s="7"/>
      <c r="T238" s="7"/>
      <c r="U238" s="7"/>
      <c r="V238" s="7"/>
      <c r="W238" s="7"/>
      <c r="X238" s="7"/>
      <c r="Y238" s="7"/>
      <c r="Z238" s="7"/>
    </row>
    <row r="239" ht="15.75" customHeight="1">
      <c r="A239" s="4"/>
      <c r="B239" s="4"/>
      <c r="C239" s="4"/>
      <c r="D239" s="4"/>
      <c r="E239" s="19"/>
      <c r="F239" s="4"/>
      <c r="G239" s="4"/>
      <c r="H239" s="7"/>
      <c r="I239" s="4"/>
      <c r="J239" s="4"/>
      <c r="K239" s="22"/>
      <c r="L239" s="4"/>
      <c r="M239" s="4"/>
      <c r="N239" s="4"/>
      <c r="O239" s="4"/>
      <c r="P239" s="4"/>
      <c r="Q239" s="4"/>
      <c r="R239" s="4"/>
      <c r="S239" s="7"/>
      <c r="T239" s="7"/>
      <c r="U239" s="7"/>
      <c r="V239" s="7"/>
      <c r="W239" s="7"/>
      <c r="X239" s="7"/>
      <c r="Y239" s="7"/>
      <c r="Z239" s="7"/>
    </row>
    <row r="240" ht="15.75" customHeight="1">
      <c r="A240" s="4"/>
      <c r="B240" s="4"/>
      <c r="C240" s="4"/>
      <c r="D240" s="4"/>
      <c r="E240" s="19"/>
      <c r="F240" s="4"/>
      <c r="G240" s="4"/>
      <c r="H240" s="7"/>
      <c r="I240" s="4"/>
      <c r="J240" s="4"/>
      <c r="K240" s="22"/>
      <c r="L240" s="4"/>
      <c r="M240" s="4"/>
      <c r="N240" s="4"/>
      <c r="O240" s="4"/>
      <c r="P240" s="4"/>
      <c r="Q240" s="4"/>
      <c r="R240" s="4"/>
      <c r="S240" s="7"/>
      <c r="T240" s="7"/>
      <c r="U240" s="7"/>
      <c r="V240" s="7"/>
      <c r="W240" s="7"/>
      <c r="X240" s="7"/>
      <c r="Y240" s="7"/>
      <c r="Z240" s="7"/>
    </row>
    <row r="241" ht="15.75" customHeight="1">
      <c r="A241" s="4"/>
      <c r="B241" s="4"/>
      <c r="C241" s="4"/>
      <c r="D241" s="4"/>
      <c r="E241" s="19"/>
      <c r="F241" s="4"/>
      <c r="G241" s="4"/>
      <c r="H241" s="7"/>
      <c r="I241" s="4"/>
      <c r="J241" s="4"/>
      <c r="K241" s="22"/>
      <c r="L241" s="4"/>
      <c r="M241" s="4"/>
      <c r="N241" s="4"/>
      <c r="O241" s="4"/>
      <c r="P241" s="4"/>
      <c r="Q241" s="4"/>
      <c r="R241" s="4"/>
      <c r="S241" s="7"/>
      <c r="T241" s="7"/>
      <c r="U241" s="7"/>
      <c r="V241" s="7"/>
      <c r="W241" s="7"/>
      <c r="X241" s="7"/>
      <c r="Y241" s="7"/>
      <c r="Z241" s="7"/>
    </row>
    <row r="242" ht="15.75" customHeight="1">
      <c r="A242" s="4"/>
      <c r="B242" s="4"/>
      <c r="C242" s="4"/>
      <c r="D242" s="4"/>
      <c r="E242" s="19"/>
      <c r="F242" s="4"/>
      <c r="G242" s="4"/>
      <c r="H242" s="7"/>
      <c r="I242" s="4"/>
      <c r="J242" s="4"/>
      <c r="K242" s="22"/>
      <c r="L242" s="4"/>
      <c r="M242" s="4"/>
      <c r="N242" s="4"/>
      <c r="O242" s="4"/>
      <c r="P242" s="4"/>
      <c r="Q242" s="4"/>
      <c r="R242" s="4"/>
      <c r="S242" s="7"/>
      <c r="T242" s="7"/>
      <c r="U242" s="7"/>
      <c r="V242" s="7"/>
      <c r="W242" s="7"/>
      <c r="X242" s="7"/>
      <c r="Y242" s="7"/>
      <c r="Z242" s="7"/>
    </row>
    <row r="243" ht="15.75" customHeight="1">
      <c r="A243" s="4"/>
      <c r="B243" s="4"/>
      <c r="C243" s="4"/>
      <c r="D243" s="4"/>
      <c r="E243" s="19"/>
      <c r="F243" s="4"/>
      <c r="G243" s="4"/>
      <c r="H243" s="7"/>
      <c r="I243" s="4"/>
      <c r="J243" s="4"/>
      <c r="K243" s="22"/>
      <c r="L243" s="4"/>
      <c r="M243" s="4"/>
      <c r="N243" s="4"/>
      <c r="O243" s="4"/>
      <c r="P243" s="4"/>
      <c r="Q243" s="4"/>
      <c r="R243" s="4"/>
      <c r="S243" s="7"/>
      <c r="T243" s="7"/>
      <c r="U243" s="7"/>
      <c r="V243" s="7"/>
      <c r="W243" s="7"/>
      <c r="X243" s="7"/>
      <c r="Y243" s="7"/>
      <c r="Z243" s="7"/>
    </row>
    <row r="244" ht="15.75" customHeight="1">
      <c r="A244" s="4"/>
      <c r="B244" s="4"/>
      <c r="C244" s="4"/>
      <c r="D244" s="4"/>
      <c r="E244" s="19"/>
      <c r="F244" s="4"/>
      <c r="G244" s="4"/>
      <c r="H244" s="7"/>
      <c r="I244" s="4"/>
      <c r="J244" s="4"/>
      <c r="K244" s="22"/>
      <c r="L244" s="4"/>
      <c r="M244" s="4"/>
      <c r="N244" s="4"/>
      <c r="O244" s="4"/>
      <c r="P244" s="4"/>
      <c r="Q244" s="4"/>
      <c r="R244" s="4"/>
      <c r="S244" s="7"/>
      <c r="T244" s="7"/>
      <c r="U244" s="7"/>
      <c r="V244" s="7"/>
      <c r="W244" s="7"/>
      <c r="X244" s="7"/>
      <c r="Y244" s="7"/>
      <c r="Z244" s="7"/>
    </row>
    <row r="245" ht="15.75" customHeight="1">
      <c r="A245" s="4"/>
      <c r="B245" s="4"/>
      <c r="C245" s="4"/>
      <c r="D245" s="4"/>
      <c r="E245" s="19"/>
      <c r="F245" s="4"/>
      <c r="G245" s="4"/>
      <c r="H245" s="7"/>
      <c r="I245" s="4"/>
      <c r="J245" s="4"/>
      <c r="K245" s="22"/>
      <c r="L245" s="4"/>
      <c r="M245" s="4"/>
      <c r="N245" s="4"/>
      <c r="O245" s="4"/>
      <c r="P245" s="4"/>
      <c r="Q245" s="4"/>
      <c r="R245" s="4"/>
      <c r="S245" s="7"/>
      <c r="T245" s="7"/>
      <c r="U245" s="7"/>
      <c r="V245" s="7"/>
      <c r="W245" s="7"/>
      <c r="X245" s="7"/>
      <c r="Y245" s="7"/>
      <c r="Z245" s="7"/>
    </row>
    <row r="246" ht="15.75" customHeight="1">
      <c r="A246" s="4"/>
      <c r="B246" s="4"/>
      <c r="C246" s="4"/>
      <c r="D246" s="4"/>
      <c r="E246" s="19"/>
      <c r="F246" s="4"/>
      <c r="G246" s="4"/>
      <c r="H246" s="7"/>
      <c r="I246" s="4"/>
      <c r="J246" s="4"/>
      <c r="K246" s="22"/>
      <c r="L246" s="4"/>
      <c r="M246" s="4"/>
      <c r="N246" s="4"/>
      <c r="O246" s="4"/>
      <c r="P246" s="4"/>
      <c r="Q246" s="4"/>
      <c r="R246" s="4"/>
      <c r="S246" s="7"/>
      <c r="T246" s="7"/>
      <c r="U246" s="7"/>
      <c r="V246" s="7"/>
      <c r="W246" s="7"/>
      <c r="X246" s="7"/>
      <c r="Y246" s="7"/>
      <c r="Z246" s="7"/>
    </row>
    <row r="247" ht="15.75" customHeight="1">
      <c r="A247" s="4"/>
      <c r="B247" s="4"/>
      <c r="C247" s="4"/>
      <c r="D247" s="4"/>
      <c r="E247" s="19"/>
      <c r="F247" s="4"/>
      <c r="G247" s="4"/>
      <c r="H247" s="7"/>
      <c r="I247" s="4"/>
      <c r="J247" s="4"/>
      <c r="K247" s="22"/>
      <c r="L247" s="4"/>
      <c r="M247" s="4"/>
      <c r="N247" s="4"/>
      <c r="O247" s="4"/>
      <c r="P247" s="4"/>
      <c r="Q247" s="4"/>
      <c r="R247" s="4"/>
      <c r="S247" s="7"/>
      <c r="T247" s="7"/>
      <c r="U247" s="7"/>
      <c r="V247" s="7"/>
      <c r="W247" s="7"/>
      <c r="X247" s="7"/>
      <c r="Y247" s="7"/>
      <c r="Z247" s="7"/>
    </row>
    <row r="248" ht="15.75" customHeight="1">
      <c r="A248" s="4"/>
      <c r="B248" s="4"/>
      <c r="C248" s="4"/>
      <c r="D248" s="4"/>
      <c r="E248" s="19"/>
      <c r="F248" s="4"/>
      <c r="G248" s="4"/>
      <c r="H248" s="7"/>
      <c r="I248" s="4"/>
      <c r="J248" s="4"/>
      <c r="K248" s="22"/>
      <c r="L248" s="4"/>
      <c r="M248" s="4"/>
      <c r="N248" s="4"/>
      <c r="O248" s="4"/>
      <c r="P248" s="4"/>
      <c r="Q248" s="4"/>
      <c r="R248" s="4"/>
      <c r="S248" s="7"/>
      <c r="T248" s="7"/>
      <c r="U248" s="7"/>
      <c r="V248" s="7"/>
      <c r="W248" s="7"/>
      <c r="X248" s="7"/>
      <c r="Y248" s="7"/>
      <c r="Z248" s="7"/>
    </row>
    <row r="249" ht="15.75" customHeight="1">
      <c r="A249" s="4"/>
      <c r="B249" s="4"/>
      <c r="C249" s="4"/>
      <c r="D249" s="4"/>
      <c r="E249" s="19"/>
      <c r="F249" s="4"/>
      <c r="G249" s="4"/>
      <c r="H249" s="7"/>
      <c r="I249" s="4"/>
      <c r="J249" s="4"/>
      <c r="K249" s="22"/>
      <c r="L249" s="4"/>
      <c r="M249" s="4"/>
      <c r="N249" s="4"/>
      <c r="O249" s="4"/>
      <c r="P249" s="4"/>
      <c r="Q249" s="4"/>
      <c r="R249" s="4"/>
      <c r="S249" s="7"/>
      <c r="T249" s="7"/>
      <c r="U249" s="7"/>
      <c r="V249" s="7"/>
      <c r="W249" s="7"/>
      <c r="X249" s="7"/>
      <c r="Y249" s="7"/>
      <c r="Z249" s="7"/>
    </row>
    <row r="250" ht="15.75" customHeight="1">
      <c r="A250" s="4"/>
      <c r="B250" s="4"/>
      <c r="C250" s="4"/>
      <c r="D250" s="4"/>
      <c r="E250" s="19"/>
      <c r="F250" s="4"/>
      <c r="G250" s="4"/>
      <c r="H250" s="7"/>
      <c r="I250" s="4"/>
      <c r="J250" s="4"/>
      <c r="K250" s="22"/>
      <c r="L250" s="4"/>
      <c r="M250" s="4"/>
      <c r="N250" s="4"/>
      <c r="O250" s="4"/>
      <c r="P250" s="4"/>
      <c r="Q250" s="4"/>
      <c r="R250" s="4"/>
      <c r="S250" s="7"/>
      <c r="T250" s="7"/>
      <c r="U250" s="7"/>
      <c r="V250" s="7"/>
      <c r="W250" s="7"/>
      <c r="X250" s="7"/>
      <c r="Y250" s="7"/>
      <c r="Z250" s="7"/>
    </row>
    <row r="251" ht="15.75" customHeight="1">
      <c r="A251" s="4"/>
      <c r="B251" s="4"/>
      <c r="C251" s="4"/>
      <c r="D251" s="4"/>
      <c r="E251" s="19"/>
      <c r="F251" s="4"/>
      <c r="G251" s="4"/>
      <c r="H251" s="7"/>
      <c r="I251" s="4"/>
      <c r="J251" s="4"/>
      <c r="K251" s="22"/>
      <c r="L251" s="4"/>
      <c r="M251" s="4"/>
      <c r="N251" s="4"/>
      <c r="O251" s="4"/>
      <c r="P251" s="4"/>
      <c r="Q251" s="4"/>
      <c r="R251" s="4"/>
      <c r="S251" s="7"/>
      <c r="T251" s="7"/>
      <c r="U251" s="7"/>
      <c r="V251" s="7"/>
      <c r="W251" s="7"/>
      <c r="X251" s="7"/>
      <c r="Y251" s="7"/>
      <c r="Z251" s="7"/>
    </row>
    <row r="252" ht="15.75" customHeight="1">
      <c r="A252" s="4"/>
      <c r="B252" s="4"/>
      <c r="C252" s="4"/>
      <c r="D252" s="4"/>
      <c r="E252" s="19"/>
      <c r="F252" s="4"/>
      <c r="G252" s="4"/>
      <c r="H252" s="7"/>
      <c r="I252" s="4"/>
      <c r="J252" s="4"/>
      <c r="K252" s="22"/>
      <c r="L252" s="4"/>
      <c r="M252" s="4"/>
      <c r="N252" s="4"/>
      <c r="O252" s="4"/>
      <c r="P252" s="4"/>
      <c r="Q252" s="4"/>
      <c r="R252" s="4"/>
      <c r="S252" s="7"/>
      <c r="T252" s="7"/>
      <c r="U252" s="7"/>
      <c r="V252" s="7"/>
      <c r="W252" s="7"/>
      <c r="X252" s="7"/>
      <c r="Y252" s="7"/>
      <c r="Z252" s="7"/>
    </row>
    <row r="253" ht="15.75" customHeight="1">
      <c r="A253" s="4"/>
      <c r="B253" s="4"/>
      <c r="C253" s="4"/>
      <c r="D253" s="4"/>
      <c r="E253" s="19"/>
      <c r="F253" s="4"/>
      <c r="G253" s="4"/>
      <c r="H253" s="7"/>
      <c r="I253" s="4"/>
      <c r="J253" s="4"/>
      <c r="K253" s="22"/>
      <c r="L253" s="4"/>
      <c r="M253" s="4"/>
      <c r="N253" s="4"/>
      <c r="O253" s="4"/>
      <c r="P253" s="4"/>
      <c r="Q253" s="4"/>
      <c r="R253" s="4"/>
      <c r="S253" s="7"/>
      <c r="T253" s="7"/>
      <c r="U253" s="7"/>
      <c r="V253" s="7"/>
      <c r="W253" s="7"/>
      <c r="X253" s="7"/>
      <c r="Y253" s="7"/>
      <c r="Z253" s="7"/>
    </row>
    <row r="254" ht="15.75" customHeight="1">
      <c r="A254" s="4"/>
      <c r="B254" s="4"/>
      <c r="C254" s="4"/>
      <c r="D254" s="4"/>
      <c r="E254" s="19"/>
      <c r="F254" s="4"/>
      <c r="G254" s="4"/>
      <c r="H254" s="7"/>
      <c r="I254" s="4"/>
      <c r="J254" s="4"/>
      <c r="K254" s="22"/>
      <c r="L254" s="4"/>
      <c r="M254" s="4"/>
      <c r="N254" s="4"/>
      <c r="O254" s="4"/>
      <c r="P254" s="4"/>
      <c r="Q254" s="4"/>
      <c r="R254" s="4"/>
      <c r="S254" s="7"/>
      <c r="T254" s="7"/>
      <c r="U254" s="7"/>
      <c r="V254" s="7"/>
      <c r="W254" s="7"/>
      <c r="X254" s="7"/>
      <c r="Y254" s="7"/>
      <c r="Z254" s="7"/>
    </row>
    <row r="255" ht="15.75" customHeight="1">
      <c r="A255" s="4"/>
      <c r="B255" s="4"/>
      <c r="C255" s="4"/>
      <c r="D255" s="4"/>
      <c r="E255" s="19"/>
      <c r="F255" s="4"/>
      <c r="G255" s="4"/>
      <c r="H255" s="7"/>
      <c r="I255" s="4"/>
      <c r="J255" s="4"/>
      <c r="K255" s="22"/>
      <c r="L255" s="4"/>
      <c r="M255" s="4"/>
      <c r="N255" s="4"/>
      <c r="O255" s="4"/>
      <c r="P255" s="4"/>
      <c r="Q255" s="4"/>
      <c r="R255" s="4"/>
      <c r="S255" s="7"/>
      <c r="T255" s="7"/>
      <c r="U255" s="7"/>
      <c r="V255" s="7"/>
      <c r="W255" s="7"/>
      <c r="X255" s="7"/>
      <c r="Y255" s="7"/>
      <c r="Z255" s="7"/>
    </row>
    <row r="256" ht="15.75" customHeight="1">
      <c r="A256" s="4"/>
      <c r="B256" s="4"/>
      <c r="C256" s="4"/>
      <c r="D256" s="4"/>
      <c r="E256" s="19"/>
      <c r="F256" s="4"/>
      <c r="G256" s="4"/>
      <c r="H256" s="7"/>
      <c r="I256" s="4"/>
      <c r="J256" s="4"/>
      <c r="K256" s="22"/>
      <c r="L256" s="4"/>
      <c r="M256" s="4"/>
      <c r="N256" s="4"/>
      <c r="O256" s="4"/>
      <c r="P256" s="4"/>
      <c r="Q256" s="4"/>
      <c r="R256" s="4"/>
      <c r="S256" s="7"/>
      <c r="T256" s="7"/>
      <c r="U256" s="7"/>
      <c r="V256" s="7"/>
      <c r="W256" s="7"/>
      <c r="X256" s="7"/>
      <c r="Y256" s="7"/>
      <c r="Z256" s="7"/>
    </row>
    <row r="257" ht="15.75" customHeight="1">
      <c r="A257" s="4"/>
      <c r="B257" s="4"/>
      <c r="C257" s="4"/>
      <c r="D257" s="4"/>
      <c r="E257" s="19"/>
      <c r="F257" s="4"/>
      <c r="G257" s="4"/>
      <c r="H257" s="7"/>
      <c r="I257" s="4"/>
      <c r="J257" s="4"/>
      <c r="K257" s="22"/>
      <c r="L257" s="4"/>
      <c r="M257" s="4"/>
      <c r="N257" s="4"/>
      <c r="O257" s="4"/>
      <c r="P257" s="4"/>
      <c r="Q257" s="4"/>
      <c r="R257" s="4"/>
      <c r="S257" s="7"/>
      <c r="T257" s="7"/>
      <c r="U257" s="7"/>
      <c r="V257" s="7"/>
      <c r="W257" s="7"/>
      <c r="X257" s="7"/>
      <c r="Y257" s="7"/>
      <c r="Z257" s="7"/>
    </row>
    <row r="258" ht="15.75" customHeight="1">
      <c r="A258" s="4"/>
      <c r="B258" s="4"/>
      <c r="C258" s="4"/>
      <c r="D258" s="4"/>
      <c r="E258" s="19"/>
      <c r="F258" s="4"/>
      <c r="G258" s="4"/>
      <c r="H258" s="7"/>
      <c r="I258" s="4"/>
      <c r="J258" s="4"/>
      <c r="K258" s="22"/>
      <c r="L258" s="4"/>
      <c r="M258" s="4"/>
      <c r="N258" s="4"/>
      <c r="O258" s="4"/>
      <c r="P258" s="4"/>
      <c r="Q258" s="4"/>
      <c r="R258" s="4"/>
      <c r="S258" s="7"/>
      <c r="T258" s="7"/>
      <c r="U258" s="7"/>
      <c r="V258" s="7"/>
      <c r="W258" s="7"/>
      <c r="X258" s="7"/>
      <c r="Y258" s="7"/>
      <c r="Z258" s="7"/>
    </row>
    <row r="259" ht="15.75" customHeight="1">
      <c r="A259" s="4"/>
      <c r="B259" s="4"/>
      <c r="C259" s="4"/>
      <c r="D259" s="4"/>
      <c r="E259" s="19"/>
      <c r="F259" s="4"/>
      <c r="G259" s="4"/>
      <c r="H259" s="7"/>
      <c r="I259" s="4"/>
      <c r="J259" s="4"/>
      <c r="K259" s="22"/>
      <c r="L259" s="4"/>
      <c r="M259" s="4"/>
      <c r="N259" s="4"/>
      <c r="O259" s="4"/>
      <c r="P259" s="4"/>
      <c r="Q259" s="4"/>
      <c r="R259" s="4"/>
      <c r="S259" s="7"/>
      <c r="T259" s="7"/>
      <c r="U259" s="7"/>
      <c r="V259" s="7"/>
      <c r="W259" s="7"/>
      <c r="X259" s="7"/>
      <c r="Y259" s="7"/>
      <c r="Z259" s="7"/>
    </row>
    <row r="260" ht="15.75" customHeight="1">
      <c r="A260" s="4"/>
      <c r="B260" s="4"/>
      <c r="C260" s="4"/>
      <c r="D260" s="4"/>
      <c r="E260" s="19"/>
      <c r="F260" s="4"/>
      <c r="G260" s="4"/>
      <c r="H260" s="7"/>
      <c r="I260" s="4"/>
      <c r="J260" s="4"/>
      <c r="K260" s="22"/>
      <c r="L260" s="4"/>
      <c r="M260" s="4"/>
      <c r="N260" s="4"/>
      <c r="O260" s="4"/>
      <c r="P260" s="4"/>
      <c r="Q260" s="4"/>
      <c r="R260" s="4"/>
      <c r="S260" s="7"/>
      <c r="T260" s="7"/>
      <c r="U260" s="7"/>
      <c r="V260" s="7"/>
      <c r="W260" s="7"/>
      <c r="X260" s="7"/>
      <c r="Y260" s="7"/>
      <c r="Z260" s="7"/>
    </row>
    <row r="261" ht="15.75" customHeight="1">
      <c r="A261" s="4"/>
      <c r="B261" s="4"/>
      <c r="C261" s="4"/>
      <c r="D261" s="4"/>
      <c r="E261" s="19"/>
      <c r="F261" s="4"/>
      <c r="G261" s="4"/>
      <c r="H261" s="7"/>
      <c r="I261" s="4"/>
      <c r="J261" s="4"/>
      <c r="K261" s="22"/>
      <c r="L261" s="4"/>
      <c r="M261" s="4"/>
      <c r="N261" s="4"/>
      <c r="O261" s="4"/>
      <c r="P261" s="4"/>
      <c r="Q261" s="4"/>
      <c r="R261" s="4"/>
      <c r="S261" s="7"/>
      <c r="T261" s="7"/>
      <c r="U261" s="7"/>
      <c r="V261" s="7"/>
      <c r="W261" s="7"/>
      <c r="X261" s="7"/>
      <c r="Y261" s="7"/>
      <c r="Z261" s="7"/>
    </row>
    <row r="262" ht="15.75" customHeight="1">
      <c r="A262" s="4"/>
      <c r="B262" s="4"/>
      <c r="C262" s="4"/>
      <c r="D262" s="4"/>
      <c r="E262" s="19"/>
      <c r="F262" s="4"/>
      <c r="G262" s="4"/>
      <c r="H262" s="7"/>
      <c r="I262" s="4"/>
      <c r="J262" s="4"/>
      <c r="K262" s="22"/>
      <c r="L262" s="4"/>
      <c r="M262" s="4"/>
      <c r="N262" s="4"/>
      <c r="O262" s="4"/>
      <c r="P262" s="4"/>
      <c r="Q262" s="4"/>
      <c r="R262" s="4"/>
      <c r="S262" s="7"/>
      <c r="T262" s="7"/>
      <c r="U262" s="7"/>
      <c r="V262" s="7"/>
      <c r="W262" s="7"/>
      <c r="X262" s="7"/>
      <c r="Y262" s="7"/>
      <c r="Z262" s="7"/>
    </row>
    <row r="263" ht="15.75" customHeight="1">
      <c r="A263" s="4"/>
      <c r="B263" s="4"/>
      <c r="C263" s="4"/>
      <c r="D263" s="4"/>
      <c r="E263" s="19"/>
      <c r="F263" s="4"/>
      <c r="G263" s="4"/>
      <c r="H263" s="7"/>
      <c r="I263" s="4"/>
      <c r="J263" s="4"/>
      <c r="K263" s="22"/>
      <c r="L263" s="4"/>
      <c r="M263" s="4"/>
      <c r="N263" s="4"/>
      <c r="O263" s="4"/>
      <c r="P263" s="4"/>
      <c r="Q263" s="4"/>
      <c r="R263" s="4"/>
      <c r="S263" s="7"/>
      <c r="T263" s="7"/>
      <c r="U263" s="7"/>
      <c r="V263" s="7"/>
      <c r="W263" s="7"/>
      <c r="X263" s="7"/>
      <c r="Y263" s="7"/>
      <c r="Z263" s="7"/>
    </row>
    <row r="264" ht="15.75" customHeight="1">
      <c r="A264" s="4"/>
      <c r="B264" s="4"/>
      <c r="C264" s="4"/>
      <c r="D264" s="4"/>
      <c r="E264" s="19"/>
      <c r="F264" s="4"/>
      <c r="G264" s="4"/>
      <c r="H264" s="7"/>
      <c r="I264" s="4"/>
      <c r="J264" s="4"/>
      <c r="K264" s="22"/>
      <c r="L264" s="4"/>
      <c r="M264" s="4"/>
      <c r="N264" s="4"/>
      <c r="O264" s="4"/>
      <c r="P264" s="4"/>
      <c r="Q264" s="4"/>
      <c r="R264" s="4"/>
      <c r="S264" s="7"/>
      <c r="T264" s="7"/>
      <c r="U264" s="7"/>
      <c r="V264" s="7"/>
      <c r="W264" s="7"/>
      <c r="X264" s="7"/>
      <c r="Y264" s="7"/>
      <c r="Z264" s="7"/>
    </row>
    <row r="265" ht="15.75" customHeight="1">
      <c r="A265" s="4"/>
      <c r="B265" s="4"/>
      <c r="C265" s="4"/>
      <c r="D265" s="4"/>
      <c r="E265" s="19"/>
      <c r="F265" s="4"/>
      <c r="G265" s="4"/>
      <c r="H265" s="7"/>
      <c r="I265" s="4"/>
      <c r="J265" s="4"/>
      <c r="K265" s="22"/>
      <c r="L265" s="4"/>
      <c r="M265" s="4"/>
      <c r="N265" s="4"/>
      <c r="O265" s="4"/>
      <c r="P265" s="4"/>
      <c r="Q265" s="4"/>
      <c r="R265" s="4"/>
      <c r="S265" s="7"/>
      <c r="T265" s="7"/>
      <c r="U265" s="7"/>
      <c r="V265" s="7"/>
      <c r="W265" s="7"/>
      <c r="X265" s="7"/>
      <c r="Y265" s="7"/>
      <c r="Z265" s="7"/>
    </row>
    <row r="266" ht="15.75" customHeight="1">
      <c r="A266" s="4"/>
      <c r="B266" s="4"/>
      <c r="C266" s="4"/>
      <c r="D266" s="4"/>
      <c r="E266" s="19"/>
      <c r="F266" s="4"/>
      <c r="G266" s="4"/>
      <c r="H266" s="7"/>
      <c r="I266" s="4"/>
      <c r="J266" s="4"/>
      <c r="K266" s="22"/>
      <c r="L266" s="4"/>
      <c r="M266" s="4"/>
      <c r="N266" s="4"/>
      <c r="O266" s="4"/>
      <c r="P266" s="4"/>
      <c r="Q266" s="4"/>
      <c r="R266" s="4"/>
      <c r="S266" s="7"/>
      <c r="T266" s="7"/>
      <c r="U266" s="7"/>
      <c r="V266" s="7"/>
      <c r="W266" s="7"/>
      <c r="X266" s="7"/>
      <c r="Y266" s="7"/>
      <c r="Z266" s="7"/>
    </row>
    <row r="267" ht="15.75" customHeight="1">
      <c r="A267" s="4"/>
      <c r="B267" s="4"/>
      <c r="C267" s="4"/>
      <c r="D267" s="4"/>
      <c r="E267" s="19"/>
      <c r="F267" s="4"/>
      <c r="G267" s="4"/>
      <c r="H267" s="7"/>
      <c r="I267" s="4"/>
      <c r="J267" s="4"/>
      <c r="K267" s="22"/>
      <c r="L267" s="4"/>
      <c r="M267" s="4"/>
      <c r="N267" s="4"/>
      <c r="O267" s="4"/>
      <c r="P267" s="4"/>
      <c r="Q267" s="4"/>
      <c r="R267" s="4"/>
      <c r="S267" s="7"/>
      <c r="T267" s="7"/>
      <c r="U267" s="7"/>
      <c r="V267" s="7"/>
      <c r="W267" s="7"/>
      <c r="X267" s="7"/>
      <c r="Y267" s="7"/>
      <c r="Z267" s="7"/>
    </row>
    <row r="268" ht="15.75" customHeight="1">
      <c r="A268" s="4"/>
      <c r="B268" s="4"/>
      <c r="C268" s="4"/>
      <c r="D268" s="4"/>
      <c r="E268" s="19"/>
      <c r="F268" s="4"/>
      <c r="G268" s="4"/>
      <c r="H268" s="7"/>
      <c r="I268" s="4"/>
      <c r="J268" s="4"/>
      <c r="K268" s="22"/>
      <c r="L268" s="4"/>
      <c r="M268" s="4"/>
      <c r="N268" s="4"/>
      <c r="O268" s="4"/>
      <c r="P268" s="4"/>
      <c r="Q268" s="4"/>
      <c r="R268" s="4"/>
      <c r="S268" s="7"/>
      <c r="T268" s="7"/>
      <c r="U268" s="7"/>
      <c r="V268" s="7"/>
      <c r="W268" s="7"/>
      <c r="X268" s="7"/>
      <c r="Y268" s="7"/>
      <c r="Z268" s="7"/>
    </row>
    <row r="269" ht="15.75" customHeight="1">
      <c r="A269" s="4"/>
      <c r="B269" s="4"/>
      <c r="C269" s="4"/>
      <c r="D269" s="4"/>
      <c r="E269" s="19"/>
      <c r="F269" s="4"/>
      <c r="G269" s="4"/>
      <c r="H269" s="7"/>
      <c r="I269" s="4"/>
      <c r="J269" s="4"/>
      <c r="K269" s="22"/>
      <c r="L269" s="4"/>
      <c r="M269" s="4"/>
      <c r="N269" s="4"/>
      <c r="O269" s="4"/>
      <c r="P269" s="4"/>
      <c r="Q269" s="4"/>
      <c r="R269" s="4"/>
      <c r="S269" s="7"/>
      <c r="T269" s="7"/>
      <c r="U269" s="7"/>
      <c r="V269" s="7"/>
      <c r="W269" s="7"/>
      <c r="X269" s="7"/>
      <c r="Y269" s="7"/>
      <c r="Z269" s="7"/>
    </row>
    <row r="270" ht="15.75" customHeight="1">
      <c r="A270" s="4"/>
      <c r="B270" s="4"/>
      <c r="C270" s="4"/>
      <c r="D270" s="4"/>
      <c r="E270" s="19"/>
      <c r="F270" s="4"/>
      <c r="G270" s="4"/>
      <c r="H270" s="7"/>
      <c r="I270" s="4"/>
      <c r="J270" s="4"/>
      <c r="K270" s="22"/>
      <c r="L270" s="4"/>
      <c r="M270" s="4"/>
      <c r="N270" s="4"/>
      <c r="O270" s="4"/>
      <c r="P270" s="4"/>
      <c r="Q270" s="4"/>
      <c r="R270" s="4"/>
      <c r="S270" s="7"/>
      <c r="T270" s="7"/>
      <c r="U270" s="7"/>
      <c r="V270" s="7"/>
      <c r="W270" s="7"/>
      <c r="X270" s="7"/>
      <c r="Y270" s="7"/>
      <c r="Z270" s="7"/>
    </row>
    <row r="271" ht="15.75" customHeight="1">
      <c r="A271" s="4"/>
      <c r="B271" s="4"/>
      <c r="C271" s="4"/>
      <c r="D271" s="4"/>
      <c r="E271" s="19"/>
      <c r="F271" s="4"/>
      <c r="G271" s="4"/>
      <c r="H271" s="7"/>
      <c r="I271" s="4"/>
      <c r="J271" s="4"/>
      <c r="K271" s="22"/>
      <c r="L271" s="4"/>
      <c r="M271" s="4"/>
      <c r="N271" s="4"/>
      <c r="O271" s="4"/>
      <c r="P271" s="4"/>
      <c r="Q271" s="4"/>
      <c r="R271" s="4"/>
      <c r="S271" s="7"/>
      <c r="T271" s="7"/>
      <c r="U271" s="7"/>
      <c r="V271" s="7"/>
      <c r="W271" s="7"/>
      <c r="X271" s="7"/>
      <c r="Y271" s="7"/>
      <c r="Z271" s="7"/>
    </row>
    <row r="272" ht="15.75" customHeight="1">
      <c r="A272" s="4"/>
      <c r="B272" s="4"/>
      <c r="C272" s="4"/>
      <c r="D272" s="4"/>
      <c r="E272" s="19"/>
      <c r="F272" s="4"/>
      <c r="G272" s="4"/>
      <c r="H272" s="7"/>
      <c r="I272" s="4"/>
      <c r="J272" s="4"/>
      <c r="K272" s="22"/>
      <c r="L272" s="4"/>
      <c r="M272" s="4"/>
      <c r="N272" s="4"/>
      <c r="O272" s="4"/>
      <c r="P272" s="4"/>
      <c r="Q272" s="4"/>
      <c r="R272" s="4"/>
      <c r="S272" s="7"/>
      <c r="T272" s="7"/>
      <c r="U272" s="7"/>
      <c r="V272" s="7"/>
      <c r="W272" s="7"/>
      <c r="X272" s="7"/>
      <c r="Y272" s="7"/>
      <c r="Z272" s="7"/>
    </row>
    <row r="273" ht="15.75" customHeight="1">
      <c r="A273" s="4"/>
      <c r="B273" s="4"/>
      <c r="C273" s="4"/>
      <c r="D273" s="4"/>
      <c r="E273" s="19"/>
      <c r="F273" s="4"/>
      <c r="G273" s="4"/>
      <c r="H273" s="7"/>
      <c r="I273" s="4"/>
      <c r="J273" s="4"/>
      <c r="K273" s="22"/>
      <c r="L273" s="4"/>
      <c r="M273" s="4"/>
      <c r="N273" s="4"/>
      <c r="O273" s="4"/>
      <c r="P273" s="4"/>
      <c r="Q273" s="4"/>
      <c r="R273" s="4"/>
      <c r="S273" s="7"/>
      <c r="T273" s="7"/>
      <c r="U273" s="7"/>
      <c r="V273" s="7"/>
      <c r="W273" s="7"/>
      <c r="X273" s="7"/>
      <c r="Y273" s="7"/>
      <c r="Z273" s="7"/>
    </row>
    <row r="274" ht="15.75" customHeight="1">
      <c r="A274" s="4"/>
      <c r="B274" s="4"/>
      <c r="C274" s="4"/>
      <c r="D274" s="4"/>
      <c r="E274" s="19"/>
      <c r="F274" s="4"/>
      <c r="G274" s="4"/>
      <c r="H274" s="7"/>
      <c r="I274" s="4"/>
      <c r="J274" s="4"/>
      <c r="K274" s="22"/>
      <c r="L274" s="4"/>
      <c r="M274" s="4"/>
      <c r="N274" s="4"/>
      <c r="O274" s="4"/>
      <c r="P274" s="4"/>
      <c r="Q274" s="4"/>
      <c r="R274" s="4"/>
      <c r="S274" s="7"/>
      <c r="T274" s="7"/>
      <c r="U274" s="7"/>
      <c r="V274" s="7"/>
      <c r="W274" s="7"/>
      <c r="X274" s="7"/>
      <c r="Y274" s="7"/>
      <c r="Z274" s="7"/>
    </row>
    <row r="275" ht="15.75" customHeight="1">
      <c r="A275" s="4"/>
      <c r="B275" s="4"/>
      <c r="C275" s="4"/>
      <c r="D275" s="4"/>
      <c r="E275" s="19"/>
      <c r="F275" s="4"/>
      <c r="G275" s="4"/>
      <c r="H275" s="7"/>
      <c r="I275" s="4"/>
      <c r="J275" s="4"/>
      <c r="K275" s="22"/>
      <c r="L275" s="4"/>
      <c r="M275" s="4"/>
      <c r="N275" s="4"/>
      <c r="O275" s="4"/>
      <c r="P275" s="4"/>
      <c r="Q275" s="4"/>
      <c r="R275" s="4"/>
      <c r="S275" s="7"/>
      <c r="T275" s="7"/>
      <c r="U275" s="7"/>
      <c r="V275" s="7"/>
      <c r="W275" s="7"/>
      <c r="X275" s="7"/>
      <c r="Y275" s="7"/>
      <c r="Z275" s="7"/>
    </row>
    <row r="276" ht="15.75" customHeight="1">
      <c r="A276" s="4"/>
      <c r="B276" s="4"/>
      <c r="C276" s="4"/>
      <c r="D276" s="4"/>
      <c r="E276" s="19"/>
      <c r="F276" s="4"/>
      <c r="G276" s="4"/>
      <c r="H276" s="7"/>
      <c r="I276" s="4"/>
      <c r="J276" s="4"/>
      <c r="K276" s="22"/>
      <c r="L276" s="4"/>
      <c r="M276" s="4"/>
      <c r="N276" s="4"/>
      <c r="O276" s="4"/>
      <c r="P276" s="4"/>
      <c r="Q276" s="4"/>
      <c r="R276" s="4"/>
      <c r="S276" s="7"/>
      <c r="T276" s="7"/>
      <c r="U276" s="7"/>
      <c r="V276" s="7"/>
      <c r="W276" s="7"/>
      <c r="X276" s="7"/>
      <c r="Y276" s="7"/>
      <c r="Z276" s="7"/>
    </row>
    <row r="277" ht="15.75" customHeight="1">
      <c r="A277" s="4"/>
      <c r="B277" s="4"/>
      <c r="C277" s="4"/>
      <c r="D277" s="4"/>
      <c r="E277" s="19"/>
      <c r="F277" s="4"/>
      <c r="G277" s="4"/>
      <c r="H277" s="7"/>
      <c r="I277" s="4"/>
      <c r="J277" s="4"/>
      <c r="K277" s="22"/>
      <c r="L277" s="4"/>
      <c r="M277" s="4"/>
      <c r="N277" s="4"/>
      <c r="O277" s="4"/>
      <c r="P277" s="4"/>
      <c r="Q277" s="4"/>
      <c r="R277" s="4"/>
      <c r="S277" s="7"/>
      <c r="T277" s="7"/>
      <c r="U277" s="7"/>
      <c r="V277" s="7"/>
      <c r="W277" s="7"/>
      <c r="X277" s="7"/>
      <c r="Y277" s="7"/>
      <c r="Z277" s="7"/>
    </row>
    <row r="278" ht="15.75" customHeight="1">
      <c r="A278" s="4"/>
      <c r="B278" s="4"/>
      <c r="C278" s="4"/>
      <c r="D278" s="4"/>
      <c r="E278" s="19"/>
      <c r="F278" s="4"/>
      <c r="G278" s="4"/>
      <c r="H278" s="7"/>
      <c r="I278" s="4"/>
      <c r="J278" s="4"/>
      <c r="K278" s="22"/>
      <c r="L278" s="4"/>
      <c r="M278" s="4"/>
      <c r="N278" s="4"/>
      <c r="O278" s="4"/>
      <c r="P278" s="4"/>
      <c r="Q278" s="4"/>
      <c r="R278" s="4"/>
      <c r="S278" s="7"/>
      <c r="T278" s="7"/>
      <c r="U278" s="7"/>
      <c r="V278" s="7"/>
      <c r="W278" s="7"/>
      <c r="X278" s="7"/>
      <c r="Y278" s="7"/>
      <c r="Z278" s="7"/>
    </row>
    <row r="279" ht="15.75" customHeight="1">
      <c r="A279" s="4"/>
      <c r="B279" s="4"/>
      <c r="C279" s="4"/>
      <c r="D279" s="4"/>
      <c r="E279" s="19"/>
      <c r="F279" s="4"/>
      <c r="G279" s="4"/>
      <c r="H279" s="7"/>
      <c r="I279" s="4"/>
      <c r="J279" s="4"/>
      <c r="K279" s="22"/>
      <c r="L279" s="4"/>
      <c r="M279" s="4"/>
      <c r="N279" s="4"/>
      <c r="O279" s="4"/>
      <c r="P279" s="4"/>
      <c r="Q279" s="4"/>
      <c r="R279" s="4"/>
      <c r="S279" s="7"/>
      <c r="T279" s="7"/>
      <c r="U279" s="7"/>
      <c r="V279" s="7"/>
      <c r="W279" s="7"/>
      <c r="X279" s="7"/>
      <c r="Y279" s="7"/>
      <c r="Z279" s="7"/>
    </row>
    <row r="280" ht="15.75" customHeight="1">
      <c r="A280" s="4"/>
      <c r="B280" s="4"/>
      <c r="C280" s="4"/>
      <c r="D280" s="4"/>
      <c r="E280" s="19"/>
      <c r="F280" s="4"/>
      <c r="G280" s="4"/>
      <c r="H280" s="7"/>
      <c r="I280" s="4"/>
      <c r="J280" s="4"/>
      <c r="K280" s="22"/>
      <c r="L280" s="4"/>
      <c r="M280" s="4"/>
      <c r="N280" s="4"/>
      <c r="O280" s="4"/>
      <c r="P280" s="4"/>
      <c r="Q280" s="4"/>
      <c r="R280" s="4"/>
      <c r="S280" s="7"/>
      <c r="T280" s="7"/>
      <c r="U280" s="7"/>
      <c r="V280" s="7"/>
      <c r="W280" s="7"/>
      <c r="X280" s="7"/>
      <c r="Y280" s="7"/>
      <c r="Z280" s="7"/>
    </row>
    <row r="281" ht="15.75" customHeight="1">
      <c r="A281" s="4"/>
      <c r="B281" s="4"/>
      <c r="C281" s="4"/>
      <c r="D281" s="4"/>
      <c r="E281" s="19"/>
      <c r="F281" s="4"/>
      <c r="G281" s="4"/>
      <c r="H281" s="7"/>
      <c r="I281" s="4"/>
      <c r="J281" s="4"/>
      <c r="K281" s="22"/>
      <c r="L281" s="4"/>
      <c r="M281" s="4"/>
      <c r="N281" s="4"/>
      <c r="O281" s="4"/>
      <c r="P281" s="4"/>
      <c r="Q281" s="4"/>
      <c r="R281" s="4"/>
      <c r="S281" s="7"/>
      <c r="T281" s="7"/>
      <c r="U281" s="7"/>
      <c r="V281" s="7"/>
      <c r="W281" s="7"/>
      <c r="X281" s="7"/>
      <c r="Y281" s="7"/>
      <c r="Z281" s="7"/>
    </row>
    <row r="282" ht="15.75" customHeight="1">
      <c r="A282" s="4"/>
      <c r="B282" s="4"/>
      <c r="C282" s="4"/>
      <c r="D282" s="4"/>
      <c r="E282" s="19"/>
      <c r="F282" s="4"/>
      <c r="G282" s="4"/>
      <c r="H282" s="7"/>
      <c r="I282" s="4"/>
      <c r="J282" s="4"/>
      <c r="K282" s="22"/>
      <c r="L282" s="4"/>
      <c r="M282" s="4"/>
      <c r="N282" s="4"/>
      <c r="O282" s="4"/>
      <c r="P282" s="4"/>
      <c r="Q282" s="4"/>
      <c r="R282" s="4"/>
      <c r="S282" s="7"/>
      <c r="T282" s="7"/>
      <c r="U282" s="7"/>
      <c r="V282" s="7"/>
      <c r="W282" s="7"/>
      <c r="X282" s="7"/>
      <c r="Y282" s="7"/>
      <c r="Z282" s="7"/>
    </row>
    <row r="283" ht="15.75" customHeight="1">
      <c r="A283" s="4"/>
      <c r="B283" s="4"/>
      <c r="C283" s="4"/>
      <c r="D283" s="4"/>
      <c r="E283" s="19"/>
      <c r="F283" s="4"/>
      <c r="G283" s="4"/>
      <c r="H283" s="7"/>
      <c r="I283" s="4"/>
      <c r="J283" s="4"/>
      <c r="K283" s="22"/>
      <c r="L283" s="4"/>
      <c r="M283" s="4"/>
      <c r="N283" s="4"/>
      <c r="O283" s="4"/>
      <c r="P283" s="4"/>
      <c r="Q283" s="4"/>
      <c r="R283" s="4"/>
      <c r="S283" s="7"/>
      <c r="T283" s="7"/>
      <c r="U283" s="7"/>
      <c r="V283" s="7"/>
      <c r="W283" s="7"/>
      <c r="X283" s="7"/>
      <c r="Y283" s="7"/>
      <c r="Z283" s="7"/>
    </row>
    <row r="284" ht="15.75" customHeight="1">
      <c r="A284" s="4"/>
      <c r="B284" s="4"/>
      <c r="C284" s="4"/>
      <c r="D284" s="4"/>
      <c r="E284" s="19"/>
      <c r="F284" s="4"/>
      <c r="G284" s="4"/>
      <c r="H284" s="7"/>
      <c r="I284" s="4"/>
      <c r="J284" s="4"/>
      <c r="K284" s="22"/>
      <c r="L284" s="4"/>
      <c r="M284" s="4"/>
      <c r="N284" s="4"/>
      <c r="O284" s="4"/>
      <c r="P284" s="4"/>
      <c r="Q284" s="4"/>
      <c r="R284" s="4"/>
      <c r="S284" s="7"/>
      <c r="T284" s="7"/>
      <c r="U284" s="7"/>
      <c r="V284" s="7"/>
      <c r="W284" s="7"/>
      <c r="X284" s="7"/>
      <c r="Y284" s="7"/>
      <c r="Z284" s="7"/>
    </row>
    <row r="285" ht="15.75" customHeight="1">
      <c r="A285" s="4"/>
      <c r="B285" s="4"/>
      <c r="C285" s="4"/>
      <c r="D285" s="4"/>
      <c r="E285" s="19"/>
      <c r="F285" s="4"/>
      <c r="G285" s="4"/>
      <c r="H285" s="7"/>
      <c r="I285" s="4"/>
      <c r="J285" s="4"/>
      <c r="K285" s="22"/>
      <c r="L285" s="4"/>
      <c r="M285" s="4"/>
      <c r="N285" s="4"/>
      <c r="O285" s="4"/>
      <c r="P285" s="4"/>
      <c r="Q285" s="4"/>
      <c r="R285" s="4"/>
      <c r="S285" s="7"/>
      <c r="T285" s="7"/>
      <c r="U285" s="7"/>
      <c r="V285" s="7"/>
      <c r="W285" s="7"/>
      <c r="X285" s="7"/>
      <c r="Y285" s="7"/>
      <c r="Z285" s="7"/>
    </row>
    <row r="286" ht="15.75" customHeight="1">
      <c r="A286" s="4"/>
      <c r="B286" s="4"/>
      <c r="C286" s="4"/>
      <c r="D286" s="4"/>
      <c r="E286" s="19"/>
      <c r="F286" s="4"/>
      <c r="G286" s="4"/>
      <c r="H286" s="7"/>
      <c r="I286" s="4"/>
      <c r="J286" s="4"/>
      <c r="K286" s="22"/>
      <c r="L286" s="4"/>
      <c r="M286" s="4"/>
      <c r="N286" s="4"/>
      <c r="O286" s="4"/>
      <c r="P286" s="4"/>
      <c r="Q286" s="4"/>
      <c r="R286" s="4"/>
      <c r="S286" s="7"/>
      <c r="T286" s="7"/>
      <c r="U286" s="7"/>
      <c r="V286" s="7"/>
      <c r="W286" s="7"/>
      <c r="X286" s="7"/>
      <c r="Y286" s="7"/>
      <c r="Z286" s="7"/>
    </row>
    <row r="287" ht="15.75" customHeight="1">
      <c r="A287" s="4"/>
      <c r="B287" s="4"/>
      <c r="C287" s="4"/>
      <c r="D287" s="4"/>
      <c r="E287" s="19"/>
      <c r="F287" s="4"/>
      <c r="G287" s="4"/>
      <c r="H287" s="7"/>
      <c r="I287" s="4"/>
      <c r="J287" s="4"/>
      <c r="K287" s="22"/>
      <c r="L287" s="4"/>
      <c r="M287" s="4"/>
      <c r="N287" s="4"/>
      <c r="O287" s="4"/>
      <c r="P287" s="4"/>
      <c r="Q287" s="4"/>
      <c r="R287" s="4"/>
      <c r="S287" s="7"/>
      <c r="T287" s="7"/>
      <c r="U287" s="7"/>
      <c r="V287" s="7"/>
      <c r="W287" s="7"/>
      <c r="X287" s="7"/>
      <c r="Y287" s="7"/>
      <c r="Z287" s="7"/>
    </row>
    <row r="288" ht="15.75" customHeight="1">
      <c r="A288" s="4"/>
      <c r="B288" s="4"/>
      <c r="C288" s="4"/>
      <c r="D288" s="4"/>
      <c r="E288" s="19"/>
      <c r="F288" s="4"/>
      <c r="G288" s="4"/>
      <c r="H288" s="7"/>
      <c r="I288" s="4"/>
      <c r="J288" s="4"/>
      <c r="K288" s="22"/>
      <c r="L288" s="4"/>
      <c r="M288" s="4"/>
      <c r="N288" s="4"/>
      <c r="O288" s="4"/>
      <c r="P288" s="4"/>
      <c r="Q288" s="4"/>
      <c r="R288" s="4"/>
      <c r="S288" s="7"/>
      <c r="T288" s="7"/>
      <c r="U288" s="7"/>
      <c r="V288" s="7"/>
      <c r="W288" s="7"/>
      <c r="X288" s="7"/>
      <c r="Y288" s="7"/>
      <c r="Z288" s="7"/>
    </row>
    <row r="289" ht="15.75" customHeight="1">
      <c r="A289" s="4"/>
      <c r="B289" s="4"/>
      <c r="C289" s="4"/>
      <c r="D289" s="4"/>
      <c r="E289" s="19"/>
      <c r="F289" s="4"/>
      <c r="G289" s="4"/>
      <c r="H289" s="7"/>
      <c r="I289" s="4"/>
      <c r="J289" s="4"/>
      <c r="K289" s="22"/>
      <c r="L289" s="4"/>
      <c r="M289" s="4"/>
      <c r="N289" s="4"/>
      <c r="O289" s="4"/>
      <c r="P289" s="4"/>
      <c r="Q289" s="4"/>
      <c r="R289" s="4"/>
      <c r="S289" s="7"/>
      <c r="T289" s="7"/>
      <c r="U289" s="7"/>
      <c r="V289" s="7"/>
      <c r="W289" s="7"/>
      <c r="X289" s="7"/>
      <c r="Y289" s="7"/>
      <c r="Z289" s="7"/>
    </row>
    <row r="290" ht="15.75" customHeight="1">
      <c r="A290" s="4"/>
      <c r="B290" s="4"/>
      <c r="C290" s="4"/>
      <c r="D290" s="4"/>
      <c r="E290" s="19"/>
      <c r="F290" s="4"/>
      <c r="G290" s="4"/>
      <c r="H290" s="7"/>
      <c r="I290" s="4"/>
      <c r="J290" s="4"/>
      <c r="K290" s="22"/>
      <c r="L290" s="4"/>
      <c r="M290" s="4"/>
      <c r="N290" s="4"/>
      <c r="O290" s="4"/>
      <c r="P290" s="4"/>
      <c r="Q290" s="4"/>
      <c r="R290" s="4"/>
      <c r="S290" s="7"/>
      <c r="T290" s="7"/>
      <c r="U290" s="7"/>
      <c r="V290" s="7"/>
      <c r="W290" s="7"/>
      <c r="X290" s="7"/>
      <c r="Y290" s="7"/>
      <c r="Z290" s="7"/>
    </row>
    <row r="291" ht="15.75" customHeight="1">
      <c r="A291" s="4"/>
      <c r="B291" s="4"/>
      <c r="C291" s="4"/>
      <c r="D291" s="4"/>
      <c r="E291" s="19"/>
      <c r="F291" s="4"/>
      <c r="G291" s="4"/>
      <c r="H291" s="7"/>
      <c r="I291" s="4"/>
      <c r="J291" s="4"/>
      <c r="K291" s="22"/>
      <c r="L291" s="4"/>
      <c r="M291" s="4"/>
      <c r="N291" s="4"/>
      <c r="O291" s="4"/>
      <c r="P291" s="4"/>
      <c r="Q291" s="4"/>
      <c r="R291" s="4"/>
      <c r="S291" s="7"/>
      <c r="T291" s="7"/>
      <c r="U291" s="7"/>
      <c r="V291" s="7"/>
      <c r="W291" s="7"/>
      <c r="X291" s="7"/>
      <c r="Y291" s="7"/>
      <c r="Z291" s="7"/>
    </row>
    <row r="292" ht="15.75" customHeight="1">
      <c r="A292" s="4"/>
      <c r="B292" s="4"/>
      <c r="C292" s="4"/>
      <c r="D292" s="4"/>
      <c r="E292" s="19"/>
      <c r="F292" s="4"/>
      <c r="G292" s="4"/>
      <c r="H292" s="7"/>
      <c r="I292" s="4"/>
      <c r="J292" s="4"/>
      <c r="K292" s="22"/>
      <c r="L292" s="4"/>
      <c r="M292" s="4"/>
      <c r="N292" s="4"/>
      <c r="O292" s="4"/>
      <c r="P292" s="4"/>
      <c r="Q292" s="4"/>
      <c r="R292" s="4"/>
      <c r="S292" s="7"/>
      <c r="T292" s="7"/>
      <c r="U292" s="7"/>
      <c r="V292" s="7"/>
      <c r="W292" s="7"/>
      <c r="X292" s="7"/>
      <c r="Y292" s="7"/>
      <c r="Z292" s="7"/>
    </row>
    <row r="293" ht="15.75" customHeight="1">
      <c r="A293" s="4"/>
      <c r="B293" s="4"/>
      <c r="C293" s="4"/>
      <c r="D293" s="4"/>
      <c r="E293" s="19"/>
      <c r="F293" s="4"/>
      <c r="G293" s="4"/>
      <c r="H293" s="7"/>
      <c r="I293" s="4"/>
      <c r="J293" s="4"/>
      <c r="K293" s="22"/>
      <c r="L293" s="4"/>
      <c r="M293" s="4"/>
      <c r="N293" s="4"/>
      <c r="O293" s="4"/>
      <c r="P293" s="4"/>
      <c r="Q293" s="4"/>
      <c r="R293" s="4"/>
      <c r="S293" s="7"/>
      <c r="T293" s="7"/>
      <c r="U293" s="7"/>
      <c r="V293" s="7"/>
      <c r="W293" s="7"/>
      <c r="X293" s="7"/>
      <c r="Y293" s="7"/>
      <c r="Z293" s="7"/>
    </row>
    <row r="294" ht="15.75" customHeight="1">
      <c r="A294" s="4"/>
      <c r="B294" s="4"/>
      <c r="C294" s="4"/>
      <c r="D294" s="4"/>
      <c r="E294" s="19"/>
      <c r="F294" s="4"/>
      <c r="G294" s="4"/>
      <c r="H294" s="7"/>
      <c r="I294" s="4"/>
      <c r="J294" s="4"/>
      <c r="K294" s="22"/>
      <c r="L294" s="4"/>
      <c r="M294" s="4"/>
      <c r="N294" s="4"/>
      <c r="O294" s="4"/>
      <c r="P294" s="4"/>
      <c r="Q294" s="4"/>
      <c r="R294" s="4"/>
      <c r="S294" s="7"/>
      <c r="T294" s="7"/>
      <c r="U294" s="7"/>
      <c r="V294" s="7"/>
      <c r="W294" s="7"/>
      <c r="X294" s="7"/>
      <c r="Y294" s="7"/>
      <c r="Z294" s="7"/>
    </row>
    <row r="295" ht="15.75" customHeight="1">
      <c r="A295" s="4"/>
      <c r="B295" s="4"/>
      <c r="C295" s="4"/>
      <c r="D295" s="4"/>
      <c r="E295" s="19"/>
      <c r="F295" s="4"/>
      <c r="G295" s="4"/>
      <c r="H295" s="7"/>
      <c r="I295" s="4"/>
      <c r="J295" s="4"/>
      <c r="K295" s="22"/>
      <c r="L295" s="4"/>
      <c r="M295" s="4"/>
      <c r="N295" s="4"/>
      <c r="O295" s="4"/>
      <c r="P295" s="4"/>
      <c r="Q295" s="4"/>
      <c r="R295" s="4"/>
      <c r="S295" s="7"/>
      <c r="T295" s="7"/>
      <c r="U295" s="7"/>
      <c r="V295" s="7"/>
      <c r="W295" s="7"/>
      <c r="X295" s="7"/>
      <c r="Y295" s="7"/>
      <c r="Z295" s="7"/>
    </row>
    <row r="296" ht="15.75" customHeight="1">
      <c r="A296" s="4"/>
      <c r="B296" s="4"/>
      <c r="C296" s="4"/>
      <c r="D296" s="4"/>
      <c r="E296" s="19"/>
      <c r="F296" s="4"/>
      <c r="G296" s="4"/>
      <c r="H296" s="7"/>
      <c r="I296" s="4"/>
      <c r="J296" s="4"/>
      <c r="K296" s="22"/>
      <c r="L296" s="4"/>
      <c r="M296" s="4"/>
      <c r="N296" s="4"/>
      <c r="O296" s="4"/>
      <c r="P296" s="4"/>
      <c r="Q296" s="4"/>
      <c r="R296" s="4"/>
      <c r="S296" s="7"/>
      <c r="T296" s="7"/>
      <c r="U296" s="7"/>
      <c r="V296" s="7"/>
      <c r="W296" s="7"/>
      <c r="X296" s="7"/>
      <c r="Y296" s="7"/>
      <c r="Z296" s="7"/>
    </row>
    <row r="297" ht="15.75" customHeight="1">
      <c r="A297" s="4"/>
      <c r="B297" s="4"/>
      <c r="C297" s="4"/>
      <c r="D297" s="4"/>
      <c r="E297" s="19"/>
      <c r="F297" s="4"/>
      <c r="G297" s="4"/>
      <c r="H297" s="7"/>
      <c r="I297" s="4"/>
      <c r="J297" s="4"/>
      <c r="K297" s="22"/>
      <c r="L297" s="4"/>
      <c r="M297" s="4"/>
      <c r="N297" s="4"/>
      <c r="O297" s="4"/>
      <c r="P297" s="4"/>
      <c r="Q297" s="4"/>
      <c r="R297" s="4"/>
      <c r="S297" s="7"/>
      <c r="T297" s="7"/>
      <c r="U297" s="7"/>
      <c r="V297" s="7"/>
      <c r="W297" s="7"/>
      <c r="X297" s="7"/>
      <c r="Y297" s="7"/>
      <c r="Z297" s="7"/>
    </row>
    <row r="298" ht="15.75" customHeight="1">
      <c r="A298" s="4"/>
      <c r="B298" s="4"/>
      <c r="C298" s="4"/>
      <c r="D298" s="4"/>
      <c r="E298" s="19"/>
      <c r="F298" s="4"/>
      <c r="G298" s="4"/>
      <c r="H298" s="7"/>
      <c r="I298" s="4"/>
      <c r="J298" s="4"/>
      <c r="K298" s="22"/>
      <c r="L298" s="4"/>
      <c r="M298" s="4"/>
      <c r="N298" s="4"/>
      <c r="O298" s="4"/>
      <c r="P298" s="4"/>
      <c r="Q298" s="4"/>
      <c r="R298" s="4"/>
      <c r="S298" s="7"/>
      <c r="T298" s="7"/>
      <c r="U298" s="7"/>
      <c r="V298" s="7"/>
      <c r="W298" s="7"/>
      <c r="X298" s="7"/>
      <c r="Y298" s="7"/>
      <c r="Z298" s="7"/>
    </row>
    <row r="299" ht="15.75" customHeight="1">
      <c r="A299" s="4"/>
      <c r="B299" s="4"/>
      <c r="C299" s="4"/>
      <c r="D299" s="4"/>
      <c r="E299" s="19"/>
      <c r="F299" s="4"/>
      <c r="G299" s="4"/>
      <c r="H299" s="7"/>
      <c r="I299" s="4"/>
      <c r="J299" s="4"/>
      <c r="K299" s="22"/>
      <c r="L299" s="4"/>
      <c r="M299" s="4"/>
      <c r="N299" s="4"/>
      <c r="O299" s="4"/>
      <c r="P299" s="4"/>
      <c r="Q299" s="4"/>
      <c r="R299" s="4"/>
      <c r="S299" s="7"/>
      <c r="T299" s="7"/>
      <c r="U299" s="7"/>
      <c r="V299" s="7"/>
      <c r="W299" s="7"/>
      <c r="X299" s="7"/>
      <c r="Y299" s="7"/>
      <c r="Z299" s="7"/>
    </row>
    <row r="300" ht="15.75" customHeight="1">
      <c r="A300" s="4"/>
      <c r="B300" s="4"/>
      <c r="C300" s="4"/>
      <c r="D300" s="4"/>
      <c r="E300" s="19"/>
      <c r="F300" s="4"/>
      <c r="G300" s="4"/>
      <c r="H300" s="7"/>
      <c r="I300" s="4"/>
      <c r="J300" s="4"/>
      <c r="K300" s="22"/>
      <c r="L300" s="4"/>
      <c r="M300" s="4"/>
      <c r="N300" s="4"/>
      <c r="O300" s="4"/>
      <c r="P300" s="4"/>
      <c r="Q300" s="4"/>
      <c r="R300" s="4"/>
      <c r="S300" s="7"/>
      <c r="T300" s="7"/>
      <c r="U300" s="7"/>
      <c r="V300" s="7"/>
      <c r="W300" s="7"/>
      <c r="X300" s="7"/>
      <c r="Y300" s="7"/>
      <c r="Z300" s="7"/>
    </row>
    <row r="301" ht="15.75" customHeight="1">
      <c r="A301" s="4"/>
      <c r="B301" s="4"/>
      <c r="C301" s="4"/>
      <c r="D301" s="4"/>
      <c r="E301" s="19"/>
      <c r="F301" s="4"/>
      <c r="G301" s="4"/>
      <c r="H301" s="7"/>
      <c r="I301" s="4"/>
      <c r="J301" s="4"/>
      <c r="K301" s="22"/>
      <c r="L301" s="4"/>
      <c r="M301" s="4"/>
      <c r="N301" s="4"/>
      <c r="O301" s="4"/>
      <c r="P301" s="4"/>
      <c r="Q301" s="4"/>
      <c r="R301" s="4"/>
      <c r="S301" s="7"/>
      <c r="T301" s="7"/>
      <c r="U301" s="7"/>
      <c r="V301" s="7"/>
      <c r="W301" s="7"/>
      <c r="X301" s="7"/>
      <c r="Y301" s="7"/>
      <c r="Z301" s="7"/>
    </row>
    <row r="302" ht="15.75" customHeight="1">
      <c r="A302" s="4"/>
      <c r="B302" s="4"/>
      <c r="C302" s="4"/>
      <c r="D302" s="4"/>
      <c r="E302" s="19"/>
      <c r="F302" s="4"/>
      <c r="G302" s="4"/>
      <c r="H302" s="7"/>
      <c r="I302" s="4"/>
      <c r="J302" s="4"/>
      <c r="K302" s="22"/>
      <c r="L302" s="4"/>
      <c r="M302" s="4"/>
      <c r="N302" s="4"/>
      <c r="O302" s="4"/>
      <c r="P302" s="4"/>
      <c r="Q302" s="4"/>
      <c r="R302" s="4"/>
      <c r="S302" s="7"/>
      <c r="T302" s="7"/>
      <c r="U302" s="7"/>
      <c r="V302" s="7"/>
      <c r="W302" s="7"/>
      <c r="X302" s="7"/>
      <c r="Y302" s="7"/>
      <c r="Z302" s="7"/>
    </row>
    <row r="303" ht="15.75" customHeight="1">
      <c r="A303" s="4"/>
      <c r="B303" s="4"/>
      <c r="C303" s="4"/>
      <c r="D303" s="4"/>
      <c r="E303" s="19"/>
      <c r="F303" s="4"/>
      <c r="G303" s="4"/>
      <c r="H303" s="7"/>
      <c r="I303" s="4"/>
      <c r="J303" s="4"/>
      <c r="K303" s="22"/>
      <c r="L303" s="4"/>
      <c r="M303" s="4"/>
      <c r="N303" s="4"/>
      <c r="O303" s="4"/>
      <c r="P303" s="4"/>
      <c r="Q303" s="4"/>
      <c r="R303" s="4"/>
      <c r="S303" s="7"/>
      <c r="T303" s="7"/>
      <c r="U303" s="7"/>
      <c r="V303" s="7"/>
      <c r="W303" s="7"/>
      <c r="X303" s="7"/>
      <c r="Y303" s="7"/>
      <c r="Z303" s="7"/>
    </row>
    <row r="304" ht="15.75" customHeight="1">
      <c r="A304" s="4"/>
      <c r="B304" s="4"/>
      <c r="C304" s="4"/>
      <c r="D304" s="4"/>
      <c r="E304" s="19"/>
      <c r="F304" s="4"/>
      <c r="G304" s="4"/>
      <c r="H304" s="7"/>
      <c r="I304" s="4"/>
      <c r="J304" s="4"/>
      <c r="K304" s="22"/>
      <c r="L304" s="4"/>
      <c r="M304" s="4"/>
      <c r="N304" s="4"/>
      <c r="O304" s="4"/>
      <c r="P304" s="4"/>
      <c r="Q304" s="4"/>
      <c r="R304" s="4"/>
      <c r="S304" s="7"/>
      <c r="T304" s="7"/>
      <c r="U304" s="7"/>
      <c r="V304" s="7"/>
      <c r="W304" s="7"/>
      <c r="X304" s="7"/>
      <c r="Y304" s="7"/>
      <c r="Z304" s="7"/>
    </row>
    <row r="305" ht="15.75" customHeight="1">
      <c r="A305" s="4"/>
      <c r="B305" s="4"/>
      <c r="C305" s="4"/>
      <c r="D305" s="4"/>
      <c r="E305" s="19"/>
      <c r="F305" s="4"/>
      <c r="G305" s="4"/>
      <c r="H305" s="7"/>
      <c r="I305" s="4"/>
      <c r="J305" s="4"/>
      <c r="K305" s="22"/>
      <c r="L305" s="4"/>
      <c r="M305" s="4"/>
      <c r="N305" s="4"/>
      <c r="O305" s="4"/>
      <c r="P305" s="4"/>
      <c r="Q305" s="4"/>
      <c r="R305" s="4"/>
      <c r="S305" s="7"/>
      <c r="T305" s="7"/>
      <c r="U305" s="7"/>
      <c r="V305" s="7"/>
      <c r="W305" s="7"/>
      <c r="X305" s="7"/>
      <c r="Y305" s="7"/>
      <c r="Z305" s="7"/>
    </row>
    <row r="306" ht="15.75" customHeight="1">
      <c r="A306" s="4"/>
      <c r="B306" s="4"/>
      <c r="C306" s="4"/>
      <c r="D306" s="4"/>
      <c r="E306" s="19"/>
      <c r="F306" s="4"/>
      <c r="G306" s="4"/>
      <c r="H306" s="7"/>
      <c r="I306" s="4"/>
      <c r="J306" s="4"/>
      <c r="K306" s="22"/>
      <c r="L306" s="4"/>
      <c r="M306" s="4"/>
      <c r="N306" s="4"/>
      <c r="O306" s="4"/>
      <c r="P306" s="4"/>
      <c r="Q306" s="4"/>
      <c r="R306" s="4"/>
      <c r="S306" s="7"/>
      <c r="T306" s="7"/>
      <c r="U306" s="7"/>
      <c r="V306" s="7"/>
      <c r="W306" s="7"/>
      <c r="X306" s="7"/>
      <c r="Y306" s="7"/>
      <c r="Z306" s="7"/>
    </row>
    <row r="307" ht="15.75" customHeight="1">
      <c r="A307" s="4"/>
      <c r="B307" s="4"/>
      <c r="C307" s="4"/>
      <c r="D307" s="4"/>
      <c r="E307" s="19"/>
      <c r="F307" s="4"/>
      <c r="G307" s="4"/>
      <c r="H307" s="7"/>
      <c r="I307" s="4"/>
      <c r="J307" s="4"/>
      <c r="K307" s="22"/>
      <c r="L307" s="4"/>
      <c r="M307" s="4"/>
      <c r="N307" s="4"/>
      <c r="O307" s="4"/>
      <c r="P307" s="4"/>
      <c r="Q307" s="4"/>
      <c r="R307" s="4"/>
      <c r="S307" s="7"/>
      <c r="T307" s="7"/>
      <c r="U307" s="7"/>
      <c r="V307" s="7"/>
      <c r="W307" s="7"/>
      <c r="X307" s="7"/>
      <c r="Y307" s="7"/>
      <c r="Z307" s="7"/>
    </row>
    <row r="308" ht="15.75" customHeight="1">
      <c r="A308" s="4"/>
      <c r="B308" s="4"/>
      <c r="C308" s="4"/>
      <c r="D308" s="4"/>
      <c r="E308" s="19"/>
      <c r="F308" s="4"/>
      <c r="G308" s="4"/>
      <c r="H308" s="7"/>
      <c r="I308" s="4"/>
      <c r="J308" s="4"/>
      <c r="K308" s="22"/>
      <c r="L308" s="4"/>
      <c r="M308" s="4"/>
      <c r="N308" s="4"/>
      <c r="O308" s="4"/>
      <c r="P308" s="4"/>
      <c r="Q308" s="4"/>
      <c r="R308" s="4"/>
      <c r="S308" s="7"/>
      <c r="T308" s="7"/>
      <c r="U308" s="7"/>
      <c r="V308" s="7"/>
      <c r="W308" s="7"/>
      <c r="X308" s="7"/>
      <c r="Y308" s="7"/>
      <c r="Z308" s="7"/>
    </row>
    <row r="309" ht="15.75" customHeight="1">
      <c r="A309" s="4"/>
      <c r="B309" s="4"/>
      <c r="C309" s="4"/>
      <c r="D309" s="4"/>
      <c r="E309" s="19"/>
      <c r="F309" s="4"/>
      <c r="G309" s="4"/>
      <c r="H309" s="7"/>
      <c r="I309" s="4"/>
      <c r="J309" s="4"/>
      <c r="K309" s="22"/>
      <c r="L309" s="4"/>
      <c r="M309" s="4"/>
      <c r="N309" s="4"/>
      <c r="O309" s="4"/>
      <c r="P309" s="4"/>
      <c r="Q309" s="4"/>
      <c r="R309" s="4"/>
      <c r="S309" s="7"/>
      <c r="T309" s="7"/>
      <c r="U309" s="7"/>
      <c r="V309" s="7"/>
      <c r="W309" s="7"/>
      <c r="X309" s="7"/>
      <c r="Y309" s="7"/>
      <c r="Z309" s="7"/>
    </row>
    <row r="310" ht="15.75" customHeight="1">
      <c r="A310" s="4"/>
      <c r="B310" s="4"/>
      <c r="C310" s="4"/>
      <c r="D310" s="4"/>
      <c r="E310" s="19"/>
      <c r="F310" s="4"/>
      <c r="G310" s="4"/>
      <c r="H310" s="7"/>
      <c r="I310" s="4"/>
      <c r="J310" s="4"/>
      <c r="K310" s="22"/>
      <c r="L310" s="4"/>
      <c r="M310" s="4"/>
      <c r="N310" s="4"/>
      <c r="O310" s="4"/>
      <c r="P310" s="4"/>
      <c r="Q310" s="4"/>
      <c r="R310" s="4"/>
      <c r="S310" s="7"/>
      <c r="T310" s="7"/>
      <c r="U310" s="7"/>
      <c r="V310" s="7"/>
      <c r="W310" s="7"/>
      <c r="X310" s="7"/>
      <c r="Y310" s="7"/>
      <c r="Z310" s="7"/>
    </row>
    <row r="311" ht="15.75" customHeight="1">
      <c r="A311" s="4"/>
      <c r="B311" s="4"/>
      <c r="C311" s="4"/>
      <c r="D311" s="4"/>
      <c r="E311" s="19"/>
      <c r="F311" s="4"/>
      <c r="G311" s="4"/>
      <c r="H311" s="7"/>
      <c r="I311" s="4"/>
      <c r="J311" s="4"/>
      <c r="K311" s="22"/>
      <c r="L311" s="4"/>
      <c r="M311" s="4"/>
      <c r="N311" s="4"/>
      <c r="O311" s="4"/>
      <c r="P311" s="4"/>
      <c r="Q311" s="4"/>
      <c r="R311" s="4"/>
      <c r="S311" s="7"/>
      <c r="T311" s="7"/>
      <c r="U311" s="7"/>
      <c r="V311" s="7"/>
      <c r="W311" s="7"/>
      <c r="X311" s="7"/>
      <c r="Y311" s="7"/>
      <c r="Z311" s="7"/>
    </row>
    <row r="312" ht="15.75" customHeight="1">
      <c r="A312" s="4"/>
      <c r="B312" s="4"/>
      <c r="C312" s="4"/>
      <c r="D312" s="4"/>
      <c r="E312" s="19"/>
      <c r="F312" s="4"/>
      <c r="G312" s="4"/>
      <c r="H312" s="7"/>
      <c r="I312" s="4"/>
      <c r="J312" s="4"/>
      <c r="K312" s="22"/>
      <c r="L312" s="4"/>
      <c r="M312" s="4"/>
      <c r="N312" s="4"/>
      <c r="O312" s="4"/>
      <c r="P312" s="4"/>
      <c r="Q312" s="4"/>
      <c r="R312" s="4"/>
      <c r="S312" s="7"/>
      <c r="T312" s="7"/>
      <c r="U312" s="7"/>
      <c r="V312" s="7"/>
      <c r="W312" s="7"/>
      <c r="X312" s="7"/>
      <c r="Y312" s="7"/>
      <c r="Z312" s="7"/>
    </row>
    <row r="313" ht="15.75" customHeight="1">
      <c r="A313" s="4"/>
      <c r="B313" s="4"/>
      <c r="C313" s="4"/>
      <c r="D313" s="4"/>
      <c r="E313" s="19"/>
      <c r="F313" s="4"/>
      <c r="G313" s="4"/>
      <c r="H313" s="7"/>
      <c r="I313" s="4"/>
      <c r="J313" s="4"/>
      <c r="K313" s="22"/>
      <c r="L313" s="4"/>
      <c r="M313" s="4"/>
      <c r="N313" s="4"/>
      <c r="O313" s="4"/>
      <c r="P313" s="4"/>
      <c r="Q313" s="4"/>
      <c r="R313" s="4"/>
      <c r="S313" s="7"/>
      <c r="T313" s="7"/>
      <c r="U313" s="7"/>
      <c r="V313" s="7"/>
      <c r="W313" s="7"/>
      <c r="X313" s="7"/>
      <c r="Y313" s="7"/>
      <c r="Z313" s="7"/>
    </row>
    <row r="314" ht="15.75" customHeight="1">
      <c r="A314" s="4"/>
      <c r="B314" s="4"/>
      <c r="C314" s="4"/>
      <c r="D314" s="4"/>
      <c r="E314" s="19"/>
      <c r="F314" s="4"/>
      <c r="G314" s="4"/>
      <c r="H314" s="7"/>
      <c r="I314" s="4"/>
      <c r="J314" s="4"/>
      <c r="K314" s="22"/>
      <c r="L314" s="4"/>
      <c r="M314" s="4"/>
      <c r="N314" s="4"/>
      <c r="O314" s="4"/>
      <c r="P314" s="4"/>
      <c r="Q314" s="4"/>
      <c r="R314" s="4"/>
      <c r="S314" s="7"/>
      <c r="T314" s="7"/>
      <c r="U314" s="7"/>
      <c r="V314" s="7"/>
      <c r="W314" s="7"/>
      <c r="X314" s="7"/>
      <c r="Y314" s="7"/>
      <c r="Z314" s="7"/>
    </row>
    <row r="315" ht="15.75" customHeight="1">
      <c r="A315" s="4"/>
      <c r="B315" s="4"/>
      <c r="C315" s="4"/>
      <c r="D315" s="4"/>
      <c r="E315" s="19"/>
      <c r="F315" s="4"/>
      <c r="G315" s="4"/>
      <c r="H315" s="7"/>
      <c r="I315" s="4"/>
      <c r="J315" s="4"/>
      <c r="K315" s="22"/>
      <c r="L315" s="4"/>
      <c r="M315" s="4"/>
      <c r="N315" s="4"/>
      <c r="O315" s="4"/>
      <c r="P315" s="4"/>
      <c r="Q315" s="4"/>
      <c r="R315" s="4"/>
      <c r="S315" s="7"/>
      <c r="T315" s="7"/>
      <c r="U315" s="7"/>
      <c r="V315" s="7"/>
      <c r="W315" s="7"/>
      <c r="X315" s="7"/>
      <c r="Y315" s="7"/>
      <c r="Z315" s="7"/>
    </row>
    <row r="316" ht="15.75" customHeight="1">
      <c r="A316" s="4"/>
      <c r="B316" s="4"/>
      <c r="C316" s="4"/>
      <c r="D316" s="4"/>
      <c r="E316" s="19"/>
      <c r="F316" s="4"/>
      <c r="G316" s="4"/>
      <c r="H316" s="7"/>
      <c r="I316" s="4"/>
      <c r="J316" s="4"/>
      <c r="K316" s="22"/>
      <c r="L316" s="4"/>
      <c r="M316" s="4"/>
      <c r="N316" s="4"/>
      <c r="O316" s="4"/>
      <c r="P316" s="4"/>
      <c r="Q316" s="4"/>
      <c r="R316" s="4"/>
      <c r="S316" s="7"/>
      <c r="T316" s="7"/>
      <c r="U316" s="7"/>
      <c r="V316" s="7"/>
      <c r="W316" s="7"/>
      <c r="X316" s="7"/>
      <c r="Y316" s="7"/>
      <c r="Z316" s="7"/>
    </row>
    <row r="317" ht="15.75" customHeight="1">
      <c r="A317" s="4"/>
      <c r="B317" s="4"/>
      <c r="C317" s="4"/>
      <c r="D317" s="4"/>
      <c r="E317" s="19"/>
      <c r="F317" s="4"/>
      <c r="G317" s="4"/>
      <c r="H317" s="7"/>
      <c r="I317" s="4"/>
      <c r="J317" s="4"/>
      <c r="K317" s="22"/>
      <c r="L317" s="4"/>
      <c r="M317" s="4"/>
      <c r="N317" s="4"/>
      <c r="O317" s="4"/>
      <c r="P317" s="4"/>
      <c r="Q317" s="4"/>
      <c r="R317" s="4"/>
      <c r="S317" s="7"/>
      <c r="T317" s="7"/>
      <c r="U317" s="7"/>
      <c r="V317" s="7"/>
      <c r="W317" s="7"/>
      <c r="X317" s="7"/>
      <c r="Y317" s="7"/>
      <c r="Z317" s="7"/>
    </row>
    <row r="318" ht="15.75" customHeight="1">
      <c r="A318" s="4"/>
      <c r="B318" s="4"/>
      <c r="C318" s="4"/>
      <c r="D318" s="4"/>
      <c r="E318" s="19"/>
      <c r="F318" s="4"/>
      <c r="G318" s="4"/>
      <c r="H318" s="7"/>
      <c r="I318" s="4"/>
      <c r="J318" s="4"/>
      <c r="K318" s="22"/>
      <c r="L318" s="4"/>
      <c r="M318" s="4"/>
      <c r="N318" s="4"/>
      <c r="O318" s="4"/>
      <c r="P318" s="4"/>
      <c r="Q318" s="4"/>
      <c r="R318" s="4"/>
      <c r="S318" s="7"/>
      <c r="T318" s="7"/>
      <c r="U318" s="7"/>
      <c r="V318" s="7"/>
      <c r="W318" s="7"/>
      <c r="X318" s="7"/>
      <c r="Y318" s="7"/>
      <c r="Z318" s="7"/>
    </row>
    <row r="319" ht="15.75" customHeight="1">
      <c r="A319" s="4"/>
      <c r="B319" s="4"/>
      <c r="C319" s="4"/>
      <c r="D319" s="4"/>
      <c r="E319" s="19"/>
      <c r="F319" s="4"/>
      <c r="G319" s="4"/>
      <c r="H319" s="7"/>
      <c r="I319" s="4"/>
      <c r="J319" s="4"/>
      <c r="K319" s="22"/>
      <c r="L319" s="4"/>
      <c r="M319" s="4"/>
      <c r="N319" s="4"/>
      <c r="O319" s="4"/>
      <c r="P319" s="4"/>
      <c r="Q319" s="4"/>
      <c r="R319" s="4"/>
      <c r="S319" s="7"/>
      <c r="T319" s="7"/>
      <c r="U319" s="7"/>
      <c r="V319" s="7"/>
      <c r="W319" s="7"/>
      <c r="X319" s="7"/>
      <c r="Y319" s="7"/>
      <c r="Z319" s="7"/>
    </row>
    <row r="320" ht="15.75" customHeight="1">
      <c r="A320" s="4"/>
      <c r="B320" s="4"/>
      <c r="C320" s="4"/>
      <c r="D320" s="4"/>
      <c r="E320" s="19"/>
      <c r="F320" s="4"/>
      <c r="G320" s="4"/>
      <c r="H320" s="7"/>
      <c r="I320" s="4"/>
      <c r="J320" s="4"/>
      <c r="K320" s="22"/>
      <c r="L320" s="4"/>
      <c r="M320" s="4"/>
      <c r="N320" s="4"/>
      <c r="O320" s="4"/>
      <c r="P320" s="4"/>
      <c r="Q320" s="4"/>
      <c r="R320" s="4"/>
      <c r="S320" s="7"/>
      <c r="T320" s="7"/>
      <c r="U320" s="7"/>
      <c r="V320" s="7"/>
      <c r="W320" s="7"/>
      <c r="X320" s="7"/>
      <c r="Y320" s="7"/>
      <c r="Z320" s="7"/>
    </row>
    <row r="321" ht="15.75" customHeight="1">
      <c r="A321" s="4"/>
      <c r="B321" s="4"/>
      <c r="C321" s="4"/>
      <c r="D321" s="4"/>
      <c r="E321" s="19"/>
      <c r="F321" s="4"/>
      <c r="G321" s="4"/>
      <c r="H321" s="7"/>
      <c r="I321" s="4"/>
      <c r="J321" s="4"/>
      <c r="K321" s="22"/>
      <c r="L321" s="4"/>
      <c r="M321" s="4"/>
      <c r="N321" s="4"/>
      <c r="O321" s="4"/>
      <c r="P321" s="4"/>
      <c r="Q321" s="4"/>
      <c r="R321" s="4"/>
      <c r="S321" s="7"/>
      <c r="T321" s="7"/>
      <c r="U321" s="7"/>
      <c r="V321" s="7"/>
      <c r="W321" s="7"/>
      <c r="X321" s="7"/>
      <c r="Y321" s="7"/>
      <c r="Z321" s="7"/>
    </row>
    <row r="322" ht="15.75" customHeight="1">
      <c r="A322" s="4"/>
      <c r="B322" s="4"/>
      <c r="C322" s="4"/>
      <c r="D322" s="4"/>
      <c r="E322" s="19"/>
      <c r="F322" s="4"/>
      <c r="G322" s="4"/>
      <c r="H322" s="7"/>
      <c r="I322" s="4"/>
      <c r="J322" s="4"/>
      <c r="K322" s="22"/>
      <c r="L322" s="4"/>
      <c r="M322" s="4"/>
      <c r="N322" s="4"/>
      <c r="O322" s="4"/>
      <c r="P322" s="4"/>
      <c r="Q322" s="4"/>
      <c r="R322" s="4"/>
      <c r="S322" s="7"/>
      <c r="T322" s="7"/>
      <c r="U322" s="7"/>
      <c r="V322" s="7"/>
      <c r="W322" s="7"/>
      <c r="X322" s="7"/>
      <c r="Y322" s="7"/>
      <c r="Z322" s="7"/>
    </row>
    <row r="323" ht="15.75" customHeight="1">
      <c r="A323" s="4"/>
      <c r="B323" s="4"/>
      <c r="C323" s="4"/>
      <c r="D323" s="4"/>
      <c r="E323" s="19"/>
      <c r="F323" s="4"/>
      <c r="G323" s="4"/>
      <c r="H323" s="7"/>
      <c r="I323" s="4"/>
      <c r="J323" s="4"/>
      <c r="K323" s="22"/>
      <c r="L323" s="4"/>
      <c r="M323" s="4"/>
      <c r="N323" s="4"/>
      <c r="O323" s="4"/>
      <c r="P323" s="4"/>
      <c r="Q323" s="4"/>
      <c r="R323" s="4"/>
      <c r="S323" s="7"/>
      <c r="T323" s="7"/>
      <c r="U323" s="7"/>
      <c r="V323" s="7"/>
      <c r="W323" s="7"/>
      <c r="X323" s="7"/>
      <c r="Y323" s="7"/>
      <c r="Z323" s="7"/>
    </row>
    <row r="324" ht="15.75" customHeight="1">
      <c r="A324" s="4"/>
      <c r="B324" s="4"/>
      <c r="C324" s="4"/>
      <c r="D324" s="4"/>
      <c r="E324" s="19"/>
      <c r="F324" s="4"/>
      <c r="G324" s="4"/>
      <c r="H324" s="7"/>
      <c r="I324" s="4"/>
      <c r="J324" s="4"/>
      <c r="K324" s="22"/>
      <c r="L324" s="4"/>
      <c r="M324" s="4"/>
      <c r="N324" s="4"/>
      <c r="O324" s="4"/>
      <c r="P324" s="4"/>
      <c r="Q324" s="4"/>
      <c r="R324" s="4"/>
      <c r="S324" s="7"/>
      <c r="T324" s="7"/>
      <c r="U324" s="7"/>
      <c r="V324" s="7"/>
      <c r="W324" s="7"/>
      <c r="X324" s="7"/>
      <c r="Y324" s="7"/>
      <c r="Z324" s="7"/>
    </row>
    <row r="325" ht="15.75" customHeight="1">
      <c r="A325" s="4"/>
      <c r="B325" s="4"/>
      <c r="C325" s="4"/>
      <c r="D325" s="4"/>
      <c r="E325" s="19"/>
      <c r="F325" s="4"/>
      <c r="G325" s="4"/>
      <c r="H325" s="7"/>
      <c r="I325" s="4"/>
      <c r="J325" s="4"/>
      <c r="K325" s="22"/>
      <c r="L325" s="4"/>
      <c r="M325" s="4"/>
      <c r="N325" s="4"/>
      <c r="O325" s="4"/>
      <c r="P325" s="4"/>
      <c r="Q325" s="4"/>
      <c r="R325" s="4"/>
      <c r="S325" s="7"/>
      <c r="T325" s="7"/>
      <c r="U325" s="7"/>
      <c r="V325" s="7"/>
      <c r="W325" s="7"/>
      <c r="X325" s="7"/>
      <c r="Y325" s="7"/>
      <c r="Z325" s="7"/>
    </row>
    <row r="326" ht="15.75" customHeight="1">
      <c r="A326" s="4"/>
      <c r="B326" s="4"/>
      <c r="C326" s="4"/>
      <c r="D326" s="4"/>
      <c r="E326" s="19"/>
      <c r="F326" s="4"/>
      <c r="G326" s="4"/>
      <c r="H326" s="7"/>
      <c r="I326" s="4"/>
      <c r="J326" s="4"/>
      <c r="K326" s="22"/>
      <c r="L326" s="4"/>
      <c r="M326" s="4"/>
      <c r="N326" s="4"/>
      <c r="O326" s="4"/>
      <c r="P326" s="4"/>
      <c r="Q326" s="4"/>
      <c r="R326" s="4"/>
      <c r="S326" s="7"/>
      <c r="T326" s="7"/>
      <c r="U326" s="7"/>
      <c r="V326" s="7"/>
      <c r="W326" s="7"/>
      <c r="X326" s="7"/>
      <c r="Y326" s="7"/>
      <c r="Z326" s="7"/>
    </row>
    <row r="327" ht="15.75" customHeight="1">
      <c r="A327" s="4"/>
      <c r="B327" s="4"/>
      <c r="C327" s="4"/>
      <c r="D327" s="4"/>
      <c r="E327" s="19"/>
      <c r="F327" s="4"/>
      <c r="G327" s="4"/>
      <c r="H327" s="7"/>
      <c r="I327" s="4"/>
      <c r="J327" s="4"/>
      <c r="K327" s="22"/>
      <c r="L327" s="4"/>
      <c r="M327" s="4"/>
      <c r="N327" s="4"/>
      <c r="O327" s="4"/>
      <c r="P327" s="4"/>
      <c r="Q327" s="4"/>
      <c r="R327" s="4"/>
      <c r="S327" s="7"/>
      <c r="T327" s="7"/>
      <c r="U327" s="7"/>
      <c r="V327" s="7"/>
      <c r="W327" s="7"/>
      <c r="X327" s="7"/>
      <c r="Y327" s="7"/>
      <c r="Z327" s="7"/>
    </row>
    <row r="328" ht="15.75" customHeight="1">
      <c r="A328" s="4"/>
      <c r="B328" s="4"/>
      <c r="C328" s="4"/>
      <c r="D328" s="4"/>
      <c r="E328" s="19"/>
      <c r="F328" s="4"/>
      <c r="G328" s="4"/>
      <c r="H328" s="7"/>
      <c r="I328" s="4"/>
      <c r="J328" s="4"/>
      <c r="K328" s="22"/>
      <c r="L328" s="4"/>
      <c r="M328" s="4"/>
      <c r="N328" s="4"/>
      <c r="O328" s="4"/>
      <c r="P328" s="4"/>
      <c r="Q328" s="4"/>
      <c r="R328" s="4"/>
      <c r="S328" s="7"/>
      <c r="T328" s="7"/>
      <c r="U328" s="7"/>
      <c r="V328" s="7"/>
      <c r="W328" s="7"/>
      <c r="X328" s="7"/>
      <c r="Y328" s="7"/>
      <c r="Z328" s="7"/>
    </row>
    <row r="329" ht="15.75" customHeight="1">
      <c r="A329" s="4"/>
      <c r="B329" s="4"/>
      <c r="C329" s="4"/>
      <c r="D329" s="4"/>
      <c r="E329" s="19"/>
      <c r="F329" s="4"/>
      <c r="G329" s="4"/>
      <c r="H329" s="7"/>
      <c r="I329" s="4"/>
      <c r="J329" s="4"/>
      <c r="K329" s="22"/>
      <c r="L329" s="4"/>
      <c r="M329" s="4"/>
      <c r="N329" s="4"/>
      <c r="O329" s="4"/>
      <c r="P329" s="4"/>
      <c r="Q329" s="4"/>
      <c r="R329" s="4"/>
      <c r="S329" s="7"/>
      <c r="T329" s="7"/>
      <c r="U329" s="7"/>
      <c r="V329" s="7"/>
      <c r="W329" s="7"/>
      <c r="X329" s="7"/>
      <c r="Y329" s="7"/>
      <c r="Z329" s="7"/>
    </row>
    <row r="330" ht="15.75" customHeight="1">
      <c r="A330" s="4"/>
      <c r="B330" s="4"/>
      <c r="C330" s="4"/>
      <c r="D330" s="4"/>
      <c r="E330" s="19"/>
      <c r="F330" s="4"/>
      <c r="G330" s="4"/>
      <c r="H330" s="7"/>
      <c r="I330" s="4"/>
      <c r="J330" s="4"/>
      <c r="K330" s="22"/>
      <c r="L330" s="4"/>
      <c r="M330" s="4"/>
      <c r="N330" s="4"/>
      <c r="O330" s="4"/>
      <c r="P330" s="4"/>
      <c r="Q330" s="4"/>
      <c r="R330" s="4"/>
      <c r="S330" s="7"/>
      <c r="T330" s="7"/>
      <c r="U330" s="7"/>
      <c r="V330" s="7"/>
      <c r="W330" s="7"/>
      <c r="X330" s="7"/>
      <c r="Y330" s="7"/>
      <c r="Z330" s="7"/>
    </row>
    <row r="331" ht="15.75" customHeight="1">
      <c r="A331" s="4"/>
      <c r="B331" s="4"/>
      <c r="C331" s="4"/>
      <c r="D331" s="4"/>
      <c r="E331" s="19"/>
      <c r="F331" s="4"/>
      <c r="G331" s="4"/>
      <c r="H331" s="7"/>
      <c r="I331" s="4"/>
      <c r="J331" s="4"/>
      <c r="K331" s="22"/>
      <c r="L331" s="4"/>
      <c r="M331" s="4"/>
      <c r="N331" s="4"/>
      <c r="O331" s="4"/>
      <c r="P331" s="4"/>
      <c r="Q331" s="4"/>
      <c r="R331" s="4"/>
      <c r="S331" s="7"/>
      <c r="T331" s="7"/>
      <c r="U331" s="7"/>
      <c r="V331" s="7"/>
      <c r="W331" s="7"/>
      <c r="X331" s="7"/>
      <c r="Y331" s="7"/>
      <c r="Z331" s="7"/>
    </row>
    <row r="332" ht="15.75" customHeight="1">
      <c r="A332" s="4"/>
      <c r="B332" s="4"/>
      <c r="C332" s="4"/>
      <c r="D332" s="4"/>
      <c r="E332" s="19"/>
      <c r="F332" s="4"/>
      <c r="G332" s="4"/>
      <c r="H332" s="7"/>
      <c r="I332" s="4"/>
      <c r="J332" s="4"/>
      <c r="K332" s="22"/>
      <c r="L332" s="4"/>
      <c r="M332" s="4"/>
      <c r="N332" s="4"/>
      <c r="O332" s="4"/>
      <c r="P332" s="4"/>
      <c r="Q332" s="4"/>
      <c r="R332" s="4"/>
      <c r="S332" s="7"/>
      <c r="T332" s="7"/>
      <c r="U332" s="7"/>
      <c r="V332" s="7"/>
      <c r="W332" s="7"/>
      <c r="X332" s="7"/>
      <c r="Y332" s="7"/>
      <c r="Z332" s="7"/>
    </row>
    <row r="333" ht="15.75" customHeight="1">
      <c r="A333" s="4"/>
      <c r="B333" s="4"/>
      <c r="C333" s="4"/>
      <c r="D333" s="4"/>
      <c r="E333" s="19"/>
      <c r="F333" s="4"/>
      <c r="G333" s="4"/>
      <c r="H333" s="7"/>
      <c r="I333" s="4"/>
      <c r="J333" s="4"/>
      <c r="K333" s="22"/>
      <c r="L333" s="4"/>
      <c r="M333" s="4"/>
      <c r="N333" s="4"/>
      <c r="O333" s="4"/>
      <c r="P333" s="4"/>
      <c r="Q333" s="4"/>
      <c r="R333" s="4"/>
      <c r="S333" s="7"/>
      <c r="T333" s="7"/>
      <c r="U333" s="7"/>
      <c r="V333" s="7"/>
      <c r="W333" s="7"/>
      <c r="X333" s="7"/>
      <c r="Y333" s="7"/>
      <c r="Z333" s="7"/>
    </row>
    <row r="334" ht="15.75" customHeight="1">
      <c r="A334" s="4"/>
      <c r="B334" s="4"/>
      <c r="C334" s="4"/>
      <c r="D334" s="4"/>
      <c r="E334" s="19"/>
      <c r="F334" s="4"/>
      <c r="G334" s="4"/>
      <c r="H334" s="7"/>
      <c r="I334" s="4"/>
      <c r="J334" s="4"/>
      <c r="K334" s="22"/>
      <c r="L334" s="4"/>
      <c r="M334" s="4"/>
      <c r="N334" s="4"/>
      <c r="O334" s="4"/>
      <c r="P334" s="4"/>
      <c r="Q334" s="4"/>
      <c r="R334" s="4"/>
      <c r="S334" s="7"/>
      <c r="T334" s="7"/>
      <c r="U334" s="7"/>
      <c r="V334" s="7"/>
      <c r="W334" s="7"/>
      <c r="X334" s="7"/>
      <c r="Y334" s="7"/>
      <c r="Z334" s="7"/>
    </row>
    <row r="335" ht="15.75" customHeight="1">
      <c r="A335" s="4"/>
      <c r="B335" s="4"/>
      <c r="C335" s="4"/>
      <c r="D335" s="4"/>
      <c r="E335" s="19"/>
      <c r="F335" s="4"/>
      <c r="G335" s="4"/>
      <c r="H335" s="7"/>
      <c r="I335" s="4"/>
      <c r="J335" s="4"/>
      <c r="K335" s="22"/>
      <c r="L335" s="4"/>
      <c r="M335" s="4"/>
      <c r="N335" s="4"/>
      <c r="O335" s="4"/>
      <c r="P335" s="4"/>
      <c r="Q335" s="4"/>
      <c r="R335" s="4"/>
      <c r="S335" s="7"/>
      <c r="T335" s="7"/>
      <c r="U335" s="7"/>
      <c r="V335" s="7"/>
      <c r="W335" s="7"/>
      <c r="X335" s="7"/>
      <c r="Y335" s="7"/>
      <c r="Z335" s="7"/>
    </row>
    <row r="336" ht="15.75" customHeight="1">
      <c r="A336" s="4"/>
      <c r="B336" s="4"/>
      <c r="C336" s="4"/>
      <c r="D336" s="4"/>
      <c r="E336" s="19"/>
      <c r="F336" s="4"/>
      <c r="G336" s="4"/>
      <c r="H336" s="7"/>
      <c r="I336" s="4"/>
      <c r="J336" s="4"/>
      <c r="K336" s="22"/>
      <c r="L336" s="4"/>
      <c r="M336" s="4"/>
      <c r="N336" s="4"/>
      <c r="O336" s="4"/>
      <c r="P336" s="4"/>
      <c r="Q336" s="4"/>
      <c r="R336" s="4"/>
      <c r="S336" s="7"/>
      <c r="T336" s="7"/>
      <c r="U336" s="7"/>
      <c r="V336" s="7"/>
      <c r="W336" s="7"/>
      <c r="X336" s="7"/>
      <c r="Y336" s="7"/>
      <c r="Z336" s="7"/>
    </row>
    <row r="337" ht="15.75" customHeight="1">
      <c r="A337" s="4"/>
      <c r="B337" s="4"/>
      <c r="C337" s="4"/>
      <c r="D337" s="4"/>
      <c r="E337" s="19"/>
      <c r="F337" s="4"/>
      <c r="G337" s="4"/>
      <c r="H337" s="7"/>
      <c r="I337" s="4"/>
      <c r="J337" s="4"/>
      <c r="K337" s="22"/>
      <c r="L337" s="4"/>
      <c r="M337" s="4"/>
      <c r="N337" s="4"/>
      <c r="O337" s="4"/>
      <c r="P337" s="4"/>
      <c r="Q337" s="4"/>
      <c r="R337" s="4"/>
      <c r="S337" s="7"/>
      <c r="T337" s="7"/>
      <c r="U337" s="7"/>
      <c r="V337" s="7"/>
      <c r="W337" s="7"/>
      <c r="X337" s="7"/>
      <c r="Y337" s="7"/>
      <c r="Z337" s="7"/>
    </row>
    <row r="338" ht="15.75" customHeight="1">
      <c r="A338" s="4"/>
      <c r="B338" s="4"/>
      <c r="C338" s="4"/>
      <c r="D338" s="4"/>
      <c r="E338" s="19"/>
      <c r="F338" s="4"/>
      <c r="G338" s="4"/>
      <c r="H338" s="7"/>
      <c r="I338" s="4"/>
      <c r="J338" s="4"/>
      <c r="K338" s="22"/>
      <c r="L338" s="4"/>
      <c r="M338" s="4"/>
      <c r="N338" s="4"/>
      <c r="O338" s="4"/>
      <c r="P338" s="4"/>
      <c r="Q338" s="4"/>
      <c r="R338" s="4"/>
      <c r="S338" s="7"/>
      <c r="T338" s="7"/>
      <c r="U338" s="7"/>
      <c r="V338" s="7"/>
      <c r="W338" s="7"/>
      <c r="X338" s="7"/>
      <c r="Y338" s="7"/>
      <c r="Z338" s="7"/>
    </row>
    <row r="339" ht="15.75" customHeight="1">
      <c r="A339" s="4"/>
      <c r="B339" s="4"/>
      <c r="C339" s="4"/>
      <c r="D339" s="4"/>
      <c r="E339" s="19"/>
      <c r="F339" s="4"/>
      <c r="G339" s="4"/>
      <c r="H339" s="7"/>
      <c r="I339" s="4"/>
      <c r="J339" s="4"/>
      <c r="K339" s="22"/>
      <c r="L339" s="4"/>
      <c r="M339" s="4"/>
      <c r="N339" s="4"/>
      <c r="O339" s="4"/>
      <c r="P339" s="4"/>
      <c r="Q339" s="4"/>
      <c r="R339" s="4"/>
      <c r="S339" s="7"/>
      <c r="T339" s="7"/>
      <c r="U339" s="7"/>
      <c r="V339" s="7"/>
      <c r="W339" s="7"/>
      <c r="X339" s="7"/>
      <c r="Y339" s="7"/>
      <c r="Z339" s="7"/>
    </row>
    <row r="340" ht="15.75" customHeight="1">
      <c r="A340" s="4"/>
      <c r="B340" s="4"/>
      <c r="C340" s="4"/>
      <c r="D340" s="4"/>
      <c r="E340" s="19"/>
      <c r="F340" s="4"/>
      <c r="G340" s="4"/>
      <c r="H340" s="7"/>
      <c r="I340" s="4"/>
      <c r="J340" s="4"/>
      <c r="K340" s="22"/>
      <c r="L340" s="4"/>
      <c r="M340" s="4"/>
      <c r="N340" s="4"/>
      <c r="O340" s="4"/>
      <c r="P340" s="4"/>
      <c r="Q340" s="4"/>
      <c r="R340" s="4"/>
      <c r="S340" s="7"/>
      <c r="T340" s="7"/>
      <c r="U340" s="7"/>
      <c r="V340" s="7"/>
      <c r="W340" s="7"/>
      <c r="X340" s="7"/>
      <c r="Y340" s="7"/>
      <c r="Z340" s="7"/>
    </row>
    <row r="341" ht="15.75" customHeight="1">
      <c r="A341" s="4"/>
      <c r="B341" s="4"/>
      <c r="C341" s="4"/>
      <c r="D341" s="4"/>
      <c r="E341" s="19"/>
      <c r="F341" s="4"/>
      <c r="G341" s="4"/>
      <c r="H341" s="7"/>
      <c r="I341" s="4"/>
      <c r="J341" s="4"/>
      <c r="K341" s="22"/>
      <c r="L341" s="4"/>
      <c r="M341" s="4"/>
      <c r="N341" s="4"/>
      <c r="O341" s="4"/>
      <c r="P341" s="4"/>
      <c r="Q341" s="4"/>
      <c r="R341" s="4"/>
      <c r="S341" s="7"/>
      <c r="T341" s="7"/>
      <c r="U341" s="7"/>
      <c r="V341" s="7"/>
      <c r="W341" s="7"/>
      <c r="X341" s="7"/>
      <c r="Y341" s="7"/>
      <c r="Z341" s="7"/>
    </row>
    <row r="342" ht="15.75" customHeight="1">
      <c r="A342" s="4"/>
      <c r="B342" s="4"/>
      <c r="C342" s="4"/>
      <c r="D342" s="4"/>
      <c r="E342" s="19"/>
      <c r="F342" s="4"/>
      <c r="G342" s="4"/>
      <c r="H342" s="7"/>
      <c r="I342" s="4"/>
      <c r="J342" s="4"/>
      <c r="K342" s="22"/>
      <c r="L342" s="4"/>
      <c r="M342" s="4"/>
      <c r="N342" s="4"/>
      <c r="O342" s="4"/>
      <c r="P342" s="4"/>
      <c r="Q342" s="4"/>
      <c r="R342" s="4"/>
      <c r="S342" s="7"/>
      <c r="T342" s="7"/>
      <c r="U342" s="7"/>
      <c r="V342" s="7"/>
      <c r="W342" s="7"/>
      <c r="X342" s="7"/>
      <c r="Y342" s="7"/>
      <c r="Z342" s="7"/>
    </row>
    <row r="343" ht="15.75" customHeight="1">
      <c r="A343" s="4"/>
      <c r="B343" s="4"/>
      <c r="C343" s="4"/>
      <c r="D343" s="4"/>
      <c r="E343" s="19"/>
      <c r="F343" s="4"/>
      <c r="G343" s="4"/>
      <c r="H343" s="7"/>
      <c r="I343" s="4"/>
      <c r="J343" s="4"/>
      <c r="K343" s="22"/>
      <c r="L343" s="4"/>
      <c r="M343" s="4"/>
      <c r="N343" s="4"/>
      <c r="O343" s="4"/>
      <c r="P343" s="4"/>
      <c r="Q343" s="4"/>
      <c r="R343" s="4"/>
      <c r="S343" s="7"/>
      <c r="T343" s="7"/>
      <c r="U343" s="7"/>
      <c r="V343" s="7"/>
      <c r="W343" s="7"/>
      <c r="X343" s="7"/>
      <c r="Y343" s="7"/>
      <c r="Z343" s="7"/>
    </row>
    <row r="344" ht="15.75" customHeight="1">
      <c r="A344" s="4"/>
      <c r="B344" s="4"/>
      <c r="C344" s="4"/>
      <c r="D344" s="4"/>
      <c r="E344" s="19"/>
      <c r="F344" s="4"/>
      <c r="G344" s="4"/>
      <c r="H344" s="7"/>
      <c r="I344" s="4"/>
      <c r="J344" s="4"/>
      <c r="K344" s="22"/>
      <c r="L344" s="4"/>
      <c r="M344" s="4"/>
      <c r="N344" s="4"/>
      <c r="O344" s="4"/>
      <c r="P344" s="4"/>
      <c r="Q344" s="4"/>
      <c r="R344" s="4"/>
      <c r="S344" s="7"/>
      <c r="T344" s="7"/>
      <c r="U344" s="7"/>
      <c r="V344" s="7"/>
      <c r="W344" s="7"/>
      <c r="X344" s="7"/>
      <c r="Y344" s="7"/>
      <c r="Z344" s="7"/>
    </row>
    <row r="345" ht="15.75" customHeight="1">
      <c r="A345" s="4"/>
      <c r="B345" s="4"/>
      <c r="C345" s="4"/>
      <c r="D345" s="4"/>
      <c r="E345" s="19"/>
      <c r="F345" s="4"/>
      <c r="G345" s="4"/>
      <c r="H345" s="7"/>
      <c r="I345" s="4"/>
      <c r="J345" s="4"/>
      <c r="K345" s="22"/>
      <c r="L345" s="4"/>
      <c r="M345" s="4"/>
      <c r="N345" s="4"/>
      <c r="O345" s="4"/>
      <c r="P345" s="4"/>
      <c r="Q345" s="4"/>
      <c r="R345" s="4"/>
      <c r="S345" s="7"/>
      <c r="T345" s="7"/>
      <c r="U345" s="7"/>
      <c r="V345" s="7"/>
      <c r="W345" s="7"/>
      <c r="X345" s="7"/>
      <c r="Y345" s="7"/>
      <c r="Z345" s="7"/>
    </row>
    <row r="346" ht="15.75" customHeight="1">
      <c r="A346" s="4"/>
      <c r="B346" s="4"/>
      <c r="C346" s="4"/>
      <c r="D346" s="4"/>
      <c r="E346" s="19"/>
      <c r="F346" s="4"/>
      <c r="G346" s="4"/>
      <c r="H346" s="7"/>
      <c r="I346" s="4"/>
      <c r="J346" s="4"/>
      <c r="K346" s="22"/>
      <c r="L346" s="4"/>
      <c r="M346" s="4"/>
      <c r="N346" s="4"/>
      <c r="O346" s="4"/>
      <c r="P346" s="4"/>
      <c r="Q346" s="4"/>
      <c r="R346" s="4"/>
      <c r="S346" s="7"/>
      <c r="T346" s="7"/>
      <c r="U346" s="7"/>
      <c r="V346" s="7"/>
      <c r="W346" s="7"/>
      <c r="X346" s="7"/>
      <c r="Y346" s="7"/>
      <c r="Z346" s="7"/>
    </row>
    <row r="347" ht="15.75" customHeight="1">
      <c r="A347" s="4"/>
      <c r="B347" s="4"/>
      <c r="C347" s="4"/>
      <c r="D347" s="4"/>
      <c r="E347" s="19"/>
      <c r="F347" s="4"/>
      <c r="G347" s="4"/>
      <c r="H347" s="7"/>
      <c r="I347" s="4"/>
      <c r="J347" s="4"/>
      <c r="K347" s="22"/>
      <c r="L347" s="4"/>
      <c r="M347" s="4"/>
      <c r="N347" s="4"/>
      <c r="O347" s="4"/>
      <c r="P347" s="4"/>
      <c r="Q347" s="4"/>
      <c r="R347" s="4"/>
      <c r="S347" s="7"/>
      <c r="T347" s="7"/>
      <c r="U347" s="7"/>
      <c r="V347" s="7"/>
      <c r="W347" s="7"/>
      <c r="X347" s="7"/>
      <c r="Y347" s="7"/>
      <c r="Z347" s="7"/>
    </row>
    <row r="348" ht="15.75" customHeight="1">
      <c r="A348" s="4"/>
      <c r="B348" s="4"/>
      <c r="C348" s="4"/>
      <c r="D348" s="4"/>
      <c r="E348" s="19"/>
      <c r="F348" s="4"/>
      <c r="G348" s="4"/>
      <c r="H348" s="7"/>
      <c r="I348" s="4"/>
      <c r="J348" s="4"/>
      <c r="K348" s="22"/>
      <c r="L348" s="4"/>
      <c r="M348" s="4"/>
      <c r="N348" s="4"/>
      <c r="O348" s="4"/>
      <c r="P348" s="4"/>
      <c r="Q348" s="4"/>
      <c r="R348" s="4"/>
      <c r="S348" s="7"/>
      <c r="T348" s="7"/>
      <c r="U348" s="7"/>
      <c r="V348" s="7"/>
      <c r="W348" s="7"/>
      <c r="X348" s="7"/>
      <c r="Y348" s="7"/>
      <c r="Z348" s="7"/>
    </row>
    <row r="349" ht="15.75" customHeight="1">
      <c r="A349" s="4"/>
      <c r="B349" s="4"/>
      <c r="C349" s="4"/>
      <c r="D349" s="4"/>
      <c r="E349" s="19"/>
      <c r="F349" s="4"/>
      <c r="G349" s="4"/>
      <c r="H349" s="7"/>
      <c r="I349" s="4"/>
      <c r="J349" s="4"/>
      <c r="K349" s="22"/>
      <c r="L349" s="4"/>
      <c r="M349" s="4"/>
      <c r="N349" s="4"/>
      <c r="O349" s="4"/>
      <c r="P349" s="4"/>
      <c r="Q349" s="4"/>
      <c r="R349" s="4"/>
      <c r="S349" s="7"/>
      <c r="T349" s="7"/>
      <c r="U349" s="7"/>
      <c r="V349" s="7"/>
      <c r="W349" s="7"/>
      <c r="X349" s="7"/>
      <c r="Y349" s="7"/>
      <c r="Z349" s="7"/>
    </row>
    <row r="350" ht="15.75" customHeight="1">
      <c r="A350" s="4"/>
      <c r="B350" s="4"/>
      <c r="C350" s="4"/>
      <c r="D350" s="4"/>
      <c r="E350" s="19"/>
      <c r="F350" s="4"/>
      <c r="G350" s="4"/>
      <c r="H350" s="7"/>
      <c r="I350" s="4"/>
      <c r="J350" s="4"/>
      <c r="K350" s="22"/>
      <c r="L350" s="4"/>
      <c r="M350" s="4"/>
      <c r="N350" s="4"/>
      <c r="O350" s="4"/>
      <c r="P350" s="4"/>
      <c r="Q350" s="4"/>
      <c r="R350" s="4"/>
      <c r="S350" s="7"/>
      <c r="T350" s="7"/>
      <c r="U350" s="7"/>
      <c r="V350" s="7"/>
      <c r="W350" s="7"/>
      <c r="X350" s="7"/>
      <c r="Y350" s="7"/>
      <c r="Z350" s="7"/>
    </row>
    <row r="351" ht="15.75" customHeight="1">
      <c r="A351" s="4"/>
      <c r="B351" s="4"/>
      <c r="C351" s="4"/>
      <c r="D351" s="4"/>
      <c r="E351" s="19"/>
      <c r="F351" s="4"/>
      <c r="G351" s="4"/>
      <c r="H351" s="7"/>
      <c r="I351" s="4"/>
      <c r="J351" s="4"/>
      <c r="K351" s="22"/>
      <c r="L351" s="4"/>
      <c r="M351" s="4"/>
      <c r="N351" s="4"/>
      <c r="O351" s="4"/>
      <c r="P351" s="4"/>
      <c r="Q351" s="4"/>
      <c r="R351" s="4"/>
      <c r="S351" s="7"/>
      <c r="T351" s="7"/>
      <c r="U351" s="7"/>
      <c r="V351" s="7"/>
      <c r="W351" s="7"/>
      <c r="X351" s="7"/>
      <c r="Y351" s="7"/>
      <c r="Z351" s="7"/>
    </row>
    <row r="352" ht="15.75" customHeight="1">
      <c r="A352" s="4"/>
      <c r="B352" s="4"/>
      <c r="C352" s="4"/>
      <c r="D352" s="4"/>
      <c r="E352" s="19"/>
      <c r="F352" s="4"/>
      <c r="G352" s="4"/>
      <c r="H352" s="7"/>
      <c r="I352" s="4"/>
      <c r="J352" s="4"/>
      <c r="K352" s="22"/>
      <c r="L352" s="4"/>
      <c r="M352" s="4"/>
      <c r="N352" s="4"/>
      <c r="O352" s="4"/>
      <c r="P352" s="4"/>
      <c r="Q352" s="4"/>
      <c r="R352" s="4"/>
      <c r="S352" s="7"/>
      <c r="T352" s="7"/>
      <c r="U352" s="7"/>
      <c r="V352" s="7"/>
      <c r="W352" s="7"/>
      <c r="X352" s="7"/>
      <c r="Y352" s="7"/>
      <c r="Z352" s="7"/>
    </row>
    <row r="353" ht="15.75" customHeight="1">
      <c r="A353" s="4"/>
      <c r="B353" s="4"/>
      <c r="C353" s="4"/>
      <c r="D353" s="4"/>
      <c r="E353" s="19"/>
      <c r="F353" s="4"/>
      <c r="G353" s="4"/>
      <c r="H353" s="7"/>
      <c r="I353" s="4"/>
      <c r="J353" s="4"/>
      <c r="K353" s="22"/>
      <c r="L353" s="4"/>
      <c r="M353" s="4"/>
      <c r="N353" s="4"/>
      <c r="O353" s="4"/>
      <c r="P353" s="4"/>
      <c r="Q353" s="4"/>
      <c r="R353" s="4"/>
      <c r="S353" s="7"/>
      <c r="T353" s="7"/>
      <c r="U353" s="7"/>
      <c r="V353" s="7"/>
      <c r="W353" s="7"/>
      <c r="X353" s="7"/>
      <c r="Y353" s="7"/>
      <c r="Z353" s="7"/>
    </row>
    <row r="354" ht="15.75" customHeight="1">
      <c r="A354" s="4"/>
      <c r="B354" s="4"/>
      <c r="C354" s="4"/>
      <c r="D354" s="4"/>
      <c r="E354" s="19"/>
      <c r="F354" s="4"/>
      <c r="G354" s="4"/>
      <c r="H354" s="7"/>
      <c r="I354" s="4"/>
      <c r="J354" s="4"/>
      <c r="K354" s="22"/>
      <c r="L354" s="4"/>
      <c r="M354" s="4"/>
      <c r="N354" s="4"/>
      <c r="O354" s="4"/>
      <c r="P354" s="4"/>
      <c r="Q354" s="4"/>
      <c r="R354" s="4"/>
      <c r="S354" s="7"/>
      <c r="T354" s="7"/>
      <c r="U354" s="7"/>
      <c r="V354" s="7"/>
      <c r="W354" s="7"/>
      <c r="X354" s="7"/>
      <c r="Y354" s="7"/>
      <c r="Z354" s="7"/>
    </row>
    <row r="355" ht="15.75" customHeight="1">
      <c r="A355" s="4"/>
      <c r="B355" s="4"/>
      <c r="C355" s="4"/>
      <c r="D355" s="4"/>
      <c r="E355" s="19"/>
      <c r="F355" s="4"/>
      <c r="G355" s="4"/>
      <c r="H355" s="7"/>
      <c r="I355" s="4"/>
      <c r="J355" s="4"/>
      <c r="K355" s="22"/>
      <c r="L355" s="4"/>
      <c r="M355" s="4"/>
      <c r="N355" s="4"/>
      <c r="O355" s="4"/>
      <c r="P355" s="4"/>
      <c r="Q355" s="4"/>
      <c r="R355" s="4"/>
      <c r="S355" s="7"/>
      <c r="T355" s="7"/>
      <c r="U355" s="7"/>
      <c r="V355" s="7"/>
      <c r="W355" s="7"/>
      <c r="X355" s="7"/>
      <c r="Y355" s="7"/>
      <c r="Z355" s="7"/>
    </row>
    <row r="356" ht="15.75" customHeight="1">
      <c r="A356" s="4"/>
      <c r="B356" s="4"/>
      <c r="C356" s="4"/>
      <c r="D356" s="4"/>
      <c r="E356" s="19"/>
      <c r="F356" s="4"/>
      <c r="G356" s="4"/>
      <c r="H356" s="7"/>
      <c r="I356" s="4"/>
      <c r="J356" s="4"/>
      <c r="K356" s="22"/>
      <c r="L356" s="4"/>
      <c r="M356" s="4"/>
      <c r="N356" s="4"/>
      <c r="O356" s="4"/>
      <c r="P356" s="4"/>
      <c r="Q356" s="4"/>
      <c r="R356" s="4"/>
      <c r="S356" s="7"/>
      <c r="T356" s="7"/>
      <c r="U356" s="7"/>
      <c r="V356" s="7"/>
      <c r="W356" s="7"/>
      <c r="X356" s="7"/>
      <c r="Y356" s="7"/>
      <c r="Z356" s="7"/>
    </row>
    <row r="357" ht="15.75" customHeight="1">
      <c r="A357" s="4"/>
      <c r="B357" s="4"/>
      <c r="C357" s="4"/>
      <c r="D357" s="4"/>
      <c r="E357" s="19"/>
      <c r="F357" s="4"/>
      <c r="G357" s="4"/>
      <c r="H357" s="7"/>
      <c r="I357" s="4"/>
      <c r="J357" s="4"/>
      <c r="K357" s="22"/>
      <c r="L357" s="4"/>
      <c r="M357" s="4"/>
      <c r="N357" s="4"/>
      <c r="O357" s="4"/>
      <c r="P357" s="4"/>
      <c r="Q357" s="4"/>
      <c r="R357" s="4"/>
      <c r="S357" s="7"/>
      <c r="T357" s="7"/>
      <c r="U357" s="7"/>
      <c r="V357" s="7"/>
      <c r="W357" s="7"/>
      <c r="X357" s="7"/>
      <c r="Y357" s="7"/>
      <c r="Z357" s="7"/>
    </row>
    <row r="358" ht="15.75" customHeight="1">
      <c r="A358" s="4"/>
      <c r="B358" s="4"/>
      <c r="C358" s="4"/>
      <c r="D358" s="4"/>
      <c r="E358" s="19"/>
      <c r="F358" s="4"/>
      <c r="G358" s="4"/>
      <c r="H358" s="7"/>
      <c r="I358" s="4"/>
      <c r="J358" s="4"/>
      <c r="K358" s="22"/>
      <c r="L358" s="4"/>
      <c r="M358" s="4"/>
      <c r="N358" s="4"/>
      <c r="O358" s="4"/>
      <c r="P358" s="4"/>
      <c r="Q358" s="4"/>
      <c r="R358" s="4"/>
      <c r="S358" s="7"/>
      <c r="T358" s="7"/>
      <c r="U358" s="7"/>
      <c r="V358" s="7"/>
      <c r="W358" s="7"/>
      <c r="X358" s="7"/>
      <c r="Y358" s="7"/>
      <c r="Z358" s="7"/>
    </row>
    <row r="359" ht="15.75" customHeight="1">
      <c r="A359" s="4"/>
      <c r="B359" s="4"/>
      <c r="C359" s="4"/>
      <c r="D359" s="4"/>
      <c r="E359" s="19"/>
      <c r="F359" s="4"/>
      <c r="G359" s="4"/>
      <c r="H359" s="7"/>
      <c r="I359" s="4"/>
      <c r="J359" s="4"/>
      <c r="K359" s="22"/>
      <c r="L359" s="4"/>
      <c r="M359" s="4"/>
      <c r="N359" s="4"/>
      <c r="O359" s="4"/>
      <c r="P359" s="4"/>
      <c r="Q359" s="4"/>
      <c r="R359" s="4"/>
      <c r="S359" s="7"/>
      <c r="T359" s="7"/>
      <c r="U359" s="7"/>
      <c r="V359" s="7"/>
      <c r="W359" s="7"/>
      <c r="X359" s="7"/>
      <c r="Y359" s="7"/>
      <c r="Z359" s="7"/>
    </row>
    <row r="360" ht="15.75" customHeight="1">
      <c r="A360" s="4"/>
      <c r="B360" s="4"/>
      <c r="C360" s="4"/>
      <c r="D360" s="4"/>
      <c r="E360" s="19"/>
      <c r="F360" s="4"/>
      <c r="G360" s="4"/>
      <c r="H360" s="7"/>
      <c r="I360" s="4"/>
      <c r="J360" s="4"/>
      <c r="K360" s="22"/>
      <c r="L360" s="4"/>
      <c r="M360" s="4"/>
      <c r="N360" s="4"/>
      <c r="O360" s="4"/>
      <c r="P360" s="4"/>
      <c r="Q360" s="4"/>
      <c r="R360" s="4"/>
      <c r="S360" s="7"/>
      <c r="T360" s="7"/>
      <c r="U360" s="7"/>
      <c r="V360" s="7"/>
      <c r="W360" s="7"/>
      <c r="X360" s="7"/>
      <c r="Y360" s="7"/>
      <c r="Z360" s="7"/>
    </row>
    <row r="361" ht="15.75" customHeight="1">
      <c r="A361" s="4"/>
      <c r="B361" s="4"/>
      <c r="C361" s="4"/>
      <c r="D361" s="4"/>
      <c r="E361" s="19"/>
      <c r="F361" s="4"/>
      <c r="G361" s="4"/>
      <c r="H361" s="7"/>
      <c r="I361" s="4"/>
      <c r="J361" s="4"/>
      <c r="K361" s="22"/>
      <c r="L361" s="4"/>
      <c r="M361" s="4"/>
      <c r="N361" s="4"/>
      <c r="O361" s="4"/>
      <c r="P361" s="4"/>
      <c r="Q361" s="4"/>
      <c r="R361" s="4"/>
      <c r="S361" s="7"/>
      <c r="T361" s="7"/>
      <c r="U361" s="7"/>
      <c r="V361" s="7"/>
      <c r="W361" s="7"/>
      <c r="X361" s="7"/>
      <c r="Y361" s="7"/>
      <c r="Z361" s="7"/>
    </row>
    <row r="362" ht="15.75" customHeight="1">
      <c r="A362" s="4"/>
      <c r="B362" s="4"/>
      <c r="C362" s="4"/>
      <c r="D362" s="4"/>
      <c r="E362" s="19"/>
      <c r="F362" s="4"/>
      <c r="G362" s="4"/>
      <c r="H362" s="7"/>
      <c r="I362" s="4"/>
      <c r="J362" s="4"/>
      <c r="K362" s="22"/>
      <c r="L362" s="4"/>
      <c r="M362" s="4"/>
      <c r="N362" s="4"/>
      <c r="O362" s="4"/>
      <c r="P362" s="4"/>
      <c r="Q362" s="4"/>
      <c r="R362" s="4"/>
      <c r="S362" s="7"/>
      <c r="T362" s="7"/>
      <c r="U362" s="7"/>
      <c r="V362" s="7"/>
      <c r="W362" s="7"/>
      <c r="X362" s="7"/>
      <c r="Y362" s="7"/>
      <c r="Z362" s="7"/>
    </row>
    <row r="363" ht="15.75" customHeight="1">
      <c r="A363" s="4"/>
      <c r="B363" s="4"/>
      <c r="C363" s="4"/>
      <c r="D363" s="4"/>
      <c r="E363" s="19"/>
      <c r="F363" s="4"/>
      <c r="G363" s="4"/>
      <c r="H363" s="7"/>
      <c r="I363" s="4"/>
      <c r="J363" s="4"/>
      <c r="K363" s="22"/>
      <c r="L363" s="4"/>
      <c r="M363" s="4"/>
      <c r="N363" s="4"/>
      <c r="O363" s="4"/>
      <c r="P363" s="4"/>
      <c r="Q363" s="4"/>
      <c r="R363" s="4"/>
      <c r="S363" s="7"/>
      <c r="T363" s="7"/>
      <c r="U363" s="7"/>
      <c r="V363" s="7"/>
      <c r="W363" s="7"/>
      <c r="X363" s="7"/>
      <c r="Y363" s="7"/>
      <c r="Z363" s="7"/>
    </row>
    <row r="364" ht="15.75" customHeight="1">
      <c r="A364" s="4"/>
      <c r="B364" s="4"/>
      <c r="C364" s="4"/>
      <c r="D364" s="4"/>
      <c r="E364" s="19"/>
      <c r="F364" s="4"/>
      <c r="G364" s="4"/>
      <c r="H364" s="7"/>
      <c r="I364" s="4"/>
      <c r="J364" s="4"/>
      <c r="K364" s="22"/>
      <c r="L364" s="4"/>
      <c r="M364" s="4"/>
      <c r="N364" s="4"/>
      <c r="O364" s="4"/>
      <c r="P364" s="4"/>
      <c r="Q364" s="4"/>
      <c r="R364" s="4"/>
      <c r="S364" s="7"/>
      <c r="T364" s="7"/>
      <c r="U364" s="7"/>
      <c r="V364" s="7"/>
      <c r="W364" s="7"/>
      <c r="X364" s="7"/>
      <c r="Y364" s="7"/>
      <c r="Z364" s="7"/>
    </row>
    <row r="365" ht="15.75" customHeight="1">
      <c r="A365" s="4"/>
      <c r="B365" s="4"/>
      <c r="C365" s="4"/>
      <c r="D365" s="4"/>
      <c r="E365" s="19"/>
      <c r="F365" s="4"/>
      <c r="G365" s="4"/>
      <c r="H365" s="7"/>
      <c r="I365" s="4"/>
      <c r="J365" s="4"/>
      <c r="K365" s="22"/>
      <c r="L365" s="4"/>
      <c r="M365" s="4"/>
      <c r="N365" s="4"/>
      <c r="O365" s="4"/>
      <c r="P365" s="4"/>
      <c r="Q365" s="4"/>
      <c r="R365" s="4"/>
      <c r="S365" s="7"/>
      <c r="T365" s="7"/>
      <c r="U365" s="7"/>
      <c r="V365" s="7"/>
      <c r="W365" s="7"/>
      <c r="X365" s="7"/>
      <c r="Y365" s="7"/>
      <c r="Z365" s="7"/>
    </row>
    <row r="366" ht="15.75" customHeight="1">
      <c r="A366" s="4"/>
      <c r="B366" s="4"/>
      <c r="C366" s="4"/>
      <c r="D366" s="4"/>
      <c r="E366" s="19"/>
      <c r="F366" s="4"/>
      <c r="G366" s="4"/>
      <c r="H366" s="7"/>
      <c r="I366" s="4"/>
      <c r="J366" s="4"/>
      <c r="K366" s="22"/>
      <c r="L366" s="4"/>
      <c r="M366" s="4"/>
      <c r="N366" s="4"/>
      <c r="O366" s="4"/>
      <c r="P366" s="4"/>
      <c r="Q366" s="4"/>
      <c r="R366" s="4"/>
      <c r="S366" s="7"/>
      <c r="T366" s="7"/>
      <c r="U366" s="7"/>
      <c r="V366" s="7"/>
      <c r="W366" s="7"/>
      <c r="X366" s="7"/>
      <c r="Y366" s="7"/>
      <c r="Z366" s="7"/>
    </row>
    <row r="367" ht="15.75" customHeight="1">
      <c r="A367" s="4"/>
      <c r="B367" s="4"/>
      <c r="C367" s="4"/>
      <c r="D367" s="4"/>
      <c r="E367" s="19"/>
      <c r="F367" s="4"/>
      <c r="G367" s="4"/>
      <c r="H367" s="7"/>
      <c r="I367" s="4"/>
      <c r="J367" s="4"/>
      <c r="K367" s="22"/>
      <c r="L367" s="4"/>
      <c r="M367" s="4"/>
      <c r="N367" s="4"/>
      <c r="O367" s="4"/>
      <c r="P367" s="4"/>
      <c r="Q367" s="4"/>
      <c r="R367" s="4"/>
      <c r="S367" s="7"/>
      <c r="T367" s="7"/>
      <c r="U367" s="7"/>
      <c r="V367" s="7"/>
      <c r="W367" s="7"/>
      <c r="X367" s="7"/>
      <c r="Y367" s="7"/>
      <c r="Z367" s="7"/>
    </row>
    <row r="368" ht="15.75" customHeight="1">
      <c r="A368" s="4"/>
      <c r="B368" s="4"/>
      <c r="C368" s="4"/>
      <c r="D368" s="4"/>
      <c r="E368" s="19"/>
      <c r="F368" s="4"/>
      <c r="G368" s="4"/>
      <c r="H368" s="7"/>
      <c r="I368" s="4"/>
      <c r="J368" s="4"/>
      <c r="K368" s="22"/>
      <c r="L368" s="4"/>
      <c r="M368" s="4"/>
      <c r="N368" s="4"/>
      <c r="O368" s="4"/>
      <c r="P368" s="4"/>
      <c r="Q368" s="4"/>
      <c r="R368" s="4"/>
      <c r="S368" s="7"/>
      <c r="T368" s="7"/>
      <c r="U368" s="7"/>
      <c r="V368" s="7"/>
      <c r="W368" s="7"/>
      <c r="X368" s="7"/>
      <c r="Y368" s="7"/>
      <c r="Z368" s="7"/>
    </row>
    <row r="369" ht="15.75" customHeight="1">
      <c r="A369" s="4"/>
      <c r="B369" s="4"/>
      <c r="C369" s="4"/>
      <c r="D369" s="4"/>
      <c r="E369" s="19"/>
      <c r="F369" s="4"/>
      <c r="G369" s="4"/>
      <c r="H369" s="7"/>
      <c r="I369" s="4"/>
      <c r="J369" s="4"/>
      <c r="K369" s="22"/>
      <c r="L369" s="4"/>
      <c r="M369" s="4"/>
      <c r="N369" s="4"/>
      <c r="O369" s="4"/>
      <c r="P369" s="4"/>
      <c r="Q369" s="4"/>
      <c r="R369" s="4"/>
      <c r="S369" s="7"/>
      <c r="T369" s="7"/>
      <c r="U369" s="7"/>
      <c r="V369" s="7"/>
      <c r="W369" s="7"/>
      <c r="X369" s="7"/>
      <c r="Y369" s="7"/>
      <c r="Z369" s="7"/>
    </row>
    <row r="370" ht="15.75" customHeight="1">
      <c r="A370" s="4"/>
      <c r="B370" s="4"/>
      <c r="C370" s="4"/>
      <c r="D370" s="4"/>
      <c r="E370" s="19"/>
      <c r="F370" s="4"/>
      <c r="G370" s="4"/>
      <c r="H370" s="7"/>
      <c r="I370" s="4"/>
      <c r="J370" s="4"/>
      <c r="K370" s="22"/>
      <c r="L370" s="4"/>
      <c r="M370" s="4"/>
      <c r="N370" s="4"/>
      <c r="O370" s="4"/>
      <c r="P370" s="4"/>
      <c r="Q370" s="4"/>
      <c r="R370" s="4"/>
      <c r="S370" s="7"/>
      <c r="T370" s="7"/>
      <c r="U370" s="7"/>
      <c r="V370" s="7"/>
      <c r="W370" s="7"/>
      <c r="X370" s="7"/>
      <c r="Y370" s="7"/>
      <c r="Z370" s="7"/>
    </row>
    <row r="371" ht="15.75" customHeight="1">
      <c r="A371" s="4"/>
      <c r="B371" s="4"/>
      <c r="C371" s="4"/>
      <c r="D371" s="4"/>
      <c r="E371" s="19"/>
      <c r="F371" s="4"/>
      <c r="G371" s="4"/>
      <c r="H371" s="7"/>
      <c r="I371" s="4"/>
      <c r="J371" s="4"/>
      <c r="K371" s="22"/>
      <c r="L371" s="4"/>
      <c r="M371" s="4"/>
      <c r="N371" s="4"/>
      <c r="O371" s="4"/>
      <c r="P371" s="4"/>
      <c r="Q371" s="4"/>
      <c r="R371" s="4"/>
      <c r="S371" s="7"/>
      <c r="T371" s="7"/>
      <c r="U371" s="7"/>
      <c r="V371" s="7"/>
      <c r="W371" s="7"/>
      <c r="X371" s="7"/>
      <c r="Y371" s="7"/>
      <c r="Z371" s="7"/>
    </row>
    <row r="372" ht="15.75" customHeight="1">
      <c r="A372" s="4"/>
      <c r="B372" s="4"/>
      <c r="C372" s="4"/>
      <c r="D372" s="4"/>
      <c r="E372" s="19"/>
      <c r="F372" s="4"/>
      <c r="G372" s="4"/>
      <c r="H372" s="7"/>
      <c r="I372" s="4"/>
      <c r="J372" s="4"/>
      <c r="K372" s="22"/>
      <c r="L372" s="4"/>
      <c r="M372" s="4"/>
      <c r="N372" s="4"/>
      <c r="O372" s="4"/>
      <c r="P372" s="4"/>
      <c r="Q372" s="4"/>
      <c r="R372" s="4"/>
      <c r="S372" s="7"/>
      <c r="T372" s="7"/>
      <c r="U372" s="7"/>
      <c r="V372" s="7"/>
      <c r="W372" s="7"/>
      <c r="X372" s="7"/>
      <c r="Y372" s="7"/>
      <c r="Z372" s="7"/>
    </row>
    <row r="373" ht="15.75" customHeight="1">
      <c r="A373" s="4"/>
      <c r="B373" s="4"/>
      <c r="C373" s="4"/>
      <c r="D373" s="4"/>
      <c r="E373" s="19"/>
      <c r="F373" s="4"/>
      <c r="G373" s="4"/>
      <c r="H373" s="7"/>
      <c r="I373" s="4"/>
      <c r="J373" s="4"/>
      <c r="K373" s="22"/>
      <c r="L373" s="4"/>
      <c r="M373" s="4"/>
      <c r="N373" s="4"/>
      <c r="O373" s="4"/>
      <c r="P373" s="4"/>
      <c r="Q373" s="4"/>
      <c r="R373" s="4"/>
      <c r="S373" s="7"/>
      <c r="T373" s="7"/>
      <c r="U373" s="7"/>
      <c r="V373" s="7"/>
      <c r="W373" s="7"/>
      <c r="X373" s="7"/>
      <c r="Y373" s="7"/>
      <c r="Z373" s="7"/>
    </row>
    <row r="374" ht="15.75" customHeight="1">
      <c r="A374" s="4"/>
      <c r="B374" s="4"/>
      <c r="C374" s="4"/>
      <c r="D374" s="4"/>
      <c r="E374" s="19"/>
      <c r="F374" s="4"/>
      <c r="G374" s="4"/>
      <c r="H374" s="7"/>
      <c r="I374" s="4"/>
      <c r="J374" s="4"/>
      <c r="K374" s="22"/>
      <c r="L374" s="4"/>
      <c r="M374" s="4"/>
      <c r="N374" s="4"/>
      <c r="O374" s="4"/>
      <c r="P374" s="4"/>
      <c r="Q374" s="4"/>
      <c r="R374" s="4"/>
      <c r="S374" s="7"/>
      <c r="T374" s="7"/>
      <c r="U374" s="7"/>
      <c r="V374" s="7"/>
      <c r="W374" s="7"/>
      <c r="X374" s="7"/>
      <c r="Y374" s="7"/>
      <c r="Z374" s="7"/>
    </row>
    <row r="375" ht="15.75" customHeight="1">
      <c r="A375" s="4"/>
      <c r="B375" s="4"/>
      <c r="C375" s="4"/>
      <c r="D375" s="4"/>
      <c r="E375" s="19"/>
      <c r="F375" s="4"/>
      <c r="G375" s="4"/>
      <c r="H375" s="7"/>
      <c r="I375" s="4"/>
      <c r="J375" s="4"/>
      <c r="K375" s="22"/>
      <c r="L375" s="4"/>
      <c r="M375" s="4"/>
      <c r="N375" s="4"/>
      <c r="O375" s="4"/>
      <c r="P375" s="4"/>
      <c r="Q375" s="4"/>
      <c r="R375" s="4"/>
      <c r="S375" s="7"/>
      <c r="T375" s="7"/>
      <c r="U375" s="7"/>
      <c r="V375" s="7"/>
      <c r="W375" s="7"/>
      <c r="X375" s="7"/>
      <c r="Y375" s="7"/>
      <c r="Z375" s="7"/>
    </row>
    <row r="376" ht="15.75" customHeight="1">
      <c r="A376" s="4"/>
      <c r="B376" s="4"/>
      <c r="C376" s="4"/>
      <c r="D376" s="4"/>
      <c r="E376" s="19"/>
      <c r="F376" s="4"/>
      <c r="G376" s="4"/>
      <c r="H376" s="7"/>
      <c r="I376" s="4"/>
      <c r="J376" s="4"/>
      <c r="K376" s="22"/>
      <c r="L376" s="4"/>
      <c r="M376" s="4"/>
      <c r="N376" s="4"/>
      <c r="O376" s="4"/>
      <c r="P376" s="4"/>
      <c r="Q376" s="4"/>
      <c r="R376" s="4"/>
      <c r="S376" s="7"/>
      <c r="T376" s="7"/>
      <c r="U376" s="7"/>
      <c r="V376" s="7"/>
      <c r="W376" s="7"/>
      <c r="X376" s="7"/>
      <c r="Y376" s="7"/>
      <c r="Z376" s="7"/>
    </row>
    <row r="377" ht="15.75" customHeight="1">
      <c r="A377" s="4"/>
      <c r="B377" s="4"/>
      <c r="C377" s="4"/>
      <c r="D377" s="4"/>
      <c r="E377" s="19"/>
      <c r="F377" s="4"/>
      <c r="G377" s="4"/>
      <c r="H377" s="7"/>
      <c r="I377" s="4"/>
      <c r="J377" s="4"/>
      <c r="K377" s="22"/>
      <c r="L377" s="4"/>
      <c r="M377" s="4"/>
      <c r="N377" s="4"/>
      <c r="O377" s="4"/>
      <c r="P377" s="4"/>
      <c r="Q377" s="4"/>
      <c r="R377" s="4"/>
      <c r="S377" s="7"/>
      <c r="T377" s="7"/>
      <c r="U377" s="7"/>
      <c r="V377" s="7"/>
      <c r="W377" s="7"/>
      <c r="X377" s="7"/>
      <c r="Y377" s="7"/>
      <c r="Z377" s="7"/>
    </row>
    <row r="378" ht="15.75" customHeight="1">
      <c r="A378" s="4"/>
      <c r="B378" s="4"/>
      <c r="C378" s="4"/>
      <c r="D378" s="4"/>
      <c r="E378" s="19"/>
      <c r="F378" s="4"/>
      <c r="G378" s="4"/>
      <c r="H378" s="7"/>
      <c r="I378" s="4"/>
      <c r="J378" s="4"/>
      <c r="K378" s="22"/>
      <c r="L378" s="4"/>
      <c r="M378" s="4"/>
      <c r="N378" s="4"/>
      <c r="O378" s="4"/>
      <c r="P378" s="4"/>
      <c r="Q378" s="4"/>
      <c r="R378" s="4"/>
      <c r="S378" s="7"/>
      <c r="T378" s="7"/>
      <c r="U378" s="7"/>
      <c r="V378" s="7"/>
      <c r="W378" s="7"/>
      <c r="X378" s="7"/>
      <c r="Y378" s="7"/>
      <c r="Z378" s="7"/>
    </row>
    <row r="379" ht="15.75" customHeight="1">
      <c r="A379" s="4"/>
      <c r="B379" s="4"/>
      <c r="C379" s="4"/>
      <c r="D379" s="4"/>
      <c r="E379" s="19"/>
      <c r="F379" s="4"/>
      <c r="G379" s="4"/>
      <c r="H379" s="7"/>
      <c r="I379" s="4"/>
      <c r="J379" s="4"/>
      <c r="K379" s="22"/>
      <c r="L379" s="4"/>
      <c r="M379" s="4"/>
      <c r="N379" s="4"/>
      <c r="O379" s="4"/>
      <c r="P379" s="4"/>
      <c r="Q379" s="4"/>
      <c r="R379" s="4"/>
      <c r="S379" s="7"/>
      <c r="T379" s="7"/>
      <c r="U379" s="7"/>
      <c r="V379" s="7"/>
      <c r="W379" s="7"/>
      <c r="X379" s="7"/>
      <c r="Y379" s="7"/>
      <c r="Z379" s="7"/>
    </row>
    <row r="380" ht="15.75" customHeight="1">
      <c r="A380" s="4"/>
      <c r="B380" s="4"/>
      <c r="C380" s="4"/>
      <c r="D380" s="4"/>
      <c r="E380" s="19"/>
      <c r="F380" s="4"/>
      <c r="G380" s="4"/>
      <c r="H380" s="7"/>
      <c r="I380" s="4"/>
      <c r="J380" s="4"/>
      <c r="K380" s="22"/>
      <c r="L380" s="4"/>
      <c r="M380" s="4"/>
      <c r="N380" s="4"/>
      <c r="O380" s="4"/>
      <c r="P380" s="4"/>
      <c r="Q380" s="4"/>
      <c r="R380" s="4"/>
      <c r="S380" s="7"/>
      <c r="T380" s="7"/>
      <c r="U380" s="7"/>
      <c r="V380" s="7"/>
      <c r="W380" s="7"/>
      <c r="X380" s="7"/>
      <c r="Y380" s="7"/>
      <c r="Z380" s="7"/>
    </row>
    <row r="381" ht="15.75" customHeight="1">
      <c r="A381" s="4"/>
      <c r="B381" s="4"/>
      <c r="C381" s="4"/>
      <c r="D381" s="4"/>
      <c r="E381" s="19"/>
      <c r="F381" s="4"/>
      <c r="G381" s="4"/>
      <c r="H381" s="7"/>
      <c r="I381" s="4"/>
      <c r="J381" s="4"/>
      <c r="K381" s="22"/>
      <c r="L381" s="4"/>
      <c r="M381" s="4"/>
      <c r="N381" s="4"/>
      <c r="O381" s="4"/>
      <c r="P381" s="4"/>
      <c r="Q381" s="4"/>
      <c r="R381" s="4"/>
      <c r="S381" s="7"/>
      <c r="T381" s="7"/>
      <c r="U381" s="7"/>
      <c r="V381" s="7"/>
      <c r="W381" s="7"/>
      <c r="X381" s="7"/>
      <c r="Y381" s="7"/>
      <c r="Z381" s="7"/>
    </row>
    <row r="382" ht="15.75" customHeight="1">
      <c r="A382" s="4"/>
      <c r="B382" s="4"/>
      <c r="C382" s="4"/>
      <c r="D382" s="4"/>
      <c r="E382" s="19"/>
      <c r="F382" s="4"/>
      <c r="G382" s="4"/>
      <c r="H382" s="7"/>
      <c r="I382" s="4"/>
      <c r="J382" s="4"/>
      <c r="K382" s="22"/>
      <c r="L382" s="4"/>
      <c r="M382" s="4"/>
      <c r="N382" s="4"/>
      <c r="O382" s="4"/>
      <c r="P382" s="4"/>
      <c r="Q382" s="4"/>
      <c r="R382" s="4"/>
      <c r="S382" s="7"/>
      <c r="T382" s="7"/>
      <c r="U382" s="7"/>
      <c r="V382" s="7"/>
      <c r="W382" s="7"/>
      <c r="X382" s="7"/>
      <c r="Y382" s="7"/>
      <c r="Z382" s="7"/>
    </row>
    <row r="383" ht="15.75" customHeight="1">
      <c r="A383" s="4"/>
      <c r="B383" s="4"/>
      <c r="C383" s="4"/>
      <c r="D383" s="4"/>
      <c r="E383" s="19"/>
      <c r="F383" s="4"/>
      <c r="G383" s="4"/>
      <c r="H383" s="7"/>
      <c r="I383" s="4"/>
      <c r="J383" s="4"/>
      <c r="K383" s="22"/>
      <c r="L383" s="4"/>
      <c r="M383" s="4"/>
      <c r="N383" s="4"/>
      <c r="O383" s="4"/>
      <c r="P383" s="4"/>
      <c r="Q383" s="4"/>
      <c r="R383" s="4"/>
      <c r="S383" s="7"/>
      <c r="T383" s="7"/>
      <c r="U383" s="7"/>
      <c r="V383" s="7"/>
      <c r="W383" s="7"/>
      <c r="X383" s="7"/>
      <c r="Y383" s="7"/>
      <c r="Z383" s="7"/>
    </row>
    <row r="384" ht="15.75" customHeight="1">
      <c r="A384" s="4"/>
      <c r="B384" s="4"/>
      <c r="C384" s="4"/>
      <c r="D384" s="4"/>
      <c r="E384" s="19"/>
      <c r="F384" s="4"/>
      <c r="G384" s="4"/>
      <c r="H384" s="7"/>
      <c r="I384" s="4"/>
      <c r="J384" s="4"/>
      <c r="K384" s="22"/>
      <c r="L384" s="4"/>
      <c r="M384" s="4"/>
      <c r="N384" s="4"/>
      <c r="O384" s="4"/>
      <c r="P384" s="4"/>
      <c r="Q384" s="4"/>
      <c r="R384" s="4"/>
      <c r="S384" s="7"/>
      <c r="T384" s="7"/>
      <c r="U384" s="7"/>
      <c r="V384" s="7"/>
      <c r="W384" s="7"/>
      <c r="X384" s="7"/>
      <c r="Y384" s="7"/>
      <c r="Z384" s="7"/>
    </row>
    <row r="385" ht="15.75" customHeight="1">
      <c r="A385" s="4"/>
      <c r="B385" s="4"/>
      <c r="C385" s="4"/>
      <c r="D385" s="4"/>
      <c r="E385" s="19"/>
      <c r="F385" s="4"/>
      <c r="G385" s="4"/>
      <c r="H385" s="7"/>
      <c r="I385" s="4"/>
      <c r="J385" s="4"/>
      <c r="K385" s="22"/>
      <c r="L385" s="4"/>
      <c r="M385" s="4"/>
      <c r="N385" s="4"/>
      <c r="O385" s="4"/>
      <c r="P385" s="4"/>
      <c r="Q385" s="4"/>
      <c r="R385" s="4"/>
      <c r="S385" s="7"/>
      <c r="T385" s="7"/>
      <c r="U385" s="7"/>
      <c r="V385" s="7"/>
      <c r="W385" s="7"/>
      <c r="X385" s="7"/>
      <c r="Y385" s="7"/>
      <c r="Z385" s="7"/>
    </row>
    <row r="386" ht="15.75" customHeight="1">
      <c r="A386" s="4"/>
      <c r="B386" s="4"/>
      <c r="C386" s="4"/>
      <c r="D386" s="4"/>
      <c r="E386" s="19"/>
      <c r="F386" s="4"/>
      <c r="G386" s="4"/>
      <c r="H386" s="7"/>
      <c r="I386" s="4"/>
      <c r="J386" s="4"/>
      <c r="K386" s="22"/>
      <c r="L386" s="4"/>
      <c r="M386" s="4"/>
      <c r="N386" s="4"/>
      <c r="O386" s="4"/>
      <c r="P386" s="4"/>
      <c r="Q386" s="4"/>
      <c r="R386" s="4"/>
      <c r="S386" s="7"/>
      <c r="T386" s="7"/>
      <c r="U386" s="7"/>
      <c r="V386" s="7"/>
      <c r="W386" s="7"/>
      <c r="X386" s="7"/>
      <c r="Y386" s="7"/>
      <c r="Z386" s="7"/>
    </row>
    <row r="387" ht="15.75" customHeight="1">
      <c r="A387" s="4"/>
      <c r="B387" s="4"/>
      <c r="C387" s="4"/>
      <c r="D387" s="4"/>
      <c r="E387" s="19"/>
      <c r="F387" s="4"/>
      <c r="G387" s="4"/>
      <c r="H387" s="7"/>
      <c r="I387" s="4"/>
      <c r="J387" s="4"/>
      <c r="K387" s="22"/>
      <c r="L387" s="4"/>
      <c r="M387" s="4"/>
      <c r="N387" s="4"/>
      <c r="O387" s="4"/>
      <c r="P387" s="4"/>
      <c r="Q387" s="4"/>
      <c r="R387" s="4"/>
      <c r="S387" s="7"/>
      <c r="T387" s="7"/>
      <c r="U387" s="7"/>
      <c r="V387" s="7"/>
      <c r="W387" s="7"/>
      <c r="X387" s="7"/>
      <c r="Y387" s="7"/>
      <c r="Z387" s="7"/>
    </row>
    <row r="388" ht="15.75" customHeight="1">
      <c r="A388" s="4"/>
      <c r="B388" s="4"/>
      <c r="C388" s="4"/>
      <c r="D388" s="4"/>
      <c r="E388" s="19"/>
      <c r="F388" s="4"/>
      <c r="G388" s="4"/>
      <c r="H388" s="7"/>
      <c r="I388" s="4"/>
      <c r="J388" s="4"/>
      <c r="K388" s="22"/>
      <c r="L388" s="4"/>
      <c r="M388" s="4"/>
      <c r="N388" s="4"/>
      <c r="O388" s="4"/>
      <c r="P388" s="4"/>
      <c r="Q388" s="4"/>
      <c r="R388" s="4"/>
      <c r="S388" s="7"/>
      <c r="T388" s="7"/>
      <c r="U388" s="7"/>
      <c r="V388" s="7"/>
      <c r="W388" s="7"/>
      <c r="X388" s="7"/>
      <c r="Y388" s="7"/>
      <c r="Z388" s="7"/>
    </row>
    <row r="389" ht="15.75" customHeight="1">
      <c r="A389" s="4"/>
      <c r="B389" s="4"/>
      <c r="C389" s="4"/>
      <c r="D389" s="4"/>
      <c r="E389" s="19"/>
      <c r="F389" s="4"/>
      <c r="G389" s="4"/>
      <c r="H389" s="7"/>
      <c r="I389" s="4"/>
      <c r="J389" s="4"/>
      <c r="K389" s="22"/>
      <c r="L389" s="4"/>
      <c r="M389" s="4"/>
      <c r="N389" s="4"/>
      <c r="O389" s="4"/>
      <c r="P389" s="4"/>
      <c r="Q389" s="4"/>
      <c r="R389" s="4"/>
      <c r="S389" s="7"/>
      <c r="T389" s="7"/>
      <c r="U389" s="7"/>
      <c r="V389" s="7"/>
      <c r="W389" s="7"/>
      <c r="X389" s="7"/>
      <c r="Y389" s="7"/>
      <c r="Z389" s="7"/>
    </row>
    <row r="390" ht="15.75" customHeight="1">
      <c r="A390" s="4"/>
      <c r="B390" s="4"/>
      <c r="C390" s="4"/>
      <c r="D390" s="4"/>
      <c r="E390" s="19"/>
      <c r="F390" s="4"/>
      <c r="G390" s="4"/>
      <c r="H390" s="7"/>
      <c r="I390" s="4"/>
      <c r="J390" s="4"/>
      <c r="K390" s="22"/>
      <c r="L390" s="4"/>
      <c r="M390" s="4"/>
      <c r="N390" s="4"/>
      <c r="O390" s="4"/>
      <c r="P390" s="4"/>
      <c r="Q390" s="4"/>
      <c r="R390" s="4"/>
      <c r="S390" s="7"/>
      <c r="T390" s="7"/>
      <c r="U390" s="7"/>
      <c r="V390" s="7"/>
      <c r="W390" s="7"/>
      <c r="X390" s="7"/>
      <c r="Y390" s="7"/>
      <c r="Z390" s="7"/>
    </row>
    <row r="391" ht="15.75" customHeight="1">
      <c r="A391" s="4"/>
      <c r="B391" s="4"/>
      <c r="C391" s="4"/>
      <c r="D391" s="4"/>
      <c r="E391" s="19"/>
      <c r="F391" s="4"/>
      <c r="G391" s="4"/>
      <c r="H391" s="7"/>
      <c r="I391" s="4"/>
      <c r="J391" s="4"/>
      <c r="K391" s="22"/>
      <c r="L391" s="4"/>
      <c r="M391" s="4"/>
      <c r="N391" s="4"/>
      <c r="O391" s="4"/>
      <c r="P391" s="4"/>
      <c r="Q391" s="4"/>
      <c r="R391" s="4"/>
      <c r="S391" s="7"/>
      <c r="T391" s="7"/>
      <c r="U391" s="7"/>
      <c r="V391" s="7"/>
      <c r="W391" s="7"/>
      <c r="X391" s="7"/>
      <c r="Y391" s="7"/>
      <c r="Z391" s="7"/>
    </row>
    <row r="392" ht="15.75" customHeight="1">
      <c r="A392" s="4"/>
      <c r="B392" s="4"/>
      <c r="C392" s="4"/>
      <c r="D392" s="4"/>
      <c r="E392" s="19"/>
      <c r="F392" s="4"/>
      <c r="G392" s="4"/>
      <c r="H392" s="7"/>
      <c r="I392" s="4"/>
      <c r="J392" s="4"/>
      <c r="K392" s="22"/>
      <c r="L392" s="4"/>
      <c r="M392" s="4"/>
      <c r="N392" s="4"/>
      <c r="O392" s="4"/>
      <c r="P392" s="4"/>
      <c r="Q392" s="4"/>
      <c r="R392" s="4"/>
      <c r="S392" s="7"/>
      <c r="T392" s="7"/>
      <c r="U392" s="7"/>
      <c r="V392" s="7"/>
      <c r="W392" s="7"/>
      <c r="X392" s="7"/>
      <c r="Y392" s="7"/>
      <c r="Z392" s="7"/>
    </row>
    <row r="393" ht="15.75" customHeight="1">
      <c r="A393" s="4"/>
      <c r="B393" s="4"/>
      <c r="C393" s="4"/>
      <c r="D393" s="4"/>
      <c r="E393" s="19"/>
      <c r="F393" s="4"/>
      <c r="G393" s="4"/>
      <c r="H393" s="7"/>
      <c r="I393" s="4"/>
      <c r="J393" s="4"/>
      <c r="K393" s="22"/>
      <c r="L393" s="4"/>
      <c r="M393" s="4"/>
      <c r="N393" s="4"/>
      <c r="O393" s="4"/>
      <c r="P393" s="4"/>
      <c r="Q393" s="4"/>
      <c r="R393" s="4"/>
      <c r="S393" s="7"/>
      <c r="T393" s="7"/>
      <c r="U393" s="7"/>
      <c r="V393" s="7"/>
      <c r="W393" s="7"/>
      <c r="X393" s="7"/>
      <c r="Y393" s="7"/>
      <c r="Z393" s="7"/>
    </row>
    <row r="394" ht="15.75" customHeight="1">
      <c r="A394" s="4"/>
      <c r="B394" s="4"/>
      <c r="C394" s="4"/>
      <c r="D394" s="4"/>
      <c r="E394" s="19"/>
      <c r="F394" s="4"/>
      <c r="G394" s="4"/>
      <c r="H394" s="7"/>
      <c r="I394" s="4"/>
      <c r="J394" s="4"/>
      <c r="K394" s="22"/>
      <c r="L394" s="4"/>
      <c r="M394" s="4"/>
      <c r="N394" s="4"/>
      <c r="O394" s="4"/>
      <c r="P394" s="4"/>
      <c r="Q394" s="4"/>
      <c r="R394" s="4"/>
      <c r="S394" s="7"/>
      <c r="T394" s="7"/>
      <c r="U394" s="7"/>
      <c r="V394" s="7"/>
      <c r="W394" s="7"/>
      <c r="X394" s="7"/>
      <c r="Y394" s="7"/>
      <c r="Z394" s="7"/>
    </row>
    <row r="395" ht="15.75" customHeight="1">
      <c r="A395" s="4"/>
      <c r="B395" s="4"/>
      <c r="C395" s="4"/>
      <c r="D395" s="4"/>
      <c r="E395" s="19"/>
      <c r="F395" s="4"/>
      <c r="G395" s="4"/>
      <c r="H395" s="7"/>
      <c r="I395" s="4"/>
      <c r="J395" s="4"/>
      <c r="K395" s="22"/>
      <c r="L395" s="4"/>
      <c r="M395" s="4"/>
      <c r="N395" s="4"/>
      <c r="O395" s="4"/>
      <c r="P395" s="4"/>
      <c r="Q395" s="4"/>
      <c r="R395" s="4"/>
      <c r="S395" s="7"/>
      <c r="T395" s="7"/>
      <c r="U395" s="7"/>
      <c r="V395" s="7"/>
      <c r="W395" s="7"/>
      <c r="X395" s="7"/>
      <c r="Y395" s="7"/>
      <c r="Z395" s="7"/>
    </row>
    <row r="396" ht="15.75" customHeight="1">
      <c r="A396" s="4"/>
      <c r="B396" s="4"/>
      <c r="C396" s="4"/>
      <c r="D396" s="4"/>
      <c r="E396" s="19"/>
      <c r="F396" s="4"/>
      <c r="G396" s="4"/>
      <c r="H396" s="7"/>
      <c r="I396" s="4"/>
      <c r="J396" s="4"/>
      <c r="K396" s="22"/>
      <c r="L396" s="4"/>
      <c r="M396" s="4"/>
      <c r="N396" s="4"/>
      <c r="O396" s="4"/>
      <c r="P396" s="4"/>
      <c r="Q396" s="4"/>
      <c r="R396" s="4"/>
      <c r="S396" s="7"/>
      <c r="T396" s="7"/>
      <c r="U396" s="7"/>
      <c r="V396" s="7"/>
      <c r="W396" s="7"/>
      <c r="X396" s="7"/>
      <c r="Y396" s="7"/>
      <c r="Z396" s="7"/>
    </row>
    <row r="397" ht="15.75" customHeight="1">
      <c r="A397" s="4"/>
      <c r="B397" s="4"/>
      <c r="C397" s="4"/>
      <c r="D397" s="4"/>
      <c r="E397" s="19"/>
      <c r="F397" s="4"/>
      <c r="G397" s="4"/>
      <c r="H397" s="7"/>
      <c r="I397" s="4"/>
      <c r="J397" s="4"/>
      <c r="K397" s="22"/>
      <c r="L397" s="4"/>
      <c r="M397" s="4"/>
      <c r="N397" s="4"/>
      <c r="O397" s="4"/>
      <c r="P397" s="4"/>
      <c r="Q397" s="4"/>
      <c r="R397" s="4"/>
      <c r="S397" s="7"/>
      <c r="T397" s="7"/>
      <c r="U397" s="7"/>
      <c r="V397" s="7"/>
      <c r="W397" s="7"/>
      <c r="X397" s="7"/>
      <c r="Y397" s="7"/>
      <c r="Z397" s="7"/>
    </row>
    <row r="398" ht="15.75" customHeight="1">
      <c r="A398" s="4"/>
      <c r="B398" s="4"/>
      <c r="C398" s="4"/>
      <c r="D398" s="4"/>
      <c r="E398" s="19"/>
      <c r="F398" s="4"/>
      <c r="G398" s="4"/>
      <c r="H398" s="7"/>
      <c r="I398" s="4"/>
      <c r="J398" s="4"/>
      <c r="K398" s="22"/>
      <c r="L398" s="4"/>
      <c r="M398" s="4"/>
      <c r="N398" s="4"/>
      <c r="O398" s="4"/>
      <c r="P398" s="4"/>
      <c r="Q398" s="4"/>
      <c r="R398" s="4"/>
      <c r="S398" s="7"/>
      <c r="T398" s="7"/>
      <c r="U398" s="7"/>
      <c r="V398" s="7"/>
      <c r="W398" s="7"/>
      <c r="X398" s="7"/>
      <c r="Y398" s="7"/>
      <c r="Z398" s="7"/>
    </row>
    <row r="399" ht="15.75" customHeight="1">
      <c r="A399" s="4"/>
      <c r="B399" s="4"/>
      <c r="C399" s="4"/>
      <c r="D399" s="4"/>
      <c r="E399" s="19"/>
      <c r="F399" s="4"/>
      <c r="G399" s="4"/>
      <c r="H399" s="7"/>
      <c r="I399" s="4"/>
      <c r="J399" s="4"/>
      <c r="K399" s="22"/>
      <c r="L399" s="4"/>
      <c r="M399" s="4"/>
      <c r="N399" s="4"/>
      <c r="O399" s="4"/>
      <c r="P399" s="4"/>
      <c r="Q399" s="4"/>
      <c r="R399" s="4"/>
      <c r="S399" s="7"/>
      <c r="T399" s="7"/>
      <c r="U399" s="7"/>
      <c r="V399" s="7"/>
      <c r="W399" s="7"/>
      <c r="X399" s="7"/>
      <c r="Y399" s="7"/>
      <c r="Z399" s="7"/>
    </row>
    <row r="400" ht="15.75" customHeight="1">
      <c r="A400" s="4"/>
      <c r="B400" s="4"/>
      <c r="C400" s="4"/>
      <c r="D400" s="4"/>
      <c r="E400" s="19"/>
      <c r="F400" s="4"/>
      <c r="G400" s="4"/>
      <c r="H400" s="7"/>
      <c r="I400" s="4"/>
      <c r="J400" s="4"/>
      <c r="K400" s="22"/>
      <c r="L400" s="4"/>
      <c r="M400" s="4"/>
      <c r="N400" s="4"/>
      <c r="O400" s="4"/>
      <c r="P400" s="4"/>
      <c r="Q400" s="4"/>
      <c r="R400" s="4"/>
      <c r="S400" s="7"/>
      <c r="T400" s="7"/>
      <c r="U400" s="7"/>
      <c r="V400" s="7"/>
      <c r="W400" s="7"/>
      <c r="X400" s="7"/>
      <c r="Y400" s="7"/>
      <c r="Z400" s="7"/>
    </row>
    <row r="401" ht="15.75" customHeight="1">
      <c r="A401" s="4"/>
      <c r="B401" s="4"/>
      <c r="C401" s="4"/>
      <c r="D401" s="4"/>
      <c r="E401" s="19"/>
      <c r="F401" s="4"/>
      <c r="G401" s="4"/>
      <c r="H401" s="7"/>
      <c r="I401" s="4"/>
      <c r="J401" s="4"/>
      <c r="K401" s="22"/>
      <c r="L401" s="4"/>
      <c r="M401" s="4"/>
      <c r="N401" s="4"/>
      <c r="O401" s="4"/>
      <c r="P401" s="4"/>
      <c r="Q401" s="4"/>
      <c r="R401" s="4"/>
      <c r="S401" s="7"/>
      <c r="T401" s="7"/>
      <c r="U401" s="7"/>
      <c r="V401" s="7"/>
      <c r="W401" s="7"/>
      <c r="X401" s="7"/>
      <c r="Y401" s="7"/>
      <c r="Z401" s="7"/>
    </row>
    <row r="402" ht="15.75" customHeight="1">
      <c r="A402" s="4"/>
      <c r="B402" s="4"/>
      <c r="C402" s="4"/>
      <c r="D402" s="4"/>
      <c r="E402" s="19"/>
      <c r="F402" s="4"/>
      <c r="G402" s="4"/>
      <c r="H402" s="7"/>
      <c r="I402" s="4"/>
      <c r="J402" s="4"/>
      <c r="K402" s="22"/>
      <c r="L402" s="4"/>
      <c r="M402" s="4"/>
      <c r="N402" s="4"/>
      <c r="O402" s="4"/>
      <c r="P402" s="4"/>
      <c r="Q402" s="4"/>
      <c r="R402" s="4"/>
      <c r="S402" s="7"/>
      <c r="T402" s="7"/>
      <c r="U402" s="7"/>
      <c r="V402" s="7"/>
      <c r="W402" s="7"/>
      <c r="X402" s="7"/>
      <c r="Y402" s="7"/>
      <c r="Z402" s="7"/>
    </row>
    <row r="403" ht="15.75" customHeight="1">
      <c r="A403" s="4"/>
      <c r="B403" s="4"/>
      <c r="C403" s="4"/>
      <c r="D403" s="4"/>
      <c r="E403" s="19"/>
      <c r="F403" s="4"/>
      <c r="G403" s="4"/>
      <c r="H403" s="7"/>
      <c r="I403" s="4"/>
      <c r="J403" s="4"/>
      <c r="K403" s="22"/>
      <c r="L403" s="4"/>
      <c r="M403" s="4"/>
      <c r="N403" s="4"/>
      <c r="O403" s="4"/>
      <c r="P403" s="4"/>
      <c r="Q403" s="4"/>
      <c r="R403" s="4"/>
      <c r="S403" s="7"/>
      <c r="T403" s="7"/>
      <c r="U403" s="7"/>
      <c r="V403" s="7"/>
      <c r="W403" s="7"/>
      <c r="X403" s="7"/>
      <c r="Y403" s="7"/>
      <c r="Z403" s="7"/>
    </row>
    <row r="404" ht="15.75" customHeight="1">
      <c r="A404" s="4"/>
      <c r="B404" s="4"/>
      <c r="C404" s="4"/>
      <c r="D404" s="4"/>
      <c r="E404" s="19"/>
      <c r="F404" s="4"/>
      <c r="G404" s="4"/>
      <c r="H404" s="7"/>
      <c r="I404" s="4"/>
      <c r="J404" s="4"/>
      <c r="K404" s="22"/>
      <c r="L404" s="4"/>
      <c r="M404" s="4"/>
      <c r="N404" s="4"/>
      <c r="O404" s="4"/>
      <c r="P404" s="4"/>
      <c r="Q404" s="4"/>
      <c r="R404" s="4"/>
      <c r="S404" s="7"/>
      <c r="T404" s="7"/>
      <c r="U404" s="7"/>
      <c r="V404" s="7"/>
      <c r="W404" s="7"/>
      <c r="X404" s="7"/>
      <c r="Y404" s="7"/>
      <c r="Z404" s="7"/>
    </row>
    <row r="405" ht="15.75" customHeight="1">
      <c r="A405" s="4"/>
      <c r="B405" s="4"/>
      <c r="C405" s="4"/>
      <c r="D405" s="4"/>
      <c r="E405" s="19"/>
      <c r="F405" s="4"/>
      <c r="G405" s="4"/>
      <c r="H405" s="7"/>
      <c r="I405" s="4"/>
      <c r="J405" s="4"/>
      <c r="K405" s="22"/>
      <c r="L405" s="4"/>
      <c r="M405" s="4"/>
      <c r="N405" s="4"/>
      <c r="O405" s="4"/>
      <c r="P405" s="4"/>
      <c r="Q405" s="4"/>
      <c r="R405" s="4"/>
      <c r="S405" s="7"/>
      <c r="T405" s="7"/>
      <c r="U405" s="7"/>
      <c r="V405" s="7"/>
      <c r="W405" s="7"/>
      <c r="X405" s="7"/>
      <c r="Y405" s="7"/>
      <c r="Z405" s="7"/>
    </row>
    <row r="406" ht="15.75" customHeight="1">
      <c r="A406" s="4"/>
      <c r="B406" s="4"/>
      <c r="C406" s="4"/>
      <c r="D406" s="4"/>
      <c r="E406" s="19"/>
      <c r="F406" s="4"/>
      <c r="G406" s="4"/>
      <c r="H406" s="7"/>
      <c r="I406" s="4"/>
      <c r="J406" s="4"/>
      <c r="K406" s="22"/>
      <c r="L406" s="4"/>
      <c r="M406" s="4"/>
      <c r="N406" s="4"/>
      <c r="O406" s="4"/>
      <c r="P406" s="4"/>
      <c r="Q406" s="4"/>
      <c r="R406" s="4"/>
      <c r="S406" s="7"/>
      <c r="T406" s="7"/>
      <c r="U406" s="7"/>
      <c r="V406" s="7"/>
      <c r="W406" s="7"/>
      <c r="X406" s="7"/>
      <c r="Y406" s="7"/>
      <c r="Z406" s="7"/>
    </row>
    <row r="407" ht="15.75" customHeight="1">
      <c r="A407" s="4"/>
      <c r="B407" s="4"/>
      <c r="C407" s="4"/>
      <c r="D407" s="4"/>
      <c r="E407" s="19"/>
      <c r="F407" s="4"/>
      <c r="G407" s="4"/>
      <c r="H407" s="7"/>
      <c r="I407" s="4"/>
      <c r="J407" s="4"/>
      <c r="K407" s="22"/>
      <c r="L407" s="4"/>
      <c r="M407" s="4"/>
      <c r="N407" s="4"/>
      <c r="O407" s="4"/>
      <c r="P407" s="4"/>
      <c r="Q407" s="4"/>
      <c r="R407" s="4"/>
      <c r="S407" s="7"/>
      <c r="T407" s="7"/>
      <c r="U407" s="7"/>
      <c r="V407" s="7"/>
      <c r="W407" s="7"/>
      <c r="X407" s="7"/>
      <c r="Y407" s="7"/>
      <c r="Z407" s="7"/>
    </row>
    <row r="408" ht="15.75" customHeight="1">
      <c r="A408" s="4"/>
      <c r="B408" s="4"/>
      <c r="C408" s="4"/>
      <c r="D408" s="4"/>
      <c r="E408" s="19"/>
      <c r="F408" s="4"/>
      <c r="G408" s="4"/>
      <c r="H408" s="7"/>
      <c r="I408" s="4"/>
      <c r="J408" s="4"/>
      <c r="K408" s="22"/>
      <c r="L408" s="4"/>
      <c r="M408" s="4"/>
      <c r="N408" s="4"/>
      <c r="O408" s="4"/>
      <c r="P408" s="4"/>
      <c r="Q408" s="4"/>
      <c r="R408" s="4"/>
      <c r="S408" s="7"/>
      <c r="T408" s="7"/>
      <c r="U408" s="7"/>
      <c r="V408" s="7"/>
      <c r="W408" s="7"/>
      <c r="X408" s="7"/>
      <c r="Y408" s="7"/>
      <c r="Z408" s="7"/>
    </row>
    <row r="409" ht="15.75" customHeight="1">
      <c r="A409" s="4"/>
      <c r="B409" s="4"/>
      <c r="C409" s="4"/>
      <c r="D409" s="4"/>
      <c r="E409" s="19"/>
      <c r="F409" s="4"/>
      <c r="G409" s="4"/>
      <c r="H409" s="7"/>
      <c r="I409" s="4"/>
      <c r="J409" s="4"/>
      <c r="K409" s="22"/>
      <c r="L409" s="4"/>
      <c r="M409" s="4"/>
      <c r="N409" s="4"/>
      <c r="O409" s="4"/>
      <c r="P409" s="4"/>
      <c r="Q409" s="4"/>
      <c r="R409" s="4"/>
      <c r="S409" s="7"/>
      <c r="T409" s="7"/>
      <c r="U409" s="7"/>
      <c r="V409" s="7"/>
      <c r="W409" s="7"/>
      <c r="X409" s="7"/>
      <c r="Y409" s="7"/>
      <c r="Z409" s="7"/>
    </row>
    <row r="410" ht="15.75" customHeight="1">
      <c r="A410" s="4"/>
      <c r="B410" s="4"/>
      <c r="C410" s="4"/>
      <c r="D410" s="4"/>
      <c r="E410" s="19"/>
      <c r="F410" s="4"/>
      <c r="G410" s="4"/>
      <c r="H410" s="7"/>
      <c r="I410" s="4"/>
      <c r="J410" s="4"/>
      <c r="K410" s="22"/>
      <c r="L410" s="4"/>
      <c r="M410" s="4"/>
      <c r="N410" s="4"/>
      <c r="O410" s="4"/>
      <c r="P410" s="4"/>
      <c r="Q410" s="4"/>
      <c r="R410" s="4"/>
      <c r="S410" s="7"/>
      <c r="T410" s="7"/>
      <c r="U410" s="7"/>
      <c r="V410" s="7"/>
      <c r="W410" s="7"/>
      <c r="X410" s="7"/>
      <c r="Y410" s="7"/>
      <c r="Z410" s="7"/>
    </row>
    <row r="411" ht="15.75" customHeight="1">
      <c r="A411" s="4"/>
      <c r="B411" s="4"/>
      <c r="C411" s="4"/>
      <c r="D411" s="4"/>
      <c r="E411" s="19"/>
      <c r="F411" s="4"/>
      <c r="G411" s="4"/>
      <c r="H411" s="7"/>
      <c r="I411" s="4"/>
      <c r="J411" s="4"/>
      <c r="K411" s="22"/>
      <c r="L411" s="4"/>
      <c r="M411" s="4"/>
      <c r="N411" s="4"/>
      <c r="O411" s="4"/>
      <c r="P411" s="4"/>
      <c r="Q411" s="4"/>
      <c r="R411" s="4"/>
      <c r="S411" s="7"/>
      <c r="T411" s="7"/>
      <c r="U411" s="7"/>
      <c r="V411" s="7"/>
      <c r="W411" s="7"/>
      <c r="X411" s="7"/>
      <c r="Y411" s="7"/>
      <c r="Z411" s="7"/>
    </row>
    <row r="412" ht="15.75" customHeight="1">
      <c r="A412" s="4"/>
      <c r="B412" s="4"/>
      <c r="C412" s="4"/>
      <c r="D412" s="4"/>
      <c r="E412" s="19"/>
      <c r="F412" s="4"/>
      <c r="G412" s="4"/>
      <c r="H412" s="7"/>
      <c r="I412" s="4"/>
      <c r="J412" s="4"/>
      <c r="K412" s="22"/>
      <c r="L412" s="4"/>
      <c r="M412" s="4"/>
      <c r="N412" s="4"/>
      <c r="O412" s="4"/>
      <c r="P412" s="4"/>
      <c r="Q412" s="4"/>
      <c r="R412" s="4"/>
      <c r="S412" s="7"/>
      <c r="T412" s="7"/>
      <c r="U412" s="7"/>
      <c r="V412" s="7"/>
      <c r="W412" s="7"/>
      <c r="X412" s="7"/>
      <c r="Y412" s="7"/>
      <c r="Z412" s="7"/>
    </row>
    <row r="413" ht="15.75" customHeight="1">
      <c r="A413" s="4"/>
      <c r="B413" s="4"/>
      <c r="C413" s="4"/>
      <c r="D413" s="4"/>
      <c r="E413" s="19"/>
      <c r="F413" s="4"/>
      <c r="G413" s="4"/>
      <c r="H413" s="7"/>
      <c r="I413" s="4"/>
      <c r="J413" s="4"/>
      <c r="K413" s="22"/>
      <c r="L413" s="4"/>
      <c r="M413" s="4"/>
      <c r="N413" s="4"/>
      <c r="O413" s="4"/>
      <c r="P413" s="4"/>
      <c r="Q413" s="4"/>
      <c r="R413" s="4"/>
      <c r="S413" s="7"/>
      <c r="T413" s="7"/>
      <c r="U413" s="7"/>
      <c r="V413" s="7"/>
      <c r="W413" s="7"/>
      <c r="X413" s="7"/>
      <c r="Y413" s="7"/>
      <c r="Z413" s="7"/>
    </row>
    <row r="414" ht="15.75" customHeight="1">
      <c r="A414" s="4"/>
      <c r="B414" s="4"/>
      <c r="C414" s="4"/>
      <c r="D414" s="4"/>
      <c r="E414" s="19"/>
      <c r="F414" s="4"/>
      <c r="G414" s="4"/>
      <c r="H414" s="7"/>
      <c r="I414" s="4"/>
      <c r="J414" s="4"/>
      <c r="K414" s="22"/>
      <c r="L414" s="4"/>
      <c r="M414" s="4"/>
      <c r="N414" s="4"/>
      <c r="O414" s="4"/>
      <c r="P414" s="4"/>
      <c r="Q414" s="4"/>
      <c r="R414" s="4"/>
      <c r="S414" s="7"/>
      <c r="T414" s="7"/>
      <c r="U414" s="7"/>
      <c r="V414" s="7"/>
      <c r="W414" s="7"/>
      <c r="X414" s="7"/>
      <c r="Y414" s="7"/>
      <c r="Z414" s="7"/>
    </row>
    <row r="415" ht="15.75" customHeight="1">
      <c r="A415" s="4"/>
      <c r="B415" s="4"/>
      <c r="C415" s="4"/>
      <c r="D415" s="4"/>
      <c r="E415" s="19"/>
      <c r="F415" s="4"/>
      <c r="G415" s="4"/>
      <c r="H415" s="7"/>
      <c r="I415" s="4"/>
      <c r="J415" s="4"/>
      <c r="K415" s="22"/>
      <c r="L415" s="4"/>
      <c r="M415" s="4"/>
      <c r="N415" s="4"/>
      <c r="O415" s="4"/>
      <c r="P415" s="4"/>
      <c r="Q415" s="4"/>
      <c r="R415" s="4"/>
      <c r="S415" s="7"/>
      <c r="T415" s="7"/>
      <c r="U415" s="7"/>
      <c r="V415" s="7"/>
      <c r="W415" s="7"/>
      <c r="X415" s="7"/>
      <c r="Y415" s="7"/>
      <c r="Z415" s="7"/>
    </row>
    <row r="416" ht="15.75" customHeight="1">
      <c r="A416" s="4"/>
      <c r="B416" s="4"/>
      <c r="C416" s="4"/>
      <c r="D416" s="4"/>
      <c r="E416" s="19"/>
      <c r="F416" s="4"/>
      <c r="G416" s="4"/>
      <c r="H416" s="7"/>
      <c r="I416" s="4"/>
      <c r="J416" s="4"/>
      <c r="K416" s="22"/>
      <c r="L416" s="4"/>
      <c r="M416" s="4"/>
      <c r="N416" s="4"/>
      <c r="O416" s="4"/>
      <c r="P416" s="4"/>
      <c r="Q416" s="4"/>
      <c r="R416" s="4"/>
      <c r="S416" s="7"/>
      <c r="T416" s="7"/>
      <c r="U416" s="7"/>
      <c r="V416" s="7"/>
      <c r="W416" s="7"/>
      <c r="X416" s="7"/>
      <c r="Y416" s="7"/>
      <c r="Z416" s="7"/>
    </row>
    <row r="417" ht="15.75" customHeight="1">
      <c r="A417" s="4"/>
      <c r="B417" s="4"/>
      <c r="C417" s="4"/>
      <c r="D417" s="4"/>
      <c r="E417" s="19"/>
      <c r="F417" s="4"/>
      <c r="G417" s="4"/>
      <c r="H417" s="7"/>
      <c r="I417" s="4"/>
      <c r="J417" s="4"/>
      <c r="K417" s="22"/>
      <c r="L417" s="4"/>
      <c r="M417" s="4"/>
      <c r="N417" s="4"/>
      <c r="O417" s="4"/>
      <c r="P417" s="4"/>
      <c r="Q417" s="4"/>
      <c r="R417" s="4"/>
      <c r="S417" s="7"/>
      <c r="T417" s="7"/>
      <c r="U417" s="7"/>
      <c r="V417" s="7"/>
      <c r="W417" s="7"/>
      <c r="X417" s="7"/>
      <c r="Y417" s="7"/>
      <c r="Z417" s="7"/>
    </row>
    <row r="418" ht="15.75" customHeight="1">
      <c r="A418" s="4"/>
      <c r="B418" s="4"/>
      <c r="C418" s="4"/>
      <c r="D418" s="4"/>
      <c r="E418" s="19"/>
      <c r="F418" s="4"/>
      <c r="G418" s="4"/>
      <c r="H418" s="7"/>
      <c r="I418" s="4"/>
      <c r="J418" s="4"/>
      <c r="K418" s="22"/>
      <c r="L418" s="4"/>
      <c r="M418" s="4"/>
      <c r="N418" s="4"/>
      <c r="O418" s="4"/>
      <c r="P418" s="4"/>
      <c r="Q418" s="4"/>
      <c r="R418" s="4"/>
      <c r="S418" s="7"/>
      <c r="T418" s="7"/>
      <c r="U418" s="7"/>
      <c r="V418" s="7"/>
      <c r="W418" s="7"/>
      <c r="X418" s="7"/>
      <c r="Y418" s="7"/>
      <c r="Z418" s="7"/>
    </row>
    <row r="419" ht="15.75" customHeight="1">
      <c r="A419" s="4"/>
      <c r="B419" s="4"/>
      <c r="C419" s="4"/>
      <c r="D419" s="4"/>
      <c r="E419" s="19"/>
      <c r="F419" s="4"/>
      <c r="G419" s="4"/>
      <c r="H419" s="7"/>
      <c r="I419" s="4"/>
      <c r="J419" s="4"/>
      <c r="K419" s="22"/>
      <c r="L419" s="4"/>
      <c r="M419" s="4"/>
      <c r="N419" s="4"/>
      <c r="O419" s="4"/>
      <c r="P419" s="4"/>
      <c r="Q419" s="4"/>
      <c r="R419" s="4"/>
      <c r="S419" s="7"/>
      <c r="T419" s="7"/>
      <c r="U419" s="7"/>
      <c r="V419" s="7"/>
      <c r="W419" s="7"/>
      <c r="X419" s="7"/>
      <c r="Y419" s="7"/>
      <c r="Z419" s="7"/>
    </row>
    <row r="420" ht="15.75" customHeight="1">
      <c r="A420" s="4"/>
      <c r="B420" s="4"/>
      <c r="C420" s="4"/>
      <c r="D420" s="4"/>
      <c r="E420" s="19"/>
      <c r="F420" s="4"/>
      <c r="G420" s="4"/>
      <c r="H420" s="7"/>
      <c r="I420" s="4"/>
      <c r="J420" s="4"/>
      <c r="K420" s="22"/>
      <c r="L420" s="4"/>
      <c r="M420" s="4"/>
      <c r="N420" s="4"/>
      <c r="O420" s="4"/>
      <c r="P420" s="4"/>
      <c r="Q420" s="4"/>
      <c r="R420" s="4"/>
      <c r="S420" s="7"/>
      <c r="T420" s="7"/>
      <c r="U420" s="7"/>
      <c r="V420" s="7"/>
      <c r="W420" s="7"/>
      <c r="X420" s="7"/>
      <c r="Y420" s="7"/>
      <c r="Z420" s="7"/>
    </row>
    <row r="421" ht="15.75" customHeight="1">
      <c r="A421" s="4"/>
      <c r="B421" s="4"/>
      <c r="C421" s="4"/>
      <c r="D421" s="4"/>
      <c r="E421" s="19"/>
      <c r="F421" s="4"/>
      <c r="G421" s="4"/>
      <c r="H421" s="7"/>
      <c r="I421" s="4"/>
      <c r="J421" s="4"/>
      <c r="K421" s="22"/>
      <c r="L421" s="4"/>
      <c r="M421" s="4"/>
      <c r="N421" s="4"/>
      <c r="O421" s="4"/>
      <c r="P421" s="4"/>
      <c r="Q421" s="4"/>
      <c r="R421" s="4"/>
      <c r="S421" s="7"/>
      <c r="T421" s="7"/>
      <c r="U421" s="7"/>
      <c r="V421" s="7"/>
      <c r="W421" s="7"/>
      <c r="X421" s="7"/>
      <c r="Y421" s="7"/>
      <c r="Z421" s="7"/>
    </row>
    <row r="422" ht="15.75" customHeight="1">
      <c r="A422" s="4"/>
      <c r="B422" s="4"/>
      <c r="C422" s="4"/>
      <c r="D422" s="4"/>
      <c r="E422" s="19"/>
      <c r="F422" s="4"/>
      <c r="G422" s="4"/>
      <c r="H422" s="7"/>
      <c r="I422" s="4"/>
      <c r="J422" s="4"/>
      <c r="K422" s="22"/>
      <c r="L422" s="4"/>
      <c r="M422" s="4"/>
      <c r="N422" s="4"/>
      <c r="O422" s="4"/>
      <c r="P422" s="4"/>
      <c r="Q422" s="4"/>
      <c r="R422" s="4"/>
      <c r="S422" s="7"/>
      <c r="T422" s="7"/>
      <c r="U422" s="7"/>
      <c r="V422" s="7"/>
      <c r="W422" s="7"/>
      <c r="X422" s="7"/>
      <c r="Y422" s="7"/>
      <c r="Z422" s="7"/>
    </row>
    <row r="423" ht="15.75" customHeight="1">
      <c r="A423" s="4"/>
      <c r="B423" s="4"/>
      <c r="C423" s="4"/>
      <c r="D423" s="4"/>
      <c r="E423" s="19"/>
      <c r="F423" s="4"/>
      <c r="G423" s="4"/>
      <c r="H423" s="7"/>
      <c r="I423" s="4"/>
      <c r="J423" s="4"/>
      <c r="K423" s="22"/>
      <c r="L423" s="4"/>
      <c r="M423" s="4"/>
      <c r="N423" s="4"/>
      <c r="O423" s="4"/>
      <c r="P423" s="4"/>
      <c r="Q423" s="4"/>
      <c r="R423" s="4"/>
      <c r="S423" s="7"/>
      <c r="T423" s="7"/>
      <c r="U423" s="7"/>
      <c r="V423" s="7"/>
      <c r="W423" s="7"/>
      <c r="X423" s="7"/>
      <c r="Y423" s="7"/>
      <c r="Z423" s="7"/>
    </row>
    <row r="424" ht="15.75" customHeight="1">
      <c r="A424" s="4"/>
      <c r="B424" s="4"/>
      <c r="C424" s="4"/>
      <c r="D424" s="4"/>
      <c r="E424" s="19"/>
      <c r="F424" s="4"/>
      <c r="G424" s="4"/>
      <c r="H424" s="7"/>
      <c r="I424" s="4"/>
      <c r="J424" s="4"/>
      <c r="K424" s="22"/>
      <c r="L424" s="4"/>
      <c r="M424" s="4"/>
      <c r="N424" s="4"/>
      <c r="O424" s="4"/>
      <c r="P424" s="4"/>
      <c r="Q424" s="4"/>
      <c r="R424" s="4"/>
      <c r="S424" s="7"/>
      <c r="T424" s="7"/>
      <c r="U424" s="7"/>
      <c r="V424" s="7"/>
      <c r="W424" s="7"/>
      <c r="X424" s="7"/>
      <c r="Y424" s="7"/>
      <c r="Z424" s="7"/>
    </row>
    <row r="425" ht="15.75" customHeight="1">
      <c r="A425" s="4"/>
      <c r="B425" s="4"/>
      <c r="C425" s="4"/>
      <c r="D425" s="4"/>
      <c r="E425" s="19"/>
      <c r="F425" s="4"/>
      <c r="G425" s="4"/>
      <c r="H425" s="7"/>
      <c r="I425" s="4"/>
      <c r="J425" s="4"/>
      <c r="K425" s="22"/>
      <c r="L425" s="4"/>
      <c r="M425" s="4"/>
      <c r="N425" s="4"/>
      <c r="O425" s="4"/>
      <c r="P425" s="4"/>
      <c r="Q425" s="4"/>
      <c r="R425" s="4"/>
      <c r="S425" s="7"/>
      <c r="T425" s="7"/>
      <c r="U425" s="7"/>
      <c r="V425" s="7"/>
      <c r="W425" s="7"/>
      <c r="X425" s="7"/>
      <c r="Y425" s="7"/>
      <c r="Z425" s="7"/>
    </row>
    <row r="426" ht="15.75" customHeight="1">
      <c r="A426" s="4"/>
      <c r="B426" s="4"/>
      <c r="C426" s="4"/>
      <c r="D426" s="4"/>
      <c r="E426" s="19"/>
      <c r="F426" s="4"/>
      <c r="G426" s="4"/>
      <c r="H426" s="7"/>
      <c r="I426" s="4"/>
      <c r="J426" s="4"/>
      <c r="K426" s="22"/>
      <c r="L426" s="4"/>
      <c r="M426" s="4"/>
      <c r="N426" s="4"/>
      <c r="O426" s="4"/>
      <c r="P426" s="4"/>
      <c r="Q426" s="4"/>
      <c r="R426" s="4"/>
      <c r="S426" s="7"/>
      <c r="T426" s="7"/>
      <c r="U426" s="7"/>
      <c r="V426" s="7"/>
      <c r="W426" s="7"/>
      <c r="X426" s="7"/>
      <c r="Y426" s="7"/>
      <c r="Z426" s="7"/>
    </row>
    <row r="427" ht="15.75" customHeight="1">
      <c r="A427" s="4"/>
      <c r="B427" s="4"/>
      <c r="C427" s="4"/>
      <c r="D427" s="4"/>
      <c r="E427" s="19"/>
      <c r="F427" s="4"/>
      <c r="G427" s="4"/>
      <c r="H427" s="7"/>
      <c r="I427" s="4"/>
      <c r="J427" s="4"/>
      <c r="K427" s="22"/>
      <c r="L427" s="4"/>
      <c r="M427" s="4"/>
      <c r="N427" s="4"/>
      <c r="O427" s="4"/>
      <c r="P427" s="4"/>
      <c r="Q427" s="4"/>
      <c r="R427" s="4"/>
      <c r="S427" s="7"/>
      <c r="T427" s="7"/>
      <c r="U427" s="7"/>
      <c r="V427" s="7"/>
      <c r="W427" s="7"/>
      <c r="X427" s="7"/>
      <c r="Y427" s="7"/>
      <c r="Z427" s="7"/>
    </row>
    <row r="428" ht="15.75" customHeight="1">
      <c r="A428" s="4"/>
      <c r="B428" s="4"/>
      <c r="C428" s="4"/>
      <c r="D428" s="4"/>
      <c r="E428" s="19"/>
      <c r="F428" s="4"/>
      <c r="G428" s="4"/>
      <c r="H428" s="7"/>
      <c r="I428" s="4"/>
      <c r="J428" s="4"/>
      <c r="K428" s="22"/>
      <c r="L428" s="4"/>
      <c r="M428" s="4"/>
      <c r="N428" s="4"/>
      <c r="O428" s="4"/>
      <c r="P428" s="4"/>
      <c r="Q428" s="4"/>
      <c r="R428" s="4"/>
      <c r="S428" s="7"/>
      <c r="T428" s="7"/>
      <c r="U428" s="7"/>
      <c r="V428" s="7"/>
      <c r="W428" s="7"/>
      <c r="X428" s="7"/>
      <c r="Y428" s="7"/>
      <c r="Z428" s="7"/>
    </row>
    <row r="429" ht="15.75" customHeight="1">
      <c r="A429" s="4"/>
      <c r="B429" s="4"/>
      <c r="C429" s="4"/>
      <c r="D429" s="4"/>
      <c r="E429" s="19"/>
      <c r="F429" s="4"/>
      <c r="G429" s="4"/>
      <c r="H429" s="7"/>
      <c r="I429" s="4"/>
      <c r="J429" s="4"/>
      <c r="K429" s="22"/>
      <c r="L429" s="4"/>
      <c r="M429" s="4"/>
      <c r="N429" s="4"/>
      <c r="O429" s="4"/>
      <c r="P429" s="4"/>
      <c r="Q429" s="4"/>
      <c r="R429" s="4"/>
      <c r="S429" s="7"/>
      <c r="T429" s="7"/>
      <c r="U429" s="7"/>
      <c r="V429" s="7"/>
      <c r="W429" s="7"/>
      <c r="X429" s="7"/>
      <c r="Y429" s="7"/>
      <c r="Z429" s="7"/>
    </row>
    <row r="430" ht="15.75" customHeight="1">
      <c r="A430" s="4"/>
      <c r="B430" s="4"/>
      <c r="C430" s="4"/>
      <c r="D430" s="4"/>
      <c r="E430" s="19"/>
      <c r="F430" s="4"/>
      <c r="G430" s="4"/>
      <c r="H430" s="7"/>
      <c r="I430" s="4"/>
      <c r="J430" s="4"/>
      <c r="K430" s="22"/>
      <c r="L430" s="4"/>
      <c r="M430" s="4"/>
      <c r="N430" s="4"/>
      <c r="O430" s="4"/>
      <c r="P430" s="4"/>
      <c r="Q430" s="4"/>
      <c r="R430" s="4"/>
      <c r="S430" s="7"/>
      <c r="T430" s="7"/>
      <c r="U430" s="7"/>
      <c r="V430" s="7"/>
      <c r="W430" s="7"/>
      <c r="X430" s="7"/>
      <c r="Y430" s="7"/>
      <c r="Z430" s="7"/>
    </row>
    <row r="431" ht="15.75" customHeight="1">
      <c r="A431" s="4"/>
      <c r="B431" s="4"/>
      <c r="C431" s="4"/>
      <c r="D431" s="4"/>
      <c r="E431" s="19"/>
      <c r="F431" s="4"/>
      <c r="G431" s="4"/>
      <c r="H431" s="7"/>
      <c r="I431" s="4"/>
      <c r="J431" s="4"/>
      <c r="K431" s="22"/>
      <c r="L431" s="4"/>
      <c r="M431" s="4"/>
      <c r="N431" s="4"/>
      <c r="O431" s="4"/>
      <c r="P431" s="4"/>
      <c r="Q431" s="4"/>
      <c r="R431" s="4"/>
      <c r="S431" s="7"/>
      <c r="T431" s="7"/>
      <c r="U431" s="7"/>
      <c r="V431" s="7"/>
      <c r="W431" s="7"/>
      <c r="X431" s="7"/>
      <c r="Y431" s="7"/>
      <c r="Z431" s="7"/>
    </row>
    <row r="432" ht="15.75" customHeight="1">
      <c r="A432" s="4"/>
      <c r="B432" s="4"/>
      <c r="C432" s="4"/>
      <c r="D432" s="4"/>
      <c r="E432" s="19"/>
      <c r="F432" s="4"/>
      <c r="G432" s="4"/>
      <c r="H432" s="7"/>
      <c r="I432" s="4"/>
      <c r="J432" s="4"/>
      <c r="K432" s="22"/>
      <c r="L432" s="4"/>
      <c r="M432" s="4"/>
      <c r="N432" s="4"/>
      <c r="O432" s="4"/>
      <c r="P432" s="4"/>
      <c r="Q432" s="4"/>
      <c r="R432" s="4"/>
      <c r="S432" s="7"/>
      <c r="T432" s="7"/>
      <c r="U432" s="7"/>
      <c r="V432" s="7"/>
      <c r="W432" s="7"/>
      <c r="X432" s="7"/>
      <c r="Y432" s="7"/>
      <c r="Z432" s="7"/>
    </row>
    <row r="433" ht="15.75" customHeight="1">
      <c r="A433" s="4"/>
      <c r="B433" s="4"/>
      <c r="C433" s="4"/>
      <c r="D433" s="4"/>
      <c r="E433" s="19"/>
      <c r="F433" s="4"/>
      <c r="G433" s="4"/>
      <c r="H433" s="7"/>
      <c r="I433" s="4"/>
      <c r="J433" s="4"/>
      <c r="K433" s="22"/>
      <c r="L433" s="4"/>
      <c r="M433" s="4"/>
      <c r="N433" s="4"/>
      <c r="O433" s="4"/>
      <c r="P433" s="4"/>
      <c r="Q433" s="4"/>
      <c r="R433" s="4"/>
      <c r="S433" s="7"/>
      <c r="T433" s="7"/>
      <c r="U433" s="7"/>
      <c r="V433" s="7"/>
      <c r="W433" s="7"/>
      <c r="X433" s="7"/>
      <c r="Y433" s="7"/>
      <c r="Z433" s="7"/>
    </row>
    <row r="434" ht="15.75" customHeight="1">
      <c r="A434" s="4"/>
      <c r="B434" s="4"/>
      <c r="C434" s="4"/>
      <c r="D434" s="4"/>
      <c r="E434" s="19"/>
      <c r="F434" s="4"/>
      <c r="G434" s="4"/>
      <c r="H434" s="7"/>
      <c r="I434" s="4"/>
      <c r="J434" s="4"/>
      <c r="K434" s="22"/>
      <c r="L434" s="4"/>
      <c r="M434" s="4"/>
      <c r="N434" s="4"/>
      <c r="O434" s="4"/>
      <c r="P434" s="4"/>
      <c r="Q434" s="4"/>
      <c r="R434" s="4"/>
      <c r="S434" s="7"/>
      <c r="T434" s="7"/>
      <c r="U434" s="7"/>
      <c r="V434" s="7"/>
      <c r="W434" s="7"/>
      <c r="X434" s="7"/>
      <c r="Y434" s="7"/>
      <c r="Z434" s="7"/>
    </row>
    <row r="435" ht="15.75" customHeight="1">
      <c r="A435" s="4"/>
      <c r="B435" s="4"/>
      <c r="C435" s="4"/>
      <c r="D435" s="4"/>
      <c r="E435" s="19"/>
      <c r="F435" s="4"/>
      <c r="G435" s="4"/>
      <c r="H435" s="7"/>
      <c r="I435" s="4"/>
      <c r="J435" s="4"/>
      <c r="K435" s="22"/>
      <c r="L435" s="4"/>
      <c r="M435" s="4"/>
      <c r="N435" s="4"/>
      <c r="O435" s="4"/>
      <c r="P435" s="4"/>
      <c r="Q435" s="4"/>
      <c r="R435" s="4"/>
      <c r="S435" s="7"/>
      <c r="T435" s="7"/>
      <c r="U435" s="7"/>
      <c r="V435" s="7"/>
      <c r="W435" s="7"/>
      <c r="X435" s="7"/>
      <c r="Y435" s="7"/>
      <c r="Z435" s="7"/>
    </row>
    <row r="436" ht="15.75" customHeight="1">
      <c r="A436" s="4"/>
      <c r="B436" s="4"/>
      <c r="C436" s="4"/>
      <c r="D436" s="4"/>
      <c r="E436" s="19"/>
      <c r="F436" s="4"/>
      <c r="G436" s="4"/>
      <c r="H436" s="7"/>
      <c r="I436" s="4"/>
      <c r="J436" s="4"/>
      <c r="K436" s="22"/>
      <c r="L436" s="4"/>
      <c r="M436" s="4"/>
      <c r="N436" s="4"/>
      <c r="O436" s="4"/>
      <c r="P436" s="4"/>
      <c r="Q436" s="4"/>
      <c r="R436" s="4"/>
      <c r="S436" s="7"/>
      <c r="T436" s="7"/>
      <c r="U436" s="7"/>
      <c r="V436" s="7"/>
      <c r="W436" s="7"/>
      <c r="X436" s="7"/>
      <c r="Y436" s="7"/>
      <c r="Z436" s="7"/>
    </row>
    <row r="437" ht="15.75" customHeight="1">
      <c r="A437" s="4"/>
      <c r="B437" s="4"/>
      <c r="C437" s="4"/>
      <c r="D437" s="4"/>
      <c r="E437" s="19"/>
      <c r="F437" s="4"/>
      <c r="G437" s="4"/>
      <c r="H437" s="7"/>
      <c r="I437" s="4"/>
      <c r="J437" s="4"/>
      <c r="K437" s="22"/>
      <c r="L437" s="4"/>
      <c r="M437" s="4"/>
      <c r="N437" s="4"/>
      <c r="O437" s="4"/>
      <c r="P437" s="4"/>
      <c r="Q437" s="4"/>
      <c r="R437" s="4"/>
      <c r="S437" s="7"/>
      <c r="T437" s="7"/>
      <c r="U437" s="7"/>
      <c r="V437" s="7"/>
      <c r="W437" s="7"/>
      <c r="X437" s="7"/>
      <c r="Y437" s="7"/>
      <c r="Z437" s="7"/>
    </row>
    <row r="438" ht="15.75" customHeight="1">
      <c r="A438" s="4"/>
      <c r="B438" s="4"/>
      <c r="C438" s="4"/>
      <c r="D438" s="4"/>
      <c r="E438" s="19"/>
      <c r="F438" s="4"/>
      <c r="G438" s="4"/>
      <c r="H438" s="7"/>
      <c r="I438" s="4"/>
      <c r="J438" s="4"/>
      <c r="K438" s="22"/>
      <c r="L438" s="4"/>
      <c r="M438" s="4"/>
      <c r="N438" s="4"/>
      <c r="O438" s="4"/>
      <c r="P438" s="4"/>
      <c r="Q438" s="4"/>
      <c r="R438" s="4"/>
      <c r="S438" s="7"/>
      <c r="T438" s="7"/>
      <c r="U438" s="7"/>
      <c r="V438" s="7"/>
      <c r="W438" s="7"/>
      <c r="X438" s="7"/>
      <c r="Y438" s="7"/>
      <c r="Z438" s="7"/>
    </row>
    <row r="439" ht="15.75" customHeight="1">
      <c r="A439" s="4"/>
      <c r="B439" s="4"/>
      <c r="C439" s="4"/>
      <c r="D439" s="4"/>
      <c r="E439" s="19"/>
      <c r="F439" s="4"/>
      <c r="G439" s="4"/>
      <c r="H439" s="7"/>
      <c r="I439" s="4"/>
      <c r="J439" s="4"/>
      <c r="K439" s="22"/>
      <c r="L439" s="4"/>
      <c r="M439" s="4"/>
      <c r="N439" s="4"/>
      <c r="O439" s="4"/>
      <c r="P439" s="4"/>
      <c r="Q439" s="4"/>
      <c r="R439" s="4"/>
      <c r="S439" s="7"/>
      <c r="T439" s="7"/>
      <c r="U439" s="7"/>
      <c r="V439" s="7"/>
      <c r="W439" s="7"/>
      <c r="X439" s="7"/>
      <c r="Y439" s="7"/>
      <c r="Z439" s="7"/>
    </row>
    <row r="440" ht="15.75" customHeight="1">
      <c r="A440" s="4"/>
      <c r="B440" s="4"/>
      <c r="C440" s="4"/>
      <c r="D440" s="4"/>
      <c r="E440" s="19"/>
      <c r="F440" s="4"/>
      <c r="G440" s="4"/>
      <c r="H440" s="7"/>
      <c r="I440" s="4"/>
      <c r="J440" s="4"/>
      <c r="K440" s="22"/>
      <c r="L440" s="4"/>
      <c r="M440" s="4"/>
      <c r="N440" s="4"/>
      <c r="O440" s="4"/>
      <c r="P440" s="4"/>
      <c r="Q440" s="4"/>
      <c r="R440" s="4"/>
      <c r="S440" s="7"/>
      <c r="T440" s="7"/>
      <c r="U440" s="7"/>
      <c r="V440" s="7"/>
      <c r="W440" s="7"/>
      <c r="X440" s="7"/>
      <c r="Y440" s="7"/>
      <c r="Z440" s="7"/>
    </row>
    <row r="441" ht="15.75" customHeight="1">
      <c r="A441" s="4"/>
      <c r="B441" s="4"/>
      <c r="C441" s="4"/>
      <c r="D441" s="4"/>
      <c r="E441" s="19"/>
      <c r="F441" s="4"/>
      <c r="G441" s="4"/>
      <c r="H441" s="7"/>
      <c r="I441" s="4"/>
      <c r="J441" s="4"/>
      <c r="K441" s="22"/>
      <c r="L441" s="4"/>
      <c r="M441" s="4"/>
      <c r="N441" s="4"/>
      <c r="O441" s="4"/>
      <c r="P441" s="4"/>
      <c r="Q441" s="4"/>
      <c r="R441" s="4"/>
      <c r="S441" s="7"/>
      <c r="T441" s="7"/>
      <c r="U441" s="7"/>
      <c r="V441" s="7"/>
      <c r="W441" s="7"/>
      <c r="X441" s="7"/>
      <c r="Y441" s="7"/>
      <c r="Z441" s="7"/>
    </row>
    <row r="442" ht="15.75" customHeight="1">
      <c r="A442" s="4"/>
      <c r="B442" s="4"/>
      <c r="C442" s="4"/>
      <c r="D442" s="4"/>
      <c r="E442" s="19"/>
      <c r="F442" s="4"/>
      <c r="G442" s="4"/>
      <c r="H442" s="7"/>
      <c r="I442" s="4"/>
      <c r="J442" s="4"/>
      <c r="K442" s="22"/>
      <c r="L442" s="4"/>
      <c r="M442" s="4"/>
      <c r="N442" s="4"/>
      <c r="O442" s="4"/>
      <c r="P442" s="4"/>
      <c r="Q442" s="4"/>
      <c r="R442" s="4"/>
      <c r="S442" s="7"/>
      <c r="T442" s="7"/>
      <c r="U442" s="7"/>
      <c r="V442" s="7"/>
      <c r="W442" s="7"/>
      <c r="X442" s="7"/>
      <c r="Y442" s="7"/>
      <c r="Z442" s="7"/>
    </row>
    <row r="443" ht="15.75" customHeight="1">
      <c r="A443" s="4"/>
      <c r="B443" s="4"/>
      <c r="C443" s="4"/>
      <c r="D443" s="4"/>
      <c r="E443" s="19"/>
      <c r="F443" s="4"/>
      <c r="G443" s="4"/>
      <c r="H443" s="7"/>
      <c r="I443" s="4"/>
      <c r="J443" s="4"/>
      <c r="K443" s="22"/>
      <c r="L443" s="4"/>
      <c r="M443" s="4"/>
      <c r="N443" s="4"/>
      <c r="O443" s="4"/>
      <c r="P443" s="4"/>
      <c r="Q443" s="4"/>
      <c r="R443" s="4"/>
      <c r="S443" s="7"/>
      <c r="T443" s="7"/>
      <c r="U443" s="7"/>
      <c r="V443" s="7"/>
      <c r="W443" s="7"/>
      <c r="X443" s="7"/>
      <c r="Y443" s="7"/>
      <c r="Z443" s="7"/>
    </row>
    <row r="444" ht="15.75" customHeight="1">
      <c r="A444" s="4"/>
      <c r="B444" s="4"/>
      <c r="C444" s="4"/>
      <c r="D444" s="4"/>
      <c r="E444" s="19"/>
      <c r="F444" s="4"/>
      <c r="G444" s="4"/>
      <c r="H444" s="7"/>
      <c r="I444" s="4"/>
      <c r="J444" s="4"/>
      <c r="K444" s="22"/>
      <c r="L444" s="4"/>
      <c r="M444" s="4"/>
      <c r="N444" s="4"/>
      <c r="O444" s="4"/>
      <c r="P444" s="4"/>
      <c r="Q444" s="4"/>
      <c r="R444" s="4"/>
      <c r="S444" s="7"/>
      <c r="T444" s="7"/>
      <c r="U444" s="7"/>
      <c r="V444" s="7"/>
      <c r="W444" s="7"/>
      <c r="X444" s="7"/>
      <c r="Y444" s="7"/>
      <c r="Z444" s="7"/>
    </row>
    <row r="445" ht="15.75" customHeight="1">
      <c r="A445" s="4"/>
      <c r="B445" s="4"/>
      <c r="C445" s="4"/>
      <c r="D445" s="4"/>
      <c r="E445" s="19"/>
      <c r="F445" s="4"/>
      <c r="G445" s="4"/>
      <c r="H445" s="7"/>
      <c r="I445" s="4"/>
      <c r="J445" s="4"/>
      <c r="K445" s="22"/>
      <c r="L445" s="4"/>
      <c r="M445" s="4"/>
      <c r="N445" s="4"/>
      <c r="O445" s="4"/>
      <c r="P445" s="4"/>
      <c r="Q445" s="4"/>
      <c r="R445" s="4"/>
      <c r="S445" s="7"/>
      <c r="T445" s="7"/>
      <c r="U445" s="7"/>
      <c r="V445" s="7"/>
      <c r="W445" s="7"/>
      <c r="X445" s="7"/>
      <c r="Y445" s="7"/>
      <c r="Z445" s="7"/>
    </row>
    <row r="446" ht="15.75" customHeight="1">
      <c r="A446" s="4"/>
      <c r="B446" s="4"/>
      <c r="C446" s="4"/>
      <c r="D446" s="4"/>
      <c r="E446" s="19"/>
      <c r="F446" s="4"/>
      <c r="G446" s="4"/>
      <c r="H446" s="7"/>
      <c r="I446" s="4"/>
      <c r="J446" s="4"/>
      <c r="K446" s="22"/>
      <c r="L446" s="4"/>
      <c r="M446" s="4"/>
      <c r="N446" s="4"/>
      <c r="O446" s="4"/>
      <c r="P446" s="4"/>
      <c r="Q446" s="4"/>
      <c r="R446" s="4"/>
      <c r="S446" s="7"/>
      <c r="T446" s="7"/>
      <c r="U446" s="7"/>
      <c r="V446" s="7"/>
      <c r="W446" s="7"/>
      <c r="X446" s="7"/>
      <c r="Y446" s="7"/>
      <c r="Z446" s="7"/>
    </row>
    <row r="447" ht="15.75" customHeight="1">
      <c r="A447" s="4"/>
      <c r="B447" s="4"/>
      <c r="C447" s="4"/>
      <c r="D447" s="4"/>
      <c r="E447" s="19"/>
      <c r="F447" s="4"/>
      <c r="G447" s="4"/>
      <c r="H447" s="7"/>
      <c r="I447" s="4"/>
      <c r="J447" s="4"/>
      <c r="K447" s="22"/>
      <c r="L447" s="4"/>
      <c r="M447" s="4"/>
      <c r="N447" s="4"/>
      <c r="O447" s="4"/>
      <c r="P447" s="4"/>
      <c r="Q447" s="4"/>
      <c r="R447" s="4"/>
      <c r="S447" s="7"/>
      <c r="T447" s="7"/>
      <c r="U447" s="7"/>
      <c r="V447" s="7"/>
      <c r="W447" s="7"/>
      <c r="X447" s="7"/>
      <c r="Y447" s="7"/>
      <c r="Z447" s="7"/>
    </row>
    <row r="448" ht="15.75" customHeight="1">
      <c r="A448" s="4"/>
      <c r="B448" s="4"/>
      <c r="C448" s="4"/>
      <c r="D448" s="4"/>
      <c r="E448" s="19"/>
      <c r="F448" s="4"/>
      <c r="G448" s="4"/>
      <c r="H448" s="7"/>
      <c r="I448" s="4"/>
      <c r="J448" s="4"/>
      <c r="K448" s="22"/>
      <c r="L448" s="4"/>
      <c r="M448" s="4"/>
      <c r="N448" s="4"/>
      <c r="O448" s="4"/>
      <c r="P448" s="4"/>
      <c r="Q448" s="4"/>
      <c r="R448" s="4"/>
      <c r="S448" s="7"/>
      <c r="T448" s="7"/>
      <c r="U448" s="7"/>
      <c r="V448" s="7"/>
      <c r="W448" s="7"/>
      <c r="X448" s="7"/>
      <c r="Y448" s="7"/>
      <c r="Z448" s="7"/>
    </row>
    <row r="449" ht="15.75" customHeight="1">
      <c r="A449" s="4"/>
      <c r="B449" s="4"/>
      <c r="C449" s="4"/>
      <c r="D449" s="4"/>
      <c r="E449" s="19"/>
      <c r="F449" s="4"/>
      <c r="G449" s="4"/>
      <c r="H449" s="7"/>
      <c r="I449" s="4"/>
      <c r="J449" s="4"/>
      <c r="K449" s="22"/>
      <c r="L449" s="4"/>
      <c r="M449" s="4"/>
      <c r="N449" s="4"/>
      <c r="O449" s="4"/>
      <c r="P449" s="4"/>
      <c r="Q449" s="4"/>
      <c r="R449" s="4"/>
      <c r="S449" s="7"/>
      <c r="T449" s="7"/>
      <c r="U449" s="7"/>
      <c r="V449" s="7"/>
      <c r="W449" s="7"/>
      <c r="X449" s="7"/>
      <c r="Y449" s="7"/>
      <c r="Z449" s="7"/>
    </row>
    <row r="450" ht="15.75" customHeight="1">
      <c r="A450" s="4"/>
      <c r="B450" s="4"/>
      <c r="C450" s="4"/>
      <c r="D450" s="4"/>
      <c r="E450" s="19"/>
      <c r="F450" s="4"/>
      <c r="G450" s="4"/>
      <c r="H450" s="7"/>
      <c r="I450" s="4"/>
      <c r="J450" s="4"/>
      <c r="K450" s="22"/>
      <c r="L450" s="4"/>
      <c r="M450" s="4"/>
      <c r="N450" s="4"/>
      <c r="O450" s="4"/>
      <c r="P450" s="4"/>
      <c r="Q450" s="4"/>
      <c r="R450" s="4"/>
      <c r="S450" s="7"/>
      <c r="T450" s="7"/>
      <c r="U450" s="7"/>
      <c r="V450" s="7"/>
      <c r="W450" s="7"/>
      <c r="X450" s="7"/>
      <c r="Y450" s="7"/>
      <c r="Z450" s="7"/>
    </row>
    <row r="451" ht="15.75" customHeight="1">
      <c r="A451" s="4"/>
      <c r="B451" s="4"/>
      <c r="C451" s="4"/>
      <c r="D451" s="4"/>
      <c r="E451" s="19"/>
      <c r="F451" s="4"/>
      <c r="G451" s="4"/>
      <c r="H451" s="7"/>
      <c r="I451" s="4"/>
      <c r="J451" s="4"/>
      <c r="K451" s="22"/>
      <c r="L451" s="4"/>
      <c r="M451" s="4"/>
      <c r="N451" s="4"/>
      <c r="O451" s="4"/>
      <c r="P451" s="4"/>
      <c r="Q451" s="4"/>
      <c r="R451" s="4"/>
      <c r="S451" s="7"/>
      <c r="T451" s="7"/>
      <c r="U451" s="7"/>
      <c r="V451" s="7"/>
      <c r="W451" s="7"/>
      <c r="X451" s="7"/>
      <c r="Y451" s="7"/>
      <c r="Z451" s="7"/>
    </row>
    <row r="452" ht="15.75" customHeight="1">
      <c r="A452" s="4"/>
      <c r="B452" s="4"/>
      <c r="C452" s="4"/>
      <c r="D452" s="4"/>
      <c r="E452" s="19"/>
      <c r="F452" s="4"/>
      <c r="G452" s="4"/>
      <c r="H452" s="7"/>
      <c r="I452" s="4"/>
      <c r="J452" s="4"/>
      <c r="K452" s="22"/>
      <c r="L452" s="4"/>
      <c r="M452" s="4"/>
      <c r="N452" s="4"/>
      <c r="O452" s="4"/>
      <c r="P452" s="4"/>
      <c r="Q452" s="4"/>
      <c r="R452" s="4"/>
      <c r="S452" s="7"/>
      <c r="T452" s="7"/>
      <c r="U452" s="7"/>
      <c r="V452" s="7"/>
      <c r="W452" s="7"/>
      <c r="X452" s="7"/>
      <c r="Y452" s="7"/>
      <c r="Z452" s="7"/>
    </row>
    <row r="453" ht="15.75" customHeight="1">
      <c r="A453" s="4"/>
      <c r="B453" s="4"/>
      <c r="C453" s="4"/>
      <c r="D453" s="4"/>
      <c r="E453" s="19"/>
      <c r="F453" s="4"/>
      <c r="G453" s="4"/>
      <c r="H453" s="7"/>
      <c r="I453" s="4"/>
      <c r="J453" s="4"/>
      <c r="K453" s="22"/>
      <c r="L453" s="4"/>
      <c r="M453" s="4"/>
      <c r="N453" s="4"/>
      <c r="O453" s="4"/>
      <c r="P453" s="4"/>
      <c r="Q453" s="4"/>
      <c r="R453" s="4"/>
      <c r="S453" s="7"/>
      <c r="T453" s="7"/>
      <c r="U453" s="7"/>
      <c r="V453" s="7"/>
      <c r="W453" s="7"/>
      <c r="X453" s="7"/>
      <c r="Y453" s="7"/>
      <c r="Z453" s="7"/>
    </row>
    <row r="454" ht="15.75" customHeight="1">
      <c r="A454" s="4"/>
      <c r="B454" s="4"/>
      <c r="C454" s="4"/>
      <c r="D454" s="4"/>
      <c r="E454" s="19"/>
      <c r="F454" s="4"/>
      <c r="G454" s="4"/>
      <c r="H454" s="7"/>
      <c r="I454" s="4"/>
      <c r="J454" s="4"/>
      <c r="K454" s="22"/>
      <c r="L454" s="4"/>
      <c r="M454" s="4"/>
      <c r="N454" s="4"/>
      <c r="O454" s="4"/>
      <c r="P454" s="4"/>
      <c r="Q454" s="4"/>
      <c r="R454" s="4"/>
      <c r="S454" s="7"/>
      <c r="T454" s="7"/>
      <c r="U454" s="7"/>
      <c r="V454" s="7"/>
      <c r="W454" s="7"/>
      <c r="X454" s="7"/>
      <c r="Y454" s="7"/>
      <c r="Z454" s="7"/>
    </row>
    <row r="455" ht="15.75" customHeight="1">
      <c r="A455" s="4"/>
      <c r="B455" s="4"/>
      <c r="C455" s="4"/>
      <c r="D455" s="4"/>
      <c r="E455" s="19"/>
      <c r="F455" s="4"/>
      <c r="G455" s="4"/>
      <c r="H455" s="7"/>
      <c r="I455" s="4"/>
      <c r="J455" s="4"/>
      <c r="K455" s="22"/>
      <c r="L455" s="4"/>
      <c r="M455" s="4"/>
      <c r="N455" s="4"/>
      <c r="O455" s="4"/>
      <c r="P455" s="4"/>
      <c r="Q455" s="4"/>
      <c r="R455" s="4"/>
      <c r="S455" s="7"/>
      <c r="T455" s="7"/>
      <c r="U455" s="7"/>
      <c r="V455" s="7"/>
      <c r="W455" s="7"/>
      <c r="X455" s="7"/>
      <c r="Y455" s="7"/>
      <c r="Z455" s="7"/>
    </row>
    <row r="456" ht="15.75" customHeight="1">
      <c r="A456" s="4"/>
      <c r="B456" s="4"/>
      <c r="C456" s="4"/>
      <c r="D456" s="4"/>
      <c r="E456" s="19"/>
      <c r="F456" s="4"/>
      <c r="G456" s="4"/>
      <c r="H456" s="7"/>
      <c r="I456" s="4"/>
      <c r="J456" s="4"/>
      <c r="K456" s="22"/>
      <c r="L456" s="4"/>
      <c r="M456" s="4"/>
      <c r="N456" s="4"/>
      <c r="O456" s="4"/>
      <c r="P456" s="4"/>
      <c r="Q456" s="4"/>
      <c r="R456" s="4"/>
      <c r="S456" s="7"/>
      <c r="T456" s="7"/>
      <c r="U456" s="7"/>
      <c r="V456" s="7"/>
      <c r="W456" s="7"/>
      <c r="X456" s="7"/>
      <c r="Y456" s="7"/>
      <c r="Z456" s="7"/>
    </row>
    <row r="457" ht="15.75" customHeight="1">
      <c r="A457" s="4"/>
      <c r="B457" s="4"/>
      <c r="C457" s="4"/>
      <c r="D457" s="4"/>
      <c r="E457" s="19"/>
      <c r="F457" s="4"/>
      <c r="G457" s="4"/>
      <c r="H457" s="7"/>
      <c r="I457" s="4"/>
      <c r="J457" s="4"/>
      <c r="K457" s="22"/>
      <c r="L457" s="4"/>
      <c r="M457" s="4"/>
      <c r="N457" s="4"/>
      <c r="O457" s="4"/>
      <c r="P457" s="4"/>
      <c r="Q457" s="4"/>
      <c r="R457" s="4"/>
      <c r="S457" s="7"/>
      <c r="T457" s="7"/>
      <c r="U457" s="7"/>
      <c r="V457" s="7"/>
      <c r="W457" s="7"/>
      <c r="X457" s="7"/>
      <c r="Y457" s="7"/>
      <c r="Z457" s="7"/>
    </row>
    <row r="458" ht="15.75" customHeight="1">
      <c r="A458" s="4"/>
      <c r="B458" s="4"/>
      <c r="C458" s="4"/>
      <c r="D458" s="4"/>
      <c r="E458" s="19"/>
      <c r="F458" s="4"/>
      <c r="G458" s="4"/>
      <c r="H458" s="7"/>
      <c r="I458" s="4"/>
      <c r="J458" s="4"/>
      <c r="K458" s="22"/>
      <c r="L458" s="4"/>
      <c r="M458" s="4"/>
      <c r="N458" s="4"/>
      <c r="O458" s="4"/>
      <c r="P458" s="4"/>
      <c r="Q458" s="4"/>
      <c r="R458" s="4"/>
      <c r="S458" s="7"/>
      <c r="T458" s="7"/>
      <c r="U458" s="7"/>
      <c r="V458" s="7"/>
      <c r="W458" s="7"/>
      <c r="X458" s="7"/>
      <c r="Y458" s="7"/>
      <c r="Z458" s="7"/>
    </row>
    <row r="459" ht="15.75" customHeight="1">
      <c r="A459" s="4"/>
      <c r="B459" s="4"/>
      <c r="C459" s="4"/>
      <c r="D459" s="4"/>
      <c r="E459" s="19"/>
      <c r="F459" s="4"/>
      <c r="G459" s="4"/>
      <c r="H459" s="7"/>
      <c r="I459" s="4"/>
      <c r="J459" s="4"/>
      <c r="K459" s="22"/>
      <c r="L459" s="4"/>
      <c r="M459" s="4"/>
      <c r="N459" s="4"/>
      <c r="O459" s="4"/>
      <c r="P459" s="4"/>
      <c r="Q459" s="4"/>
      <c r="R459" s="4"/>
      <c r="S459" s="7"/>
      <c r="T459" s="7"/>
      <c r="U459" s="7"/>
      <c r="V459" s="7"/>
      <c r="W459" s="7"/>
      <c r="X459" s="7"/>
      <c r="Y459" s="7"/>
      <c r="Z459" s="7"/>
    </row>
    <row r="460" ht="15.75" customHeight="1">
      <c r="A460" s="4"/>
      <c r="B460" s="4"/>
      <c r="C460" s="4"/>
      <c r="D460" s="4"/>
      <c r="E460" s="19"/>
      <c r="F460" s="4"/>
      <c r="G460" s="4"/>
      <c r="H460" s="7"/>
      <c r="I460" s="4"/>
      <c r="J460" s="4"/>
      <c r="K460" s="22"/>
      <c r="L460" s="4"/>
      <c r="M460" s="4"/>
      <c r="N460" s="4"/>
      <c r="O460" s="4"/>
      <c r="P460" s="4"/>
      <c r="Q460" s="4"/>
      <c r="R460" s="4"/>
      <c r="S460" s="7"/>
      <c r="T460" s="7"/>
      <c r="U460" s="7"/>
      <c r="V460" s="7"/>
      <c r="W460" s="7"/>
      <c r="X460" s="7"/>
      <c r="Y460" s="7"/>
      <c r="Z460" s="7"/>
    </row>
    <row r="461" ht="15.75" customHeight="1">
      <c r="A461" s="4"/>
      <c r="B461" s="4"/>
      <c r="C461" s="4"/>
      <c r="D461" s="4"/>
      <c r="E461" s="19"/>
      <c r="F461" s="4"/>
      <c r="G461" s="4"/>
      <c r="H461" s="7"/>
      <c r="I461" s="4"/>
      <c r="J461" s="4"/>
      <c r="K461" s="22"/>
      <c r="L461" s="4"/>
      <c r="M461" s="4"/>
      <c r="N461" s="4"/>
      <c r="O461" s="4"/>
      <c r="P461" s="4"/>
      <c r="Q461" s="4"/>
      <c r="R461" s="4"/>
      <c r="S461" s="7"/>
      <c r="T461" s="7"/>
      <c r="U461" s="7"/>
      <c r="V461" s="7"/>
      <c r="W461" s="7"/>
      <c r="X461" s="7"/>
      <c r="Y461" s="7"/>
      <c r="Z461" s="7"/>
    </row>
    <row r="462" ht="15.75" customHeight="1">
      <c r="A462" s="4"/>
      <c r="B462" s="4"/>
      <c r="C462" s="4"/>
      <c r="D462" s="4"/>
      <c r="E462" s="19"/>
      <c r="F462" s="4"/>
      <c r="G462" s="4"/>
      <c r="H462" s="7"/>
      <c r="I462" s="4"/>
      <c r="J462" s="4"/>
      <c r="K462" s="22"/>
      <c r="L462" s="4"/>
      <c r="M462" s="4"/>
      <c r="N462" s="4"/>
      <c r="O462" s="4"/>
      <c r="P462" s="4"/>
      <c r="Q462" s="4"/>
      <c r="R462" s="4"/>
      <c r="S462" s="7"/>
      <c r="T462" s="7"/>
      <c r="U462" s="7"/>
      <c r="V462" s="7"/>
      <c r="W462" s="7"/>
      <c r="X462" s="7"/>
      <c r="Y462" s="7"/>
      <c r="Z462" s="7"/>
    </row>
    <row r="463" ht="15.75" customHeight="1">
      <c r="A463" s="4"/>
      <c r="B463" s="4"/>
      <c r="C463" s="4"/>
      <c r="D463" s="4"/>
      <c r="E463" s="19"/>
      <c r="F463" s="4"/>
      <c r="G463" s="4"/>
      <c r="H463" s="7"/>
      <c r="I463" s="4"/>
      <c r="J463" s="4"/>
      <c r="K463" s="22"/>
      <c r="L463" s="4"/>
      <c r="M463" s="4"/>
      <c r="N463" s="4"/>
      <c r="O463" s="4"/>
      <c r="P463" s="4"/>
      <c r="Q463" s="4"/>
      <c r="R463" s="4"/>
      <c r="S463" s="7"/>
      <c r="T463" s="7"/>
      <c r="U463" s="7"/>
      <c r="V463" s="7"/>
      <c r="W463" s="7"/>
      <c r="X463" s="7"/>
      <c r="Y463" s="7"/>
      <c r="Z463" s="7"/>
    </row>
    <row r="464" ht="15.75" customHeight="1">
      <c r="A464" s="4"/>
      <c r="B464" s="4"/>
      <c r="C464" s="4"/>
      <c r="D464" s="4"/>
      <c r="E464" s="19"/>
      <c r="F464" s="4"/>
      <c r="G464" s="4"/>
      <c r="H464" s="7"/>
      <c r="I464" s="4"/>
      <c r="J464" s="4"/>
      <c r="K464" s="22"/>
      <c r="L464" s="4"/>
      <c r="M464" s="4"/>
      <c r="N464" s="4"/>
      <c r="O464" s="4"/>
      <c r="P464" s="4"/>
      <c r="Q464" s="4"/>
      <c r="R464" s="4"/>
      <c r="S464" s="7"/>
      <c r="T464" s="7"/>
      <c r="U464" s="7"/>
      <c r="V464" s="7"/>
      <c r="W464" s="7"/>
      <c r="X464" s="7"/>
      <c r="Y464" s="7"/>
      <c r="Z464" s="7"/>
    </row>
    <row r="465" ht="15.75" customHeight="1">
      <c r="A465" s="4"/>
      <c r="B465" s="4"/>
      <c r="C465" s="4"/>
      <c r="D465" s="4"/>
      <c r="E465" s="19"/>
      <c r="F465" s="4"/>
      <c r="G465" s="4"/>
      <c r="H465" s="7"/>
      <c r="I465" s="4"/>
      <c r="J465" s="4"/>
      <c r="K465" s="22"/>
      <c r="L465" s="4"/>
      <c r="M465" s="4"/>
      <c r="N465" s="4"/>
      <c r="O465" s="4"/>
      <c r="P465" s="4"/>
      <c r="Q465" s="4"/>
      <c r="R465" s="4"/>
      <c r="S465" s="7"/>
      <c r="T465" s="7"/>
      <c r="U465" s="7"/>
      <c r="V465" s="7"/>
      <c r="W465" s="7"/>
      <c r="X465" s="7"/>
      <c r="Y465" s="7"/>
      <c r="Z465" s="7"/>
    </row>
    <row r="466" ht="15.75" customHeight="1">
      <c r="A466" s="4"/>
      <c r="B466" s="4"/>
      <c r="C466" s="4"/>
      <c r="D466" s="4"/>
      <c r="E466" s="19"/>
      <c r="F466" s="4"/>
      <c r="G466" s="4"/>
      <c r="H466" s="7"/>
      <c r="I466" s="4"/>
      <c r="J466" s="4"/>
      <c r="K466" s="22"/>
      <c r="L466" s="4"/>
      <c r="M466" s="4"/>
      <c r="N466" s="4"/>
      <c r="O466" s="4"/>
      <c r="P466" s="4"/>
      <c r="Q466" s="4"/>
      <c r="R466" s="4"/>
      <c r="S466" s="7"/>
      <c r="T466" s="7"/>
      <c r="U466" s="7"/>
      <c r="V466" s="7"/>
      <c r="W466" s="7"/>
      <c r="X466" s="7"/>
      <c r="Y466" s="7"/>
      <c r="Z466" s="7"/>
    </row>
    <row r="467" ht="15.75" customHeight="1">
      <c r="A467" s="4"/>
      <c r="B467" s="4"/>
      <c r="C467" s="4"/>
      <c r="D467" s="4"/>
      <c r="E467" s="19"/>
      <c r="F467" s="4"/>
      <c r="G467" s="4"/>
      <c r="H467" s="7"/>
      <c r="I467" s="4"/>
      <c r="J467" s="4"/>
      <c r="K467" s="22"/>
      <c r="L467" s="4"/>
      <c r="M467" s="4"/>
      <c r="N467" s="4"/>
      <c r="O467" s="4"/>
      <c r="P467" s="4"/>
      <c r="Q467" s="4"/>
      <c r="R467" s="4"/>
      <c r="S467" s="7"/>
      <c r="T467" s="7"/>
      <c r="U467" s="7"/>
      <c r="V467" s="7"/>
      <c r="W467" s="7"/>
      <c r="X467" s="7"/>
      <c r="Y467" s="7"/>
      <c r="Z467" s="7"/>
    </row>
    <row r="468" ht="15.75" customHeight="1">
      <c r="A468" s="4"/>
      <c r="B468" s="4"/>
      <c r="C468" s="4"/>
      <c r="D468" s="4"/>
      <c r="E468" s="19"/>
      <c r="F468" s="4"/>
      <c r="G468" s="4"/>
      <c r="H468" s="7"/>
      <c r="I468" s="4"/>
      <c r="J468" s="4"/>
      <c r="K468" s="22"/>
      <c r="L468" s="4"/>
      <c r="M468" s="4"/>
      <c r="N468" s="4"/>
      <c r="O468" s="4"/>
      <c r="P468" s="4"/>
      <c r="Q468" s="4"/>
      <c r="R468" s="4"/>
      <c r="S468" s="7"/>
      <c r="T468" s="7"/>
      <c r="U468" s="7"/>
      <c r="V468" s="7"/>
      <c r="W468" s="7"/>
      <c r="X468" s="7"/>
      <c r="Y468" s="7"/>
      <c r="Z468" s="7"/>
    </row>
    <row r="469" ht="15.75" customHeight="1">
      <c r="A469" s="4"/>
      <c r="B469" s="4"/>
      <c r="C469" s="4"/>
      <c r="D469" s="4"/>
      <c r="E469" s="19"/>
      <c r="F469" s="4"/>
      <c r="G469" s="4"/>
      <c r="H469" s="7"/>
      <c r="I469" s="4"/>
      <c r="J469" s="4"/>
      <c r="K469" s="22"/>
      <c r="L469" s="4"/>
      <c r="M469" s="4"/>
      <c r="N469" s="4"/>
      <c r="O469" s="4"/>
      <c r="P469" s="4"/>
      <c r="Q469" s="4"/>
      <c r="R469" s="4"/>
      <c r="S469" s="7"/>
      <c r="T469" s="7"/>
      <c r="U469" s="7"/>
      <c r="V469" s="7"/>
      <c r="W469" s="7"/>
      <c r="X469" s="7"/>
      <c r="Y469" s="7"/>
      <c r="Z469" s="7"/>
    </row>
    <row r="470" ht="15.75" customHeight="1">
      <c r="A470" s="4"/>
      <c r="B470" s="4"/>
      <c r="C470" s="4"/>
      <c r="D470" s="4"/>
      <c r="E470" s="19"/>
      <c r="F470" s="4"/>
      <c r="G470" s="4"/>
      <c r="H470" s="7"/>
      <c r="I470" s="4"/>
      <c r="J470" s="4"/>
      <c r="K470" s="22"/>
      <c r="L470" s="4"/>
      <c r="M470" s="4"/>
      <c r="N470" s="4"/>
      <c r="O470" s="4"/>
      <c r="P470" s="4"/>
      <c r="Q470" s="4"/>
      <c r="R470" s="4"/>
      <c r="S470" s="7"/>
      <c r="T470" s="7"/>
      <c r="U470" s="7"/>
      <c r="V470" s="7"/>
      <c r="W470" s="7"/>
      <c r="X470" s="7"/>
      <c r="Y470" s="7"/>
      <c r="Z470" s="7"/>
    </row>
    <row r="471" ht="15.75" customHeight="1">
      <c r="A471" s="4"/>
      <c r="B471" s="4"/>
      <c r="C471" s="4"/>
      <c r="D471" s="4"/>
      <c r="E471" s="19"/>
      <c r="F471" s="4"/>
      <c r="G471" s="4"/>
      <c r="H471" s="7"/>
      <c r="I471" s="4"/>
      <c r="J471" s="4"/>
      <c r="K471" s="22"/>
      <c r="L471" s="4"/>
      <c r="M471" s="4"/>
      <c r="N471" s="4"/>
      <c r="O471" s="4"/>
      <c r="P471" s="4"/>
      <c r="Q471" s="4"/>
      <c r="R471" s="4"/>
      <c r="S471" s="7"/>
      <c r="T471" s="7"/>
      <c r="U471" s="7"/>
      <c r="V471" s="7"/>
      <c r="W471" s="7"/>
      <c r="X471" s="7"/>
      <c r="Y471" s="7"/>
      <c r="Z471" s="7"/>
    </row>
    <row r="472" ht="15.75" customHeight="1">
      <c r="A472" s="4"/>
      <c r="B472" s="4"/>
      <c r="C472" s="4"/>
      <c r="D472" s="4"/>
      <c r="E472" s="19"/>
      <c r="F472" s="4"/>
      <c r="G472" s="4"/>
      <c r="H472" s="7"/>
      <c r="I472" s="4"/>
      <c r="J472" s="4"/>
      <c r="K472" s="22"/>
      <c r="L472" s="4"/>
      <c r="M472" s="4"/>
      <c r="N472" s="4"/>
      <c r="O472" s="4"/>
      <c r="P472" s="4"/>
      <c r="Q472" s="4"/>
      <c r="R472" s="4"/>
      <c r="S472" s="7"/>
      <c r="T472" s="7"/>
      <c r="U472" s="7"/>
      <c r="V472" s="7"/>
      <c r="W472" s="7"/>
      <c r="X472" s="7"/>
      <c r="Y472" s="7"/>
      <c r="Z472" s="7"/>
    </row>
    <row r="473" ht="15.75" customHeight="1">
      <c r="A473" s="4"/>
      <c r="B473" s="4"/>
      <c r="C473" s="4"/>
      <c r="D473" s="4"/>
      <c r="E473" s="19"/>
      <c r="F473" s="4"/>
      <c r="G473" s="4"/>
      <c r="H473" s="7"/>
      <c r="I473" s="4"/>
      <c r="J473" s="4"/>
      <c r="K473" s="22"/>
      <c r="L473" s="4"/>
      <c r="M473" s="4"/>
      <c r="N473" s="4"/>
      <c r="O473" s="4"/>
      <c r="P473" s="4"/>
      <c r="Q473" s="4"/>
      <c r="R473" s="4"/>
      <c r="S473" s="7"/>
      <c r="T473" s="7"/>
      <c r="U473" s="7"/>
      <c r="V473" s="7"/>
      <c r="W473" s="7"/>
      <c r="X473" s="7"/>
      <c r="Y473" s="7"/>
      <c r="Z473" s="7"/>
    </row>
    <row r="474" ht="15.75" customHeight="1">
      <c r="A474" s="4"/>
      <c r="B474" s="4"/>
      <c r="C474" s="4"/>
      <c r="D474" s="4"/>
      <c r="E474" s="19"/>
      <c r="F474" s="4"/>
      <c r="G474" s="4"/>
      <c r="H474" s="7"/>
      <c r="I474" s="4"/>
      <c r="J474" s="4"/>
      <c r="K474" s="22"/>
      <c r="L474" s="4"/>
      <c r="M474" s="4"/>
      <c r="N474" s="4"/>
      <c r="O474" s="4"/>
      <c r="P474" s="4"/>
      <c r="Q474" s="4"/>
      <c r="R474" s="4"/>
      <c r="S474" s="7"/>
      <c r="T474" s="7"/>
      <c r="U474" s="7"/>
      <c r="V474" s="7"/>
      <c r="W474" s="7"/>
      <c r="X474" s="7"/>
      <c r="Y474" s="7"/>
      <c r="Z474" s="7"/>
    </row>
    <row r="475" ht="15.75" customHeight="1">
      <c r="A475" s="4"/>
      <c r="B475" s="4"/>
      <c r="C475" s="4"/>
      <c r="D475" s="4"/>
      <c r="E475" s="19"/>
      <c r="F475" s="4"/>
      <c r="G475" s="4"/>
      <c r="H475" s="7"/>
      <c r="I475" s="4"/>
      <c r="J475" s="4"/>
      <c r="K475" s="22"/>
      <c r="L475" s="4"/>
      <c r="M475" s="4"/>
      <c r="N475" s="4"/>
      <c r="O475" s="4"/>
      <c r="P475" s="4"/>
      <c r="Q475" s="4"/>
      <c r="R475" s="4"/>
      <c r="S475" s="7"/>
      <c r="T475" s="7"/>
      <c r="U475" s="7"/>
      <c r="V475" s="7"/>
      <c r="W475" s="7"/>
      <c r="X475" s="7"/>
      <c r="Y475" s="7"/>
      <c r="Z475" s="7"/>
    </row>
    <row r="476" ht="15.75" customHeight="1">
      <c r="A476" s="4"/>
      <c r="B476" s="4"/>
      <c r="C476" s="4"/>
      <c r="D476" s="4"/>
      <c r="E476" s="19"/>
      <c r="F476" s="4"/>
      <c r="G476" s="4"/>
      <c r="H476" s="7"/>
      <c r="I476" s="4"/>
      <c r="J476" s="4"/>
      <c r="K476" s="22"/>
      <c r="L476" s="4"/>
      <c r="M476" s="4"/>
      <c r="N476" s="4"/>
      <c r="O476" s="4"/>
      <c r="P476" s="4"/>
      <c r="Q476" s="4"/>
      <c r="R476" s="4"/>
      <c r="S476" s="7"/>
      <c r="T476" s="7"/>
      <c r="U476" s="7"/>
      <c r="V476" s="7"/>
      <c r="W476" s="7"/>
      <c r="X476" s="7"/>
      <c r="Y476" s="7"/>
      <c r="Z476" s="7"/>
    </row>
    <row r="477" ht="15.75" customHeight="1">
      <c r="A477" s="4"/>
      <c r="B477" s="4"/>
      <c r="C477" s="4"/>
      <c r="D477" s="4"/>
      <c r="E477" s="19"/>
      <c r="F477" s="4"/>
      <c r="G477" s="4"/>
      <c r="H477" s="7"/>
      <c r="I477" s="4"/>
      <c r="J477" s="4"/>
      <c r="K477" s="22"/>
      <c r="L477" s="4"/>
      <c r="M477" s="4"/>
      <c r="N477" s="4"/>
      <c r="O477" s="4"/>
      <c r="P477" s="4"/>
      <c r="Q477" s="4"/>
      <c r="R477" s="4"/>
      <c r="S477" s="7"/>
      <c r="T477" s="7"/>
      <c r="U477" s="7"/>
      <c r="V477" s="7"/>
      <c r="W477" s="7"/>
      <c r="X477" s="7"/>
      <c r="Y477" s="7"/>
      <c r="Z477" s="7"/>
    </row>
    <row r="478" ht="15.75" customHeight="1">
      <c r="A478" s="4"/>
      <c r="B478" s="4"/>
      <c r="C478" s="4"/>
      <c r="D478" s="4"/>
      <c r="E478" s="19"/>
      <c r="F478" s="4"/>
      <c r="G478" s="4"/>
      <c r="H478" s="7"/>
      <c r="I478" s="4"/>
      <c r="J478" s="4"/>
      <c r="K478" s="22"/>
      <c r="L478" s="4"/>
      <c r="M478" s="4"/>
      <c r="N478" s="4"/>
      <c r="O478" s="4"/>
      <c r="P478" s="4"/>
      <c r="Q478" s="4"/>
      <c r="R478" s="4"/>
      <c r="S478" s="7"/>
      <c r="T478" s="7"/>
      <c r="U478" s="7"/>
      <c r="V478" s="7"/>
      <c r="W478" s="7"/>
      <c r="X478" s="7"/>
      <c r="Y478" s="7"/>
      <c r="Z478" s="7"/>
    </row>
    <row r="479" ht="15.75" customHeight="1">
      <c r="A479" s="4"/>
      <c r="B479" s="4"/>
      <c r="C479" s="4"/>
      <c r="D479" s="4"/>
      <c r="E479" s="19"/>
      <c r="F479" s="4"/>
      <c r="G479" s="4"/>
      <c r="H479" s="7"/>
      <c r="I479" s="4"/>
      <c r="J479" s="4"/>
      <c r="K479" s="22"/>
      <c r="L479" s="4"/>
      <c r="M479" s="4"/>
      <c r="N479" s="4"/>
      <c r="O479" s="4"/>
      <c r="P479" s="4"/>
      <c r="Q479" s="4"/>
      <c r="R479" s="4"/>
      <c r="S479" s="7"/>
      <c r="T479" s="7"/>
      <c r="U479" s="7"/>
      <c r="V479" s="7"/>
      <c r="W479" s="7"/>
      <c r="X479" s="7"/>
      <c r="Y479" s="7"/>
      <c r="Z479" s="7"/>
    </row>
    <row r="480" ht="15.75" customHeight="1">
      <c r="A480" s="4"/>
      <c r="B480" s="4"/>
      <c r="C480" s="4"/>
      <c r="D480" s="4"/>
      <c r="E480" s="19"/>
      <c r="F480" s="4"/>
      <c r="G480" s="4"/>
      <c r="H480" s="7"/>
      <c r="I480" s="4"/>
      <c r="J480" s="4"/>
      <c r="K480" s="22"/>
      <c r="L480" s="4"/>
      <c r="M480" s="4"/>
      <c r="N480" s="4"/>
      <c r="O480" s="4"/>
      <c r="P480" s="4"/>
      <c r="Q480" s="4"/>
      <c r="R480" s="4"/>
      <c r="S480" s="7"/>
      <c r="T480" s="7"/>
      <c r="U480" s="7"/>
      <c r="V480" s="7"/>
      <c r="W480" s="7"/>
      <c r="X480" s="7"/>
      <c r="Y480" s="7"/>
      <c r="Z480" s="7"/>
    </row>
    <row r="481" ht="15.75" customHeight="1">
      <c r="A481" s="4"/>
      <c r="B481" s="4"/>
      <c r="C481" s="4"/>
      <c r="D481" s="4"/>
      <c r="E481" s="19"/>
      <c r="F481" s="4"/>
      <c r="G481" s="4"/>
      <c r="H481" s="7"/>
      <c r="I481" s="4"/>
      <c r="J481" s="4"/>
      <c r="K481" s="22"/>
      <c r="L481" s="4"/>
      <c r="M481" s="4"/>
      <c r="N481" s="4"/>
      <c r="O481" s="4"/>
      <c r="P481" s="4"/>
      <c r="Q481" s="4"/>
      <c r="R481" s="4"/>
      <c r="S481" s="7"/>
      <c r="T481" s="7"/>
      <c r="U481" s="7"/>
      <c r="V481" s="7"/>
      <c r="W481" s="7"/>
      <c r="X481" s="7"/>
      <c r="Y481" s="7"/>
      <c r="Z481" s="7"/>
    </row>
    <row r="482" ht="15.75" customHeight="1">
      <c r="A482" s="4"/>
      <c r="B482" s="4"/>
      <c r="C482" s="4"/>
      <c r="D482" s="4"/>
      <c r="E482" s="19"/>
      <c r="F482" s="4"/>
      <c r="G482" s="4"/>
      <c r="H482" s="7"/>
      <c r="I482" s="4"/>
      <c r="J482" s="4"/>
      <c r="K482" s="22"/>
      <c r="L482" s="4"/>
      <c r="M482" s="4"/>
      <c r="N482" s="4"/>
      <c r="O482" s="4"/>
      <c r="P482" s="4"/>
      <c r="Q482" s="4"/>
      <c r="R482" s="4"/>
      <c r="S482" s="7"/>
      <c r="T482" s="7"/>
      <c r="U482" s="7"/>
      <c r="V482" s="7"/>
      <c r="W482" s="7"/>
      <c r="X482" s="7"/>
      <c r="Y482" s="7"/>
      <c r="Z482" s="7"/>
    </row>
    <row r="483" ht="15.75" customHeight="1">
      <c r="A483" s="4"/>
      <c r="B483" s="4"/>
      <c r="C483" s="4"/>
      <c r="D483" s="4"/>
      <c r="E483" s="19"/>
      <c r="F483" s="4"/>
      <c r="G483" s="4"/>
      <c r="H483" s="7"/>
      <c r="I483" s="4"/>
      <c r="J483" s="4"/>
      <c r="K483" s="22"/>
      <c r="L483" s="4"/>
      <c r="M483" s="4"/>
      <c r="N483" s="4"/>
      <c r="O483" s="4"/>
      <c r="P483" s="4"/>
      <c r="Q483" s="4"/>
      <c r="R483" s="4"/>
      <c r="S483" s="7"/>
      <c r="T483" s="7"/>
      <c r="U483" s="7"/>
      <c r="V483" s="7"/>
      <c r="W483" s="7"/>
      <c r="X483" s="7"/>
      <c r="Y483" s="7"/>
      <c r="Z483" s="7"/>
    </row>
    <row r="484" ht="15.75" customHeight="1">
      <c r="A484" s="4"/>
      <c r="B484" s="4"/>
      <c r="C484" s="4"/>
      <c r="D484" s="4"/>
      <c r="E484" s="19"/>
      <c r="F484" s="4"/>
      <c r="G484" s="4"/>
      <c r="H484" s="7"/>
      <c r="I484" s="4"/>
      <c r="J484" s="4"/>
      <c r="K484" s="22"/>
      <c r="L484" s="4"/>
      <c r="M484" s="4"/>
      <c r="N484" s="4"/>
      <c r="O484" s="4"/>
      <c r="P484" s="4"/>
      <c r="Q484" s="4"/>
      <c r="R484" s="4"/>
      <c r="S484" s="7"/>
      <c r="T484" s="7"/>
      <c r="U484" s="7"/>
      <c r="V484" s="7"/>
      <c r="W484" s="7"/>
      <c r="X484" s="7"/>
      <c r="Y484" s="7"/>
      <c r="Z484" s="7"/>
    </row>
    <row r="485" ht="15.75" customHeight="1">
      <c r="A485" s="4"/>
      <c r="B485" s="4"/>
      <c r="C485" s="4"/>
      <c r="D485" s="4"/>
      <c r="E485" s="19"/>
      <c r="F485" s="4"/>
      <c r="G485" s="4"/>
      <c r="H485" s="7"/>
      <c r="I485" s="4"/>
      <c r="J485" s="4"/>
      <c r="K485" s="22"/>
      <c r="L485" s="4"/>
      <c r="M485" s="4"/>
      <c r="N485" s="4"/>
      <c r="O485" s="4"/>
      <c r="P485" s="4"/>
      <c r="Q485" s="4"/>
      <c r="R485" s="4"/>
      <c r="S485" s="7"/>
      <c r="T485" s="7"/>
      <c r="U485" s="7"/>
      <c r="V485" s="7"/>
      <c r="W485" s="7"/>
      <c r="X485" s="7"/>
      <c r="Y485" s="7"/>
      <c r="Z485" s="7"/>
    </row>
    <row r="486" ht="15.75" customHeight="1">
      <c r="A486" s="4"/>
      <c r="B486" s="4"/>
      <c r="C486" s="4"/>
      <c r="D486" s="4"/>
      <c r="E486" s="19"/>
      <c r="F486" s="4"/>
      <c r="G486" s="4"/>
      <c r="H486" s="7"/>
      <c r="I486" s="4"/>
      <c r="J486" s="4"/>
      <c r="K486" s="22"/>
      <c r="L486" s="4"/>
      <c r="M486" s="4"/>
      <c r="N486" s="4"/>
      <c r="O486" s="4"/>
      <c r="P486" s="4"/>
      <c r="Q486" s="4"/>
      <c r="R486" s="4"/>
      <c r="S486" s="7"/>
      <c r="T486" s="7"/>
      <c r="U486" s="7"/>
      <c r="V486" s="7"/>
      <c r="W486" s="7"/>
      <c r="X486" s="7"/>
      <c r="Y486" s="7"/>
      <c r="Z486" s="7"/>
    </row>
    <row r="487" ht="15.75" customHeight="1">
      <c r="A487" s="4"/>
      <c r="B487" s="4"/>
      <c r="C487" s="4"/>
      <c r="D487" s="4"/>
      <c r="E487" s="19"/>
      <c r="F487" s="4"/>
      <c r="G487" s="4"/>
      <c r="H487" s="7"/>
      <c r="I487" s="4"/>
      <c r="J487" s="4"/>
      <c r="K487" s="22"/>
      <c r="L487" s="4"/>
      <c r="M487" s="4"/>
      <c r="N487" s="4"/>
      <c r="O487" s="4"/>
      <c r="P487" s="4"/>
      <c r="Q487" s="4"/>
      <c r="R487" s="4"/>
      <c r="S487" s="7"/>
      <c r="T487" s="7"/>
      <c r="U487" s="7"/>
      <c r="V487" s="7"/>
      <c r="W487" s="7"/>
      <c r="X487" s="7"/>
      <c r="Y487" s="7"/>
      <c r="Z487" s="7"/>
    </row>
    <row r="488" ht="15.75" customHeight="1">
      <c r="A488" s="4"/>
      <c r="B488" s="4"/>
      <c r="C488" s="4"/>
      <c r="D488" s="4"/>
      <c r="E488" s="19"/>
      <c r="F488" s="4"/>
      <c r="G488" s="4"/>
      <c r="H488" s="7"/>
      <c r="I488" s="4"/>
      <c r="J488" s="4"/>
      <c r="K488" s="22"/>
      <c r="L488" s="4"/>
      <c r="M488" s="4"/>
      <c r="N488" s="4"/>
      <c r="O488" s="4"/>
      <c r="P488" s="4"/>
      <c r="Q488" s="4"/>
      <c r="R488" s="4"/>
      <c r="S488" s="7"/>
      <c r="T488" s="7"/>
      <c r="U488" s="7"/>
      <c r="V488" s="7"/>
      <c r="W488" s="7"/>
      <c r="X488" s="7"/>
      <c r="Y488" s="7"/>
      <c r="Z488" s="7"/>
    </row>
    <row r="489" ht="15.75" customHeight="1">
      <c r="A489" s="4"/>
      <c r="B489" s="4"/>
      <c r="C489" s="4"/>
      <c r="D489" s="4"/>
      <c r="E489" s="19"/>
      <c r="F489" s="4"/>
      <c r="G489" s="4"/>
      <c r="H489" s="7"/>
      <c r="I489" s="4"/>
      <c r="J489" s="4"/>
      <c r="K489" s="22"/>
      <c r="L489" s="4"/>
      <c r="M489" s="4"/>
      <c r="N489" s="4"/>
      <c r="O489" s="4"/>
      <c r="P489" s="4"/>
      <c r="Q489" s="4"/>
      <c r="R489" s="4"/>
      <c r="S489" s="7"/>
      <c r="T489" s="7"/>
      <c r="U489" s="7"/>
      <c r="V489" s="7"/>
      <c r="W489" s="7"/>
      <c r="X489" s="7"/>
      <c r="Y489" s="7"/>
      <c r="Z489" s="7"/>
    </row>
    <row r="490" ht="15.75" customHeight="1">
      <c r="A490" s="4"/>
      <c r="B490" s="4"/>
      <c r="C490" s="4"/>
      <c r="D490" s="4"/>
      <c r="E490" s="19"/>
      <c r="F490" s="4"/>
      <c r="G490" s="4"/>
      <c r="H490" s="7"/>
      <c r="I490" s="4"/>
      <c r="J490" s="4"/>
      <c r="K490" s="22"/>
      <c r="L490" s="4"/>
      <c r="M490" s="4"/>
      <c r="N490" s="4"/>
      <c r="O490" s="4"/>
      <c r="P490" s="4"/>
      <c r="Q490" s="4"/>
      <c r="R490" s="4"/>
      <c r="S490" s="7"/>
      <c r="T490" s="7"/>
      <c r="U490" s="7"/>
      <c r="V490" s="7"/>
      <c r="W490" s="7"/>
      <c r="X490" s="7"/>
      <c r="Y490" s="7"/>
      <c r="Z490" s="7"/>
    </row>
    <row r="491" ht="15.75" customHeight="1">
      <c r="A491" s="4"/>
      <c r="B491" s="4"/>
      <c r="C491" s="4"/>
      <c r="D491" s="4"/>
      <c r="E491" s="19"/>
      <c r="F491" s="4"/>
      <c r="G491" s="4"/>
      <c r="H491" s="7"/>
      <c r="I491" s="4"/>
      <c r="J491" s="4"/>
      <c r="K491" s="22"/>
      <c r="L491" s="4"/>
      <c r="M491" s="4"/>
      <c r="N491" s="4"/>
      <c r="O491" s="4"/>
      <c r="P491" s="4"/>
      <c r="Q491" s="4"/>
      <c r="R491" s="4"/>
      <c r="S491" s="7"/>
      <c r="T491" s="7"/>
      <c r="U491" s="7"/>
      <c r="V491" s="7"/>
      <c r="W491" s="7"/>
      <c r="X491" s="7"/>
      <c r="Y491" s="7"/>
      <c r="Z491" s="7"/>
    </row>
    <row r="492" ht="15.75" customHeight="1">
      <c r="A492" s="4"/>
      <c r="B492" s="4"/>
      <c r="C492" s="4"/>
      <c r="D492" s="4"/>
      <c r="E492" s="19"/>
      <c r="F492" s="4"/>
      <c r="G492" s="4"/>
      <c r="H492" s="7"/>
      <c r="I492" s="4"/>
      <c r="J492" s="4"/>
      <c r="K492" s="22"/>
      <c r="L492" s="4"/>
      <c r="M492" s="4"/>
      <c r="N492" s="4"/>
      <c r="O492" s="4"/>
      <c r="P492" s="4"/>
      <c r="Q492" s="4"/>
      <c r="R492" s="4"/>
      <c r="S492" s="7"/>
      <c r="T492" s="7"/>
      <c r="U492" s="7"/>
      <c r="V492" s="7"/>
      <c r="W492" s="7"/>
      <c r="X492" s="7"/>
      <c r="Y492" s="7"/>
      <c r="Z492" s="7"/>
    </row>
    <row r="493" ht="15.75" customHeight="1">
      <c r="A493" s="4"/>
      <c r="B493" s="4"/>
      <c r="C493" s="4"/>
      <c r="D493" s="4"/>
      <c r="E493" s="19"/>
      <c r="F493" s="4"/>
      <c r="G493" s="4"/>
      <c r="H493" s="7"/>
      <c r="I493" s="4"/>
      <c r="J493" s="4"/>
      <c r="K493" s="22"/>
      <c r="L493" s="4"/>
      <c r="M493" s="4"/>
      <c r="N493" s="4"/>
      <c r="O493" s="4"/>
      <c r="P493" s="4"/>
      <c r="Q493" s="4"/>
      <c r="R493" s="4"/>
      <c r="S493" s="7"/>
      <c r="T493" s="7"/>
      <c r="U493" s="7"/>
      <c r="V493" s="7"/>
      <c r="W493" s="7"/>
      <c r="X493" s="7"/>
      <c r="Y493" s="7"/>
      <c r="Z493" s="7"/>
    </row>
    <row r="494" ht="15.75" customHeight="1">
      <c r="A494" s="4"/>
      <c r="B494" s="4"/>
      <c r="C494" s="4"/>
      <c r="D494" s="4"/>
      <c r="E494" s="19"/>
      <c r="F494" s="4"/>
      <c r="G494" s="4"/>
      <c r="H494" s="7"/>
      <c r="I494" s="4"/>
      <c r="J494" s="4"/>
      <c r="K494" s="22"/>
      <c r="L494" s="4"/>
      <c r="M494" s="4"/>
      <c r="N494" s="4"/>
      <c r="O494" s="4"/>
      <c r="P494" s="4"/>
      <c r="Q494" s="4"/>
      <c r="R494" s="4"/>
      <c r="S494" s="7"/>
      <c r="T494" s="7"/>
      <c r="U494" s="7"/>
      <c r="V494" s="7"/>
      <c r="W494" s="7"/>
      <c r="X494" s="7"/>
      <c r="Y494" s="7"/>
      <c r="Z494" s="7"/>
    </row>
    <row r="495" ht="15.75" customHeight="1">
      <c r="A495" s="4"/>
      <c r="B495" s="4"/>
      <c r="C495" s="4"/>
      <c r="D495" s="4"/>
      <c r="E495" s="19"/>
      <c r="F495" s="4"/>
      <c r="G495" s="4"/>
      <c r="H495" s="7"/>
      <c r="I495" s="4"/>
      <c r="J495" s="4"/>
      <c r="K495" s="22"/>
      <c r="L495" s="4"/>
      <c r="M495" s="4"/>
      <c r="N495" s="4"/>
      <c r="O495" s="4"/>
      <c r="P495" s="4"/>
      <c r="Q495" s="4"/>
      <c r="R495" s="4"/>
      <c r="S495" s="7"/>
      <c r="T495" s="7"/>
      <c r="U495" s="7"/>
      <c r="V495" s="7"/>
      <c r="W495" s="7"/>
      <c r="X495" s="7"/>
      <c r="Y495" s="7"/>
      <c r="Z495" s="7"/>
    </row>
    <row r="496" ht="15.75" customHeight="1">
      <c r="A496" s="4"/>
      <c r="B496" s="4"/>
      <c r="C496" s="4"/>
      <c r="D496" s="4"/>
      <c r="E496" s="19"/>
      <c r="F496" s="4"/>
      <c r="G496" s="4"/>
      <c r="H496" s="7"/>
      <c r="I496" s="4"/>
      <c r="J496" s="4"/>
      <c r="K496" s="22"/>
      <c r="L496" s="4"/>
      <c r="M496" s="4"/>
      <c r="N496" s="4"/>
      <c r="O496" s="4"/>
      <c r="P496" s="4"/>
      <c r="Q496" s="4"/>
      <c r="R496" s="4"/>
      <c r="S496" s="7"/>
      <c r="T496" s="7"/>
      <c r="U496" s="7"/>
      <c r="V496" s="7"/>
      <c r="W496" s="7"/>
      <c r="X496" s="7"/>
      <c r="Y496" s="7"/>
      <c r="Z496" s="7"/>
    </row>
    <row r="497" ht="15.75" customHeight="1">
      <c r="A497" s="4"/>
      <c r="B497" s="4"/>
      <c r="C497" s="4"/>
      <c r="D497" s="4"/>
      <c r="E497" s="19"/>
      <c r="F497" s="4"/>
      <c r="G497" s="4"/>
      <c r="H497" s="7"/>
      <c r="I497" s="4"/>
      <c r="J497" s="4"/>
      <c r="K497" s="22"/>
      <c r="L497" s="4"/>
      <c r="M497" s="4"/>
      <c r="N497" s="4"/>
      <c r="O497" s="4"/>
      <c r="P497" s="4"/>
      <c r="Q497" s="4"/>
      <c r="R497" s="4"/>
      <c r="S497" s="7"/>
      <c r="T497" s="7"/>
      <c r="U497" s="7"/>
      <c r="V497" s="7"/>
      <c r="W497" s="7"/>
      <c r="X497" s="7"/>
      <c r="Y497" s="7"/>
      <c r="Z497" s="7"/>
    </row>
    <row r="498" ht="15.75" customHeight="1">
      <c r="A498" s="4"/>
      <c r="B498" s="4"/>
      <c r="C498" s="4"/>
      <c r="D498" s="4"/>
      <c r="E498" s="19"/>
      <c r="F498" s="4"/>
      <c r="G498" s="4"/>
      <c r="H498" s="7"/>
      <c r="I498" s="4"/>
      <c r="J498" s="4"/>
      <c r="K498" s="22"/>
      <c r="L498" s="4"/>
      <c r="M498" s="4"/>
      <c r="N498" s="4"/>
      <c r="O498" s="4"/>
      <c r="P498" s="4"/>
      <c r="Q498" s="4"/>
      <c r="R498" s="4"/>
      <c r="S498" s="7"/>
      <c r="T498" s="7"/>
      <c r="U498" s="7"/>
      <c r="V498" s="7"/>
      <c r="W498" s="7"/>
      <c r="X498" s="7"/>
      <c r="Y498" s="7"/>
      <c r="Z498" s="7"/>
    </row>
    <row r="499" ht="15.75" customHeight="1">
      <c r="A499" s="4"/>
      <c r="B499" s="4"/>
      <c r="C499" s="4"/>
      <c r="D499" s="4"/>
      <c r="E499" s="19"/>
      <c r="F499" s="4"/>
      <c r="G499" s="4"/>
      <c r="H499" s="7"/>
      <c r="I499" s="4"/>
      <c r="J499" s="4"/>
      <c r="K499" s="22"/>
      <c r="L499" s="4"/>
      <c r="M499" s="4"/>
      <c r="N499" s="4"/>
      <c r="O499" s="4"/>
      <c r="P499" s="4"/>
      <c r="Q499" s="4"/>
      <c r="R499" s="4"/>
      <c r="S499" s="7"/>
      <c r="T499" s="7"/>
      <c r="U499" s="7"/>
      <c r="V499" s="7"/>
      <c r="W499" s="7"/>
      <c r="X499" s="7"/>
      <c r="Y499" s="7"/>
      <c r="Z499" s="7"/>
    </row>
    <row r="500" ht="15.75" customHeight="1">
      <c r="A500" s="4"/>
      <c r="B500" s="4"/>
      <c r="C500" s="4"/>
      <c r="D500" s="4"/>
      <c r="E500" s="19"/>
      <c r="F500" s="4"/>
      <c r="G500" s="4"/>
      <c r="H500" s="7"/>
      <c r="I500" s="4"/>
      <c r="J500" s="4"/>
      <c r="K500" s="22"/>
      <c r="L500" s="4"/>
      <c r="M500" s="4"/>
      <c r="N500" s="4"/>
      <c r="O500" s="4"/>
      <c r="P500" s="4"/>
      <c r="Q500" s="4"/>
      <c r="R500" s="4"/>
      <c r="S500" s="7"/>
      <c r="T500" s="7"/>
      <c r="U500" s="7"/>
      <c r="V500" s="7"/>
      <c r="W500" s="7"/>
      <c r="X500" s="7"/>
      <c r="Y500" s="7"/>
      <c r="Z500" s="7"/>
    </row>
    <row r="501" ht="15.75" customHeight="1">
      <c r="A501" s="4"/>
      <c r="B501" s="4"/>
      <c r="C501" s="4"/>
      <c r="D501" s="4"/>
      <c r="E501" s="19"/>
      <c r="F501" s="4"/>
      <c r="G501" s="4"/>
      <c r="H501" s="7"/>
      <c r="I501" s="4"/>
      <c r="J501" s="4"/>
      <c r="K501" s="22"/>
      <c r="L501" s="4"/>
      <c r="M501" s="4"/>
      <c r="N501" s="4"/>
      <c r="O501" s="4"/>
      <c r="P501" s="4"/>
      <c r="Q501" s="4"/>
      <c r="R501" s="4"/>
      <c r="S501" s="7"/>
      <c r="T501" s="7"/>
      <c r="U501" s="7"/>
      <c r="V501" s="7"/>
      <c r="W501" s="7"/>
      <c r="X501" s="7"/>
      <c r="Y501" s="7"/>
      <c r="Z501" s="7"/>
    </row>
    <row r="502" ht="15.75" customHeight="1">
      <c r="A502" s="4"/>
      <c r="B502" s="4"/>
      <c r="C502" s="4"/>
      <c r="D502" s="4"/>
      <c r="E502" s="19"/>
      <c r="F502" s="4"/>
      <c r="G502" s="4"/>
      <c r="H502" s="7"/>
      <c r="I502" s="4"/>
      <c r="J502" s="4"/>
      <c r="K502" s="22"/>
      <c r="L502" s="4"/>
      <c r="M502" s="4"/>
      <c r="N502" s="4"/>
      <c r="O502" s="4"/>
      <c r="P502" s="4"/>
      <c r="Q502" s="4"/>
      <c r="R502" s="4"/>
      <c r="S502" s="7"/>
      <c r="T502" s="7"/>
      <c r="U502" s="7"/>
      <c r="V502" s="7"/>
      <c r="W502" s="7"/>
      <c r="X502" s="7"/>
      <c r="Y502" s="7"/>
      <c r="Z502" s="7"/>
    </row>
    <row r="503" ht="15.75" customHeight="1">
      <c r="A503" s="4"/>
      <c r="B503" s="4"/>
      <c r="C503" s="4"/>
      <c r="D503" s="4"/>
      <c r="E503" s="19"/>
      <c r="F503" s="4"/>
      <c r="G503" s="4"/>
      <c r="H503" s="7"/>
      <c r="I503" s="4"/>
      <c r="J503" s="4"/>
      <c r="K503" s="22"/>
      <c r="L503" s="4"/>
      <c r="M503" s="4"/>
      <c r="N503" s="4"/>
      <c r="O503" s="4"/>
      <c r="P503" s="4"/>
      <c r="Q503" s="4"/>
      <c r="R503" s="4"/>
      <c r="S503" s="7"/>
      <c r="T503" s="7"/>
      <c r="U503" s="7"/>
      <c r="V503" s="7"/>
      <c r="W503" s="7"/>
      <c r="X503" s="7"/>
      <c r="Y503" s="7"/>
      <c r="Z503" s="7"/>
    </row>
    <row r="504" ht="15.75" customHeight="1">
      <c r="A504" s="4"/>
      <c r="B504" s="4"/>
      <c r="C504" s="4"/>
      <c r="D504" s="4"/>
      <c r="E504" s="19"/>
      <c r="F504" s="4"/>
      <c r="G504" s="4"/>
      <c r="H504" s="7"/>
      <c r="I504" s="4"/>
      <c r="J504" s="4"/>
      <c r="K504" s="22"/>
      <c r="L504" s="4"/>
      <c r="M504" s="4"/>
      <c r="N504" s="4"/>
      <c r="O504" s="4"/>
      <c r="P504" s="4"/>
      <c r="Q504" s="4"/>
      <c r="R504" s="4"/>
      <c r="S504" s="7"/>
      <c r="T504" s="7"/>
      <c r="U504" s="7"/>
      <c r="V504" s="7"/>
      <c r="W504" s="7"/>
      <c r="X504" s="7"/>
      <c r="Y504" s="7"/>
      <c r="Z504" s="7"/>
    </row>
    <row r="505" ht="15.75" customHeight="1">
      <c r="A505" s="4"/>
      <c r="B505" s="4"/>
      <c r="C505" s="4"/>
      <c r="D505" s="4"/>
      <c r="E505" s="19"/>
      <c r="F505" s="4"/>
      <c r="G505" s="4"/>
      <c r="H505" s="7"/>
      <c r="I505" s="4"/>
      <c r="J505" s="4"/>
      <c r="K505" s="22"/>
      <c r="L505" s="4"/>
      <c r="M505" s="4"/>
      <c r="N505" s="4"/>
      <c r="O505" s="4"/>
      <c r="P505" s="4"/>
      <c r="Q505" s="4"/>
      <c r="R505" s="4"/>
      <c r="S505" s="7"/>
      <c r="T505" s="7"/>
      <c r="U505" s="7"/>
      <c r="V505" s="7"/>
      <c r="W505" s="7"/>
      <c r="X505" s="7"/>
      <c r="Y505" s="7"/>
      <c r="Z505" s="7"/>
    </row>
    <row r="506" ht="15.75" customHeight="1">
      <c r="A506" s="4"/>
      <c r="B506" s="4"/>
      <c r="C506" s="4"/>
      <c r="D506" s="4"/>
      <c r="E506" s="19"/>
      <c r="F506" s="4"/>
      <c r="G506" s="4"/>
      <c r="H506" s="7"/>
      <c r="I506" s="4"/>
      <c r="J506" s="4"/>
      <c r="K506" s="22"/>
      <c r="L506" s="4"/>
      <c r="M506" s="4"/>
      <c r="N506" s="4"/>
      <c r="O506" s="4"/>
      <c r="P506" s="4"/>
      <c r="Q506" s="4"/>
      <c r="R506" s="4"/>
      <c r="S506" s="7"/>
      <c r="T506" s="7"/>
      <c r="U506" s="7"/>
      <c r="V506" s="7"/>
      <c r="W506" s="7"/>
      <c r="X506" s="7"/>
      <c r="Y506" s="7"/>
      <c r="Z506" s="7"/>
    </row>
    <row r="507" ht="15.75" customHeight="1">
      <c r="A507" s="4"/>
      <c r="B507" s="4"/>
      <c r="C507" s="4"/>
      <c r="D507" s="4"/>
      <c r="E507" s="19"/>
      <c r="F507" s="4"/>
      <c r="G507" s="4"/>
      <c r="H507" s="7"/>
      <c r="I507" s="4"/>
      <c r="J507" s="4"/>
      <c r="K507" s="22"/>
      <c r="L507" s="4"/>
      <c r="M507" s="4"/>
      <c r="N507" s="4"/>
      <c r="O507" s="4"/>
      <c r="P507" s="4"/>
      <c r="Q507" s="4"/>
      <c r="R507" s="4"/>
      <c r="S507" s="7"/>
      <c r="T507" s="7"/>
      <c r="U507" s="7"/>
      <c r="V507" s="7"/>
      <c r="W507" s="7"/>
      <c r="X507" s="7"/>
      <c r="Y507" s="7"/>
      <c r="Z507" s="7"/>
    </row>
    <row r="508" ht="15.75" customHeight="1">
      <c r="A508" s="4"/>
      <c r="B508" s="4"/>
      <c r="C508" s="4"/>
      <c r="D508" s="4"/>
      <c r="E508" s="19"/>
      <c r="F508" s="4"/>
      <c r="G508" s="4"/>
      <c r="H508" s="7"/>
      <c r="I508" s="4"/>
      <c r="J508" s="4"/>
      <c r="K508" s="22"/>
      <c r="L508" s="4"/>
      <c r="M508" s="4"/>
      <c r="N508" s="4"/>
      <c r="O508" s="4"/>
      <c r="P508" s="4"/>
      <c r="Q508" s="4"/>
      <c r="R508" s="4"/>
      <c r="S508" s="7"/>
      <c r="T508" s="7"/>
      <c r="U508" s="7"/>
      <c r="V508" s="7"/>
      <c r="W508" s="7"/>
      <c r="X508" s="7"/>
      <c r="Y508" s="7"/>
      <c r="Z508" s="7"/>
    </row>
    <row r="509" ht="15.75" customHeight="1">
      <c r="A509" s="4"/>
      <c r="B509" s="4"/>
      <c r="C509" s="4"/>
      <c r="D509" s="4"/>
      <c r="E509" s="19"/>
      <c r="F509" s="4"/>
      <c r="G509" s="4"/>
      <c r="H509" s="7"/>
      <c r="I509" s="4"/>
      <c r="J509" s="4"/>
      <c r="K509" s="22"/>
      <c r="L509" s="4"/>
      <c r="M509" s="4"/>
      <c r="N509" s="4"/>
      <c r="O509" s="4"/>
      <c r="P509" s="4"/>
      <c r="Q509" s="4"/>
      <c r="R509" s="4"/>
      <c r="S509" s="7"/>
      <c r="T509" s="7"/>
      <c r="U509" s="7"/>
      <c r="V509" s="7"/>
      <c r="W509" s="7"/>
      <c r="X509" s="7"/>
      <c r="Y509" s="7"/>
      <c r="Z509" s="7"/>
    </row>
    <row r="510" ht="15.75" customHeight="1">
      <c r="A510" s="4"/>
      <c r="B510" s="4"/>
      <c r="C510" s="4"/>
      <c r="D510" s="4"/>
      <c r="E510" s="19"/>
      <c r="F510" s="4"/>
      <c r="G510" s="4"/>
      <c r="H510" s="7"/>
      <c r="I510" s="4"/>
      <c r="J510" s="4"/>
      <c r="K510" s="22"/>
      <c r="L510" s="4"/>
      <c r="M510" s="4"/>
      <c r="N510" s="4"/>
      <c r="O510" s="4"/>
      <c r="P510" s="4"/>
      <c r="Q510" s="4"/>
      <c r="R510" s="4"/>
      <c r="S510" s="7"/>
      <c r="T510" s="7"/>
      <c r="U510" s="7"/>
      <c r="V510" s="7"/>
      <c r="W510" s="7"/>
      <c r="X510" s="7"/>
      <c r="Y510" s="7"/>
      <c r="Z510" s="7"/>
    </row>
    <row r="511" ht="15.75" customHeight="1">
      <c r="A511" s="4"/>
      <c r="B511" s="4"/>
      <c r="C511" s="4"/>
      <c r="D511" s="4"/>
      <c r="E511" s="19"/>
      <c r="F511" s="4"/>
      <c r="G511" s="4"/>
      <c r="H511" s="7"/>
      <c r="I511" s="4"/>
      <c r="J511" s="4"/>
      <c r="K511" s="22"/>
      <c r="L511" s="4"/>
      <c r="M511" s="4"/>
      <c r="N511" s="4"/>
      <c r="O511" s="4"/>
      <c r="P511" s="4"/>
      <c r="Q511" s="4"/>
      <c r="R511" s="4"/>
      <c r="S511" s="7"/>
      <c r="T511" s="7"/>
      <c r="U511" s="7"/>
      <c r="V511" s="7"/>
      <c r="W511" s="7"/>
      <c r="X511" s="7"/>
      <c r="Y511" s="7"/>
      <c r="Z511" s="7"/>
    </row>
    <row r="512" ht="15.75" customHeight="1">
      <c r="A512" s="4"/>
      <c r="B512" s="4"/>
      <c r="C512" s="4"/>
      <c r="D512" s="4"/>
      <c r="E512" s="19"/>
      <c r="F512" s="4"/>
      <c r="G512" s="4"/>
      <c r="H512" s="7"/>
      <c r="I512" s="4"/>
      <c r="J512" s="4"/>
      <c r="K512" s="22"/>
      <c r="L512" s="4"/>
      <c r="M512" s="4"/>
      <c r="N512" s="4"/>
      <c r="O512" s="4"/>
      <c r="P512" s="4"/>
      <c r="Q512" s="4"/>
      <c r="R512" s="4"/>
      <c r="S512" s="7"/>
      <c r="T512" s="7"/>
      <c r="U512" s="7"/>
      <c r="V512" s="7"/>
      <c r="W512" s="7"/>
      <c r="X512" s="7"/>
      <c r="Y512" s="7"/>
      <c r="Z512" s="7"/>
    </row>
    <row r="513" ht="15.75" customHeight="1">
      <c r="A513" s="4"/>
      <c r="B513" s="4"/>
      <c r="C513" s="4"/>
      <c r="D513" s="4"/>
      <c r="E513" s="19"/>
      <c r="F513" s="4"/>
      <c r="G513" s="4"/>
      <c r="H513" s="7"/>
      <c r="I513" s="4"/>
      <c r="J513" s="4"/>
      <c r="K513" s="22"/>
      <c r="L513" s="4"/>
      <c r="M513" s="4"/>
      <c r="N513" s="4"/>
      <c r="O513" s="4"/>
      <c r="P513" s="4"/>
      <c r="Q513" s="4"/>
      <c r="R513" s="4"/>
      <c r="S513" s="7"/>
      <c r="T513" s="7"/>
      <c r="U513" s="7"/>
      <c r="V513" s="7"/>
      <c r="W513" s="7"/>
      <c r="X513" s="7"/>
      <c r="Y513" s="7"/>
      <c r="Z513" s="7"/>
    </row>
    <row r="514" ht="15.75" customHeight="1">
      <c r="A514" s="4"/>
      <c r="B514" s="4"/>
      <c r="C514" s="4"/>
      <c r="D514" s="4"/>
      <c r="E514" s="19"/>
      <c r="F514" s="4"/>
      <c r="G514" s="4"/>
      <c r="H514" s="7"/>
      <c r="I514" s="4"/>
      <c r="J514" s="4"/>
      <c r="K514" s="22"/>
      <c r="L514" s="4"/>
      <c r="M514" s="4"/>
      <c r="N514" s="4"/>
      <c r="O514" s="4"/>
      <c r="P514" s="4"/>
      <c r="Q514" s="4"/>
      <c r="R514" s="4"/>
      <c r="S514" s="7"/>
      <c r="T514" s="7"/>
      <c r="U514" s="7"/>
      <c r="V514" s="7"/>
      <c r="W514" s="7"/>
      <c r="X514" s="7"/>
      <c r="Y514" s="7"/>
      <c r="Z514" s="7"/>
    </row>
    <row r="515" ht="15.75" customHeight="1">
      <c r="A515" s="4"/>
      <c r="B515" s="4"/>
      <c r="C515" s="4"/>
      <c r="D515" s="4"/>
      <c r="E515" s="19"/>
      <c r="F515" s="4"/>
      <c r="G515" s="4"/>
      <c r="H515" s="7"/>
      <c r="I515" s="4"/>
      <c r="J515" s="4"/>
      <c r="K515" s="22"/>
      <c r="L515" s="4"/>
      <c r="M515" s="4"/>
      <c r="N515" s="4"/>
      <c r="O515" s="4"/>
      <c r="P515" s="4"/>
      <c r="Q515" s="4"/>
      <c r="R515" s="4"/>
      <c r="S515" s="7"/>
      <c r="T515" s="7"/>
      <c r="U515" s="7"/>
      <c r="V515" s="7"/>
      <c r="W515" s="7"/>
      <c r="X515" s="7"/>
      <c r="Y515" s="7"/>
      <c r="Z515" s="7"/>
    </row>
    <row r="516" ht="15.75" customHeight="1">
      <c r="A516" s="4"/>
      <c r="B516" s="4"/>
      <c r="C516" s="4"/>
      <c r="D516" s="4"/>
      <c r="E516" s="19"/>
      <c r="F516" s="4"/>
      <c r="G516" s="4"/>
      <c r="H516" s="7"/>
      <c r="I516" s="4"/>
      <c r="J516" s="4"/>
      <c r="K516" s="22"/>
      <c r="L516" s="4"/>
      <c r="M516" s="4"/>
      <c r="N516" s="4"/>
      <c r="O516" s="4"/>
      <c r="P516" s="4"/>
      <c r="Q516" s="4"/>
      <c r="R516" s="4"/>
      <c r="S516" s="7"/>
      <c r="T516" s="7"/>
      <c r="U516" s="7"/>
      <c r="V516" s="7"/>
      <c r="W516" s="7"/>
      <c r="X516" s="7"/>
      <c r="Y516" s="7"/>
      <c r="Z516" s="7"/>
    </row>
    <row r="517" ht="15.75" customHeight="1">
      <c r="A517" s="4"/>
      <c r="B517" s="4"/>
      <c r="C517" s="4"/>
      <c r="D517" s="4"/>
      <c r="E517" s="19"/>
      <c r="F517" s="4"/>
      <c r="G517" s="4"/>
      <c r="H517" s="7"/>
      <c r="I517" s="4"/>
      <c r="J517" s="4"/>
      <c r="K517" s="22"/>
      <c r="L517" s="4"/>
      <c r="M517" s="4"/>
      <c r="N517" s="4"/>
      <c r="O517" s="4"/>
      <c r="P517" s="4"/>
      <c r="Q517" s="4"/>
      <c r="R517" s="4"/>
      <c r="S517" s="7"/>
      <c r="T517" s="7"/>
      <c r="U517" s="7"/>
      <c r="V517" s="7"/>
      <c r="W517" s="7"/>
      <c r="X517" s="7"/>
      <c r="Y517" s="7"/>
      <c r="Z517" s="7"/>
    </row>
    <row r="518" ht="15.75" customHeight="1">
      <c r="A518" s="4"/>
      <c r="B518" s="4"/>
      <c r="C518" s="4"/>
      <c r="D518" s="4"/>
      <c r="E518" s="19"/>
      <c r="F518" s="4"/>
      <c r="G518" s="4"/>
      <c r="H518" s="7"/>
      <c r="I518" s="4"/>
      <c r="J518" s="4"/>
      <c r="K518" s="22"/>
      <c r="L518" s="4"/>
      <c r="M518" s="4"/>
      <c r="N518" s="4"/>
      <c r="O518" s="4"/>
      <c r="P518" s="4"/>
      <c r="Q518" s="4"/>
      <c r="R518" s="4"/>
      <c r="S518" s="7"/>
      <c r="T518" s="7"/>
      <c r="U518" s="7"/>
      <c r="V518" s="7"/>
      <c r="W518" s="7"/>
      <c r="X518" s="7"/>
      <c r="Y518" s="7"/>
      <c r="Z518" s="7"/>
    </row>
    <row r="519" ht="15.75" customHeight="1">
      <c r="A519" s="4"/>
      <c r="B519" s="4"/>
      <c r="C519" s="4"/>
      <c r="D519" s="4"/>
      <c r="E519" s="19"/>
      <c r="F519" s="4"/>
      <c r="G519" s="4"/>
      <c r="H519" s="7"/>
      <c r="I519" s="4"/>
      <c r="J519" s="4"/>
      <c r="K519" s="22"/>
      <c r="L519" s="4"/>
      <c r="M519" s="4"/>
      <c r="N519" s="4"/>
      <c r="O519" s="4"/>
      <c r="P519" s="4"/>
      <c r="Q519" s="4"/>
      <c r="R519" s="4"/>
      <c r="S519" s="7"/>
      <c r="T519" s="7"/>
      <c r="U519" s="7"/>
      <c r="V519" s="7"/>
      <c r="W519" s="7"/>
      <c r="X519" s="7"/>
      <c r="Y519" s="7"/>
      <c r="Z519" s="7"/>
    </row>
    <row r="520" ht="15.75" customHeight="1">
      <c r="A520" s="4"/>
      <c r="B520" s="4"/>
      <c r="C520" s="4"/>
      <c r="D520" s="4"/>
      <c r="E520" s="19"/>
      <c r="F520" s="4"/>
      <c r="G520" s="4"/>
      <c r="H520" s="7"/>
      <c r="I520" s="4"/>
      <c r="J520" s="4"/>
      <c r="K520" s="22"/>
      <c r="L520" s="4"/>
      <c r="M520" s="4"/>
      <c r="N520" s="4"/>
      <c r="O520" s="4"/>
      <c r="P520" s="4"/>
      <c r="Q520" s="4"/>
      <c r="R520" s="4"/>
      <c r="S520" s="7"/>
      <c r="T520" s="7"/>
      <c r="U520" s="7"/>
      <c r="V520" s="7"/>
      <c r="W520" s="7"/>
      <c r="X520" s="7"/>
      <c r="Y520" s="7"/>
      <c r="Z520" s="7"/>
    </row>
    <row r="521" ht="15.75" customHeight="1">
      <c r="A521" s="4"/>
      <c r="B521" s="4"/>
      <c r="C521" s="4"/>
      <c r="D521" s="4"/>
      <c r="E521" s="19"/>
      <c r="F521" s="4"/>
      <c r="G521" s="4"/>
      <c r="H521" s="7"/>
      <c r="I521" s="4"/>
      <c r="J521" s="4"/>
      <c r="K521" s="22"/>
      <c r="L521" s="4"/>
      <c r="M521" s="4"/>
      <c r="N521" s="4"/>
      <c r="O521" s="4"/>
      <c r="P521" s="4"/>
      <c r="Q521" s="4"/>
      <c r="R521" s="4"/>
      <c r="S521" s="7"/>
      <c r="T521" s="7"/>
      <c r="U521" s="7"/>
      <c r="V521" s="7"/>
      <c r="W521" s="7"/>
      <c r="X521" s="7"/>
      <c r="Y521" s="7"/>
      <c r="Z521" s="7"/>
    </row>
    <row r="522" ht="15.75" customHeight="1">
      <c r="A522" s="4"/>
      <c r="B522" s="4"/>
      <c r="C522" s="4"/>
      <c r="D522" s="4"/>
      <c r="E522" s="19"/>
      <c r="F522" s="4"/>
      <c r="G522" s="4"/>
      <c r="H522" s="7"/>
      <c r="I522" s="4"/>
      <c r="J522" s="4"/>
      <c r="K522" s="22"/>
      <c r="L522" s="4"/>
      <c r="M522" s="4"/>
      <c r="N522" s="4"/>
      <c r="O522" s="4"/>
      <c r="P522" s="4"/>
      <c r="Q522" s="4"/>
      <c r="R522" s="4"/>
      <c r="S522" s="7"/>
      <c r="T522" s="7"/>
      <c r="U522" s="7"/>
      <c r="V522" s="7"/>
      <c r="W522" s="7"/>
      <c r="X522" s="7"/>
      <c r="Y522" s="7"/>
      <c r="Z522" s="7"/>
    </row>
    <row r="523" ht="15.75" customHeight="1">
      <c r="A523" s="4"/>
      <c r="B523" s="4"/>
      <c r="C523" s="4"/>
      <c r="D523" s="4"/>
      <c r="E523" s="19"/>
      <c r="F523" s="4"/>
      <c r="G523" s="4"/>
      <c r="H523" s="7"/>
      <c r="I523" s="4"/>
      <c r="J523" s="4"/>
      <c r="K523" s="22"/>
      <c r="L523" s="4"/>
      <c r="M523" s="4"/>
      <c r="N523" s="4"/>
      <c r="O523" s="4"/>
      <c r="P523" s="4"/>
      <c r="Q523" s="4"/>
      <c r="R523" s="4"/>
      <c r="S523" s="7"/>
      <c r="T523" s="7"/>
      <c r="U523" s="7"/>
      <c r="V523" s="7"/>
      <c r="W523" s="7"/>
      <c r="X523" s="7"/>
      <c r="Y523" s="7"/>
      <c r="Z523" s="7"/>
    </row>
    <row r="524" ht="15.75" customHeight="1">
      <c r="A524" s="4"/>
      <c r="B524" s="4"/>
      <c r="C524" s="4"/>
      <c r="D524" s="4"/>
      <c r="E524" s="19"/>
      <c r="F524" s="4"/>
      <c r="G524" s="4"/>
      <c r="H524" s="7"/>
      <c r="I524" s="4"/>
      <c r="J524" s="4"/>
      <c r="K524" s="22"/>
      <c r="L524" s="4"/>
      <c r="M524" s="4"/>
      <c r="N524" s="4"/>
      <c r="O524" s="4"/>
      <c r="P524" s="4"/>
      <c r="Q524" s="4"/>
      <c r="R524" s="4"/>
      <c r="S524" s="7"/>
      <c r="T524" s="7"/>
      <c r="U524" s="7"/>
      <c r="V524" s="7"/>
      <c r="W524" s="7"/>
      <c r="X524" s="7"/>
      <c r="Y524" s="7"/>
      <c r="Z524" s="7"/>
    </row>
    <row r="525" ht="15.75" customHeight="1">
      <c r="A525" s="4"/>
      <c r="B525" s="4"/>
      <c r="C525" s="4"/>
      <c r="D525" s="4"/>
      <c r="E525" s="19"/>
      <c r="F525" s="4"/>
      <c r="G525" s="4"/>
      <c r="H525" s="7"/>
      <c r="I525" s="4"/>
      <c r="J525" s="4"/>
      <c r="K525" s="22"/>
      <c r="L525" s="4"/>
      <c r="M525" s="4"/>
      <c r="N525" s="4"/>
      <c r="O525" s="4"/>
      <c r="P525" s="4"/>
      <c r="Q525" s="4"/>
      <c r="R525" s="4"/>
      <c r="S525" s="7"/>
      <c r="T525" s="7"/>
      <c r="U525" s="7"/>
      <c r="V525" s="7"/>
      <c r="W525" s="7"/>
      <c r="X525" s="7"/>
      <c r="Y525" s="7"/>
      <c r="Z525" s="7"/>
    </row>
    <row r="526" ht="15.75" customHeight="1">
      <c r="A526" s="4"/>
      <c r="B526" s="4"/>
      <c r="C526" s="4"/>
      <c r="D526" s="4"/>
      <c r="E526" s="19"/>
      <c r="F526" s="4"/>
      <c r="G526" s="4"/>
      <c r="H526" s="7"/>
      <c r="I526" s="4"/>
      <c r="J526" s="4"/>
      <c r="K526" s="22"/>
      <c r="L526" s="4"/>
      <c r="M526" s="4"/>
      <c r="N526" s="4"/>
      <c r="O526" s="4"/>
      <c r="P526" s="4"/>
      <c r="Q526" s="4"/>
      <c r="R526" s="4"/>
      <c r="S526" s="7"/>
      <c r="T526" s="7"/>
      <c r="U526" s="7"/>
      <c r="V526" s="7"/>
      <c r="W526" s="7"/>
      <c r="X526" s="7"/>
      <c r="Y526" s="7"/>
      <c r="Z526" s="7"/>
    </row>
    <row r="527" ht="15.75" customHeight="1">
      <c r="A527" s="4"/>
      <c r="B527" s="4"/>
      <c r="C527" s="4"/>
      <c r="D527" s="4"/>
      <c r="E527" s="19"/>
      <c r="F527" s="4"/>
      <c r="G527" s="4"/>
      <c r="H527" s="7"/>
      <c r="I527" s="4"/>
      <c r="J527" s="4"/>
      <c r="K527" s="22"/>
      <c r="L527" s="4"/>
      <c r="M527" s="4"/>
      <c r="N527" s="4"/>
      <c r="O527" s="4"/>
      <c r="P527" s="4"/>
      <c r="Q527" s="4"/>
      <c r="R527" s="4"/>
      <c r="S527" s="7"/>
      <c r="T527" s="7"/>
      <c r="U527" s="7"/>
      <c r="V527" s="7"/>
      <c r="W527" s="7"/>
      <c r="X527" s="7"/>
      <c r="Y527" s="7"/>
      <c r="Z527" s="7"/>
    </row>
    <row r="528" ht="15.75" customHeight="1">
      <c r="A528" s="4"/>
      <c r="B528" s="4"/>
      <c r="C528" s="4"/>
      <c r="D528" s="4"/>
      <c r="E528" s="19"/>
      <c r="F528" s="4"/>
      <c r="G528" s="4"/>
      <c r="H528" s="7"/>
      <c r="I528" s="4"/>
      <c r="J528" s="4"/>
      <c r="K528" s="22"/>
      <c r="L528" s="4"/>
      <c r="M528" s="4"/>
      <c r="N528" s="4"/>
      <c r="O528" s="4"/>
      <c r="P528" s="4"/>
      <c r="Q528" s="4"/>
      <c r="R528" s="4"/>
      <c r="S528" s="7"/>
      <c r="T528" s="7"/>
      <c r="U528" s="7"/>
      <c r="V528" s="7"/>
      <c r="W528" s="7"/>
      <c r="X528" s="7"/>
      <c r="Y528" s="7"/>
      <c r="Z528" s="7"/>
    </row>
    <row r="529" ht="15.75" customHeight="1">
      <c r="A529" s="4"/>
      <c r="B529" s="4"/>
      <c r="C529" s="4"/>
      <c r="D529" s="4"/>
      <c r="E529" s="19"/>
      <c r="F529" s="4"/>
      <c r="G529" s="4"/>
      <c r="H529" s="7"/>
      <c r="I529" s="4"/>
      <c r="J529" s="4"/>
      <c r="K529" s="22"/>
      <c r="L529" s="4"/>
      <c r="M529" s="4"/>
      <c r="N529" s="4"/>
      <c r="O529" s="4"/>
      <c r="P529" s="4"/>
      <c r="Q529" s="4"/>
      <c r="R529" s="4"/>
      <c r="S529" s="7"/>
      <c r="T529" s="7"/>
      <c r="U529" s="7"/>
      <c r="V529" s="7"/>
      <c r="W529" s="7"/>
      <c r="X529" s="7"/>
      <c r="Y529" s="7"/>
      <c r="Z529" s="7"/>
    </row>
    <row r="530" ht="15.75" customHeight="1">
      <c r="A530" s="4"/>
      <c r="B530" s="4"/>
      <c r="C530" s="4"/>
      <c r="D530" s="4"/>
      <c r="E530" s="19"/>
      <c r="F530" s="4"/>
      <c r="G530" s="4"/>
      <c r="H530" s="7"/>
      <c r="I530" s="4"/>
      <c r="J530" s="4"/>
      <c r="K530" s="22"/>
      <c r="L530" s="4"/>
      <c r="M530" s="4"/>
      <c r="N530" s="4"/>
      <c r="O530" s="4"/>
      <c r="P530" s="4"/>
      <c r="Q530" s="4"/>
      <c r="R530" s="4"/>
      <c r="S530" s="7"/>
      <c r="T530" s="7"/>
      <c r="U530" s="7"/>
      <c r="V530" s="7"/>
      <c r="W530" s="7"/>
      <c r="X530" s="7"/>
      <c r="Y530" s="7"/>
      <c r="Z530" s="7"/>
    </row>
    <row r="531" ht="15.75" customHeight="1">
      <c r="A531" s="4"/>
      <c r="B531" s="4"/>
      <c r="C531" s="4"/>
      <c r="D531" s="4"/>
      <c r="E531" s="19"/>
      <c r="F531" s="4"/>
      <c r="G531" s="4"/>
      <c r="H531" s="7"/>
      <c r="I531" s="4"/>
      <c r="J531" s="4"/>
      <c r="K531" s="22"/>
      <c r="L531" s="4"/>
      <c r="M531" s="4"/>
      <c r="N531" s="4"/>
      <c r="O531" s="4"/>
      <c r="P531" s="4"/>
      <c r="Q531" s="4"/>
      <c r="R531" s="4"/>
      <c r="S531" s="7"/>
      <c r="T531" s="7"/>
      <c r="U531" s="7"/>
      <c r="V531" s="7"/>
      <c r="W531" s="7"/>
      <c r="X531" s="7"/>
      <c r="Y531" s="7"/>
      <c r="Z531" s="7"/>
    </row>
    <row r="532" ht="15.75" customHeight="1">
      <c r="A532" s="4"/>
      <c r="B532" s="4"/>
      <c r="C532" s="4"/>
      <c r="D532" s="4"/>
      <c r="E532" s="19"/>
      <c r="F532" s="4"/>
      <c r="G532" s="4"/>
      <c r="H532" s="7"/>
      <c r="I532" s="4"/>
      <c r="J532" s="4"/>
      <c r="K532" s="22"/>
      <c r="L532" s="4"/>
      <c r="M532" s="4"/>
      <c r="N532" s="4"/>
      <c r="O532" s="4"/>
      <c r="P532" s="4"/>
      <c r="Q532" s="4"/>
      <c r="R532" s="4"/>
      <c r="S532" s="7"/>
      <c r="T532" s="7"/>
      <c r="U532" s="7"/>
      <c r="V532" s="7"/>
      <c r="W532" s="7"/>
      <c r="X532" s="7"/>
      <c r="Y532" s="7"/>
      <c r="Z532" s="7"/>
    </row>
    <row r="533" ht="15.75" customHeight="1">
      <c r="A533" s="4"/>
      <c r="B533" s="4"/>
      <c r="C533" s="4"/>
      <c r="D533" s="4"/>
      <c r="E533" s="19"/>
      <c r="F533" s="4"/>
      <c r="G533" s="4"/>
      <c r="H533" s="7"/>
      <c r="I533" s="4"/>
      <c r="J533" s="4"/>
      <c r="K533" s="22"/>
      <c r="L533" s="4"/>
      <c r="M533" s="4"/>
      <c r="N533" s="4"/>
      <c r="O533" s="4"/>
      <c r="P533" s="4"/>
      <c r="Q533" s="4"/>
      <c r="R533" s="4"/>
      <c r="S533" s="7"/>
      <c r="T533" s="7"/>
      <c r="U533" s="7"/>
      <c r="V533" s="7"/>
      <c r="W533" s="7"/>
      <c r="X533" s="7"/>
      <c r="Y533" s="7"/>
      <c r="Z533" s="7"/>
    </row>
    <row r="534" ht="15.75" customHeight="1">
      <c r="A534" s="4"/>
      <c r="B534" s="4"/>
      <c r="C534" s="4"/>
      <c r="D534" s="4"/>
      <c r="E534" s="19"/>
      <c r="F534" s="4"/>
      <c r="G534" s="4"/>
      <c r="H534" s="7"/>
      <c r="I534" s="4"/>
      <c r="J534" s="4"/>
      <c r="K534" s="22"/>
      <c r="L534" s="4"/>
      <c r="M534" s="4"/>
      <c r="N534" s="4"/>
      <c r="O534" s="4"/>
      <c r="P534" s="4"/>
      <c r="Q534" s="4"/>
      <c r="R534" s="4"/>
      <c r="S534" s="7"/>
      <c r="T534" s="7"/>
      <c r="U534" s="7"/>
      <c r="V534" s="7"/>
      <c r="W534" s="7"/>
      <c r="X534" s="7"/>
      <c r="Y534" s="7"/>
      <c r="Z534" s="7"/>
    </row>
    <row r="535" ht="15.75" customHeight="1">
      <c r="A535" s="4"/>
      <c r="B535" s="4"/>
      <c r="C535" s="4"/>
      <c r="D535" s="4"/>
      <c r="E535" s="19"/>
      <c r="F535" s="4"/>
      <c r="G535" s="4"/>
      <c r="H535" s="7"/>
      <c r="I535" s="4"/>
      <c r="J535" s="4"/>
      <c r="K535" s="22"/>
      <c r="L535" s="4"/>
      <c r="M535" s="4"/>
      <c r="N535" s="4"/>
      <c r="O535" s="4"/>
      <c r="P535" s="4"/>
      <c r="Q535" s="4"/>
      <c r="R535" s="4"/>
      <c r="S535" s="7"/>
      <c r="T535" s="7"/>
      <c r="U535" s="7"/>
      <c r="V535" s="7"/>
      <c r="W535" s="7"/>
      <c r="X535" s="7"/>
      <c r="Y535" s="7"/>
      <c r="Z535" s="7"/>
    </row>
    <row r="536" ht="15.75" customHeight="1">
      <c r="A536" s="4"/>
      <c r="B536" s="4"/>
      <c r="C536" s="4"/>
      <c r="D536" s="4"/>
      <c r="E536" s="19"/>
      <c r="F536" s="4"/>
      <c r="G536" s="4"/>
      <c r="H536" s="7"/>
      <c r="I536" s="4"/>
      <c r="J536" s="4"/>
      <c r="K536" s="22"/>
      <c r="L536" s="4"/>
      <c r="M536" s="4"/>
      <c r="N536" s="4"/>
      <c r="O536" s="4"/>
      <c r="P536" s="4"/>
      <c r="Q536" s="4"/>
      <c r="R536" s="4"/>
      <c r="S536" s="7"/>
      <c r="T536" s="7"/>
      <c r="U536" s="7"/>
      <c r="V536" s="7"/>
      <c r="W536" s="7"/>
      <c r="X536" s="7"/>
      <c r="Y536" s="7"/>
      <c r="Z536" s="7"/>
    </row>
    <row r="537" ht="15.75" customHeight="1">
      <c r="A537" s="4"/>
      <c r="B537" s="4"/>
      <c r="C537" s="4"/>
      <c r="D537" s="4"/>
      <c r="E537" s="19"/>
      <c r="F537" s="4"/>
      <c r="G537" s="4"/>
      <c r="H537" s="7"/>
      <c r="I537" s="4"/>
      <c r="J537" s="4"/>
      <c r="K537" s="22"/>
      <c r="L537" s="4"/>
      <c r="M537" s="4"/>
      <c r="N537" s="4"/>
      <c r="O537" s="4"/>
      <c r="P537" s="4"/>
      <c r="Q537" s="4"/>
      <c r="R537" s="4"/>
      <c r="S537" s="7"/>
      <c r="T537" s="7"/>
      <c r="U537" s="7"/>
      <c r="V537" s="7"/>
      <c r="W537" s="7"/>
      <c r="X537" s="7"/>
      <c r="Y537" s="7"/>
      <c r="Z537" s="7"/>
    </row>
    <row r="538" ht="15.75" customHeight="1">
      <c r="A538" s="4"/>
      <c r="B538" s="4"/>
      <c r="C538" s="4"/>
      <c r="D538" s="4"/>
      <c r="E538" s="19"/>
      <c r="F538" s="4"/>
      <c r="G538" s="4"/>
      <c r="H538" s="7"/>
      <c r="I538" s="4"/>
      <c r="J538" s="4"/>
      <c r="K538" s="22"/>
      <c r="L538" s="4"/>
      <c r="M538" s="4"/>
      <c r="N538" s="4"/>
      <c r="O538" s="4"/>
      <c r="P538" s="4"/>
      <c r="Q538" s="4"/>
      <c r="R538" s="4"/>
      <c r="S538" s="7"/>
      <c r="T538" s="7"/>
      <c r="U538" s="7"/>
      <c r="V538" s="7"/>
      <c r="W538" s="7"/>
      <c r="X538" s="7"/>
      <c r="Y538" s="7"/>
      <c r="Z538" s="7"/>
    </row>
    <row r="539" ht="15.75" customHeight="1">
      <c r="A539" s="4"/>
      <c r="B539" s="4"/>
      <c r="C539" s="4"/>
      <c r="D539" s="4"/>
      <c r="E539" s="19"/>
      <c r="F539" s="4"/>
      <c r="G539" s="4"/>
      <c r="H539" s="7"/>
      <c r="I539" s="4"/>
      <c r="J539" s="4"/>
      <c r="K539" s="22"/>
      <c r="L539" s="4"/>
      <c r="M539" s="4"/>
      <c r="N539" s="4"/>
      <c r="O539" s="4"/>
      <c r="P539" s="4"/>
      <c r="Q539" s="4"/>
      <c r="R539" s="4"/>
      <c r="S539" s="7"/>
      <c r="T539" s="7"/>
      <c r="U539" s="7"/>
      <c r="V539" s="7"/>
      <c r="W539" s="7"/>
      <c r="X539" s="7"/>
      <c r="Y539" s="7"/>
      <c r="Z539" s="7"/>
    </row>
    <row r="540" ht="15.75" customHeight="1">
      <c r="A540" s="4"/>
      <c r="B540" s="4"/>
      <c r="C540" s="4"/>
      <c r="D540" s="4"/>
      <c r="E540" s="19"/>
      <c r="F540" s="4"/>
      <c r="G540" s="4"/>
      <c r="H540" s="7"/>
      <c r="I540" s="4"/>
      <c r="J540" s="4"/>
      <c r="K540" s="22"/>
      <c r="L540" s="4"/>
      <c r="M540" s="4"/>
      <c r="N540" s="4"/>
      <c r="O540" s="4"/>
      <c r="P540" s="4"/>
      <c r="Q540" s="4"/>
      <c r="R540" s="4"/>
      <c r="S540" s="7"/>
      <c r="T540" s="7"/>
      <c r="U540" s="7"/>
      <c r="V540" s="7"/>
      <c r="W540" s="7"/>
      <c r="X540" s="7"/>
      <c r="Y540" s="7"/>
      <c r="Z540" s="7"/>
    </row>
    <row r="541" ht="15.75" customHeight="1">
      <c r="A541" s="4"/>
      <c r="B541" s="4"/>
      <c r="C541" s="4"/>
      <c r="D541" s="4"/>
      <c r="E541" s="19"/>
      <c r="F541" s="4"/>
      <c r="G541" s="4"/>
      <c r="H541" s="7"/>
      <c r="I541" s="4"/>
      <c r="J541" s="4"/>
      <c r="K541" s="22"/>
      <c r="L541" s="4"/>
      <c r="M541" s="4"/>
      <c r="N541" s="4"/>
      <c r="O541" s="4"/>
      <c r="P541" s="4"/>
      <c r="Q541" s="4"/>
      <c r="R541" s="4"/>
      <c r="S541" s="7"/>
      <c r="T541" s="7"/>
      <c r="U541" s="7"/>
      <c r="V541" s="7"/>
      <c r="W541" s="7"/>
      <c r="X541" s="7"/>
      <c r="Y541" s="7"/>
      <c r="Z541" s="7"/>
    </row>
    <row r="542" ht="15.75" customHeight="1">
      <c r="A542" s="4"/>
      <c r="B542" s="4"/>
      <c r="C542" s="4"/>
      <c r="D542" s="4"/>
      <c r="E542" s="19"/>
      <c r="F542" s="4"/>
      <c r="G542" s="4"/>
      <c r="H542" s="7"/>
      <c r="I542" s="4"/>
      <c r="J542" s="4"/>
      <c r="K542" s="22"/>
      <c r="L542" s="4"/>
      <c r="M542" s="4"/>
      <c r="N542" s="4"/>
      <c r="O542" s="4"/>
      <c r="P542" s="4"/>
      <c r="Q542" s="4"/>
      <c r="R542" s="4"/>
      <c r="S542" s="7"/>
      <c r="T542" s="7"/>
      <c r="U542" s="7"/>
      <c r="V542" s="7"/>
      <c r="W542" s="7"/>
      <c r="X542" s="7"/>
      <c r="Y542" s="7"/>
      <c r="Z542" s="7"/>
    </row>
    <row r="543" ht="15.75" customHeight="1">
      <c r="A543" s="4"/>
      <c r="B543" s="4"/>
      <c r="C543" s="4"/>
      <c r="D543" s="4"/>
      <c r="E543" s="19"/>
      <c r="F543" s="4"/>
      <c r="G543" s="4"/>
      <c r="H543" s="7"/>
      <c r="I543" s="4"/>
      <c r="J543" s="4"/>
      <c r="K543" s="22"/>
      <c r="L543" s="4"/>
      <c r="M543" s="4"/>
      <c r="N543" s="4"/>
      <c r="O543" s="4"/>
      <c r="P543" s="4"/>
      <c r="Q543" s="4"/>
      <c r="R543" s="4"/>
      <c r="S543" s="7"/>
      <c r="T543" s="7"/>
      <c r="U543" s="7"/>
      <c r="V543" s="7"/>
      <c r="W543" s="7"/>
      <c r="X543" s="7"/>
      <c r="Y543" s="7"/>
      <c r="Z543" s="7"/>
    </row>
    <row r="544" ht="15.75" customHeight="1">
      <c r="A544" s="4"/>
      <c r="B544" s="4"/>
      <c r="C544" s="4"/>
      <c r="D544" s="4"/>
      <c r="E544" s="19"/>
      <c r="F544" s="4"/>
      <c r="G544" s="4"/>
      <c r="H544" s="7"/>
      <c r="I544" s="4"/>
      <c r="J544" s="4"/>
      <c r="K544" s="22"/>
      <c r="L544" s="4"/>
      <c r="M544" s="4"/>
      <c r="N544" s="4"/>
      <c r="O544" s="4"/>
      <c r="P544" s="4"/>
      <c r="Q544" s="4"/>
      <c r="R544" s="4"/>
      <c r="S544" s="7"/>
      <c r="T544" s="7"/>
      <c r="U544" s="7"/>
      <c r="V544" s="7"/>
      <c r="W544" s="7"/>
      <c r="X544" s="7"/>
      <c r="Y544" s="7"/>
      <c r="Z544" s="7"/>
    </row>
    <row r="545" ht="15.75" customHeight="1">
      <c r="A545" s="4"/>
      <c r="B545" s="4"/>
      <c r="C545" s="4"/>
      <c r="D545" s="4"/>
      <c r="E545" s="19"/>
      <c r="F545" s="4"/>
      <c r="G545" s="4"/>
      <c r="H545" s="7"/>
      <c r="I545" s="4"/>
      <c r="J545" s="4"/>
      <c r="K545" s="22"/>
      <c r="L545" s="4"/>
      <c r="M545" s="4"/>
      <c r="N545" s="4"/>
      <c r="O545" s="4"/>
      <c r="P545" s="4"/>
      <c r="Q545" s="4"/>
      <c r="R545" s="4"/>
      <c r="S545" s="7"/>
      <c r="T545" s="7"/>
      <c r="U545" s="7"/>
      <c r="V545" s="7"/>
      <c r="W545" s="7"/>
      <c r="X545" s="7"/>
      <c r="Y545" s="7"/>
      <c r="Z545" s="7"/>
    </row>
    <row r="546" ht="15.75" customHeight="1">
      <c r="A546" s="4"/>
      <c r="B546" s="4"/>
      <c r="C546" s="4"/>
      <c r="D546" s="4"/>
      <c r="E546" s="19"/>
      <c r="F546" s="4"/>
      <c r="G546" s="4"/>
      <c r="H546" s="7"/>
      <c r="I546" s="4"/>
      <c r="J546" s="4"/>
      <c r="K546" s="22"/>
      <c r="L546" s="4"/>
      <c r="M546" s="4"/>
      <c r="N546" s="4"/>
      <c r="O546" s="4"/>
      <c r="P546" s="4"/>
      <c r="Q546" s="4"/>
      <c r="R546" s="4"/>
      <c r="S546" s="7"/>
      <c r="T546" s="7"/>
      <c r="U546" s="7"/>
      <c r="V546" s="7"/>
      <c r="W546" s="7"/>
      <c r="X546" s="7"/>
      <c r="Y546" s="7"/>
      <c r="Z546" s="7"/>
    </row>
    <row r="547" ht="15.75" customHeight="1">
      <c r="A547" s="4"/>
      <c r="B547" s="4"/>
      <c r="C547" s="4"/>
      <c r="D547" s="4"/>
      <c r="E547" s="19"/>
      <c r="F547" s="4"/>
      <c r="G547" s="4"/>
      <c r="H547" s="7"/>
      <c r="I547" s="4"/>
      <c r="J547" s="4"/>
      <c r="K547" s="22"/>
      <c r="L547" s="4"/>
      <c r="M547" s="4"/>
      <c r="N547" s="4"/>
      <c r="O547" s="4"/>
      <c r="P547" s="4"/>
      <c r="Q547" s="4"/>
      <c r="R547" s="4"/>
      <c r="S547" s="7"/>
      <c r="T547" s="7"/>
      <c r="U547" s="7"/>
      <c r="V547" s="7"/>
      <c r="W547" s="7"/>
      <c r="X547" s="7"/>
      <c r="Y547" s="7"/>
      <c r="Z547" s="7"/>
    </row>
    <row r="548" ht="15.75" customHeight="1">
      <c r="A548" s="4"/>
      <c r="B548" s="4"/>
      <c r="C548" s="4"/>
      <c r="D548" s="4"/>
      <c r="E548" s="19"/>
      <c r="F548" s="4"/>
      <c r="G548" s="4"/>
      <c r="H548" s="7"/>
      <c r="I548" s="4"/>
      <c r="J548" s="4"/>
      <c r="K548" s="22"/>
      <c r="L548" s="4"/>
      <c r="M548" s="4"/>
      <c r="N548" s="4"/>
      <c r="O548" s="4"/>
      <c r="P548" s="4"/>
      <c r="Q548" s="4"/>
      <c r="R548" s="4"/>
      <c r="S548" s="7"/>
      <c r="T548" s="7"/>
      <c r="U548" s="7"/>
      <c r="V548" s="7"/>
      <c r="W548" s="7"/>
      <c r="X548" s="7"/>
      <c r="Y548" s="7"/>
      <c r="Z548" s="7"/>
    </row>
    <row r="549" ht="15.75" customHeight="1">
      <c r="A549" s="4"/>
      <c r="B549" s="4"/>
      <c r="C549" s="4"/>
      <c r="D549" s="4"/>
      <c r="E549" s="19"/>
      <c r="F549" s="4"/>
      <c r="G549" s="4"/>
      <c r="H549" s="7"/>
      <c r="I549" s="4"/>
      <c r="J549" s="4"/>
      <c r="K549" s="22"/>
      <c r="L549" s="4"/>
      <c r="M549" s="4"/>
      <c r="N549" s="4"/>
      <c r="O549" s="4"/>
      <c r="P549" s="4"/>
      <c r="Q549" s="4"/>
      <c r="R549" s="4"/>
      <c r="S549" s="7"/>
      <c r="T549" s="7"/>
      <c r="U549" s="7"/>
      <c r="V549" s="7"/>
      <c r="W549" s="7"/>
      <c r="X549" s="7"/>
      <c r="Y549" s="7"/>
      <c r="Z549" s="7"/>
    </row>
    <row r="550" ht="15.75" customHeight="1">
      <c r="A550" s="4"/>
      <c r="B550" s="4"/>
      <c r="C550" s="4"/>
      <c r="D550" s="4"/>
      <c r="E550" s="19"/>
      <c r="F550" s="4"/>
      <c r="G550" s="4"/>
      <c r="H550" s="7"/>
      <c r="I550" s="4"/>
      <c r="J550" s="4"/>
      <c r="K550" s="22"/>
      <c r="L550" s="4"/>
      <c r="M550" s="4"/>
      <c r="N550" s="4"/>
      <c r="O550" s="4"/>
      <c r="P550" s="4"/>
      <c r="Q550" s="4"/>
      <c r="R550" s="4"/>
      <c r="S550" s="7"/>
      <c r="T550" s="7"/>
      <c r="U550" s="7"/>
      <c r="V550" s="7"/>
      <c r="W550" s="7"/>
      <c r="X550" s="7"/>
      <c r="Y550" s="7"/>
      <c r="Z550" s="7"/>
    </row>
    <row r="551" ht="15.75" customHeight="1">
      <c r="A551" s="4"/>
      <c r="B551" s="4"/>
      <c r="C551" s="4"/>
      <c r="D551" s="4"/>
      <c r="E551" s="19"/>
      <c r="F551" s="4"/>
      <c r="G551" s="4"/>
      <c r="H551" s="7"/>
      <c r="I551" s="4"/>
      <c r="J551" s="4"/>
      <c r="K551" s="22"/>
      <c r="L551" s="4"/>
      <c r="M551" s="4"/>
      <c r="N551" s="4"/>
      <c r="O551" s="4"/>
      <c r="P551" s="4"/>
      <c r="Q551" s="4"/>
      <c r="R551" s="4"/>
      <c r="S551" s="7"/>
      <c r="T551" s="7"/>
      <c r="U551" s="7"/>
      <c r="V551" s="7"/>
      <c r="W551" s="7"/>
      <c r="X551" s="7"/>
      <c r="Y551" s="7"/>
      <c r="Z551" s="7"/>
    </row>
    <row r="552" ht="15.75" customHeight="1">
      <c r="A552" s="4"/>
      <c r="B552" s="4"/>
      <c r="C552" s="4"/>
      <c r="D552" s="4"/>
      <c r="E552" s="19"/>
      <c r="F552" s="4"/>
      <c r="G552" s="4"/>
      <c r="H552" s="7"/>
      <c r="I552" s="4"/>
      <c r="J552" s="4"/>
      <c r="K552" s="22"/>
      <c r="L552" s="4"/>
      <c r="M552" s="4"/>
      <c r="N552" s="4"/>
      <c r="O552" s="4"/>
      <c r="P552" s="4"/>
      <c r="Q552" s="4"/>
      <c r="R552" s="4"/>
      <c r="S552" s="7"/>
      <c r="T552" s="7"/>
      <c r="U552" s="7"/>
      <c r="V552" s="7"/>
      <c r="W552" s="7"/>
      <c r="X552" s="7"/>
      <c r="Y552" s="7"/>
      <c r="Z552" s="7"/>
    </row>
    <row r="553" ht="15.75" customHeight="1">
      <c r="A553" s="4"/>
      <c r="B553" s="4"/>
      <c r="C553" s="4"/>
      <c r="D553" s="4"/>
      <c r="E553" s="19"/>
      <c r="F553" s="4"/>
      <c r="G553" s="4"/>
      <c r="H553" s="7"/>
      <c r="I553" s="4"/>
      <c r="J553" s="4"/>
      <c r="K553" s="22"/>
      <c r="L553" s="4"/>
      <c r="M553" s="4"/>
      <c r="N553" s="4"/>
      <c r="O553" s="4"/>
      <c r="P553" s="4"/>
      <c r="Q553" s="4"/>
      <c r="R553" s="4"/>
      <c r="S553" s="7"/>
      <c r="T553" s="7"/>
      <c r="U553" s="7"/>
      <c r="V553" s="7"/>
      <c r="W553" s="7"/>
      <c r="X553" s="7"/>
      <c r="Y553" s="7"/>
      <c r="Z553" s="7"/>
    </row>
    <row r="554" ht="15.75" customHeight="1">
      <c r="A554" s="4"/>
      <c r="B554" s="4"/>
      <c r="C554" s="4"/>
      <c r="D554" s="4"/>
      <c r="E554" s="19"/>
      <c r="F554" s="4"/>
      <c r="G554" s="4"/>
      <c r="H554" s="7"/>
      <c r="I554" s="4"/>
      <c r="J554" s="4"/>
      <c r="K554" s="22"/>
      <c r="L554" s="4"/>
      <c r="M554" s="4"/>
      <c r="N554" s="4"/>
      <c r="O554" s="4"/>
      <c r="P554" s="4"/>
      <c r="Q554" s="4"/>
      <c r="R554" s="4"/>
      <c r="S554" s="7"/>
      <c r="T554" s="7"/>
      <c r="U554" s="7"/>
      <c r="V554" s="7"/>
      <c r="W554" s="7"/>
      <c r="X554" s="7"/>
      <c r="Y554" s="7"/>
      <c r="Z554" s="7"/>
    </row>
    <row r="555" ht="15.75" customHeight="1">
      <c r="A555" s="4"/>
      <c r="B555" s="4"/>
      <c r="C555" s="4"/>
      <c r="D555" s="4"/>
      <c r="E555" s="19"/>
      <c r="F555" s="4"/>
      <c r="G555" s="4"/>
      <c r="H555" s="7"/>
      <c r="I555" s="4"/>
      <c r="J555" s="4"/>
      <c r="K555" s="22"/>
      <c r="L555" s="4"/>
      <c r="M555" s="4"/>
      <c r="N555" s="4"/>
      <c r="O555" s="4"/>
      <c r="P555" s="4"/>
      <c r="Q555" s="4"/>
      <c r="R555" s="4"/>
      <c r="S555" s="7"/>
      <c r="T555" s="7"/>
      <c r="U555" s="7"/>
      <c r="V555" s="7"/>
      <c r="W555" s="7"/>
      <c r="X555" s="7"/>
      <c r="Y555" s="7"/>
      <c r="Z555" s="7"/>
    </row>
    <row r="556" ht="15.75" customHeight="1">
      <c r="A556" s="4"/>
      <c r="B556" s="4"/>
      <c r="C556" s="4"/>
      <c r="D556" s="4"/>
      <c r="E556" s="19"/>
      <c r="F556" s="4"/>
      <c r="G556" s="4"/>
      <c r="H556" s="7"/>
      <c r="I556" s="4"/>
      <c r="J556" s="4"/>
      <c r="K556" s="22"/>
      <c r="L556" s="4"/>
      <c r="M556" s="4"/>
      <c r="N556" s="4"/>
      <c r="O556" s="4"/>
      <c r="P556" s="4"/>
      <c r="Q556" s="4"/>
      <c r="R556" s="4"/>
      <c r="S556" s="7"/>
      <c r="T556" s="7"/>
      <c r="U556" s="7"/>
      <c r="V556" s="7"/>
      <c r="W556" s="7"/>
      <c r="X556" s="7"/>
      <c r="Y556" s="7"/>
      <c r="Z556" s="7"/>
    </row>
    <row r="557" ht="15.75" customHeight="1">
      <c r="A557" s="4"/>
      <c r="B557" s="4"/>
      <c r="C557" s="4"/>
      <c r="D557" s="4"/>
      <c r="E557" s="19"/>
      <c r="F557" s="4"/>
      <c r="G557" s="4"/>
      <c r="H557" s="7"/>
      <c r="I557" s="4"/>
      <c r="J557" s="4"/>
      <c r="K557" s="22"/>
      <c r="L557" s="4"/>
      <c r="M557" s="4"/>
      <c r="N557" s="4"/>
      <c r="O557" s="4"/>
      <c r="P557" s="4"/>
      <c r="Q557" s="4"/>
      <c r="R557" s="4"/>
      <c r="S557" s="7"/>
      <c r="T557" s="7"/>
      <c r="U557" s="7"/>
      <c r="V557" s="7"/>
      <c r="W557" s="7"/>
      <c r="X557" s="7"/>
      <c r="Y557" s="7"/>
      <c r="Z557" s="7"/>
    </row>
    <row r="558" ht="15.75" customHeight="1">
      <c r="A558" s="4"/>
      <c r="B558" s="4"/>
      <c r="C558" s="4"/>
      <c r="D558" s="4"/>
      <c r="E558" s="19"/>
      <c r="F558" s="4"/>
      <c r="G558" s="4"/>
      <c r="H558" s="7"/>
      <c r="I558" s="4"/>
      <c r="J558" s="4"/>
      <c r="K558" s="22"/>
      <c r="L558" s="4"/>
      <c r="M558" s="4"/>
      <c r="N558" s="4"/>
      <c r="O558" s="4"/>
      <c r="P558" s="4"/>
      <c r="Q558" s="4"/>
      <c r="R558" s="4"/>
      <c r="S558" s="7"/>
      <c r="T558" s="7"/>
      <c r="U558" s="7"/>
      <c r="V558" s="7"/>
      <c r="W558" s="7"/>
      <c r="X558" s="7"/>
      <c r="Y558" s="7"/>
      <c r="Z558" s="7"/>
    </row>
    <row r="559" ht="15.75" customHeight="1">
      <c r="A559" s="4"/>
      <c r="B559" s="4"/>
      <c r="C559" s="4"/>
      <c r="D559" s="4"/>
      <c r="E559" s="19"/>
      <c r="F559" s="4"/>
      <c r="G559" s="4"/>
      <c r="H559" s="7"/>
      <c r="I559" s="4"/>
      <c r="J559" s="4"/>
      <c r="K559" s="22"/>
      <c r="L559" s="4"/>
      <c r="M559" s="4"/>
      <c r="N559" s="4"/>
      <c r="O559" s="4"/>
      <c r="P559" s="4"/>
      <c r="Q559" s="4"/>
      <c r="R559" s="4"/>
      <c r="S559" s="7"/>
      <c r="T559" s="7"/>
      <c r="U559" s="7"/>
      <c r="V559" s="7"/>
      <c r="W559" s="7"/>
      <c r="X559" s="7"/>
      <c r="Y559" s="7"/>
      <c r="Z559" s="7"/>
    </row>
    <row r="560" ht="15.75" customHeight="1">
      <c r="A560" s="4"/>
      <c r="B560" s="4"/>
      <c r="C560" s="4"/>
      <c r="D560" s="4"/>
      <c r="E560" s="19"/>
      <c r="F560" s="4"/>
      <c r="G560" s="4"/>
      <c r="H560" s="7"/>
      <c r="I560" s="4"/>
      <c r="J560" s="4"/>
      <c r="K560" s="22"/>
      <c r="L560" s="4"/>
      <c r="M560" s="4"/>
      <c r="N560" s="4"/>
      <c r="O560" s="4"/>
      <c r="P560" s="4"/>
      <c r="Q560" s="4"/>
      <c r="R560" s="4"/>
      <c r="S560" s="7"/>
      <c r="T560" s="7"/>
      <c r="U560" s="7"/>
      <c r="V560" s="7"/>
      <c r="W560" s="7"/>
      <c r="X560" s="7"/>
      <c r="Y560" s="7"/>
      <c r="Z560" s="7"/>
    </row>
    <row r="561" ht="15.75" customHeight="1">
      <c r="A561" s="4"/>
      <c r="B561" s="4"/>
      <c r="C561" s="4"/>
      <c r="D561" s="4"/>
      <c r="E561" s="19"/>
      <c r="F561" s="4"/>
      <c r="G561" s="4"/>
      <c r="H561" s="7"/>
      <c r="I561" s="4"/>
      <c r="J561" s="4"/>
      <c r="K561" s="22"/>
      <c r="L561" s="4"/>
      <c r="M561" s="4"/>
      <c r="N561" s="4"/>
      <c r="O561" s="4"/>
      <c r="P561" s="4"/>
      <c r="Q561" s="4"/>
      <c r="R561" s="4"/>
      <c r="S561" s="7"/>
      <c r="T561" s="7"/>
      <c r="U561" s="7"/>
      <c r="V561" s="7"/>
      <c r="W561" s="7"/>
      <c r="X561" s="7"/>
      <c r="Y561" s="7"/>
      <c r="Z561" s="7"/>
    </row>
    <row r="562" ht="15.75" customHeight="1">
      <c r="A562" s="4"/>
      <c r="B562" s="4"/>
      <c r="C562" s="4"/>
      <c r="D562" s="4"/>
      <c r="E562" s="19"/>
      <c r="F562" s="4"/>
      <c r="G562" s="4"/>
      <c r="H562" s="7"/>
      <c r="I562" s="4"/>
      <c r="J562" s="4"/>
      <c r="K562" s="22"/>
      <c r="L562" s="4"/>
      <c r="M562" s="4"/>
      <c r="N562" s="4"/>
      <c r="O562" s="4"/>
      <c r="P562" s="4"/>
      <c r="Q562" s="4"/>
      <c r="R562" s="4"/>
      <c r="S562" s="7"/>
      <c r="T562" s="7"/>
      <c r="U562" s="7"/>
      <c r="V562" s="7"/>
      <c r="W562" s="7"/>
      <c r="X562" s="7"/>
      <c r="Y562" s="7"/>
      <c r="Z562" s="7"/>
    </row>
    <row r="563" ht="15.75" customHeight="1">
      <c r="A563" s="4"/>
      <c r="B563" s="4"/>
      <c r="C563" s="4"/>
      <c r="D563" s="4"/>
      <c r="E563" s="19"/>
      <c r="F563" s="4"/>
      <c r="G563" s="4"/>
      <c r="H563" s="7"/>
      <c r="I563" s="4"/>
      <c r="J563" s="4"/>
      <c r="K563" s="22"/>
      <c r="L563" s="4"/>
      <c r="M563" s="4"/>
      <c r="N563" s="4"/>
      <c r="O563" s="4"/>
      <c r="P563" s="4"/>
      <c r="Q563" s="4"/>
      <c r="R563" s="4"/>
      <c r="S563" s="7"/>
      <c r="T563" s="7"/>
      <c r="U563" s="7"/>
      <c r="V563" s="7"/>
      <c r="W563" s="7"/>
      <c r="X563" s="7"/>
      <c r="Y563" s="7"/>
      <c r="Z563" s="7"/>
    </row>
    <row r="564" ht="15.75" customHeight="1">
      <c r="A564" s="4"/>
      <c r="B564" s="4"/>
      <c r="C564" s="4"/>
      <c r="D564" s="4"/>
      <c r="E564" s="19"/>
      <c r="F564" s="4"/>
      <c r="G564" s="4"/>
      <c r="H564" s="7"/>
      <c r="I564" s="4"/>
      <c r="J564" s="4"/>
      <c r="K564" s="22"/>
      <c r="L564" s="4"/>
      <c r="M564" s="4"/>
      <c r="N564" s="4"/>
      <c r="O564" s="4"/>
      <c r="P564" s="4"/>
      <c r="Q564" s="4"/>
      <c r="R564" s="4"/>
      <c r="S564" s="7"/>
      <c r="T564" s="7"/>
      <c r="U564" s="7"/>
      <c r="V564" s="7"/>
      <c r="W564" s="7"/>
      <c r="X564" s="7"/>
      <c r="Y564" s="7"/>
      <c r="Z564" s="7"/>
    </row>
    <row r="565" ht="15.75" customHeight="1">
      <c r="A565" s="4"/>
      <c r="B565" s="4"/>
      <c r="C565" s="4"/>
      <c r="D565" s="4"/>
      <c r="E565" s="19"/>
      <c r="F565" s="4"/>
      <c r="G565" s="4"/>
      <c r="H565" s="7"/>
      <c r="I565" s="4"/>
      <c r="J565" s="4"/>
      <c r="K565" s="22"/>
      <c r="L565" s="4"/>
      <c r="M565" s="4"/>
      <c r="N565" s="4"/>
      <c r="O565" s="4"/>
      <c r="P565" s="4"/>
      <c r="Q565" s="4"/>
      <c r="R565" s="4"/>
      <c r="S565" s="7"/>
      <c r="T565" s="7"/>
      <c r="U565" s="7"/>
      <c r="V565" s="7"/>
      <c r="W565" s="7"/>
      <c r="X565" s="7"/>
      <c r="Y565" s="7"/>
      <c r="Z565" s="7"/>
    </row>
    <row r="566" ht="15.75" customHeight="1">
      <c r="A566" s="4"/>
      <c r="B566" s="4"/>
      <c r="C566" s="4"/>
      <c r="D566" s="4"/>
      <c r="E566" s="19"/>
      <c r="F566" s="4"/>
      <c r="G566" s="4"/>
      <c r="H566" s="7"/>
      <c r="I566" s="4"/>
      <c r="J566" s="4"/>
      <c r="K566" s="22"/>
      <c r="L566" s="4"/>
      <c r="M566" s="4"/>
      <c r="N566" s="4"/>
      <c r="O566" s="4"/>
      <c r="P566" s="4"/>
      <c r="Q566" s="4"/>
      <c r="R566" s="4"/>
      <c r="S566" s="7"/>
      <c r="T566" s="7"/>
      <c r="U566" s="7"/>
      <c r="V566" s="7"/>
      <c r="W566" s="7"/>
      <c r="X566" s="7"/>
      <c r="Y566" s="7"/>
      <c r="Z566" s="7"/>
    </row>
    <row r="567" ht="15.75" customHeight="1">
      <c r="A567" s="4"/>
      <c r="B567" s="4"/>
      <c r="C567" s="4"/>
      <c r="D567" s="4"/>
      <c r="E567" s="19"/>
      <c r="F567" s="4"/>
      <c r="G567" s="4"/>
      <c r="H567" s="7"/>
      <c r="I567" s="4"/>
      <c r="J567" s="4"/>
      <c r="K567" s="22"/>
      <c r="L567" s="4"/>
      <c r="M567" s="4"/>
      <c r="N567" s="4"/>
      <c r="O567" s="4"/>
      <c r="P567" s="4"/>
      <c r="Q567" s="4"/>
      <c r="R567" s="4"/>
      <c r="S567" s="7"/>
      <c r="T567" s="7"/>
      <c r="U567" s="7"/>
      <c r="V567" s="7"/>
      <c r="W567" s="7"/>
      <c r="X567" s="7"/>
      <c r="Y567" s="7"/>
      <c r="Z567" s="7"/>
    </row>
    <row r="568" ht="15.75" customHeight="1">
      <c r="A568" s="4"/>
      <c r="B568" s="4"/>
      <c r="C568" s="4"/>
      <c r="D568" s="4"/>
      <c r="E568" s="19"/>
      <c r="F568" s="4"/>
      <c r="G568" s="4"/>
      <c r="H568" s="7"/>
      <c r="I568" s="4"/>
      <c r="J568" s="4"/>
      <c r="K568" s="22"/>
      <c r="L568" s="4"/>
      <c r="M568" s="4"/>
      <c r="N568" s="4"/>
      <c r="O568" s="4"/>
      <c r="P568" s="4"/>
      <c r="Q568" s="4"/>
      <c r="R568" s="4"/>
      <c r="S568" s="7"/>
      <c r="T568" s="7"/>
      <c r="U568" s="7"/>
      <c r="V568" s="7"/>
      <c r="W568" s="7"/>
      <c r="X568" s="7"/>
      <c r="Y568" s="7"/>
      <c r="Z568" s="7"/>
    </row>
    <row r="569" ht="15.75" customHeight="1">
      <c r="A569" s="4"/>
      <c r="B569" s="4"/>
      <c r="C569" s="4"/>
      <c r="D569" s="4"/>
      <c r="E569" s="19"/>
      <c r="F569" s="4"/>
      <c r="G569" s="4"/>
      <c r="H569" s="7"/>
      <c r="I569" s="4"/>
      <c r="J569" s="4"/>
      <c r="K569" s="22"/>
      <c r="L569" s="4"/>
      <c r="M569" s="4"/>
      <c r="N569" s="4"/>
      <c r="O569" s="4"/>
      <c r="P569" s="4"/>
      <c r="Q569" s="4"/>
      <c r="R569" s="4"/>
      <c r="S569" s="7"/>
      <c r="T569" s="7"/>
      <c r="U569" s="7"/>
      <c r="V569" s="7"/>
      <c r="W569" s="7"/>
      <c r="X569" s="7"/>
      <c r="Y569" s="7"/>
      <c r="Z569" s="7"/>
    </row>
    <row r="570" ht="15.75" customHeight="1">
      <c r="A570" s="4"/>
      <c r="B570" s="4"/>
      <c r="C570" s="4"/>
      <c r="D570" s="4"/>
      <c r="E570" s="19"/>
      <c r="F570" s="4"/>
      <c r="G570" s="4"/>
      <c r="H570" s="7"/>
      <c r="I570" s="4"/>
      <c r="J570" s="4"/>
      <c r="K570" s="22"/>
      <c r="L570" s="4"/>
      <c r="M570" s="4"/>
      <c r="N570" s="4"/>
      <c r="O570" s="4"/>
      <c r="P570" s="4"/>
      <c r="Q570" s="4"/>
      <c r="R570" s="4"/>
      <c r="S570" s="7"/>
      <c r="T570" s="7"/>
      <c r="U570" s="7"/>
      <c r="V570" s="7"/>
      <c r="W570" s="7"/>
      <c r="X570" s="7"/>
      <c r="Y570" s="7"/>
      <c r="Z570" s="7"/>
    </row>
    <row r="571" ht="15.75" customHeight="1">
      <c r="A571" s="4"/>
      <c r="B571" s="4"/>
      <c r="C571" s="4"/>
      <c r="D571" s="4"/>
      <c r="E571" s="19"/>
      <c r="F571" s="4"/>
      <c r="G571" s="4"/>
      <c r="H571" s="7"/>
      <c r="I571" s="4"/>
      <c r="J571" s="4"/>
      <c r="K571" s="22"/>
      <c r="L571" s="4"/>
      <c r="M571" s="4"/>
      <c r="N571" s="4"/>
      <c r="O571" s="4"/>
      <c r="P571" s="4"/>
      <c r="Q571" s="4"/>
      <c r="R571" s="4"/>
      <c r="S571" s="7"/>
      <c r="T571" s="7"/>
      <c r="U571" s="7"/>
      <c r="V571" s="7"/>
      <c r="W571" s="7"/>
      <c r="X571" s="7"/>
      <c r="Y571" s="7"/>
      <c r="Z571" s="7"/>
    </row>
    <row r="572" ht="15.75" customHeight="1">
      <c r="A572" s="4"/>
      <c r="B572" s="4"/>
      <c r="C572" s="4"/>
      <c r="D572" s="4"/>
      <c r="E572" s="19"/>
      <c r="F572" s="4"/>
      <c r="G572" s="4"/>
      <c r="H572" s="7"/>
      <c r="I572" s="4"/>
      <c r="J572" s="4"/>
      <c r="K572" s="22"/>
      <c r="L572" s="4"/>
      <c r="M572" s="4"/>
      <c r="N572" s="4"/>
      <c r="O572" s="4"/>
      <c r="P572" s="4"/>
      <c r="Q572" s="4"/>
      <c r="R572" s="4"/>
      <c r="S572" s="7"/>
      <c r="T572" s="7"/>
      <c r="U572" s="7"/>
      <c r="V572" s="7"/>
      <c r="W572" s="7"/>
      <c r="X572" s="7"/>
      <c r="Y572" s="7"/>
      <c r="Z572" s="7"/>
    </row>
    <row r="573" ht="15.75" customHeight="1">
      <c r="A573" s="4"/>
      <c r="B573" s="4"/>
      <c r="C573" s="4"/>
      <c r="D573" s="4"/>
      <c r="E573" s="19"/>
      <c r="F573" s="4"/>
      <c r="G573" s="4"/>
      <c r="H573" s="7"/>
      <c r="I573" s="4"/>
      <c r="J573" s="4"/>
      <c r="K573" s="22"/>
      <c r="L573" s="4"/>
      <c r="M573" s="4"/>
      <c r="N573" s="4"/>
      <c r="O573" s="4"/>
      <c r="P573" s="4"/>
      <c r="Q573" s="4"/>
      <c r="R573" s="4"/>
      <c r="S573" s="7"/>
      <c r="T573" s="7"/>
      <c r="U573" s="7"/>
      <c r="V573" s="7"/>
      <c r="W573" s="7"/>
      <c r="X573" s="7"/>
      <c r="Y573" s="7"/>
      <c r="Z573" s="7"/>
    </row>
    <row r="574" ht="15.75" customHeight="1">
      <c r="A574" s="4"/>
      <c r="B574" s="4"/>
      <c r="C574" s="4"/>
      <c r="D574" s="4"/>
      <c r="E574" s="19"/>
      <c r="F574" s="4"/>
      <c r="G574" s="4"/>
      <c r="H574" s="7"/>
      <c r="I574" s="4"/>
      <c r="J574" s="4"/>
      <c r="K574" s="22"/>
      <c r="L574" s="4"/>
      <c r="M574" s="4"/>
      <c r="N574" s="4"/>
      <c r="O574" s="4"/>
      <c r="P574" s="4"/>
      <c r="Q574" s="4"/>
      <c r="R574" s="4"/>
      <c r="S574" s="7"/>
      <c r="T574" s="7"/>
      <c r="U574" s="7"/>
      <c r="V574" s="7"/>
      <c r="W574" s="7"/>
      <c r="X574" s="7"/>
      <c r="Y574" s="7"/>
      <c r="Z574" s="7"/>
    </row>
    <row r="575" ht="15.75" customHeight="1">
      <c r="A575" s="4"/>
      <c r="B575" s="4"/>
      <c r="C575" s="4"/>
      <c r="D575" s="4"/>
      <c r="E575" s="19"/>
      <c r="F575" s="4"/>
      <c r="G575" s="4"/>
      <c r="H575" s="7"/>
      <c r="I575" s="4"/>
      <c r="J575" s="4"/>
      <c r="K575" s="22"/>
      <c r="L575" s="4"/>
      <c r="M575" s="4"/>
      <c r="N575" s="4"/>
      <c r="O575" s="4"/>
      <c r="P575" s="4"/>
      <c r="Q575" s="4"/>
      <c r="R575" s="4"/>
      <c r="S575" s="7"/>
      <c r="T575" s="7"/>
      <c r="U575" s="7"/>
      <c r="V575" s="7"/>
      <c r="W575" s="7"/>
      <c r="X575" s="7"/>
      <c r="Y575" s="7"/>
      <c r="Z575" s="7"/>
    </row>
    <row r="576" ht="15.75" customHeight="1">
      <c r="A576" s="4"/>
      <c r="B576" s="4"/>
      <c r="C576" s="4"/>
      <c r="D576" s="4"/>
      <c r="E576" s="19"/>
      <c r="F576" s="4"/>
      <c r="G576" s="4"/>
      <c r="H576" s="7"/>
      <c r="I576" s="4"/>
      <c r="J576" s="4"/>
      <c r="K576" s="22"/>
      <c r="L576" s="4"/>
      <c r="M576" s="4"/>
      <c r="N576" s="4"/>
      <c r="O576" s="4"/>
      <c r="P576" s="4"/>
      <c r="Q576" s="4"/>
      <c r="R576" s="4"/>
      <c r="S576" s="7"/>
      <c r="T576" s="7"/>
      <c r="U576" s="7"/>
      <c r="V576" s="7"/>
      <c r="W576" s="7"/>
      <c r="X576" s="7"/>
      <c r="Y576" s="7"/>
      <c r="Z576" s="7"/>
    </row>
    <row r="577" ht="15.75" customHeight="1">
      <c r="A577" s="4"/>
      <c r="B577" s="4"/>
      <c r="C577" s="4"/>
      <c r="D577" s="4"/>
      <c r="E577" s="19"/>
      <c r="F577" s="4"/>
      <c r="G577" s="4"/>
      <c r="H577" s="7"/>
      <c r="I577" s="4"/>
      <c r="J577" s="4"/>
      <c r="K577" s="22"/>
      <c r="L577" s="4"/>
      <c r="M577" s="4"/>
      <c r="N577" s="4"/>
      <c r="O577" s="4"/>
      <c r="P577" s="4"/>
      <c r="Q577" s="4"/>
      <c r="R577" s="4"/>
      <c r="S577" s="7"/>
      <c r="T577" s="7"/>
      <c r="U577" s="7"/>
      <c r="V577" s="7"/>
      <c r="W577" s="7"/>
      <c r="X577" s="7"/>
      <c r="Y577" s="7"/>
      <c r="Z577" s="7"/>
    </row>
    <row r="578" ht="15.75" customHeight="1">
      <c r="A578" s="4"/>
      <c r="B578" s="4"/>
      <c r="C578" s="4"/>
      <c r="D578" s="4"/>
      <c r="E578" s="19"/>
      <c r="F578" s="4"/>
      <c r="G578" s="4"/>
      <c r="H578" s="7"/>
      <c r="I578" s="4"/>
      <c r="J578" s="4"/>
      <c r="K578" s="22"/>
      <c r="L578" s="4"/>
      <c r="M578" s="4"/>
      <c r="N578" s="4"/>
      <c r="O578" s="4"/>
      <c r="P578" s="4"/>
      <c r="Q578" s="4"/>
      <c r="R578" s="4"/>
      <c r="S578" s="7"/>
      <c r="T578" s="7"/>
      <c r="U578" s="7"/>
      <c r="V578" s="7"/>
      <c r="W578" s="7"/>
      <c r="X578" s="7"/>
      <c r="Y578" s="7"/>
      <c r="Z578" s="7"/>
    </row>
    <row r="579" ht="15.75" customHeight="1">
      <c r="A579" s="4"/>
      <c r="B579" s="4"/>
      <c r="C579" s="4"/>
      <c r="D579" s="4"/>
      <c r="E579" s="19"/>
      <c r="F579" s="4"/>
      <c r="G579" s="4"/>
      <c r="H579" s="7"/>
      <c r="I579" s="4"/>
      <c r="J579" s="4"/>
      <c r="K579" s="22"/>
      <c r="L579" s="4"/>
      <c r="M579" s="4"/>
      <c r="N579" s="4"/>
      <c r="O579" s="4"/>
      <c r="P579" s="4"/>
      <c r="Q579" s="4"/>
      <c r="R579" s="4"/>
      <c r="S579" s="7"/>
      <c r="T579" s="7"/>
      <c r="U579" s="7"/>
      <c r="V579" s="7"/>
      <c r="W579" s="7"/>
      <c r="X579" s="7"/>
      <c r="Y579" s="7"/>
      <c r="Z579" s="7"/>
    </row>
    <row r="580" ht="15.75" customHeight="1">
      <c r="A580" s="4"/>
      <c r="B580" s="4"/>
      <c r="C580" s="4"/>
      <c r="D580" s="4"/>
      <c r="E580" s="19"/>
      <c r="F580" s="4"/>
      <c r="G580" s="4"/>
      <c r="H580" s="7"/>
      <c r="I580" s="4"/>
      <c r="J580" s="4"/>
      <c r="K580" s="22"/>
      <c r="L580" s="4"/>
      <c r="M580" s="4"/>
      <c r="N580" s="4"/>
      <c r="O580" s="4"/>
      <c r="P580" s="4"/>
      <c r="Q580" s="4"/>
      <c r="R580" s="4"/>
      <c r="S580" s="7"/>
      <c r="T580" s="7"/>
      <c r="U580" s="7"/>
      <c r="V580" s="7"/>
      <c r="W580" s="7"/>
      <c r="X580" s="7"/>
      <c r="Y580" s="7"/>
      <c r="Z580" s="7"/>
    </row>
    <row r="581" ht="15.75" customHeight="1">
      <c r="A581" s="4"/>
      <c r="B581" s="4"/>
      <c r="C581" s="4"/>
      <c r="D581" s="4"/>
      <c r="E581" s="19"/>
      <c r="F581" s="4"/>
      <c r="G581" s="4"/>
      <c r="H581" s="7"/>
      <c r="I581" s="4"/>
      <c r="J581" s="4"/>
      <c r="K581" s="22"/>
      <c r="L581" s="4"/>
      <c r="M581" s="4"/>
      <c r="N581" s="4"/>
      <c r="O581" s="4"/>
      <c r="P581" s="4"/>
      <c r="Q581" s="4"/>
      <c r="R581" s="4"/>
      <c r="S581" s="7"/>
      <c r="T581" s="7"/>
      <c r="U581" s="7"/>
      <c r="V581" s="7"/>
      <c r="W581" s="7"/>
      <c r="X581" s="7"/>
      <c r="Y581" s="7"/>
      <c r="Z581" s="7"/>
    </row>
    <row r="582" ht="15.75" customHeight="1">
      <c r="A582" s="4"/>
      <c r="B582" s="4"/>
      <c r="C582" s="4"/>
      <c r="D582" s="4"/>
      <c r="E582" s="19"/>
      <c r="F582" s="4"/>
      <c r="G582" s="4"/>
      <c r="H582" s="7"/>
      <c r="I582" s="4"/>
      <c r="J582" s="4"/>
      <c r="K582" s="22"/>
      <c r="L582" s="4"/>
      <c r="M582" s="4"/>
      <c r="N582" s="4"/>
      <c r="O582" s="4"/>
      <c r="P582" s="4"/>
      <c r="Q582" s="4"/>
      <c r="R582" s="4"/>
      <c r="S582" s="7"/>
      <c r="T582" s="7"/>
      <c r="U582" s="7"/>
      <c r="V582" s="7"/>
      <c r="W582" s="7"/>
      <c r="X582" s="7"/>
      <c r="Y582" s="7"/>
      <c r="Z582" s="7"/>
    </row>
    <row r="583" ht="15.75" customHeight="1">
      <c r="A583" s="4"/>
      <c r="B583" s="4"/>
      <c r="C583" s="4"/>
      <c r="D583" s="4"/>
      <c r="E583" s="19"/>
      <c r="F583" s="4"/>
      <c r="G583" s="4"/>
      <c r="H583" s="7"/>
      <c r="I583" s="4"/>
      <c r="J583" s="4"/>
      <c r="K583" s="22"/>
      <c r="L583" s="4"/>
      <c r="M583" s="4"/>
      <c r="N583" s="4"/>
      <c r="O583" s="4"/>
      <c r="P583" s="4"/>
      <c r="Q583" s="4"/>
      <c r="R583" s="4"/>
      <c r="S583" s="7"/>
      <c r="T583" s="7"/>
      <c r="U583" s="7"/>
      <c r="V583" s="7"/>
      <c r="W583" s="7"/>
      <c r="X583" s="7"/>
      <c r="Y583" s="7"/>
      <c r="Z583" s="7"/>
    </row>
    <row r="584" ht="15.75" customHeight="1">
      <c r="A584" s="4"/>
      <c r="B584" s="4"/>
      <c r="C584" s="4"/>
      <c r="D584" s="4"/>
      <c r="E584" s="19"/>
      <c r="F584" s="4"/>
      <c r="G584" s="4"/>
      <c r="H584" s="7"/>
      <c r="I584" s="4"/>
      <c r="J584" s="4"/>
      <c r="K584" s="22"/>
      <c r="L584" s="4"/>
      <c r="M584" s="4"/>
      <c r="N584" s="4"/>
      <c r="O584" s="4"/>
      <c r="P584" s="4"/>
      <c r="Q584" s="4"/>
      <c r="R584" s="4"/>
      <c r="S584" s="7"/>
      <c r="T584" s="7"/>
      <c r="U584" s="7"/>
      <c r="V584" s="7"/>
      <c r="W584" s="7"/>
      <c r="X584" s="7"/>
      <c r="Y584" s="7"/>
      <c r="Z584" s="7"/>
    </row>
    <row r="585" ht="15.75" customHeight="1">
      <c r="A585" s="4"/>
      <c r="B585" s="4"/>
      <c r="C585" s="4"/>
      <c r="D585" s="4"/>
      <c r="E585" s="19"/>
      <c r="F585" s="4"/>
      <c r="G585" s="4"/>
      <c r="H585" s="7"/>
      <c r="I585" s="4"/>
      <c r="J585" s="4"/>
      <c r="K585" s="22"/>
      <c r="L585" s="4"/>
      <c r="M585" s="4"/>
      <c r="N585" s="4"/>
      <c r="O585" s="4"/>
      <c r="P585" s="4"/>
      <c r="Q585" s="4"/>
      <c r="R585" s="4"/>
      <c r="S585" s="7"/>
      <c r="T585" s="7"/>
      <c r="U585" s="7"/>
      <c r="V585" s="7"/>
      <c r="W585" s="7"/>
      <c r="X585" s="7"/>
      <c r="Y585" s="7"/>
      <c r="Z585" s="7"/>
    </row>
    <row r="586" ht="15.75" customHeight="1">
      <c r="A586" s="4"/>
      <c r="B586" s="4"/>
      <c r="C586" s="4"/>
      <c r="D586" s="4"/>
      <c r="E586" s="19"/>
      <c r="F586" s="4"/>
      <c r="G586" s="4"/>
      <c r="H586" s="7"/>
      <c r="I586" s="4"/>
      <c r="J586" s="4"/>
      <c r="K586" s="22"/>
      <c r="L586" s="4"/>
      <c r="M586" s="4"/>
      <c r="N586" s="4"/>
      <c r="O586" s="4"/>
      <c r="P586" s="4"/>
      <c r="Q586" s="4"/>
      <c r="R586" s="4"/>
      <c r="S586" s="7"/>
      <c r="T586" s="7"/>
      <c r="U586" s="7"/>
      <c r="V586" s="7"/>
      <c r="W586" s="7"/>
      <c r="X586" s="7"/>
      <c r="Y586" s="7"/>
      <c r="Z586" s="7"/>
    </row>
    <row r="587" ht="15.75" customHeight="1">
      <c r="A587" s="4"/>
      <c r="B587" s="4"/>
      <c r="C587" s="4"/>
      <c r="D587" s="4"/>
      <c r="E587" s="19"/>
      <c r="F587" s="4"/>
      <c r="G587" s="4"/>
      <c r="H587" s="7"/>
      <c r="I587" s="4"/>
      <c r="J587" s="4"/>
      <c r="K587" s="22"/>
      <c r="L587" s="4"/>
      <c r="M587" s="4"/>
      <c r="N587" s="4"/>
      <c r="O587" s="4"/>
      <c r="P587" s="4"/>
      <c r="Q587" s="4"/>
      <c r="R587" s="4"/>
      <c r="S587" s="7"/>
      <c r="T587" s="7"/>
      <c r="U587" s="7"/>
      <c r="V587" s="7"/>
      <c r="W587" s="7"/>
      <c r="X587" s="7"/>
      <c r="Y587" s="7"/>
      <c r="Z587" s="7"/>
    </row>
    <row r="588" ht="15.75" customHeight="1">
      <c r="A588" s="4"/>
      <c r="B588" s="4"/>
      <c r="C588" s="4"/>
      <c r="D588" s="4"/>
      <c r="E588" s="19"/>
      <c r="F588" s="4"/>
      <c r="G588" s="4"/>
      <c r="H588" s="7"/>
      <c r="I588" s="4"/>
      <c r="J588" s="4"/>
      <c r="K588" s="22"/>
      <c r="L588" s="4"/>
      <c r="M588" s="4"/>
      <c r="N588" s="4"/>
      <c r="O588" s="4"/>
      <c r="P588" s="4"/>
      <c r="Q588" s="4"/>
      <c r="R588" s="4"/>
      <c r="S588" s="7"/>
      <c r="T588" s="7"/>
      <c r="U588" s="7"/>
      <c r="V588" s="7"/>
      <c r="W588" s="7"/>
      <c r="X588" s="7"/>
      <c r="Y588" s="7"/>
      <c r="Z588" s="7"/>
    </row>
    <row r="589" ht="15.75" customHeight="1">
      <c r="A589" s="4"/>
      <c r="B589" s="4"/>
      <c r="C589" s="4"/>
      <c r="D589" s="4"/>
      <c r="E589" s="19"/>
      <c r="F589" s="4"/>
      <c r="G589" s="4"/>
      <c r="H589" s="7"/>
      <c r="I589" s="4"/>
      <c r="J589" s="4"/>
      <c r="K589" s="22"/>
      <c r="L589" s="4"/>
      <c r="M589" s="4"/>
      <c r="N589" s="4"/>
      <c r="O589" s="4"/>
      <c r="P589" s="4"/>
      <c r="Q589" s="4"/>
      <c r="R589" s="4"/>
      <c r="S589" s="7"/>
      <c r="T589" s="7"/>
      <c r="U589" s="7"/>
      <c r="V589" s="7"/>
      <c r="W589" s="7"/>
      <c r="X589" s="7"/>
      <c r="Y589" s="7"/>
      <c r="Z589" s="7"/>
    </row>
    <row r="590" ht="15.75" customHeight="1">
      <c r="A590" s="4"/>
      <c r="B590" s="4"/>
      <c r="C590" s="4"/>
      <c r="D590" s="4"/>
      <c r="E590" s="19"/>
      <c r="F590" s="4"/>
      <c r="G590" s="4"/>
      <c r="H590" s="7"/>
      <c r="I590" s="4"/>
      <c r="J590" s="4"/>
      <c r="K590" s="22"/>
      <c r="L590" s="4"/>
      <c r="M590" s="4"/>
      <c r="N590" s="4"/>
      <c r="O590" s="4"/>
      <c r="P590" s="4"/>
      <c r="Q590" s="4"/>
      <c r="R590" s="4"/>
      <c r="S590" s="7"/>
      <c r="T590" s="7"/>
      <c r="U590" s="7"/>
      <c r="V590" s="7"/>
      <c r="W590" s="7"/>
      <c r="X590" s="7"/>
      <c r="Y590" s="7"/>
      <c r="Z590" s="7"/>
    </row>
    <row r="591" ht="15.75" customHeight="1">
      <c r="A591" s="4"/>
      <c r="B591" s="4"/>
      <c r="C591" s="4"/>
      <c r="D591" s="4"/>
      <c r="E591" s="19"/>
      <c r="F591" s="4"/>
      <c r="G591" s="4"/>
      <c r="H591" s="7"/>
      <c r="I591" s="4"/>
      <c r="J591" s="4"/>
      <c r="K591" s="22"/>
      <c r="L591" s="4"/>
      <c r="M591" s="4"/>
      <c r="N591" s="4"/>
      <c r="O591" s="4"/>
      <c r="P591" s="4"/>
      <c r="Q591" s="4"/>
      <c r="R591" s="4"/>
      <c r="S591" s="7"/>
      <c r="T591" s="7"/>
      <c r="U591" s="7"/>
      <c r="V591" s="7"/>
      <c r="W591" s="7"/>
      <c r="X591" s="7"/>
      <c r="Y591" s="7"/>
      <c r="Z591" s="7"/>
    </row>
    <row r="592" ht="15.75" customHeight="1">
      <c r="A592" s="4"/>
      <c r="B592" s="4"/>
      <c r="C592" s="4"/>
      <c r="D592" s="4"/>
      <c r="E592" s="19"/>
      <c r="F592" s="4"/>
      <c r="G592" s="4"/>
      <c r="H592" s="7"/>
      <c r="I592" s="4"/>
      <c r="J592" s="4"/>
      <c r="K592" s="22"/>
      <c r="L592" s="4"/>
      <c r="M592" s="4"/>
      <c r="N592" s="4"/>
      <c r="O592" s="4"/>
      <c r="P592" s="4"/>
      <c r="Q592" s="4"/>
      <c r="R592" s="4"/>
      <c r="S592" s="7"/>
      <c r="T592" s="7"/>
      <c r="U592" s="7"/>
      <c r="V592" s="7"/>
      <c r="W592" s="7"/>
      <c r="X592" s="7"/>
      <c r="Y592" s="7"/>
      <c r="Z592" s="7"/>
    </row>
    <row r="593" ht="15.75" customHeight="1">
      <c r="A593" s="4"/>
      <c r="B593" s="4"/>
      <c r="C593" s="4"/>
      <c r="D593" s="4"/>
      <c r="E593" s="19"/>
      <c r="F593" s="4"/>
      <c r="G593" s="4"/>
      <c r="H593" s="7"/>
      <c r="I593" s="4"/>
      <c r="J593" s="4"/>
      <c r="K593" s="22"/>
      <c r="L593" s="4"/>
      <c r="M593" s="4"/>
      <c r="N593" s="4"/>
      <c r="O593" s="4"/>
      <c r="P593" s="4"/>
      <c r="Q593" s="4"/>
      <c r="R593" s="4"/>
      <c r="S593" s="7"/>
      <c r="T593" s="7"/>
      <c r="U593" s="7"/>
      <c r="V593" s="7"/>
      <c r="W593" s="7"/>
      <c r="X593" s="7"/>
      <c r="Y593" s="7"/>
      <c r="Z593" s="7"/>
    </row>
    <row r="594" ht="15.75" customHeight="1">
      <c r="A594" s="4"/>
      <c r="B594" s="4"/>
      <c r="C594" s="4"/>
      <c r="D594" s="4"/>
      <c r="E594" s="19"/>
      <c r="F594" s="4"/>
      <c r="G594" s="4"/>
      <c r="H594" s="7"/>
      <c r="I594" s="4"/>
      <c r="J594" s="4"/>
      <c r="K594" s="22"/>
      <c r="L594" s="4"/>
      <c r="M594" s="4"/>
      <c r="N594" s="4"/>
      <c r="O594" s="4"/>
      <c r="P594" s="4"/>
      <c r="Q594" s="4"/>
      <c r="R594" s="4"/>
      <c r="S594" s="7"/>
      <c r="T594" s="7"/>
      <c r="U594" s="7"/>
      <c r="V594" s="7"/>
      <c r="W594" s="7"/>
      <c r="X594" s="7"/>
      <c r="Y594" s="7"/>
      <c r="Z594" s="7"/>
    </row>
    <row r="595" ht="15.75" customHeight="1">
      <c r="A595" s="4"/>
      <c r="B595" s="4"/>
      <c r="C595" s="4"/>
      <c r="D595" s="4"/>
      <c r="E595" s="19"/>
      <c r="F595" s="4"/>
      <c r="G595" s="4"/>
      <c r="H595" s="7"/>
      <c r="I595" s="4"/>
      <c r="J595" s="4"/>
      <c r="K595" s="22"/>
      <c r="L595" s="4"/>
      <c r="M595" s="4"/>
      <c r="N595" s="4"/>
      <c r="O595" s="4"/>
      <c r="P595" s="4"/>
      <c r="Q595" s="4"/>
      <c r="R595" s="4"/>
      <c r="S595" s="7"/>
      <c r="T595" s="7"/>
      <c r="U595" s="7"/>
      <c r="V595" s="7"/>
      <c r="W595" s="7"/>
      <c r="X595" s="7"/>
      <c r="Y595" s="7"/>
      <c r="Z595" s="7"/>
    </row>
    <row r="596" ht="15.75" customHeight="1">
      <c r="A596" s="4"/>
      <c r="B596" s="4"/>
      <c r="C596" s="4"/>
      <c r="D596" s="4"/>
      <c r="E596" s="19"/>
      <c r="F596" s="4"/>
      <c r="G596" s="4"/>
      <c r="H596" s="7"/>
      <c r="I596" s="4"/>
      <c r="J596" s="4"/>
      <c r="K596" s="22"/>
      <c r="L596" s="4"/>
      <c r="M596" s="4"/>
      <c r="N596" s="4"/>
      <c r="O596" s="4"/>
      <c r="P596" s="4"/>
      <c r="Q596" s="4"/>
      <c r="R596" s="4"/>
      <c r="S596" s="7"/>
      <c r="T596" s="7"/>
      <c r="U596" s="7"/>
      <c r="V596" s="7"/>
      <c r="W596" s="7"/>
      <c r="X596" s="7"/>
      <c r="Y596" s="7"/>
      <c r="Z596" s="7"/>
    </row>
    <row r="597" ht="15.75" customHeight="1">
      <c r="A597" s="4"/>
      <c r="B597" s="4"/>
      <c r="C597" s="4"/>
      <c r="D597" s="4"/>
      <c r="E597" s="19"/>
      <c r="F597" s="4"/>
      <c r="G597" s="4"/>
      <c r="H597" s="7"/>
      <c r="I597" s="4"/>
      <c r="J597" s="4"/>
      <c r="K597" s="22"/>
      <c r="L597" s="4"/>
      <c r="M597" s="4"/>
      <c r="N597" s="4"/>
      <c r="O597" s="4"/>
      <c r="P597" s="4"/>
      <c r="Q597" s="4"/>
      <c r="R597" s="4"/>
      <c r="S597" s="7"/>
      <c r="T597" s="7"/>
      <c r="U597" s="7"/>
      <c r="V597" s="7"/>
      <c r="W597" s="7"/>
      <c r="X597" s="7"/>
      <c r="Y597" s="7"/>
      <c r="Z597" s="7"/>
    </row>
    <row r="598" ht="15.75" customHeight="1">
      <c r="A598" s="4"/>
      <c r="B598" s="4"/>
      <c r="C598" s="4"/>
      <c r="D598" s="4"/>
      <c r="E598" s="19"/>
      <c r="F598" s="4"/>
      <c r="G598" s="4"/>
      <c r="H598" s="7"/>
      <c r="I598" s="4"/>
      <c r="J598" s="4"/>
      <c r="K598" s="22"/>
      <c r="L598" s="4"/>
      <c r="M598" s="4"/>
      <c r="N598" s="4"/>
      <c r="O598" s="4"/>
      <c r="P598" s="4"/>
      <c r="Q598" s="4"/>
      <c r="R598" s="4"/>
      <c r="S598" s="7"/>
      <c r="T598" s="7"/>
      <c r="U598" s="7"/>
      <c r="V598" s="7"/>
      <c r="W598" s="7"/>
      <c r="X598" s="7"/>
      <c r="Y598" s="7"/>
      <c r="Z598" s="7"/>
    </row>
    <row r="599" ht="15.75" customHeight="1">
      <c r="A599" s="4"/>
      <c r="B599" s="4"/>
      <c r="C599" s="4"/>
      <c r="D599" s="4"/>
      <c r="E599" s="19"/>
      <c r="F599" s="4"/>
      <c r="G599" s="4"/>
      <c r="H599" s="7"/>
      <c r="I599" s="4"/>
      <c r="J599" s="4"/>
      <c r="K599" s="22"/>
      <c r="L599" s="4"/>
      <c r="M599" s="4"/>
      <c r="N599" s="4"/>
      <c r="O599" s="4"/>
      <c r="P599" s="4"/>
      <c r="Q599" s="4"/>
      <c r="R599" s="4"/>
      <c r="S599" s="7"/>
      <c r="T599" s="7"/>
      <c r="U599" s="7"/>
      <c r="V599" s="7"/>
      <c r="W599" s="7"/>
      <c r="X599" s="7"/>
      <c r="Y599" s="7"/>
      <c r="Z599" s="7"/>
    </row>
    <row r="600" ht="15.75" customHeight="1">
      <c r="A600" s="4"/>
      <c r="B600" s="4"/>
      <c r="C600" s="4"/>
      <c r="D600" s="4"/>
      <c r="E600" s="19"/>
      <c r="F600" s="4"/>
      <c r="G600" s="4"/>
      <c r="H600" s="7"/>
      <c r="I600" s="4"/>
      <c r="J600" s="4"/>
      <c r="K600" s="22"/>
      <c r="L600" s="4"/>
      <c r="M600" s="4"/>
      <c r="N600" s="4"/>
      <c r="O600" s="4"/>
      <c r="P600" s="4"/>
      <c r="Q600" s="4"/>
      <c r="R600" s="4"/>
      <c r="S600" s="7"/>
      <c r="T600" s="7"/>
      <c r="U600" s="7"/>
      <c r="V600" s="7"/>
      <c r="W600" s="7"/>
      <c r="X600" s="7"/>
      <c r="Y600" s="7"/>
      <c r="Z600" s="7"/>
    </row>
    <row r="601" ht="15.75" customHeight="1">
      <c r="A601" s="4"/>
      <c r="B601" s="4"/>
      <c r="C601" s="4"/>
      <c r="D601" s="4"/>
      <c r="E601" s="19"/>
      <c r="F601" s="4"/>
      <c r="G601" s="4"/>
      <c r="H601" s="7"/>
      <c r="I601" s="4"/>
      <c r="J601" s="4"/>
      <c r="K601" s="22"/>
      <c r="L601" s="4"/>
      <c r="M601" s="4"/>
      <c r="N601" s="4"/>
      <c r="O601" s="4"/>
      <c r="P601" s="4"/>
      <c r="Q601" s="4"/>
      <c r="R601" s="4"/>
      <c r="S601" s="7"/>
      <c r="T601" s="7"/>
      <c r="U601" s="7"/>
      <c r="V601" s="7"/>
      <c r="W601" s="7"/>
      <c r="X601" s="7"/>
      <c r="Y601" s="7"/>
      <c r="Z601" s="7"/>
    </row>
    <row r="602" ht="15.75" customHeight="1">
      <c r="A602" s="4"/>
      <c r="B602" s="4"/>
      <c r="C602" s="4"/>
      <c r="D602" s="4"/>
      <c r="E602" s="19"/>
      <c r="F602" s="4"/>
      <c r="G602" s="4"/>
      <c r="H602" s="7"/>
      <c r="I602" s="4"/>
      <c r="J602" s="4"/>
      <c r="K602" s="22"/>
      <c r="L602" s="4"/>
      <c r="M602" s="4"/>
      <c r="N602" s="4"/>
      <c r="O602" s="4"/>
      <c r="P602" s="4"/>
      <c r="Q602" s="4"/>
      <c r="R602" s="4"/>
      <c r="S602" s="7"/>
      <c r="T602" s="7"/>
      <c r="U602" s="7"/>
      <c r="V602" s="7"/>
      <c r="W602" s="7"/>
      <c r="X602" s="7"/>
      <c r="Y602" s="7"/>
      <c r="Z602" s="7"/>
    </row>
    <row r="603" ht="15.75" customHeight="1">
      <c r="A603" s="4"/>
      <c r="B603" s="4"/>
      <c r="C603" s="4"/>
      <c r="D603" s="4"/>
      <c r="E603" s="19"/>
      <c r="F603" s="4"/>
      <c r="G603" s="4"/>
      <c r="H603" s="7"/>
      <c r="I603" s="4"/>
      <c r="J603" s="4"/>
      <c r="K603" s="22"/>
      <c r="L603" s="4"/>
      <c r="M603" s="4"/>
      <c r="N603" s="4"/>
      <c r="O603" s="4"/>
      <c r="P603" s="4"/>
      <c r="Q603" s="4"/>
      <c r="R603" s="4"/>
      <c r="S603" s="7"/>
      <c r="T603" s="7"/>
      <c r="U603" s="7"/>
      <c r="V603" s="7"/>
      <c r="W603" s="7"/>
      <c r="X603" s="7"/>
      <c r="Y603" s="7"/>
      <c r="Z603" s="7"/>
    </row>
    <row r="604" ht="15.75" customHeight="1">
      <c r="A604" s="4"/>
      <c r="B604" s="4"/>
      <c r="C604" s="4"/>
      <c r="D604" s="4"/>
      <c r="E604" s="19"/>
      <c r="F604" s="4"/>
      <c r="G604" s="4"/>
      <c r="H604" s="7"/>
      <c r="I604" s="4"/>
      <c r="J604" s="4"/>
      <c r="K604" s="22"/>
      <c r="L604" s="4"/>
      <c r="M604" s="4"/>
      <c r="N604" s="4"/>
      <c r="O604" s="4"/>
      <c r="P604" s="4"/>
      <c r="Q604" s="4"/>
      <c r="R604" s="4"/>
      <c r="S604" s="7"/>
      <c r="T604" s="7"/>
      <c r="U604" s="7"/>
      <c r="V604" s="7"/>
      <c r="W604" s="7"/>
      <c r="X604" s="7"/>
      <c r="Y604" s="7"/>
      <c r="Z604" s="7"/>
    </row>
    <row r="605" ht="15.75" customHeight="1">
      <c r="A605" s="4"/>
      <c r="B605" s="4"/>
      <c r="C605" s="4"/>
      <c r="D605" s="4"/>
      <c r="E605" s="19"/>
      <c r="F605" s="4"/>
      <c r="G605" s="4"/>
      <c r="H605" s="7"/>
      <c r="I605" s="4"/>
      <c r="J605" s="4"/>
      <c r="K605" s="22"/>
      <c r="L605" s="4"/>
      <c r="M605" s="4"/>
      <c r="N605" s="4"/>
      <c r="O605" s="4"/>
      <c r="P605" s="4"/>
      <c r="Q605" s="4"/>
      <c r="R605" s="4"/>
      <c r="S605" s="7"/>
      <c r="T605" s="7"/>
      <c r="U605" s="7"/>
      <c r="V605" s="7"/>
      <c r="W605" s="7"/>
      <c r="X605" s="7"/>
      <c r="Y605" s="7"/>
      <c r="Z605" s="7"/>
    </row>
    <row r="606" ht="15.75" customHeight="1">
      <c r="A606" s="4"/>
      <c r="B606" s="4"/>
      <c r="C606" s="4"/>
      <c r="D606" s="4"/>
      <c r="E606" s="19"/>
      <c r="F606" s="4"/>
      <c r="G606" s="4"/>
      <c r="H606" s="7"/>
      <c r="I606" s="4"/>
      <c r="J606" s="4"/>
      <c r="K606" s="22"/>
      <c r="L606" s="4"/>
      <c r="M606" s="4"/>
      <c r="N606" s="4"/>
      <c r="O606" s="4"/>
      <c r="P606" s="4"/>
      <c r="Q606" s="4"/>
      <c r="R606" s="4"/>
      <c r="S606" s="7"/>
      <c r="T606" s="7"/>
      <c r="U606" s="7"/>
      <c r="V606" s="7"/>
      <c r="W606" s="7"/>
      <c r="X606" s="7"/>
      <c r="Y606" s="7"/>
      <c r="Z606" s="7"/>
    </row>
    <row r="607" ht="15.75" customHeight="1">
      <c r="A607" s="4"/>
      <c r="B607" s="4"/>
      <c r="C607" s="4"/>
      <c r="D607" s="4"/>
      <c r="E607" s="19"/>
      <c r="F607" s="4"/>
      <c r="G607" s="4"/>
      <c r="H607" s="7"/>
      <c r="I607" s="4"/>
      <c r="J607" s="4"/>
      <c r="K607" s="22"/>
      <c r="L607" s="4"/>
      <c r="M607" s="4"/>
      <c r="N607" s="4"/>
      <c r="O607" s="4"/>
      <c r="P607" s="4"/>
      <c r="Q607" s="4"/>
      <c r="R607" s="4"/>
      <c r="S607" s="7"/>
      <c r="T607" s="7"/>
      <c r="U607" s="7"/>
      <c r="V607" s="7"/>
      <c r="W607" s="7"/>
      <c r="X607" s="7"/>
      <c r="Y607" s="7"/>
      <c r="Z607" s="7"/>
    </row>
    <row r="608" ht="15.75" customHeight="1">
      <c r="A608" s="4"/>
      <c r="B608" s="4"/>
      <c r="C608" s="4"/>
      <c r="D608" s="4"/>
      <c r="E608" s="19"/>
      <c r="F608" s="4"/>
      <c r="G608" s="4"/>
      <c r="H608" s="7"/>
      <c r="I608" s="4"/>
      <c r="J608" s="4"/>
      <c r="K608" s="22"/>
      <c r="L608" s="4"/>
      <c r="M608" s="4"/>
      <c r="N608" s="4"/>
      <c r="O608" s="4"/>
      <c r="P608" s="4"/>
      <c r="Q608" s="4"/>
      <c r="R608" s="4"/>
      <c r="S608" s="7"/>
      <c r="T608" s="7"/>
      <c r="U608" s="7"/>
      <c r="V608" s="7"/>
      <c r="W608" s="7"/>
      <c r="X608" s="7"/>
      <c r="Y608" s="7"/>
      <c r="Z608" s="7"/>
    </row>
    <row r="609" ht="15.75" customHeight="1">
      <c r="A609" s="4"/>
      <c r="B609" s="4"/>
      <c r="C609" s="4"/>
      <c r="D609" s="4"/>
      <c r="E609" s="19"/>
      <c r="F609" s="4"/>
      <c r="G609" s="4"/>
      <c r="H609" s="7"/>
      <c r="I609" s="4"/>
      <c r="J609" s="4"/>
      <c r="K609" s="22"/>
      <c r="L609" s="4"/>
      <c r="M609" s="4"/>
      <c r="N609" s="4"/>
      <c r="O609" s="4"/>
      <c r="P609" s="4"/>
      <c r="Q609" s="4"/>
      <c r="R609" s="4"/>
      <c r="S609" s="7"/>
      <c r="T609" s="7"/>
      <c r="U609" s="7"/>
      <c r="V609" s="7"/>
      <c r="W609" s="7"/>
      <c r="X609" s="7"/>
      <c r="Y609" s="7"/>
      <c r="Z609" s="7"/>
    </row>
    <row r="610" ht="15.75" customHeight="1">
      <c r="A610" s="4"/>
      <c r="B610" s="4"/>
      <c r="C610" s="4"/>
      <c r="D610" s="4"/>
      <c r="E610" s="19"/>
      <c r="F610" s="4"/>
      <c r="G610" s="4"/>
      <c r="H610" s="7"/>
      <c r="I610" s="4"/>
      <c r="J610" s="4"/>
      <c r="K610" s="22"/>
      <c r="L610" s="4"/>
      <c r="M610" s="4"/>
      <c r="N610" s="4"/>
      <c r="O610" s="4"/>
      <c r="P610" s="4"/>
      <c r="Q610" s="4"/>
      <c r="R610" s="4"/>
      <c r="S610" s="7"/>
      <c r="T610" s="7"/>
      <c r="U610" s="7"/>
      <c r="V610" s="7"/>
      <c r="W610" s="7"/>
      <c r="X610" s="7"/>
      <c r="Y610" s="7"/>
      <c r="Z610" s="7"/>
    </row>
    <row r="611" ht="15.75" customHeight="1">
      <c r="A611" s="4"/>
      <c r="B611" s="4"/>
      <c r="C611" s="4"/>
      <c r="D611" s="4"/>
      <c r="E611" s="19"/>
      <c r="F611" s="4"/>
      <c r="G611" s="4"/>
      <c r="H611" s="7"/>
      <c r="I611" s="4"/>
      <c r="J611" s="4"/>
      <c r="K611" s="22"/>
      <c r="L611" s="4"/>
      <c r="M611" s="4"/>
      <c r="N611" s="4"/>
      <c r="O611" s="4"/>
      <c r="P611" s="4"/>
      <c r="Q611" s="4"/>
      <c r="R611" s="4"/>
      <c r="S611" s="7"/>
      <c r="T611" s="7"/>
      <c r="U611" s="7"/>
      <c r="V611" s="7"/>
      <c r="W611" s="7"/>
      <c r="X611" s="7"/>
      <c r="Y611" s="7"/>
      <c r="Z611" s="7"/>
    </row>
    <row r="612" ht="15.75" customHeight="1">
      <c r="A612" s="4"/>
      <c r="B612" s="4"/>
      <c r="C612" s="4"/>
      <c r="D612" s="4"/>
      <c r="E612" s="19"/>
      <c r="F612" s="4"/>
      <c r="G612" s="4"/>
      <c r="H612" s="7"/>
      <c r="I612" s="4"/>
      <c r="J612" s="4"/>
      <c r="K612" s="22"/>
      <c r="L612" s="4"/>
      <c r="M612" s="4"/>
      <c r="N612" s="4"/>
      <c r="O612" s="4"/>
      <c r="P612" s="4"/>
      <c r="Q612" s="4"/>
      <c r="R612" s="4"/>
      <c r="S612" s="7"/>
      <c r="T612" s="7"/>
      <c r="U612" s="7"/>
      <c r="V612" s="7"/>
      <c r="W612" s="7"/>
      <c r="X612" s="7"/>
      <c r="Y612" s="7"/>
      <c r="Z612" s="7"/>
    </row>
    <row r="613" ht="15.75" customHeight="1">
      <c r="A613" s="4"/>
      <c r="B613" s="4"/>
      <c r="C613" s="4"/>
      <c r="D613" s="4"/>
      <c r="E613" s="19"/>
      <c r="F613" s="4"/>
      <c r="G613" s="4"/>
      <c r="H613" s="7"/>
      <c r="I613" s="4"/>
      <c r="J613" s="4"/>
      <c r="K613" s="22"/>
      <c r="L613" s="4"/>
      <c r="M613" s="4"/>
      <c r="N613" s="4"/>
      <c r="O613" s="4"/>
      <c r="P613" s="4"/>
      <c r="Q613" s="4"/>
      <c r="R613" s="4"/>
      <c r="S613" s="7"/>
      <c r="T613" s="7"/>
      <c r="U613" s="7"/>
      <c r="V613" s="7"/>
      <c r="W613" s="7"/>
      <c r="X613" s="7"/>
      <c r="Y613" s="7"/>
      <c r="Z613" s="7"/>
    </row>
    <row r="614" ht="15.75" customHeight="1">
      <c r="A614" s="4"/>
      <c r="B614" s="4"/>
      <c r="C614" s="4"/>
      <c r="D614" s="4"/>
      <c r="E614" s="19"/>
      <c r="F614" s="4"/>
      <c r="G614" s="4"/>
      <c r="H614" s="7"/>
      <c r="I614" s="4"/>
      <c r="J614" s="4"/>
      <c r="K614" s="22"/>
      <c r="L614" s="4"/>
      <c r="M614" s="4"/>
      <c r="N614" s="4"/>
      <c r="O614" s="4"/>
      <c r="P614" s="4"/>
      <c r="Q614" s="4"/>
      <c r="R614" s="4"/>
      <c r="S614" s="7"/>
      <c r="T614" s="7"/>
      <c r="U614" s="7"/>
      <c r="V614" s="7"/>
      <c r="W614" s="7"/>
      <c r="X614" s="7"/>
      <c r="Y614" s="7"/>
      <c r="Z614" s="7"/>
    </row>
    <row r="615" ht="15.75" customHeight="1">
      <c r="A615" s="4"/>
      <c r="B615" s="4"/>
      <c r="C615" s="4"/>
      <c r="D615" s="4"/>
      <c r="E615" s="19"/>
      <c r="F615" s="4"/>
      <c r="G615" s="4"/>
      <c r="H615" s="7"/>
      <c r="I615" s="4"/>
      <c r="J615" s="4"/>
      <c r="K615" s="22"/>
      <c r="L615" s="4"/>
      <c r="M615" s="4"/>
      <c r="N615" s="4"/>
      <c r="O615" s="4"/>
      <c r="P615" s="4"/>
      <c r="Q615" s="4"/>
      <c r="R615" s="4"/>
      <c r="S615" s="7"/>
      <c r="T615" s="7"/>
      <c r="U615" s="7"/>
      <c r="V615" s="7"/>
      <c r="W615" s="7"/>
      <c r="X615" s="7"/>
      <c r="Y615" s="7"/>
      <c r="Z615" s="7"/>
    </row>
    <row r="616" ht="15.75" customHeight="1">
      <c r="A616" s="4"/>
      <c r="B616" s="4"/>
      <c r="C616" s="4"/>
      <c r="D616" s="4"/>
      <c r="E616" s="19"/>
      <c r="F616" s="4"/>
      <c r="G616" s="4"/>
      <c r="H616" s="7"/>
      <c r="I616" s="4"/>
      <c r="J616" s="4"/>
      <c r="K616" s="22"/>
      <c r="L616" s="4"/>
      <c r="M616" s="4"/>
      <c r="N616" s="4"/>
      <c r="O616" s="4"/>
      <c r="P616" s="4"/>
      <c r="Q616" s="4"/>
      <c r="R616" s="4"/>
      <c r="S616" s="7"/>
      <c r="T616" s="7"/>
      <c r="U616" s="7"/>
      <c r="V616" s="7"/>
      <c r="W616" s="7"/>
      <c r="X616" s="7"/>
      <c r="Y616" s="7"/>
      <c r="Z616" s="7"/>
    </row>
    <row r="617" ht="15.75" customHeight="1">
      <c r="A617" s="4"/>
      <c r="B617" s="4"/>
      <c r="C617" s="4"/>
      <c r="D617" s="4"/>
      <c r="E617" s="19"/>
      <c r="F617" s="4"/>
      <c r="G617" s="4"/>
      <c r="H617" s="7"/>
      <c r="I617" s="4"/>
      <c r="J617" s="4"/>
      <c r="K617" s="22"/>
      <c r="L617" s="4"/>
      <c r="M617" s="4"/>
      <c r="N617" s="4"/>
      <c r="O617" s="4"/>
      <c r="P617" s="4"/>
      <c r="Q617" s="4"/>
      <c r="R617" s="4"/>
      <c r="S617" s="7"/>
      <c r="T617" s="7"/>
      <c r="U617" s="7"/>
      <c r="V617" s="7"/>
      <c r="W617" s="7"/>
      <c r="X617" s="7"/>
      <c r="Y617" s="7"/>
      <c r="Z617" s="7"/>
    </row>
    <row r="618" ht="15.75" customHeight="1">
      <c r="A618" s="4"/>
      <c r="B618" s="4"/>
      <c r="C618" s="4"/>
      <c r="D618" s="4"/>
      <c r="E618" s="19"/>
      <c r="F618" s="4"/>
      <c r="G618" s="4"/>
      <c r="H618" s="7"/>
      <c r="I618" s="4"/>
      <c r="J618" s="4"/>
      <c r="K618" s="22"/>
      <c r="L618" s="4"/>
      <c r="M618" s="4"/>
      <c r="N618" s="4"/>
      <c r="O618" s="4"/>
      <c r="P618" s="4"/>
      <c r="Q618" s="4"/>
      <c r="R618" s="4"/>
      <c r="S618" s="7"/>
      <c r="T618" s="7"/>
      <c r="U618" s="7"/>
      <c r="V618" s="7"/>
      <c r="W618" s="7"/>
      <c r="X618" s="7"/>
      <c r="Y618" s="7"/>
      <c r="Z618" s="7"/>
    </row>
    <row r="619" ht="15.75" customHeight="1">
      <c r="A619" s="4"/>
      <c r="B619" s="4"/>
      <c r="C619" s="4"/>
      <c r="D619" s="4"/>
      <c r="E619" s="19"/>
      <c r="F619" s="4"/>
      <c r="G619" s="4"/>
      <c r="H619" s="7"/>
      <c r="I619" s="4"/>
      <c r="J619" s="4"/>
      <c r="K619" s="22"/>
      <c r="L619" s="4"/>
      <c r="M619" s="4"/>
      <c r="N619" s="4"/>
      <c r="O619" s="4"/>
      <c r="P619" s="4"/>
      <c r="Q619" s="4"/>
      <c r="R619" s="4"/>
      <c r="S619" s="7"/>
      <c r="T619" s="7"/>
      <c r="U619" s="7"/>
      <c r="V619" s="7"/>
      <c r="W619" s="7"/>
      <c r="X619" s="7"/>
      <c r="Y619" s="7"/>
      <c r="Z619" s="7"/>
    </row>
    <row r="620" ht="15.75" customHeight="1">
      <c r="A620" s="4"/>
      <c r="B620" s="4"/>
      <c r="C620" s="4"/>
      <c r="D620" s="4"/>
      <c r="E620" s="19"/>
      <c r="F620" s="4"/>
      <c r="G620" s="4"/>
      <c r="H620" s="7"/>
      <c r="I620" s="4"/>
      <c r="J620" s="4"/>
      <c r="K620" s="22"/>
      <c r="L620" s="4"/>
      <c r="M620" s="4"/>
      <c r="N620" s="4"/>
      <c r="O620" s="4"/>
      <c r="P620" s="4"/>
      <c r="Q620" s="4"/>
      <c r="R620" s="4"/>
      <c r="S620" s="7"/>
      <c r="T620" s="7"/>
      <c r="U620" s="7"/>
      <c r="V620" s="7"/>
      <c r="W620" s="7"/>
      <c r="X620" s="7"/>
      <c r="Y620" s="7"/>
      <c r="Z620" s="7"/>
    </row>
    <row r="621" ht="15.75" customHeight="1">
      <c r="A621" s="4"/>
      <c r="B621" s="4"/>
      <c r="C621" s="4"/>
      <c r="D621" s="4"/>
      <c r="E621" s="19"/>
      <c r="F621" s="4"/>
      <c r="G621" s="4"/>
      <c r="H621" s="7"/>
      <c r="I621" s="4"/>
      <c r="J621" s="4"/>
      <c r="K621" s="22"/>
      <c r="L621" s="4"/>
      <c r="M621" s="4"/>
      <c r="N621" s="4"/>
      <c r="O621" s="4"/>
      <c r="P621" s="4"/>
      <c r="Q621" s="4"/>
      <c r="R621" s="4"/>
      <c r="S621" s="7"/>
      <c r="T621" s="7"/>
      <c r="U621" s="7"/>
      <c r="V621" s="7"/>
      <c r="W621" s="7"/>
      <c r="X621" s="7"/>
      <c r="Y621" s="7"/>
      <c r="Z621" s="7"/>
    </row>
    <row r="622" ht="15.75" customHeight="1">
      <c r="A622" s="4"/>
      <c r="B622" s="4"/>
      <c r="C622" s="4"/>
      <c r="D622" s="4"/>
      <c r="E622" s="19"/>
      <c r="F622" s="4"/>
      <c r="G622" s="4"/>
      <c r="H622" s="7"/>
      <c r="I622" s="4"/>
      <c r="J622" s="4"/>
      <c r="K622" s="22"/>
      <c r="L622" s="4"/>
      <c r="M622" s="4"/>
      <c r="N622" s="4"/>
      <c r="O622" s="4"/>
      <c r="P622" s="4"/>
      <c r="Q622" s="4"/>
      <c r="R622" s="4"/>
      <c r="S622" s="7"/>
      <c r="T622" s="7"/>
      <c r="U622" s="7"/>
      <c r="V622" s="7"/>
      <c r="W622" s="7"/>
      <c r="X622" s="7"/>
      <c r="Y622" s="7"/>
      <c r="Z622" s="7"/>
    </row>
    <row r="623" ht="15.75" customHeight="1">
      <c r="A623" s="4"/>
      <c r="B623" s="4"/>
      <c r="C623" s="4"/>
      <c r="D623" s="4"/>
      <c r="E623" s="19"/>
      <c r="F623" s="4"/>
      <c r="G623" s="4"/>
      <c r="H623" s="7"/>
      <c r="I623" s="4"/>
      <c r="J623" s="4"/>
      <c r="K623" s="22"/>
      <c r="L623" s="4"/>
      <c r="M623" s="4"/>
      <c r="N623" s="4"/>
      <c r="O623" s="4"/>
      <c r="P623" s="4"/>
      <c r="Q623" s="4"/>
      <c r="R623" s="4"/>
      <c r="S623" s="7"/>
      <c r="T623" s="7"/>
      <c r="U623" s="7"/>
      <c r="V623" s="7"/>
      <c r="W623" s="7"/>
      <c r="X623" s="7"/>
      <c r="Y623" s="7"/>
      <c r="Z623" s="7"/>
    </row>
    <row r="624" ht="15.75" customHeight="1">
      <c r="A624" s="4"/>
      <c r="B624" s="4"/>
      <c r="C624" s="4"/>
      <c r="D624" s="4"/>
      <c r="E624" s="19"/>
      <c r="F624" s="4"/>
      <c r="G624" s="4"/>
      <c r="H624" s="7"/>
      <c r="I624" s="4"/>
      <c r="J624" s="4"/>
      <c r="K624" s="22"/>
      <c r="L624" s="4"/>
      <c r="M624" s="4"/>
      <c r="N624" s="4"/>
      <c r="O624" s="4"/>
      <c r="P624" s="4"/>
      <c r="Q624" s="4"/>
      <c r="R624" s="4"/>
      <c r="S624" s="7"/>
      <c r="T624" s="7"/>
      <c r="U624" s="7"/>
      <c r="V624" s="7"/>
      <c r="W624" s="7"/>
      <c r="X624" s="7"/>
      <c r="Y624" s="7"/>
      <c r="Z624" s="7"/>
    </row>
    <row r="625" ht="15.75" customHeight="1">
      <c r="A625" s="4"/>
      <c r="B625" s="4"/>
      <c r="C625" s="4"/>
      <c r="D625" s="4"/>
      <c r="E625" s="19"/>
      <c r="F625" s="4"/>
      <c r="G625" s="4"/>
      <c r="H625" s="7"/>
      <c r="I625" s="4"/>
      <c r="J625" s="4"/>
      <c r="K625" s="22"/>
      <c r="L625" s="4"/>
      <c r="M625" s="4"/>
      <c r="N625" s="4"/>
      <c r="O625" s="4"/>
      <c r="P625" s="4"/>
      <c r="Q625" s="4"/>
      <c r="R625" s="4"/>
      <c r="S625" s="7"/>
      <c r="T625" s="7"/>
      <c r="U625" s="7"/>
      <c r="V625" s="7"/>
      <c r="W625" s="7"/>
      <c r="X625" s="7"/>
      <c r="Y625" s="7"/>
      <c r="Z625" s="7"/>
    </row>
    <row r="626" ht="15.75" customHeight="1">
      <c r="A626" s="4"/>
      <c r="B626" s="4"/>
      <c r="C626" s="4"/>
      <c r="D626" s="4"/>
      <c r="E626" s="19"/>
      <c r="F626" s="4"/>
      <c r="G626" s="4"/>
      <c r="H626" s="7"/>
      <c r="I626" s="4"/>
      <c r="J626" s="4"/>
      <c r="K626" s="22"/>
      <c r="L626" s="4"/>
      <c r="M626" s="4"/>
      <c r="N626" s="4"/>
      <c r="O626" s="4"/>
      <c r="P626" s="4"/>
      <c r="Q626" s="4"/>
      <c r="R626" s="4"/>
      <c r="S626" s="7"/>
      <c r="T626" s="7"/>
      <c r="U626" s="7"/>
      <c r="V626" s="7"/>
      <c r="W626" s="7"/>
      <c r="X626" s="7"/>
      <c r="Y626" s="7"/>
      <c r="Z626" s="7"/>
    </row>
    <row r="627" ht="15.75" customHeight="1">
      <c r="A627" s="4"/>
      <c r="B627" s="4"/>
      <c r="C627" s="4"/>
      <c r="D627" s="4"/>
      <c r="E627" s="19"/>
      <c r="F627" s="4"/>
      <c r="G627" s="4"/>
      <c r="H627" s="7"/>
      <c r="I627" s="4"/>
      <c r="J627" s="4"/>
      <c r="K627" s="22"/>
      <c r="L627" s="4"/>
      <c r="M627" s="4"/>
      <c r="N627" s="4"/>
      <c r="O627" s="4"/>
      <c r="P627" s="4"/>
      <c r="Q627" s="4"/>
      <c r="R627" s="4"/>
      <c r="S627" s="7"/>
      <c r="T627" s="7"/>
      <c r="U627" s="7"/>
      <c r="V627" s="7"/>
      <c r="W627" s="7"/>
      <c r="X627" s="7"/>
      <c r="Y627" s="7"/>
      <c r="Z627" s="7"/>
    </row>
    <row r="628" ht="15.75" customHeight="1">
      <c r="A628" s="4"/>
      <c r="B628" s="4"/>
      <c r="C628" s="4"/>
      <c r="D628" s="4"/>
      <c r="E628" s="19"/>
      <c r="F628" s="4"/>
      <c r="G628" s="4"/>
      <c r="H628" s="7"/>
      <c r="I628" s="4"/>
      <c r="J628" s="4"/>
      <c r="K628" s="22"/>
      <c r="L628" s="4"/>
      <c r="M628" s="4"/>
      <c r="N628" s="4"/>
      <c r="O628" s="4"/>
      <c r="P628" s="4"/>
      <c r="Q628" s="4"/>
      <c r="R628" s="4"/>
      <c r="S628" s="7"/>
      <c r="T628" s="7"/>
      <c r="U628" s="7"/>
      <c r="V628" s="7"/>
      <c r="W628" s="7"/>
      <c r="X628" s="7"/>
      <c r="Y628" s="7"/>
      <c r="Z628" s="7"/>
    </row>
    <row r="629" ht="15.75" customHeight="1">
      <c r="A629" s="4"/>
      <c r="B629" s="4"/>
      <c r="C629" s="4"/>
      <c r="D629" s="4"/>
      <c r="E629" s="19"/>
      <c r="F629" s="4"/>
      <c r="G629" s="4"/>
      <c r="H629" s="7"/>
      <c r="I629" s="4"/>
      <c r="J629" s="4"/>
      <c r="K629" s="22"/>
      <c r="L629" s="4"/>
      <c r="M629" s="4"/>
      <c r="N629" s="4"/>
      <c r="O629" s="4"/>
      <c r="P629" s="4"/>
      <c r="Q629" s="4"/>
      <c r="R629" s="4"/>
      <c r="S629" s="7"/>
      <c r="T629" s="7"/>
      <c r="U629" s="7"/>
      <c r="V629" s="7"/>
      <c r="W629" s="7"/>
      <c r="X629" s="7"/>
      <c r="Y629" s="7"/>
      <c r="Z629" s="7"/>
    </row>
    <row r="630" ht="15.75" customHeight="1">
      <c r="A630" s="4"/>
      <c r="B630" s="4"/>
      <c r="C630" s="4"/>
      <c r="D630" s="4"/>
      <c r="E630" s="19"/>
      <c r="F630" s="4"/>
      <c r="G630" s="4"/>
      <c r="H630" s="7"/>
      <c r="I630" s="4"/>
      <c r="J630" s="4"/>
      <c r="K630" s="22"/>
      <c r="L630" s="4"/>
      <c r="M630" s="4"/>
      <c r="N630" s="4"/>
      <c r="O630" s="4"/>
      <c r="P630" s="4"/>
      <c r="Q630" s="4"/>
      <c r="R630" s="4"/>
      <c r="S630" s="7"/>
      <c r="T630" s="7"/>
      <c r="U630" s="7"/>
      <c r="V630" s="7"/>
      <c r="W630" s="7"/>
      <c r="X630" s="7"/>
      <c r="Y630" s="7"/>
      <c r="Z630" s="7"/>
    </row>
    <row r="631" ht="15.75" customHeight="1">
      <c r="A631" s="4"/>
      <c r="B631" s="4"/>
      <c r="C631" s="4"/>
      <c r="D631" s="4"/>
      <c r="E631" s="19"/>
      <c r="F631" s="4"/>
      <c r="G631" s="4"/>
      <c r="H631" s="7"/>
      <c r="I631" s="4"/>
      <c r="J631" s="4"/>
      <c r="K631" s="22"/>
      <c r="L631" s="4"/>
      <c r="M631" s="4"/>
      <c r="N631" s="4"/>
      <c r="O631" s="4"/>
      <c r="P631" s="4"/>
      <c r="Q631" s="4"/>
      <c r="R631" s="4"/>
      <c r="S631" s="7"/>
      <c r="T631" s="7"/>
      <c r="U631" s="7"/>
      <c r="V631" s="7"/>
      <c r="W631" s="7"/>
      <c r="X631" s="7"/>
      <c r="Y631" s="7"/>
      <c r="Z631" s="7"/>
    </row>
    <row r="632" ht="15.75" customHeight="1">
      <c r="A632" s="4"/>
      <c r="B632" s="4"/>
      <c r="C632" s="4"/>
      <c r="D632" s="4"/>
      <c r="E632" s="19"/>
      <c r="F632" s="4"/>
      <c r="G632" s="4"/>
      <c r="H632" s="7"/>
      <c r="I632" s="4"/>
      <c r="J632" s="4"/>
      <c r="K632" s="22"/>
      <c r="L632" s="4"/>
      <c r="M632" s="4"/>
      <c r="N632" s="4"/>
      <c r="O632" s="4"/>
      <c r="P632" s="4"/>
      <c r="Q632" s="4"/>
      <c r="R632" s="4"/>
      <c r="S632" s="7"/>
      <c r="T632" s="7"/>
      <c r="U632" s="7"/>
      <c r="V632" s="7"/>
      <c r="W632" s="7"/>
      <c r="X632" s="7"/>
      <c r="Y632" s="7"/>
      <c r="Z632" s="7"/>
    </row>
    <row r="633" ht="15.75" customHeight="1">
      <c r="A633" s="4"/>
      <c r="B633" s="4"/>
      <c r="C633" s="4"/>
      <c r="D633" s="4"/>
      <c r="E633" s="19"/>
      <c r="F633" s="4"/>
      <c r="G633" s="4"/>
      <c r="H633" s="7"/>
      <c r="I633" s="4"/>
      <c r="J633" s="4"/>
      <c r="K633" s="22"/>
      <c r="L633" s="4"/>
      <c r="M633" s="4"/>
      <c r="N633" s="4"/>
      <c r="O633" s="4"/>
      <c r="P633" s="4"/>
      <c r="Q633" s="4"/>
      <c r="R633" s="4"/>
      <c r="S633" s="7"/>
      <c r="T633" s="7"/>
      <c r="U633" s="7"/>
      <c r="V633" s="7"/>
      <c r="W633" s="7"/>
      <c r="X633" s="7"/>
      <c r="Y633" s="7"/>
      <c r="Z633" s="7"/>
    </row>
    <row r="634" ht="15.75" customHeight="1">
      <c r="A634" s="4"/>
      <c r="B634" s="4"/>
      <c r="C634" s="4"/>
      <c r="D634" s="4"/>
      <c r="E634" s="19"/>
      <c r="F634" s="4"/>
      <c r="G634" s="4"/>
      <c r="H634" s="7"/>
      <c r="I634" s="4"/>
      <c r="J634" s="4"/>
      <c r="K634" s="22"/>
      <c r="L634" s="4"/>
      <c r="M634" s="4"/>
      <c r="N634" s="4"/>
      <c r="O634" s="4"/>
      <c r="P634" s="4"/>
      <c r="Q634" s="4"/>
      <c r="R634" s="4"/>
      <c r="S634" s="7"/>
      <c r="T634" s="7"/>
      <c r="U634" s="7"/>
      <c r="V634" s="7"/>
      <c r="W634" s="7"/>
      <c r="X634" s="7"/>
      <c r="Y634" s="7"/>
      <c r="Z634" s="7"/>
    </row>
    <row r="635" ht="15.75" customHeight="1">
      <c r="A635" s="4"/>
      <c r="B635" s="4"/>
      <c r="C635" s="4"/>
      <c r="D635" s="4"/>
      <c r="E635" s="19"/>
      <c r="F635" s="4"/>
      <c r="G635" s="4"/>
      <c r="H635" s="7"/>
      <c r="I635" s="4"/>
      <c r="J635" s="4"/>
      <c r="K635" s="22"/>
      <c r="L635" s="4"/>
      <c r="M635" s="4"/>
      <c r="N635" s="4"/>
      <c r="O635" s="4"/>
      <c r="P635" s="4"/>
      <c r="Q635" s="4"/>
      <c r="R635" s="4"/>
      <c r="S635" s="7"/>
      <c r="T635" s="7"/>
      <c r="U635" s="7"/>
      <c r="V635" s="7"/>
      <c r="W635" s="7"/>
      <c r="X635" s="7"/>
      <c r="Y635" s="7"/>
      <c r="Z635" s="7"/>
    </row>
    <row r="636" ht="15.75" customHeight="1">
      <c r="A636" s="4"/>
      <c r="B636" s="4"/>
      <c r="C636" s="4"/>
      <c r="D636" s="4"/>
      <c r="E636" s="19"/>
      <c r="F636" s="4"/>
      <c r="G636" s="4"/>
      <c r="H636" s="7"/>
      <c r="I636" s="4"/>
      <c r="J636" s="4"/>
      <c r="K636" s="22"/>
      <c r="L636" s="4"/>
      <c r="M636" s="4"/>
      <c r="N636" s="4"/>
      <c r="O636" s="4"/>
      <c r="P636" s="4"/>
      <c r="Q636" s="4"/>
      <c r="R636" s="4"/>
      <c r="S636" s="7"/>
      <c r="T636" s="7"/>
      <c r="U636" s="7"/>
      <c r="V636" s="7"/>
      <c r="W636" s="7"/>
      <c r="X636" s="7"/>
      <c r="Y636" s="7"/>
      <c r="Z636" s="7"/>
    </row>
    <row r="637" ht="15.75" customHeight="1">
      <c r="A637" s="4"/>
      <c r="B637" s="4"/>
      <c r="C637" s="4"/>
      <c r="D637" s="4"/>
      <c r="E637" s="19"/>
      <c r="F637" s="4"/>
      <c r="G637" s="4"/>
      <c r="H637" s="7"/>
      <c r="I637" s="4"/>
      <c r="J637" s="4"/>
      <c r="K637" s="22"/>
      <c r="L637" s="4"/>
      <c r="M637" s="4"/>
      <c r="N637" s="4"/>
      <c r="O637" s="4"/>
      <c r="P637" s="4"/>
      <c r="Q637" s="4"/>
      <c r="R637" s="4"/>
      <c r="S637" s="7"/>
      <c r="T637" s="7"/>
      <c r="U637" s="7"/>
      <c r="V637" s="7"/>
      <c r="W637" s="7"/>
      <c r="X637" s="7"/>
      <c r="Y637" s="7"/>
      <c r="Z637" s="7"/>
    </row>
    <row r="638" ht="15.75" customHeight="1">
      <c r="A638" s="4"/>
      <c r="B638" s="4"/>
      <c r="C638" s="4"/>
      <c r="D638" s="4"/>
      <c r="E638" s="19"/>
      <c r="F638" s="4"/>
      <c r="G638" s="4"/>
      <c r="H638" s="7"/>
      <c r="I638" s="4"/>
      <c r="J638" s="4"/>
      <c r="K638" s="22"/>
      <c r="L638" s="4"/>
      <c r="M638" s="4"/>
      <c r="N638" s="4"/>
      <c r="O638" s="4"/>
      <c r="P638" s="4"/>
      <c r="Q638" s="4"/>
      <c r="R638" s="4"/>
      <c r="S638" s="7"/>
      <c r="T638" s="7"/>
      <c r="U638" s="7"/>
      <c r="V638" s="7"/>
      <c r="W638" s="7"/>
      <c r="X638" s="7"/>
      <c r="Y638" s="7"/>
      <c r="Z638" s="7"/>
    </row>
    <row r="639" ht="15.75" customHeight="1">
      <c r="A639" s="4"/>
      <c r="B639" s="4"/>
      <c r="C639" s="4"/>
      <c r="D639" s="4"/>
      <c r="E639" s="19"/>
      <c r="F639" s="4"/>
      <c r="G639" s="4"/>
      <c r="H639" s="7"/>
      <c r="I639" s="4"/>
      <c r="J639" s="4"/>
      <c r="K639" s="22"/>
      <c r="L639" s="4"/>
      <c r="M639" s="4"/>
      <c r="N639" s="4"/>
      <c r="O639" s="4"/>
      <c r="P639" s="4"/>
      <c r="Q639" s="4"/>
      <c r="R639" s="4"/>
      <c r="S639" s="7"/>
      <c r="T639" s="7"/>
      <c r="U639" s="7"/>
      <c r="V639" s="7"/>
      <c r="W639" s="7"/>
      <c r="X639" s="7"/>
      <c r="Y639" s="7"/>
      <c r="Z639" s="7"/>
    </row>
    <row r="640" ht="15.75" customHeight="1">
      <c r="A640" s="4"/>
      <c r="B640" s="4"/>
      <c r="C640" s="4"/>
      <c r="D640" s="4"/>
      <c r="E640" s="19"/>
      <c r="F640" s="4"/>
      <c r="G640" s="4"/>
      <c r="H640" s="7"/>
      <c r="I640" s="4"/>
      <c r="J640" s="4"/>
      <c r="K640" s="22"/>
      <c r="L640" s="4"/>
      <c r="M640" s="4"/>
      <c r="N640" s="4"/>
      <c r="O640" s="4"/>
      <c r="P640" s="4"/>
      <c r="Q640" s="4"/>
      <c r="R640" s="4"/>
      <c r="S640" s="7"/>
      <c r="T640" s="7"/>
      <c r="U640" s="7"/>
      <c r="V640" s="7"/>
      <c r="W640" s="7"/>
      <c r="X640" s="7"/>
      <c r="Y640" s="7"/>
      <c r="Z640" s="7"/>
    </row>
    <row r="641" ht="15.75" customHeight="1">
      <c r="A641" s="4"/>
      <c r="B641" s="4"/>
      <c r="C641" s="4"/>
      <c r="D641" s="4"/>
      <c r="E641" s="19"/>
      <c r="F641" s="4"/>
      <c r="G641" s="4"/>
      <c r="H641" s="7"/>
      <c r="I641" s="4"/>
      <c r="J641" s="4"/>
      <c r="K641" s="22"/>
      <c r="L641" s="4"/>
      <c r="M641" s="4"/>
      <c r="N641" s="4"/>
      <c r="O641" s="4"/>
      <c r="P641" s="4"/>
      <c r="Q641" s="4"/>
      <c r="R641" s="4"/>
      <c r="S641" s="7"/>
      <c r="T641" s="7"/>
      <c r="U641" s="7"/>
      <c r="V641" s="7"/>
      <c r="W641" s="7"/>
      <c r="X641" s="7"/>
      <c r="Y641" s="7"/>
      <c r="Z641" s="7"/>
    </row>
    <row r="642" ht="15.75" customHeight="1">
      <c r="A642" s="4"/>
      <c r="B642" s="4"/>
      <c r="C642" s="4"/>
      <c r="D642" s="4"/>
      <c r="E642" s="19"/>
      <c r="F642" s="4"/>
      <c r="G642" s="4"/>
      <c r="H642" s="7"/>
      <c r="I642" s="4"/>
      <c r="J642" s="4"/>
      <c r="K642" s="22"/>
      <c r="L642" s="4"/>
      <c r="M642" s="4"/>
      <c r="N642" s="4"/>
      <c r="O642" s="4"/>
      <c r="P642" s="4"/>
      <c r="Q642" s="4"/>
      <c r="R642" s="4"/>
      <c r="S642" s="7"/>
      <c r="T642" s="7"/>
      <c r="U642" s="7"/>
      <c r="V642" s="7"/>
      <c r="W642" s="7"/>
      <c r="X642" s="7"/>
      <c r="Y642" s="7"/>
      <c r="Z642" s="7"/>
    </row>
    <row r="643" ht="15.75" customHeight="1">
      <c r="A643" s="4"/>
      <c r="B643" s="4"/>
      <c r="C643" s="4"/>
      <c r="D643" s="4"/>
      <c r="E643" s="19"/>
      <c r="F643" s="4"/>
      <c r="G643" s="4"/>
      <c r="H643" s="7"/>
      <c r="I643" s="4"/>
      <c r="J643" s="4"/>
      <c r="K643" s="22"/>
      <c r="L643" s="4"/>
      <c r="M643" s="4"/>
      <c r="N643" s="4"/>
      <c r="O643" s="4"/>
      <c r="P643" s="4"/>
      <c r="Q643" s="4"/>
      <c r="R643" s="4"/>
      <c r="S643" s="7"/>
      <c r="T643" s="7"/>
      <c r="U643" s="7"/>
      <c r="V643" s="7"/>
      <c r="W643" s="7"/>
      <c r="X643" s="7"/>
      <c r="Y643" s="7"/>
      <c r="Z643" s="7"/>
    </row>
    <row r="644" ht="15.75" customHeight="1">
      <c r="A644" s="4"/>
      <c r="B644" s="4"/>
      <c r="C644" s="4"/>
      <c r="D644" s="4"/>
      <c r="E644" s="19"/>
      <c r="F644" s="4"/>
      <c r="G644" s="4"/>
      <c r="H644" s="7"/>
      <c r="I644" s="4"/>
      <c r="J644" s="4"/>
      <c r="K644" s="22"/>
      <c r="L644" s="4"/>
      <c r="M644" s="4"/>
      <c r="N644" s="4"/>
      <c r="O644" s="4"/>
      <c r="P644" s="4"/>
      <c r="Q644" s="4"/>
      <c r="R644" s="4"/>
      <c r="S644" s="7"/>
      <c r="T644" s="7"/>
      <c r="U644" s="7"/>
      <c r="V644" s="7"/>
      <c r="W644" s="7"/>
      <c r="X644" s="7"/>
      <c r="Y644" s="7"/>
      <c r="Z644" s="7"/>
    </row>
    <row r="645" ht="15.75" customHeight="1">
      <c r="A645" s="4"/>
      <c r="B645" s="4"/>
      <c r="C645" s="4"/>
      <c r="D645" s="4"/>
      <c r="E645" s="19"/>
      <c r="F645" s="4"/>
      <c r="G645" s="4"/>
      <c r="H645" s="7"/>
      <c r="I645" s="4"/>
      <c r="J645" s="4"/>
      <c r="K645" s="22"/>
      <c r="L645" s="4"/>
      <c r="M645" s="4"/>
      <c r="N645" s="4"/>
      <c r="O645" s="4"/>
      <c r="P645" s="4"/>
      <c r="Q645" s="4"/>
      <c r="R645" s="4"/>
      <c r="S645" s="7"/>
      <c r="T645" s="7"/>
      <c r="U645" s="7"/>
      <c r="V645" s="7"/>
      <c r="W645" s="7"/>
      <c r="X645" s="7"/>
      <c r="Y645" s="7"/>
      <c r="Z645" s="7"/>
    </row>
    <row r="646" ht="15.75" customHeight="1">
      <c r="A646" s="4"/>
      <c r="B646" s="4"/>
      <c r="C646" s="4"/>
      <c r="D646" s="4"/>
      <c r="E646" s="19"/>
      <c r="F646" s="4"/>
      <c r="G646" s="4"/>
      <c r="H646" s="7"/>
      <c r="I646" s="4"/>
      <c r="J646" s="4"/>
      <c r="K646" s="22"/>
      <c r="L646" s="4"/>
      <c r="M646" s="4"/>
      <c r="N646" s="4"/>
      <c r="O646" s="4"/>
      <c r="P646" s="4"/>
      <c r="Q646" s="4"/>
      <c r="R646" s="4"/>
      <c r="S646" s="7"/>
      <c r="T646" s="7"/>
      <c r="U646" s="7"/>
      <c r="V646" s="7"/>
      <c r="W646" s="7"/>
      <c r="X646" s="7"/>
      <c r="Y646" s="7"/>
      <c r="Z646" s="7"/>
    </row>
    <row r="647" ht="15.75" customHeight="1">
      <c r="A647" s="4"/>
      <c r="B647" s="4"/>
      <c r="C647" s="4"/>
      <c r="D647" s="4"/>
      <c r="E647" s="19"/>
      <c r="F647" s="4"/>
      <c r="G647" s="4"/>
      <c r="H647" s="7"/>
      <c r="I647" s="4"/>
      <c r="J647" s="4"/>
      <c r="K647" s="22"/>
      <c r="L647" s="4"/>
      <c r="M647" s="4"/>
      <c r="N647" s="4"/>
      <c r="O647" s="4"/>
      <c r="P647" s="4"/>
      <c r="Q647" s="4"/>
      <c r="R647" s="4"/>
      <c r="S647" s="7"/>
      <c r="T647" s="7"/>
      <c r="U647" s="7"/>
      <c r="V647" s="7"/>
      <c r="W647" s="7"/>
      <c r="X647" s="7"/>
      <c r="Y647" s="7"/>
      <c r="Z647" s="7"/>
    </row>
    <row r="648" ht="15.75" customHeight="1">
      <c r="A648" s="4"/>
      <c r="B648" s="4"/>
      <c r="C648" s="4"/>
      <c r="D648" s="4"/>
      <c r="E648" s="19"/>
      <c r="F648" s="4"/>
      <c r="G648" s="4"/>
      <c r="H648" s="7"/>
      <c r="I648" s="4"/>
      <c r="J648" s="4"/>
      <c r="K648" s="22"/>
      <c r="L648" s="4"/>
      <c r="M648" s="4"/>
      <c r="N648" s="4"/>
      <c r="O648" s="4"/>
      <c r="P648" s="4"/>
      <c r="Q648" s="4"/>
      <c r="R648" s="4"/>
      <c r="S648" s="7"/>
      <c r="T648" s="7"/>
      <c r="U648" s="7"/>
      <c r="V648" s="7"/>
      <c r="W648" s="7"/>
      <c r="X648" s="7"/>
      <c r="Y648" s="7"/>
      <c r="Z648" s="7"/>
    </row>
    <row r="649" ht="15.75" customHeight="1">
      <c r="A649" s="4"/>
      <c r="B649" s="4"/>
      <c r="C649" s="4"/>
      <c r="D649" s="4"/>
      <c r="E649" s="19"/>
      <c r="F649" s="4"/>
      <c r="G649" s="4"/>
      <c r="H649" s="7"/>
      <c r="I649" s="4"/>
      <c r="J649" s="4"/>
      <c r="K649" s="22"/>
      <c r="L649" s="4"/>
      <c r="M649" s="4"/>
      <c r="N649" s="4"/>
      <c r="O649" s="4"/>
      <c r="P649" s="4"/>
      <c r="Q649" s="4"/>
      <c r="R649" s="4"/>
      <c r="S649" s="7"/>
      <c r="T649" s="7"/>
      <c r="U649" s="7"/>
      <c r="V649" s="7"/>
      <c r="W649" s="7"/>
      <c r="X649" s="7"/>
      <c r="Y649" s="7"/>
      <c r="Z649" s="7"/>
    </row>
    <row r="650" ht="15.75" customHeight="1">
      <c r="A650" s="4"/>
      <c r="B650" s="4"/>
      <c r="C650" s="4"/>
      <c r="D650" s="4"/>
      <c r="E650" s="19"/>
      <c r="F650" s="4"/>
      <c r="G650" s="4"/>
      <c r="H650" s="7"/>
      <c r="I650" s="4"/>
      <c r="J650" s="4"/>
      <c r="K650" s="22"/>
      <c r="L650" s="4"/>
      <c r="M650" s="4"/>
      <c r="N650" s="4"/>
      <c r="O650" s="4"/>
      <c r="P650" s="4"/>
      <c r="Q650" s="4"/>
      <c r="R650" s="4"/>
      <c r="S650" s="7"/>
      <c r="T650" s="7"/>
      <c r="U650" s="7"/>
      <c r="V650" s="7"/>
      <c r="W650" s="7"/>
      <c r="X650" s="7"/>
      <c r="Y650" s="7"/>
      <c r="Z650" s="7"/>
    </row>
    <row r="651" ht="15.75" customHeight="1">
      <c r="A651" s="4"/>
      <c r="B651" s="4"/>
      <c r="C651" s="4"/>
      <c r="D651" s="4"/>
      <c r="E651" s="19"/>
      <c r="F651" s="4"/>
      <c r="G651" s="4"/>
      <c r="H651" s="7"/>
      <c r="I651" s="4"/>
      <c r="J651" s="4"/>
      <c r="K651" s="22"/>
      <c r="L651" s="4"/>
      <c r="M651" s="4"/>
      <c r="N651" s="4"/>
      <c r="O651" s="4"/>
      <c r="P651" s="4"/>
      <c r="Q651" s="4"/>
      <c r="R651" s="4"/>
      <c r="S651" s="7"/>
      <c r="T651" s="7"/>
      <c r="U651" s="7"/>
      <c r="V651" s="7"/>
      <c r="W651" s="7"/>
      <c r="X651" s="7"/>
      <c r="Y651" s="7"/>
      <c r="Z651" s="7"/>
    </row>
    <row r="652" ht="15.75" customHeight="1">
      <c r="A652" s="4"/>
      <c r="B652" s="4"/>
      <c r="C652" s="4"/>
      <c r="D652" s="4"/>
      <c r="E652" s="19"/>
      <c r="F652" s="4"/>
      <c r="G652" s="4"/>
      <c r="H652" s="7"/>
      <c r="I652" s="4"/>
      <c r="J652" s="4"/>
      <c r="K652" s="22"/>
      <c r="L652" s="4"/>
      <c r="M652" s="4"/>
      <c r="N652" s="4"/>
      <c r="O652" s="4"/>
      <c r="P652" s="4"/>
      <c r="Q652" s="4"/>
      <c r="R652" s="4"/>
      <c r="S652" s="7"/>
      <c r="T652" s="7"/>
      <c r="U652" s="7"/>
      <c r="V652" s="7"/>
      <c r="W652" s="7"/>
      <c r="X652" s="7"/>
      <c r="Y652" s="7"/>
      <c r="Z652" s="7"/>
    </row>
    <row r="653" ht="15.75" customHeight="1">
      <c r="A653" s="4"/>
      <c r="B653" s="4"/>
      <c r="C653" s="4"/>
      <c r="D653" s="4"/>
      <c r="E653" s="19"/>
      <c r="F653" s="4"/>
      <c r="G653" s="4"/>
      <c r="H653" s="7"/>
      <c r="I653" s="4"/>
      <c r="J653" s="4"/>
      <c r="K653" s="22"/>
      <c r="L653" s="4"/>
      <c r="M653" s="4"/>
      <c r="N653" s="4"/>
      <c r="O653" s="4"/>
      <c r="P653" s="4"/>
      <c r="Q653" s="4"/>
      <c r="R653" s="4"/>
      <c r="S653" s="7"/>
      <c r="T653" s="7"/>
      <c r="U653" s="7"/>
      <c r="V653" s="7"/>
      <c r="W653" s="7"/>
      <c r="X653" s="7"/>
      <c r="Y653" s="7"/>
      <c r="Z653" s="7"/>
    </row>
    <row r="654" ht="15.75" customHeight="1">
      <c r="A654" s="4"/>
      <c r="B654" s="4"/>
      <c r="C654" s="4"/>
      <c r="D654" s="4"/>
      <c r="E654" s="19"/>
      <c r="F654" s="4"/>
      <c r="G654" s="4"/>
      <c r="H654" s="7"/>
      <c r="I654" s="4"/>
      <c r="J654" s="4"/>
      <c r="K654" s="22"/>
      <c r="L654" s="4"/>
      <c r="M654" s="4"/>
      <c r="N654" s="4"/>
      <c r="O654" s="4"/>
      <c r="P654" s="4"/>
      <c r="Q654" s="4"/>
      <c r="R654" s="4"/>
      <c r="S654" s="7"/>
      <c r="T654" s="7"/>
      <c r="U654" s="7"/>
      <c r="V654" s="7"/>
      <c r="W654" s="7"/>
      <c r="X654" s="7"/>
      <c r="Y654" s="7"/>
      <c r="Z654" s="7"/>
    </row>
    <row r="655" ht="15.75" customHeight="1">
      <c r="A655" s="4"/>
      <c r="B655" s="4"/>
      <c r="C655" s="4"/>
      <c r="D655" s="4"/>
      <c r="E655" s="19"/>
      <c r="F655" s="4"/>
      <c r="G655" s="4"/>
      <c r="H655" s="7"/>
      <c r="I655" s="4"/>
      <c r="J655" s="4"/>
      <c r="K655" s="22"/>
      <c r="L655" s="4"/>
      <c r="M655" s="4"/>
      <c r="N655" s="4"/>
      <c r="O655" s="4"/>
      <c r="P655" s="4"/>
      <c r="Q655" s="4"/>
      <c r="R655" s="4"/>
      <c r="S655" s="7"/>
      <c r="T655" s="7"/>
      <c r="U655" s="7"/>
      <c r="V655" s="7"/>
      <c r="W655" s="7"/>
      <c r="X655" s="7"/>
      <c r="Y655" s="7"/>
      <c r="Z655" s="7"/>
    </row>
    <row r="656" ht="15.75" customHeight="1">
      <c r="A656" s="4"/>
      <c r="B656" s="4"/>
      <c r="C656" s="4"/>
      <c r="D656" s="4"/>
      <c r="E656" s="19"/>
      <c r="F656" s="4"/>
      <c r="G656" s="4"/>
      <c r="H656" s="7"/>
      <c r="I656" s="4"/>
      <c r="J656" s="4"/>
      <c r="K656" s="22"/>
      <c r="L656" s="4"/>
      <c r="M656" s="4"/>
      <c r="N656" s="4"/>
      <c r="O656" s="4"/>
      <c r="P656" s="4"/>
      <c r="Q656" s="4"/>
      <c r="R656" s="4"/>
      <c r="S656" s="7"/>
      <c r="T656" s="7"/>
      <c r="U656" s="7"/>
      <c r="V656" s="7"/>
      <c r="W656" s="7"/>
      <c r="X656" s="7"/>
      <c r="Y656" s="7"/>
      <c r="Z656" s="7"/>
    </row>
    <row r="657" ht="15.75" customHeight="1">
      <c r="A657" s="4"/>
      <c r="B657" s="4"/>
      <c r="C657" s="4"/>
      <c r="D657" s="4"/>
      <c r="E657" s="19"/>
      <c r="F657" s="4"/>
      <c r="G657" s="4"/>
      <c r="H657" s="7"/>
      <c r="I657" s="4"/>
      <c r="J657" s="4"/>
      <c r="K657" s="22"/>
      <c r="L657" s="4"/>
      <c r="M657" s="4"/>
      <c r="N657" s="4"/>
      <c r="O657" s="4"/>
      <c r="P657" s="4"/>
      <c r="Q657" s="4"/>
      <c r="R657" s="4"/>
      <c r="S657" s="7"/>
      <c r="T657" s="7"/>
      <c r="U657" s="7"/>
      <c r="V657" s="7"/>
      <c r="W657" s="7"/>
      <c r="X657" s="7"/>
      <c r="Y657" s="7"/>
      <c r="Z657" s="7"/>
    </row>
    <row r="658" ht="15.75" customHeight="1">
      <c r="A658" s="4"/>
      <c r="B658" s="4"/>
      <c r="C658" s="4"/>
      <c r="D658" s="4"/>
      <c r="E658" s="19"/>
      <c r="F658" s="4"/>
      <c r="G658" s="4"/>
      <c r="H658" s="7"/>
      <c r="I658" s="4"/>
      <c r="J658" s="4"/>
      <c r="K658" s="22"/>
      <c r="L658" s="4"/>
      <c r="M658" s="4"/>
      <c r="N658" s="4"/>
      <c r="O658" s="4"/>
      <c r="P658" s="4"/>
      <c r="Q658" s="4"/>
      <c r="R658" s="4"/>
      <c r="S658" s="7"/>
      <c r="T658" s="7"/>
      <c r="U658" s="7"/>
      <c r="V658" s="7"/>
      <c r="W658" s="7"/>
      <c r="X658" s="7"/>
      <c r="Y658" s="7"/>
      <c r="Z658" s="7"/>
    </row>
    <row r="659" ht="15.75" customHeight="1">
      <c r="A659" s="4"/>
      <c r="B659" s="4"/>
      <c r="C659" s="4"/>
      <c r="D659" s="4"/>
      <c r="E659" s="19"/>
      <c r="F659" s="4"/>
      <c r="G659" s="4"/>
      <c r="H659" s="7"/>
      <c r="I659" s="4"/>
      <c r="J659" s="4"/>
      <c r="K659" s="22"/>
      <c r="L659" s="4"/>
      <c r="M659" s="4"/>
      <c r="N659" s="4"/>
      <c r="O659" s="4"/>
      <c r="P659" s="4"/>
      <c r="Q659" s="4"/>
      <c r="R659" s="4"/>
      <c r="S659" s="7"/>
      <c r="T659" s="7"/>
      <c r="U659" s="7"/>
      <c r="V659" s="7"/>
      <c r="W659" s="7"/>
      <c r="X659" s="7"/>
      <c r="Y659" s="7"/>
      <c r="Z659" s="7"/>
    </row>
    <row r="660" ht="15.75" customHeight="1">
      <c r="A660" s="4"/>
      <c r="B660" s="4"/>
      <c r="C660" s="4"/>
      <c r="D660" s="4"/>
      <c r="E660" s="19"/>
      <c r="F660" s="4"/>
      <c r="G660" s="4"/>
      <c r="H660" s="7"/>
      <c r="I660" s="4"/>
      <c r="J660" s="4"/>
      <c r="K660" s="22"/>
      <c r="L660" s="4"/>
      <c r="M660" s="4"/>
      <c r="N660" s="4"/>
      <c r="O660" s="4"/>
      <c r="P660" s="4"/>
      <c r="Q660" s="4"/>
      <c r="R660" s="4"/>
      <c r="S660" s="7"/>
      <c r="T660" s="7"/>
      <c r="U660" s="7"/>
      <c r="V660" s="7"/>
      <c r="W660" s="7"/>
      <c r="X660" s="7"/>
      <c r="Y660" s="7"/>
      <c r="Z660" s="7"/>
    </row>
    <row r="661" ht="15.75" customHeight="1">
      <c r="A661" s="4"/>
      <c r="B661" s="4"/>
      <c r="C661" s="4"/>
      <c r="D661" s="4"/>
      <c r="E661" s="19"/>
      <c r="F661" s="4"/>
      <c r="G661" s="4"/>
      <c r="H661" s="7"/>
      <c r="I661" s="4"/>
      <c r="J661" s="4"/>
      <c r="K661" s="22"/>
      <c r="L661" s="4"/>
      <c r="M661" s="4"/>
      <c r="N661" s="4"/>
      <c r="O661" s="4"/>
      <c r="P661" s="4"/>
      <c r="Q661" s="4"/>
      <c r="R661" s="4"/>
      <c r="S661" s="7"/>
      <c r="T661" s="7"/>
      <c r="U661" s="7"/>
      <c r="V661" s="7"/>
      <c r="W661" s="7"/>
      <c r="X661" s="7"/>
      <c r="Y661" s="7"/>
      <c r="Z661" s="7"/>
    </row>
    <row r="662" ht="15.75" customHeight="1">
      <c r="A662" s="4"/>
      <c r="B662" s="4"/>
      <c r="C662" s="4"/>
      <c r="D662" s="4"/>
      <c r="E662" s="19"/>
      <c r="F662" s="4"/>
      <c r="G662" s="4"/>
      <c r="H662" s="7"/>
      <c r="I662" s="4"/>
      <c r="J662" s="4"/>
      <c r="K662" s="22"/>
      <c r="L662" s="4"/>
      <c r="M662" s="4"/>
      <c r="N662" s="4"/>
      <c r="O662" s="4"/>
      <c r="P662" s="4"/>
      <c r="Q662" s="4"/>
      <c r="R662" s="4"/>
      <c r="S662" s="7"/>
      <c r="T662" s="7"/>
      <c r="U662" s="7"/>
      <c r="V662" s="7"/>
      <c r="W662" s="7"/>
      <c r="X662" s="7"/>
      <c r="Y662" s="7"/>
      <c r="Z662" s="7"/>
    </row>
    <row r="663" ht="15.75" customHeight="1">
      <c r="A663" s="4"/>
      <c r="B663" s="4"/>
      <c r="C663" s="4"/>
      <c r="D663" s="4"/>
      <c r="E663" s="19"/>
      <c r="F663" s="4"/>
      <c r="G663" s="4"/>
      <c r="H663" s="7"/>
      <c r="I663" s="4"/>
      <c r="J663" s="4"/>
      <c r="K663" s="22"/>
      <c r="L663" s="4"/>
      <c r="M663" s="4"/>
      <c r="N663" s="4"/>
      <c r="O663" s="4"/>
      <c r="P663" s="4"/>
      <c r="Q663" s="4"/>
      <c r="R663" s="4"/>
      <c r="S663" s="7"/>
      <c r="T663" s="7"/>
      <c r="U663" s="7"/>
      <c r="V663" s="7"/>
      <c r="W663" s="7"/>
      <c r="X663" s="7"/>
      <c r="Y663" s="7"/>
      <c r="Z663" s="7"/>
    </row>
    <row r="664" ht="15.75" customHeight="1">
      <c r="A664" s="4"/>
      <c r="B664" s="4"/>
      <c r="C664" s="4"/>
      <c r="D664" s="4"/>
      <c r="E664" s="19"/>
      <c r="F664" s="4"/>
      <c r="G664" s="4"/>
      <c r="H664" s="7"/>
      <c r="I664" s="4"/>
      <c r="J664" s="4"/>
      <c r="K664" s="22"/>
      <c r="L664" s="4"/>
      <c r="M664" s="4"/>
      <c r="N664" s="4"/>
      <c r="O664" s="4"/>
      <c r="P664" s="4"/>
      <c r="Q664" s="4"/>
      <c r="R664" s="4"/>
      <c r="S664" s="7"/>
      <c r="T664" s="7"/>
      <c r="U664" s="7"/>
      <c r="V664" s="7"/>
      <c r="W664" s="7"/>
      <c r="X664" s="7"/>
      <c r="Y664" s="7"/>
      <c r="Z664" s="7"/>
    </row>
    <row r="665" ht="15.75" customHeight="1">
      <c r="A665" s="4"/>
      <c r="B665" s="4"/>
      <c r="C665" s="4"/>
      <c r="D665" s="4"/>
      <c r="E665" s="19"/>
      <c r="F665" s="4"/>
      <c r="G665" s="4"/>
      <c r="H665" s="7"/>
      <c r="I665" s="4"/>
      <c r="J665" s="4"/>
      <c r="K665" s="22"/>
      <c r="L665" s="4"/>
      <c r="M665" s="4"/>
      <c r="N665" s="4"/>
      <c r="O665" s="4"/>
      <c r="P665" s="4"/>
      <c r="Q665" s="4"/>
      <c r="R665" s="4"/>
      <c r="S665" s="7"/>
      <c r="T665" s="7"/>
      <c r="U665" s="7"/>
      <c r="V665" s="7"/>
      <c r="W665" s="7"/>
      <c r="X665" s="7"/>
      <c r="Y665" s="7"/>
      <c r="Z665" s="7"/>
    </row>
    <row r="666" ht="15.75" customHeight="1">
      <c r="A666" s="4"/>
      <c r="B666" s="4"/>
      <c r="C666" s="4"/>
      <c r="D666" s="4"/>
      <c r="E666" s="19"/>
      <c r="F666" s="4"/>
      <c r="G666" s="4"/>
      <c r="H666" s="7"/>
      <c r="I666" s="4"/>
      <c r="J666" s="4"/>
      <c r="K666" s="22"/>
      <c r="L666" s="4"/>
      <c r="M666" s="4"/>
      <c r="N666" s="4"/>
      <c r="O666" s="4"/>
      <c r="P666" s="4"/>
      <c r="Q666" s="4"/>
      <c r="R666" s="4"/>
      <c r="S666" s="7"/>
      <c r="T666" s="7"/>
      <c r="U666" s="7"/>
      <c r="V666" s="7"/>
      <c r="W666" s="7"/>
      <c r="X666" s="7"/>
      <c r="Y666" s="7"/>
      <c r="Z666" s="7"/>
    </row>
    <row r="667" ht="15.75" customHeight="1">
      <c r="A667" s="4"/>
      <c r="B667" s="4"/>
      <c r="C667" s="4"/>
      <c r="D667" s="4"/>
      <c r="E667" s="19"/>
      <c r="F667" s="4"/>
      <c r="G667" s="4"/>
      <c r="H667" s="7"/>
      <c r="I667" s="4"/>
      <c r="J667" s="4"/>
      <c r="K667" s="22"/>
      <c r="L667" s="4"/>
      <c r="M667" s="4"/>
      <c r="N667" s="4"/>
      <c r="O667" s="4"/>
      <c r="P667" s="4"/>
      <c r="Q667" s="4"/>
      <c r="R667" s="4"/>
      <c r="S667" s="7"/>
      <c r="T667" s="7"/>
      <c r="U667" s="7"/>
      <c r="V667" s="7"/>
      <c r="W667" s="7"/>
      <c r="X667" s="7"/>
      <c r="Y667" s="7"/>
      <c r="Z667" s="7"/>
    </row>
    <row r="668" ht="15.75" customHeight="1">
      <c r="A668" s="4"/>
      <c r="B668" s="4"/>
      <c r="C668" s="4"/>
      <c r="D668" s="4"/>
      <c r="E668" s="19"/>
      <c r="F668" s="4"/>
      <c r="G668" s="4"/>
      <c r="H668" s="7"/>
      <c r="I668" s="4"/>
      <c r="J668" s="4"/>
      <c r="K668" s="22"/>
      <c r="L668" s="4"/>
      <c r="M668" s="4"/>
      <c r="N668" s="4"/>
      <c r="O668" s="4"/>
      <c r="P668" s="4"/>
      <c r="Q668" s="4"/>
      <c r="R668" s="4"/>
      <c r="S668" s="7"/>
      <c r="T668" s="7"/>
      <c r="U668" s="7"/>
      <c r="V668" s="7"/>
      <c r="W668" s="7"/>
      <c r="X668" s="7"/>
      <c r="Y668" s="7"/>
      <c r="Z668" s="7"/>
    </row>
    <row r="669" ht="15.75" customHeight="1">
      <c r="A669" s="4"/>
      <c r="B669" s="4"/>
      <c r="C669" s="4"/>
      <c r="D669" s="4"/>
      <c r="E669" s="19"/>
      <c r="F669" s="4"/>
      <c r="G669" s="4"/>
      <c r="H669" s="7"/>
      <c r="I669" s="4"/>
      <c r="J669" s="4"/>
      <c r="K669" s="22"/>
      <c r="L669" s="4"/>
      <c r="M669" s="4"/>
      <c r="N669" s="4"/>
      <c r="O669" s="4"/>
      <c r="P669" s="4"/>
      <c r="Q669" s="4"/>
      <c r="R669" s="4"/>
      <c r="S669" s="7"/>
      <c r="T669" s="7"/>
      <c r="U669" s="7"/>
      <c r="V669" s="7"/>
      <c r="W669" s="7"/>
      <c r="X669" s="7"/>
      <c r="Y669" s="7"/>
      <c r="Z669" s="7"/>
    </row>
    <row r="670" ht="15.75" customHeight="1">
      <c r="A670" s="4"/>
      <c r="B670" s="4"/>
      <c r="C670" s="4"/>
      <c r="D670" s="4"/>
      <c r="E670" s="19"/>
      <c r="F670" s="4"/>
      <c r="G670" s="4"/>
      <c r="H670" s="7"/>
      <c r="I670" s="4"/>
      <c r="J670" s="4"/>
      <c r="K670" s="22"/>
      <c r="L670" s="4"/>
      <c r="M670" s="4"/>
      <c r="N670" s="4"/>
      <c r="O670" s="4"/>
      <c r="P670" s="4"/>
      <c r="Q670" s="4"/>
      <c r="R670" s="4"/>
      <c r="S670" s="7"/>
      <c r="T670" s="7"/>
      <c r="U670" s="7"/>
      <c r="V670" s="7"/>
      <c r="W670" s="7"/>
      <c r="X670" s="7"/>
      <c r="Y670" s="7"/>
      <c r="Z670" s="7"/>
    </row>
    <row r="671" ht="15.75" customHeight="1">
      <c r="A671" s="4"/>
      <c r="B671" s="4"/>
      <c r="C671" s="4"/>
      <c r="D671" s="4"/>
      <c r="E671" s="19"/>
      <c r="F671" s="4"/>
      <c r="G671" s="4"/>
      <c r="H671" s="7"/>
      <c r="I671" s="4"/>
      <c r="J671" s="4"/>
      <c r="K671" s="22"/>
      <c r="L671" s="4"/>
      <c r="M671" s="4"/>
      <c r="N671" s="4"/>
      <c r="O671" s="4"/>
      <c r="P671" s="4"/>
      <c r="Q671" s="4"/>
      <c r="R671" s="4"/>
      <c r="S671" s="7"/>
      <c r="T671" s="7"/>
      <c r="U671" s="7"/>
      <c r="V671" s="7"/>
      <c r="W671" s="7"/>
      <c r="X671" s="7"/>
      <c r="Y671" s="7"/>
      <c r="Z671" s="7"/>
    </row>
    <row r="672" ht="15.75" customHeight="1">
      <c r="A672" s="4"/>
      <c r="B672" s="4"/>
      <c r="C672" s="4"/>
      <c r="D672" s="4"/>
      <c r="E672" s="19"/>
      <c r="F672" s="4"/>
      <c r="G672" s="4"/>
      <c r="H672" s="7"/>
      <c r="I672" s="4"/>
      <c r="J672" s="4"/>
      <c r="K672" s="22"/>
      <c r="L672" s="4"/>
      <c r="M672" s="4"/>
      <c r="N672" s="4"/>
      <c r="O672" s="4"/>
      <c r="P672" s="4"/>
      <c r="Q672" s="4"/>
      <c r="R672" s="4"/>
      <c r="S672" s="7"/>
      <c r="T672" s="7"/>
      <c r="U672" s="7"/>
      <c r="V672" s="7"/>
      <c r="W672" s="7"/>
      <c r="X672" s="7"/>
      <c r="Y672" s="7"/>
      <c r="Z672" s="7"/>
    </row>
    <row r="673" ht="15.75" customHeight="1">
      <c r="A673" s="4"/>
      <c r="B673" s="4"/>
      <c r="C673" s="4"/>
      <c r="D673" s="4"/>
      <c r="E673" s="19"/>
      <c r="F673" s="4"/>
      <c r="G673" s="4"/>
      <c r="H673" s="7"/>
      <c r="I673" s="4"/>
      <c r="J673" s="4"/>
      <c r="K673" s="22"/>
      <c r="L673" s="4"/>
      <c r="M673" s="4"/>
      <c r="N673" s="4"/>
      <c r="O673" s="4"/>
      <c r="P673" s="4"/>
      <c r="Q673" s="4"/>
      <c r="R673" s="4"/>
      <c r="S673" s="7"/>
      <c r="T673" s="7"/>
      <c r="U673" s="7"/>
      <c r="V673" s="7"/>
      <c r="W673" s="7"/>
      <c r="X673" s="7"/>
      <c r="Y673" s="7"/>
      <c r="Z673" s="7"/>
    </row>
    <row r="674" ht="15.75" customHeight="1">
      <c r="A674" s="4"/>
      <c r="B674" s="4"/>
      <c r="C674" s="4"/>
      <c r="D674" s="4"/>
      <c r="E674" s="19"/>
      <c r="F674" s="4"/>
      <c r="G674" s="4"/>
      <c r="H674" s="7"/>
      <c r="I674" s="4"/>
      <c r="J674" s="4"/>
      <c r="K674" s="22"/>
      <c r="L674" s="4"/>
      <c r="M674" s="4"/>
      <c r="N674" s="4"/>
      <c r="O674" s="4"/>
      <c r="P674" s="4"/>
      <c r="Q674" s="4"/>
      <c r="R674" s="4"/>
      <c r="S674" s="7"/>
      <c r="T674" s="7"/>
      <c r="U674" s="7"/>
      <c r="V674" s="7"/>
      <c r="W674" s="7"/>
      <c r="X674" s="7"/>
      <c r="Y674" s="7"/>
      <c r="Z674" s="7"/>
    </row>
    <row r="675" ht="15.75" customHeight="1">
      <c r="A675" s="4"/>
      <c r="B675" s="4"/>
      <c r="C675" s="4"/>
      <c r="D675" s="4"/>
      <c r="E675" s="19"/>
      <c r="F675" s="4"/>
      <c r="G675" s="4"/>
      <c r="H675" s="7"/>
      <c r="I675" s="4"/>
      <c r="J675" s="4"/>
      <c r="K675" s="22"/>
      <c r="L675" s="4"/>
      <c r="M675" s="4"/>
      <c r="N675" s="4"/>
      <c r="O675" s="4"/>
      <c r="P675" s="4"/>
      <c r="Q675" s="4"/>
      <c r="R675" s="4"/>
      <c r="S675" s="7"/>
      <c r="T675" s="7"/>
      <c r="U675" s="7"/>
      <c r="V675" s="7"/>
      <c r="W675" s="7"/>
      <c r="X675" s="7"/>
      <c r="Y675" s="7"/>
      <c r="Z675" s="7"/>
    </row>
    <row r="676" ht="15.75" customHeight="1">
      <c r="A676" s="4"/>
      <c r="B676" s="4"/>
      <c r="C676" s="4"/>
      <c r="D676" s="4"/>
      <c r="E676" s="19"/>
      <c r="F676" s="4"/>
      <c r="G676" s="4"/>
      <c r="H676" s="7"/>
      <c r="I676" s="4"/>
      <c r="J676" s="4"/>
      <c r="K676" s="22"/>
      <c r="L676" s="4"/>
      <c r="M676" s="4"/>
      <c r="N676" s="4"/>
      <c r="O676" s="4"/>
      <c r="P676" s="4"/>
      <c r="Q676" s="4"/>
      <c r="R676" s="4"/>
      <c r="S676" s="7"/>
      <c r="T676" s="7"/>
      <c r="U676" s="7"/>
      <c r="V676" s="7"/>
      <c r="W676" s="7"/>
      <c r="X676" s="7"/>
      <c r="Y676" s="7"/>
      <c r="Z676" s="7"/>
    </row>
    <row r="677" ht="15.75" customHeight="1">
      <c r="A677" s="4"/>
      <c r="B677" s="4"/>
      <c r="C677" s="4"/>
      <c r="D677" s="4"/>
      <c r="E677" s="19"/>
      <c r="F677" s="4"/>
      <c r="G677" s="4"/>
      <c r="H677" s="7"/>
      <c r="I677" s="4"/>
      <c r="J677" s="4"/>
      <c r="K677" s="22"/>
      <c r="L677" s="4"/>
      <c r="M677" s="4"/>
      <c r="N677" s="4"/>
      <c r="O677" s="4"/>
      <c r="P677" s="4"/>
      <c r="Q677" s="4"/>
      <c r="R677" s="4"/>
      <c r="S677" s="7"/>
      <c r="T677" s="7"/>
      <c r="U677" s="7"/>
      <c r="V677" s="7"/>
      <c r="W677" s="7"/>
      <c r="X677" s="7"/>
      <c r="Y677" s="7"/>
      <c r="Z677" s="7"/>
    </row>
    <row r="678" ht="15.75" customHeight="1">
      <c r="A678" s="4"/>
      <c r="B678" s="4"/>
      <c r="C678" s="4"/>
      <c r="D678" s="4"/>
      <c r="E678" s="19"/>
      <c r="F678" s="4"/>
      <c r="G678" s="4"/>
      <c r="H678" s="7"/>
      <c r="I678" s="4"/>
      <c r="J678" s="4"/>
      <c r="K678" s="22"/>
      <c r="L678" s="4"/>
      <c r="M678" s="4"/>
      <c r="N678" s="4"/>
      <c r="O678" s="4"/>
      <c r="P678" s="4"/>
      <c r="Q678" s="4"/>
      <c r="R678" s="4"/>
      <c r="S678" s="7"/>
      <c r="T678" s="7"/>
      <c r="U678" s="7"/>
      <c r="V678" s="7"/>
      <c r="W678" s="7"/>
      <c r="X678" s="7"/>
      <c r="Y678" s="7"/>
      <c r="Z678" s="7"/>
    </row>
    <row r="679" ht="15.75" customHeight="1">
      <c r="A679" s="4"/>
      <c r="B679" s="4"/>
      <c r="C679" s="4"/>
      <c r="D679" s="4"/>
      <c r="E679" s="19"/>
      <c r="F679" s="4"/>
      <c r="G679" s="4"/>
      <c r="H679" s="7"/>
      <c r="I679" s="4"/>
      <c r="J679" s="4"/>
      <c r="K679" s="22"/>
      <c r="L679" s="4"/>
      <c r="M679" s="4"/>
      <c r="N679" s="4"/>
      <c r="O679" s="4"/>
      <c r="P679" s="4"/>
      <c r="Q679" s="4"/>
      <c r="R679" s="4"/>
      <c r="S679" s="7"/>
      <c r="T679" s="7"/>
      <c r="U679" s="7"/>
      <c r="V679" s="7"/>
      <c r="W679" s="7"/>
      <c r="X679" s="7"/>
      <c r="Y679" s="7"/>
      <c r="Z679" s="7"/>
    </row>
    <row r="680" ht="15.75" customHeight="1">
      <c r="A680" s="4"/>
      <c r="B680" s="4"/>
      <c r="C680" s="4"/>
      <c r="D680" s="4"/>
      <c r="E680" s="19"/>
      <c r="F680" s="4"/>
      <c r="G680" s="4"/>
      <c r="H680" s="7"/>
      <c r="I680" s="4"/>
      <c r="J680" s="4"/>
      <c r="K680" s="22"/>
      <c r="L680" s="4"/>
      <c r="M680" s="4"/>
      <c r="N680" s="4"/>
      <c r="O680" s="4"/>
      <c r="P680" s="4"/>
      <c r="Q680" s="4"/>
      <c r="R680" s="4"/>
      <c r="S680" s="7"/>
      <c r="T680" s="7"/>
      <c r="U680" s="7"/>
      <c r="V680" s="7"/>
      <c r="W680" s="7"/>
      <c r="X680" s="7"/>
      <c r="Y680" s="7"/>
      <c r="Z680" s="7"/>
    </row>
    <row r="681" ht="15.75" customHeight="1">
      <c r="A681" s="4"/>
      <c r="B681" s="4"/>
      <c r="C681" s="4"/>
      <c r="D681" s="4"/>
      <c r="E681" s="19"/>
      <c r="F681" s="4"/>
      <c r="G681" s="4"/>
      <c r="H681" s="7"/>
      <c r="I681" s="4"/>
      <c r="J681" s="4"/>
      <c r="K681" s="22"/>
      <c r="L681" s="4"/>
      <c r="M681" s="4"/>
      <c r="N681" s="4"/>
      <c r="O681" s="4"/>
      <c r="P681" s="4"/>
      <c r="Q681" s="4"/>
      <c r="R681" s="4"/>
      <c r="S681" s="7"/>
      <c r="T681" s="7"/>
      <c r="U681" s="7"/>
      <c r="V681" s="7"/>
      <c r="W681" s="7"/>
      <c r="X681" s="7"/>
      <c r="Y681" s="7"/>
      <c r="Z681" s="7"/>
    </row>
    <row r="682" ht="15.75" customHeight="1">
      <c r="A682" s="4"/>
      <c r="B682" s="4"/>
      <c r="C682" s="4"/>
      <c r="D682" s="4"/>
      <c r="E682" s="19"/>
      <c r="F682" s="4"/>
      <c r="G682" s="4"/>
      <c r="H682" s="7"/>
      <c r="I682" s="4"/>
      <c r="J682" s="4"/>
      <c r="K682" s="22"/>
      <c r="L682" s="4"/>
      <c r="M682" s="4"/>
      <c r="N682" s="4"/>
      <c r="O682" s="4"/>
      <c r="P682" s="4"/>
      <c r="Q682" s="4"/>
      <c r="R682" s="4"/>
      <c r="S682" s="7"/>
      <c r="T682" s="7"/>
      <c r="U682" s="7"/>
      <c r="V682" s="7"/>
      <c r="W682" s="7"/>
      <c r="X682" s="7"/>
      <c r="Y682" s="7"/>
      <c r="Z682" s="7"/>
    </row>
    <row r="683" ht="15.75" customHeight="1">
      <c r="A683" s="4"/>
      <c r="B683" s="4"/>
      <c r="C683" s="4"/>
      <c r="D683" s="4"/>
      <c r="E683" s="19"/>
      <c r="F683" s="4"/>
      <c r="G683" s="4"/>
      <c r="H683" s="7"/>
      <c r="I683" s="4"/>
      <c r="J683" s="4"/>
      <c r="K683" s="22"/>
      <c r="L683" s="4"/>
      <c r="M683" s="4"/>
      <c r="N683" s="4"/>
      <c r="O683" s="4"/>
      <c r="P683" s="4"/>
      <c r="Q683" s="4"/>
      <c r="R683" s="4"/>
      <c r="S683" s="7"/>
      <c r="T683" s="7"/>
      <c r="U683" s="7"/>
      <c r="V683" s="7"/>
      <c r="W683" s="7"/>
      <c r="X683" s="7"/>
      <c r="Y683" s="7"/>
      <c r="Z683" s="7"/>
    </row>
    <row r="684" ht="15.75" customHeight="1">
      <c r="A684" s="4"/>
      <c r="B684" s="4"/>
      <c r="C684" s="4"/>
      <c r="D684" s="4"/>
      <c r="E684" s="19"/>
      <c r="F684" s="4"/>
      <c r="G684" s="4"/>
      <c r="H684" s="7"/>
      <c r="I684" s="4"/>
      <c r="J684" s="4"/>
      <c r="K684" s="22"/>
      <c r="L684" s="4"/>
      <c r="M684" s="4"/>
      <c r="N684" s="4"/>
      <c r="O684" s="4"/>
      <c r="P684" s="4"/>
      <c r="Q684" s="4"/>
      <c r="R684" s="4"/>
      <c r="S684" s="7"/>
      <c r="T684" s="7"/>
      <c r="U684" s="7"/>
      <c r="V684" s="7"/>
      <c r="W684" s="7"/>
      <c r="X684" s="7"/>
      <c r="Y684" s="7"/>
      <c r="Z684" s="7"/>
    </row>
    <row r="685" ht="15.75" customHeight="1">
      <c r="A685" s="4"/>
      <c r="B685" s="4"/>
      <c r="C685" s="4"/>
      <c r="D685" s="4"/>
      <c r="E685" s="19"/>
      <c r="F685" s="4"/>
      <c r="G685" s="4"/>
      <c r="H685" s="7"/>
      <c r="I685" s="4"/>
      <c r="J685" s="4"/>
      <c r="K685" s="22"/>
      <c r="L685" s="4"/>
      <c r="M685" s="4"/>
      <c r="N685" s="4"/>
      <c r="O685" s="4"/>
      <c r="P685" s="4"/>
      <c r="Q685" s="4"/>
      <c r="R685" s="4"/>
      <c r="S685" s="7"/>
      <c r="T685" s="7"/>
      <c r="U685" s="7"/>
      <c r="V685" s="7"/>
      <c r="W685" s="7"/>
      <c r="X685" s="7"/>
      <c r="Y685" s="7"/>
      <c r="Z685" s="7"/>
    </row>
    <row r="686" ht="15.75" customHeight="1">
      <c r="A686" s="4"/>
      <c r="B686" s="4"/>
      <c r="C686" s="4"/>
      <c r="D686" s="4"/>
      <c r="E686" s="19"/>
      <c r="F686" s="4"/>
      <c r="G686" s="4"/>
      <c r="H686" s="7"/>
      <c r="I686" s="4"/>
      <c r="J686" s="4"/>
      <c r="K686" s="22"/>
      <c r="L686" s="4"/>
      <c r="M686" s="4"/>
      <c r="N686" s="4"/>
      <c r="O686" s="4"/>
      <c r="P686" s="4"/>
      <c r="Q686" s="4"/>
      <c r="R686" s="4"/>
      <c r="S686" s="7"/>
      <c r="T686" s="7"/>
      <c r="U686" s="7"/>
      <c r="V686" s="7"/>
      <c r="W686" s="7"/>
      <c r="X686" s="7"/>
      <c r="Y686" s="7"/>
      <c r="Z686" s="7"/>
    </row>
    <row r="687" ht="15.75" customHeight="1">
      <c r="A687" s="4"/>
      <c r="B687" s="4"/>
      <c r="C687" s="4"/>
      <c r="D687" s="4"/>
      <c r="E687" s="19"/>
      <c r="F687" s="4"/>
      <c r="G687" s="4"/>
      <c r="H687" s="7"/>
      <c r="I687" s="4"/>
      <c r="J687" s="4"/>
      <c r="K687" s="22"/>
      <c r="L687" s="4"/>
      <c r="M687" s="4"/>
      <c r="N687" s="4"/>
      <c r="O687" s="4"/>
      <c r="P687" s="4"/>
      <c r="Q687" s="4"/>
      <c r="R687" s="4"/>
      <c r="S687" s="7"/>
      <c r="T687" s="7"/>
      <c r="U687" s="7"/>
      <c r="V687" s="7"/>
      <c r="W687" s="7"/>
      <c r="X687" s="7"/>
      <c r="Y687" s="7"/>
      <c r="Z687" s="7"/>
    </row>
    <row r="688" ht="15.75" customHeight="1">
      <c r="A688" s="4"/>
      <c r="B688" s="4"/>
      <c r="C688" s="4"/>
      <c r="D688" s="4"/>
      <c r="E688" s="19"/>
      <c r="F688" s="4"/>
      <c r="G688" s="4"/>
      <c r="H688" s="7"/>
      <c r="I688" s="4"/>
      <c r="J688" s="4"/>
      <c r="K688" s="22"/>
      <c r="L688" s="4"/>
      <c r="M688" s="4"/>
      <c r="N688" s="4"/>
      <c r="O688" s="4"/>
      <c r="P688" s="4"/>
      <c r="Q688" s="4"/>
      <c r="R688" s="4"/>
      <c r="S688" s="7"/>
      <c r="T688" s="7"/>
      <c r="U688" s="7"/>
      <c r="V688" s="7"/>
      <c r="W688" s="7"/>
      <c r="X688" s="7"/>
      <c r="Y688" s="7"/>
      <c r="Z688" s="7"/>
    </row>
    <row r="689" ht="15.75" customHeight="1">
      <c r="A689" s="4"/>
      <c r="B689" s="4"/>
      <c r="C689" s="4"/>
      <c r="D689" s="4"/>
      <c r="E689" s="19"/>
      <c r="F689" s="4"/>
      <c r="G689" s="4"/>
      <c r="H689" s="7"/>
      <c r="I689" s="4"/>
      <c r="J689" s="4"/>
      <c r="K689" s="22"/>
      <c r="L689" s="4"/>
      <c r="M689" s="4"/>
      <c r="N689" s="4"/>
      <c r="O689" s="4"/>
      <c r="P689" s="4"/>
      <c r="Q689" s="4"/>
      <c r="R689" s="4"/>
      <c r="S689" s="7"/>
      <c r="T689" s="7"/>
      <c r="U689" s="7"/>
      <c r="V689" s="7"/>
      <c r="W689" s="7"/>
      <c r="X689" s="7"/>
      <c r="Y689" s="7"/>
      <c r="Z689" s="7"/>
    </row>
    <row r="690" ht="15.75" customHeight="1">
      <c r="A690" s="4"/>
      <c r="B690" s="4"/>
      <c r="C690" s="4"/>
      <c r="D690" s="4"/>
      <c r="E690" s="19"/>
      <c r="F690" s="4"/>
      <c r="G690" s="4"/>
      <c r="H690" s="7"/>
      <c r="I690" s="4"/>
      <c r="J690" s="4"/>
      <c r="K690" s="22"/>
      <c r="L690" s="4"/>
      <c r="M690" s="4"/>
      <c r="N690" s="4"/>
      <c r="O690" s="4"/>
      <c r="P690" s="4"/>
      <c r="Q690" s="4"/>
      <c r="R690" s="4"/>
      <c r="S690" s="7"/>
      <c r="T690" s="7"/>
      <c r="U690" s="7"/>
      <c r="V690" s="7"/>
      <c r="W690" s="7"/>
      <c r="X690" s="7"/>
      <c r="Y690" s="7"/>
      <c r="Z690" s="7"/>
    </row>
    <row r="691" ht="15.75" customHeight="1">
      <c r="A691" s="4"/>
      <c r="B691" s="4"/>
      <c r="C691" s="4"/>
      <c r="D691" s="4"/>
      <c r="E691" s="19"/>
      <c r="F691" s="4"/>
      <c r="G691" s="4"/>
      <c r="H691" s="7"/>
      <c r="I691" s="4"/>
      <c r="J691" s="4"/>
      <c r="K691" s="22"/>
      <c r="L691" s="4"/>
      <c r="M691" s="4"/>
      <c r="N691" s="4"/>
      <c r="O691" s="4"/>
      <c r="P691" s="4"/>
      <c r="Q691" s="4"/>
      <c r="R691" s="4"/>
      <c r="S691" s="7"/>
      <c r="T691" s="7"/>
      <c r="U691" s="7"/>
      <c r="V691" s="7"/>
      <c r="W691" s="7"/>
      <c r="X691" s="7"/>
      <c r="Y691" s="7"/>
      <c r="Z691" s="7"/>
    </row>
    <row r="692" ht="15.75" customHeight="1">
      <c r="A692" s="4"/>
      <c r="B692" s="4"/>
      <c r="C692" s="4"/>
      <c r="D692" s="4"/>
      <c r="E692" s="19"/>
      <c r="F692" s="4"/>
      <c r="G692" s="4"/>
      <c r="H692" s="7"/>
      <c r="I692" s="4"/>
      <c r="J692" s="4"/>
      <c r="K692" s="22"/>
      <c r="L692" s="4"/>
      <c r="M692" s="4"/>
      <c r="N692" s="4"/>
      <c r="O692" s="4"/>
      <c r="P692" s="4"/>
      <c r="Q692" s="4"/>
      <c r="R692" s="4"/>
      <c r="S692" s="7"/>
      <c r="T692" s="7"/>
      <c r="U692" s="7"/>
      <c r="V692" s="7"/>
      <c r="W692" s="7"/>
      <c r="X692" s="7"/>
      <c r="Y692" s="7"/>
      <c r="Z692" s="7"/>
    </row>
    <row r="693" ht="15.75" customHeight="1">
      <c r="A693" s="4"/>
      <c r="B693" s="4"/>
      <c r="C693" s="4"/>
      <c r="D693" s="4"/>
      <c r="E693" s="19"/>
      <c r="F693" s="4"/>
      <c r="G693" s="4"/>
      <c r="H693" s="7"/>
      <c r="I693" s="4"/>
      <c r="J693" s="4"/>
      <c r="K693" s="22"/>
      <c r="L693" s="4"/>
      <c r="M693" s="4"/>
      <c r="N693" s="4"/>
      <c r="O693" s="4"/>
      <c r="P693" s="4"/>
      <c r="Q693" s="4"/>
      <c r="R693" s="4"/>
      <c r="S693" s="7"/>
      <c r="T693" s="7"/>
      <c r="U693" s="7"/>
      <c r="V693" s="7"/>
      <c r="W693" s="7"/>
      <c r="X693" s="7"/>
      <c r="Y693" s="7"/>
      <c r="Z693" s="7"/>
    </row>
    <row r="694" ht="15.75" customHeight="1">
      <c r="A694" s="4"/>
      <c r="B694" s="4"/>
      <c r="C694" s="4"/>
      <c r="D694" s="4"/>
      <c r="E694" s="19"/>
      <c r="F694" s="4"/>
      <c r="G694" s="4"/>
      <c r="H694" s="7"/>
      <c r="I694" s="4"/>
      <c r="J694" s="4"/>
      <c r="K694" s="22"/>
      <c r="L694" s="4"/>
      <c r="M694" s="4"/>
      <c r="N694" s="4"/>
      <c r="O694" s="4"/>
      <c r="P694" s="4"/>
      <c r="Q694" s="4"/>
      <c r="R694" s="4"/>
      <c r="S694" s="7"/>
      <c r="T694" s="7"/>
      <c r="U694" s="7"/>
      <c r="V694" s="7"/>
      <c r="W694" s="7"/>
      <c r="X694" s="7"/>
      <c r="Y694" s="7"/>
      <c r="Z694" s="7"/>
    </row>
    <row r="695" ht="15.75" customHeight="1">
      <c r="A695" s="4"/>
      <c r="B695" s="4"/>
      <c r="C695" s="4"/>
      <c r="D695" s="4"/>
      <c r="E695" s="19"/>
      <c r="F695" s="4"/>
      <c r="G695" s="4"/>
      <c r="H695" s="7"/>
      <c r="I695" s="4"/>
      <c r="J695" s="4"/>
      <c r="K695" s="22"/>
      <c r="L695" s="4"/>
      <c r="M695" s="4"/>
      <c r="N695" s="4"/>
      <c r="O695" s="4"/>
      <c r="P695" s="4"/>
      <c r="Q695" s="4"/>
      <c r="R695" s="4"/>
      <c r="S695" s="7"/>
      <c r="T695" s="7"/>
      <c r="U695" s="7"/>
      <c r="V695" s="7"/>
      <c r="W695" s="7"/>
      <c r="X695" s="7"/>
      <c r="Y695" s="7"/>
      <c r="Z695" s="7"/>
    </row>
    <row r="696" ht="15.75" customHeight="1">
      <c r="A696" s="4"/>
      <c r="B696" s="4"/>
      <c r="C696" s="4"/>
      <c r="D696" s="4"/>
      <c r="E696" s="19"/>
      <c r="F696" s="4"/>
      <c r="G696" s="4"/>
      <c r="H696" s="7"/>
      <c r="I696" s="4"/>
      <c r="J696" s="4"/>
      <c r="K696" s="22"/>
      <c r="L696" s="4"/>
      <c r="M696" s="4"/>
      <c r="N696" s="4"/>
      <c r="O696" s="4"/>
      <c r="P696" s="4"/>
      <c r="Q696" s="4"/>
      <c r="R696" s="4"/>
      <c r="S696" s="7"/>
      <c r="T696" s="7"/>
      <c r="U696" s="7"/>
      <c r="V696" s="7"/>
      <c r="W696" s="7"/>
      <c r="X696" s="7"/>
      <c r="Y696" s="7"/>
      <c r="Z696" s="7"/>
    </row>
    <row r="697" ht="15.75" customHeight="1">
      <c r="A697" s="4"/>
      <c r="B697" s="4"/>
      <c r="C697" s="4"/>
      <c r="D697" s="4"/>
      <c r="E697" s="19"/>
      <c r="F697" s="4"/>
      <c r="G697" s="4"/>
      <c r="H697" s="7"/>
      <c r="I697" s="4"/>
      <c r="J697" s="4"/>
      <c r="K697" s="22"/>
      <c r="L697" s="4"/>
      <c r="M697" s="4"/>
      <c r="N697" s="4"/>
      <c r="O697" s="4"/>
      <c r="P697" s="4"/>
      <c r="Q697" s="4"/>
      <c r="R697" s="4"/>
      <c r="S697" s="7"/>
      <c r="T697" s="7"/>
      <c r="U697" s="7"/>
      <c r="V697" s="7"/>
      <c r="W697" s="7"/>
      <c r="X697" s="7"/>
      <c r="Y697" s="7"/>
      <c r="Z697" s="7"/>
    </row>
    <row r="698" ht="15.75" customHeight="1">
      <c r="A698" s="4"/>
      <c r="B698" s="4"/>
      <c r="C698" s="4"/>
      <c r="D698" s="4"/>
      <c r="E698" s="19"/>
      <c r="F698" s="4"/>
      <c r="G698" s="4"/>
      <c r="H698" s="7"/>
      <c r="I698" s="4"/>
      <c r="J698" s="4"/>
      <c r="K698" s="22"/>
      <c r="L698" s="4"/>
      <c r="M698" s="4"/>
      <c r="N698" s="4"/>
      <c r="O698" s="4"/>
      <c r="P698" s="4"/>
      <c r="Q698" s="4"/>
      <c r="R698" s="4"/>
      <c r="S698" s="7"/>
      <c r="T698" s="7"/>
      <c r="U698" s="7"/>
      <c r="V698" s="7"/>
      <c r="W698" s="7"/>
      <c r="X698" s="7"/>
      <c r="Y698" s="7"/>
      <c r="Z698" s="7"/>
    </row>
    <row r="699" ht="15.75" customHeight="1">
      <c r="A699" s="4"/>
      <c r="B699" s="4"/>
      <c r="C699" s="4"/>
      <c r="D699" s="4"/>
      <c r="E699" s="19"/>
      <c r="F699" s="4"/>
      <c r="G699" s="4"/>
      <c r="H699" s="7"/>
      <c r="I699" s="4"/>
      <c r="J699" s="4"/>
      <c r="K699" s="22"/>
      <c r="L699" s="4"/>
      <c r="M699" s="4"/>
      <c r="N699" s="4"/>
      <c r="O699" s="4"/>
      <c r="P699" s="4"/>
      <c r="Q699" s="4"/>
      <c r="R699" s="4"/>
      <c r="S699" s="7"/>
      <c r="T699" s="7"/>
      <c r="U699" s="7"/>
      <c r="V699" s="7"/>
      <c r="W699" s="7"/>
      <c r="X699" s="7"/>
      <c r="Y699" s="7"/>
      <c r="Z699" s="7"/>
    </row>
    <row r="700" ht="15.75" customHeight="1">
      <c r="A700" s="4"/>
      <c r="B700" s="4"/>
      <c r="C700" s="4"/>
      <c r="D700" s="4"/>
      <c r="E700" s="19"/>
      <c r="F700" s="4"/>
      <c r="G700" s="4"/>
      <c r="H700" s="7"/>
      <c r="I700" s="4"/>
      <c r="J700" s="4"/>
      <c r="K700" s="22"/>
      <c r="L700" s="4"/>
      <c r="M700" s="4"/>
      <c r="N700" s="4"/>
      <c r="O700" s="4"/>
      <c r="P700" s="4"/>
      <c r="Q700" s="4"/>
      <c r="R700" s="4"/>
      <c r="S700" s="7"/>
      <c r="T700" s="7"/>
      <c r="U700" s="7"/>
      <c r="V700" s="7"/>
      <c r="W700" s="7"/>
      <c r="X700" s="7"/>
      <c r="Y700" s="7"/>
      <c r="Z700" s="7"/>
    </row>
    <row r="701" ht="15.75" customHeight="1">
      <c r="A701" s="4"/>
      <c r="B701" s="4"/>
      <c r="C701" s="4"/>
      <c r="D701" s="4"/>
      <c r="E701" s="19"/>
      <c r="F701" s="4"/>
      <c r="G701" s="4"/>
      <c r="H701" s="7"/>
      <c r="I701" s="4"/>
      <c r="J701" s="4"/>
      <c r="K701" s="22"/>
      <c r="L701" s="4"/>
      <c r="M701" s="4"/>
      <c r="N701" s="4"/>
      <c r="O701" s="4"/>
      <c r="P701" s="4"/>
      <c r="Q701" s="4"/>
      <c r="R701" s="4"/>
      <c r="S701" s="7"/>
      <c r="T701" s="7"/>
      <c r="U701" s="7"/>
      <c r="V701" s="7"/>
      <c r="W701" s="7"/>
      <c r="X701" s="7"/>
      <c r="Y701" s="7"/>
      <c r="Z701" s="7"/>
    </row>
    <row r="702" ht="15.75" customHeight="1">
      <c r="A702" s="4"/>
      <c r="B702" s="4"/>
      <c r="C702" s="4"/>
      <c r="D702" s="4"/>
      <c r="E702" s="19"/>
      <c r="F702" s="4"/>
      <c r="G702" s="4"/>
      <c r="H702" s="7"/>
      <c r="I702" s="4"/>
      <c r="J702" s="4"/>
      <c r="K702" s="22"/>
      <c r="L702" s="4"/>
      <c r="M702" s="4"/>
      <c r="N702" s="4"/>
      <c r="O702" s="4"/>
      <c r="P702" s="4"/>
      <c r="Q702" s="4"/>
      <c r="R702" s="4"/>
      <c r="S702" s="7"/>
      <c r="T702" s="7"/>
      <c r="U702" s="7"/>
      <c r="V702" s="7"/>
      <c r="W702" s="7"/>
      <c r="X702" s="7"/>
      <c r="Y702" s="7"/>
      <c r="Z702" s="7"/>
    </row>
    <row r="703" ht="15.75" customHeight="1">
      <c r="A703" s="4"/>
      <c r="B703" s="4"/>
      <c r="C703" s="4"/>
      <c r="D703" s="4"/>
      <c r="E703" s="19"/>
      <c r="F703" s="4"/>
      <c r="G703" s="4"/>
      <c r="H703" s="7"/>
      <c r="I703" s="4"/>
      <c r="J703" s="4"/>
      <c r="K703" s="22"/>
      <c r="L703" s="4"/>
      <c r="M703" s="4"/>
      <c r="N703" s="4"/>
      <c r="O703" s="4"/>
      <c r="P703" s="4"/>
      <c r="Q703" s="4"/>
      <c r="R703" s="4"/>
      <c r="S703" s="7"/>
      <c r="T703" s="7"/>
      <c r="U703" s="7"/>
      <c r="V703" s="7"/>
      <c r="W703" s="7"/>
      <c r="X703" s="7"/>
      <c r="Y703" s="7"/>
      <c r="Z703" s="7"/>
    </row>
    <row r="704" ht="15.75" customHeight="1">
      <c r="A704" s="4"/>
      <c r="B704" s="4"/>
      <c r="C704" s="4"/>
      <c r="D704" s="4"/>
      <c r="E704" s="19"/>
      <c r="F704" s="4"/>
      <c r="G704" s="4"/>
      <c r="H704" s="7"/>
      <c r="I704" s="4"/>
      <c r="J704" s="4"/>
      <c r="K704" s="22"/>
      <c r="L704" s="4"/>
      <c r="M704" s="4"/>
      <c r="N704" s="4"/>
      <c r="O704" s="4"/>
      <c r="P704" s="4"/>
      <c r="Q704" s="4"/>
      <c r="R704" s="4"/>
      <c r="S704" s="7"/>
      <c r="T704" s="7"/>
      <c r="U704" s="7"/>
      <c r="V704" s="7"/>
      <c r="W704" s="7"/>
      <c r="X704" s="7"/>
      <c r="Y704" s="7"/>
      <c r="Z704" s="7"/>
    </row>
    <row r="705" ht="15.75" customHeight="1">
      <c r="A705" s="4"/>
      <c r="B705" s="4"/>
      <c r="C705" s="4"/>
      <c r="D705" s="4"/>
      <c r="E705" s="19"/>
      <c r="F705" s="4"/>
      <c r="G705" s="4"/>
      <c r="H705" s="7"/>
      <c r="I705" s="4"/>
      <c r="J705" s="4"/>
      <c r="K705" s="22"/>
      <c r="L705" s="4"/>
      <c r="M705" s="4"/>
      <c r="N705" s="4"/>
      <c r="O705" s="4"/>
      <c r="P705" s="4"/>
      <c r="Q705" s="4"/>
      <c r="R705" s="4"/>
      <c r="S705" s="7"/>
      <c r="T705" s="7"/>
      <c r="U705" s="7"/>
      <c r="V705" s="7"/>
      <c r="W705" s="7"/>
      <c r="X705" s="7"/>
      <c r="Y705" s="7"/>
      <c r="Z705" s="7"/>
    </row>
    <row r="706" ht="15.75" customHeight="1">
      <c r="A706" s="4"/>
      <c r="B706" s="4"/>
      <c r="C706" s="4"/>
      <c r="D706" s="4"/>
      <c r="E706" s="19"/>
      <c r="F706" s="4"/>
      <c r="G706" s="4"/>
      <c r="H706" s="7"/>
      <c r="I706" s="4"/>
      <c r="J706" s="4"/>
      <c r="K706" s="22"/>
      <c r="L706" s="4"/>
      <c r="M706" s="4"/>
      <c r="N706" s="4"/>
      <c r="O706" s="4"/>
      <c r="P706" s="4"/>
      <c r="Q706" s="4"/>
      <c r="R706" s="4"/>
      <c r="S706" s="7"/>
      <c r="T706" s="7"/>
      <c r="U706" s="7"/>
      <c r="V706" s="7"/>
      <c r="W706" s="7"/>
      <c r="X706" s="7"/>
      <c r="Y706" s="7"/>
      <c r="Z706" s="7"/>
    </row>
    <row r="707" ht="15.75" customHeight="1">
      <c r="A707" s="4"/>
      <c r="B707" s="4"/>
      <c r="C707" s="4"/>
      <c r="D707" s="4"/>
      <c r="E707" s="19"/>
      <c r="F707" s="4"/>
      <c r="G707" s="4"/>
      <c r="H707" s="7"/>
      <c r="I707" s="4"/>
      <c r="J707" s="4"/>
      <c r="K707" s="22"/>
      <c r="L707" s="4"/>
      <c r="M707" s="4"/>
      <c r="N707" s="4"/>
      <c r="O707" s="4"/>
      <c r="P707" s="4"/>
      <c r="Q707" s="4"/>
      <c r="R707" s="4"/>
      <c r="S707" s="7"/>
      <c r="T707" s="7"/>
      <c r="U707" s="7"/>
      <c r="V707" s="7"/>
      <c r="W707" s="7"/>
      <c r="X707" s="7"/>
      <c r="Y707" s="7"/>
      <c r="Z707" s="7"/>
    </row>
    <row r="708" ht="15.75" customHeight="1">
      <c r="A708" s="4"/>
      <c r="B708" s="4"/>
      <c r="C708" s="4"/>
      <c r="D708" s="4"/>
      <c r="E708" s="19"/>
      <c r="F708" s="4"/>
      <c r="G708" s="4"/>
      <c r="H708" s="7"/>
      <c r="I708" s="4"/>
      <c r="J708" s="4"/>
      <c r="K708" s="22"/>
      <c r="L708" s="4"/>
      <c r="M708" s="4"/>
      <c r="N708" s="4"/>
      <c r="O708" s="4"/>
      <c r="P708" s="4"/>
      <c r="Q708" s="4"/>
      <c r="R708" s="4"/>
      <c r="S708" s="7"/>
      <c r="T708" s="7"/>
      <c r="U708" s="7"/>
      <c r="V708" s="7"/>
      <c r="W708" s="7"/>
      <c r="X708" s="7"/>
      <c r="Y708" s="7"/>
      <c r="Z708" s="7"/>
    </row>
    <row r="709" ht="15.75" customHeight="1">
      <c r="A709" s="4"/>
      <c r="B709" s="4"/>
      <c r="C709" s="4"/>
      <c r="D709" s="4"/>
      <c r="E709" s="19"/>
      <c r="F709" s="4"/>
      <c r="G709" s="4"/>
      <c r="H709" s="7"/>
      <c r="I709" s="4"/>
      <c r="J709" s="4"/>
      <c r="K709" s="22"/>
      <c r="L709" s="4"/>
      <c r="M709" s="4"/>
      <c r="N709" s="4"/>
      <c r="O709" s="4"/>
      <c r="P709" s="4"/>
      <c r="Q709" s="4"/>
      <c r="R709" s="4"/>
      <c r="S709" s="7"/>
      <c r="T709" s="7"/>
      <c r="U709" s="7"/>
      <c r="V709" s="7"/>
      <c r="W709" s="7"/>
      <c r="X709" s="7"/>
      <c r="Y709" s="7"/>
      <c r="Z709" s="7"/>
    </row>
    <row r="710" ht="15.75" customHeight="1">
      <c r="A710" s="4"/>
      <c r="B710" s="4"/>
      <c r="C710" s="4"/>
      <c r="D710" s="4"/>
      <c r="E710" s="19"/>
      <c r="F710" s="4"/>
      <c r="G710" s="4"/>
      <c r="H710" s="7"/>
      <c r="I710" s="4"/>
      <c r="J710" s="4"/>
      <c r="K710" s="22"/>
      <c r="L710" s="4"/>
      <c r="M710" s="4"/>
      <c r="N710" s="4"/>
      <c r="O710" s="4"/>
      <c r="P710" s="4"/>
      <c r="Q710" s="4"/>
      <c r="R710" s="4"/>
      <c r="S710" s="7"/>
      <c r="T710" s="7"/>
      <c r="U710" s="7"/>
      <c r="V710" s="7"/>
      <c r="W710" s="7"/>
      <c r="X710" s="7"/>
      <c r="Y710" s="7"/>
      <c r="Z710" s="7"/>
    </row>
    <row r="711" ht="15.75" customHeight="1">
      <c r="A711" s="4"/>
      <c r="B711" s="4"/>
      <c r="C711" s="4"/>
      <c r="D711" s="4"/>
      <c r="E711" s="19"/>
      <c r="F711" s="4"/>
      <c r="G711" s="4"/>
      <c r="H711" s="7"/>
      <c r="I711" s="4"/>
      <c r="J711" s="4"/>
      <c r="K711" s="22"/>
      <c r="L711" s="4"/>
      <c r="M711" s="4"/>
      <c r="N711" s="4"/>
      <c r="O711" s="4"/>
      <c r="P711" s="4"/>
      <c r="Q711" s="4"/>
      <c r="R711" s="4"/>
      <c r="S711" s="7"/>
      <c r="T711" s="7"/>
      <c r="U711" s="7"/>
      <c r="V711" s="7"/>
      <c r="W711" s="7"/>
      <c r="X711" s="7"/>
      <c r="Y711" s="7"/>
      <c r="Z711" s="7"/>
    </row>
    <row r="712" ht="15.75" customHeight="1">
      <c r="A712" s="4"/>
      <c r="B712" s="4"/>
      <c r="C712" s="4"/>
      <c r="D712" s="4"/>
      <c r="E712" s="19"/>
      <c r="F712" s="4"/>
      <c r="G712" s="4"/>
      <c r="H712" s="7"/>
      <c r="I712" s="4"/>
      <c r="J712" s="4"/>
      <c r="K712" s="22"/>
      <c r="L712" s="4"/>
      <c r="M712" s="4"/>
      <c r="N712" s="4"/>
      <c r="O712" s="4"/>
      <c r="P712" s="4"/>
      <c r="Q712" s="4"/>
      <c r="R712" s="4"/>
      <c r="S712" s="7"/>
      <c r="T712" s="7"/>
      <c r="U712" s="7"/>
      <c r="V712" s="7"/>
      <c r="W712" s="7"/>
      <c r="X712" s="7"/>
      <c r="Y712" s="7"/>
      <c r="Z712" s="7"/>
    </row>
    <row r="713" ht="15.75" customHeight="1">
      <c r="A713" s="4"/>
      <c r="B713" s="4"/>
      <c r="C713" s="4"/>
      <c r="D713" s="4"/>
      <c r="E713" s="19"/>
      <c r="F713" s="4"/>
      <c r="G713" s="4"/>
      <c r="H713" s="7"/>
      <c r="I713" s="4"/>
      <c r="J713" s="4"/>
      <c r="K713" s="22"/>
      <c r="L713" s="4"/>
      <c r="M713" s="4"/>
      <c r="N713" s="4"/>
      <c r="O713" s="4"/>
      <c r="P713" s="4"/>
      <c r="Q713" s="4"/>
      <c r="R713" s="4"/>
      <c r="S713" s="7"/>
      <c r="T713" s="7"/>
      <c r="U713" s="7"/>
      <c r="V713" s="7"/>
      <c r="W713" s="7"/>
      <c r="X713" s="7"/>
      <c r="Y713" s="7"/>
      <c r="Z713" s="7"/>
    </row>
    <row r="714" ht="15.75" customHeight="1">
      <c r="A714" s="4"/>
      <c r="B714" s="4"/>
      <c r="C714" s="4"/>
      <c r="D714" s="4"/>
      <c r="E714" s="19"/>
      <c r="F714" s="4"/>
      <c r="G714" s="4"/>
      <c r="H714" s="7"/>
      <c r="I714" s="4"/>
      <c r="J714" s="4"/>
      <c r="K714" s="22"/>
      <c r="L714" s="4"/>
      <c r="M714" s="4"/>
      <c r="N714" s="4"/>
      <c r="O714" s="4"/>
      <c r="P714" s="4"/>
      <c r="Q714" s="4"/>
      <c r="R714" s="4"/>
      <c r="S714" s="7"/>
      <c r="T714" s="7"/>
      <c r="U714" s="7"/>
      <c r="V714" s="7"/>
      <c r="W714" s="7"/>
      <c r="X714" s="7"/>
      <c r="Y714" s="7"/>
      <c r="Z714" s="7"/>
    </row>
    <row r="715" ht="15.75" customHeight="1">
      <c r="A715" s="4"/>
      <c r="B715" s="4"/>
      <c r="C715" s="4"/>
      <c r="D715" s="4"/>
      <c r="E715" s="19"/>
      <c r="F715" s="4"/>
      <c r="G715" s="4"/>
      <c r="H715" s="7"/>
      <c r="I715" s="4"/>
      <c r="J715" s="4"/>
      <c r="K715" s="22"/>
      <c r="L715" s="4"/>
      <c r="M715" s="4"/>
      <c r="N715" s="4"/>
      <c r="O715" s="4"/>
      <c r="P715" s="4"/>
      <c r="Q715" s="4"/>
      <c r="R715" s="4"/>
      <c r="S715" s="7"/>
      <c r="T715" s="7"/>
      <c r="U715" s="7"/>
      <c r="V715" s="7"/>
      <c r="W715" s="7"/>
      <c r="X715" s="7"/>
      <c r="Y715" s="7"/>
      <c r="Z715" s="7"/>
    </row>
    <row r="716" ht="15.75" customHeight="1">
      <c r="A716" s="4"/>
      <c r="B716" s="4"/>
      <c r="C716" s="4"/>
      <c r="D716" s="4"/>
      <c r="E716" s="19"/>
      <c r="F716" s="4"/>
      <c r="G716" s="4"/>
      <c r="H716" s="7"/>
      <c r="I716" s="4"/>
      <c r="J716" s="4"/>
      <c r="K716" s="22"/>
      <c r="L716" s="4"/>
      <c r="M716" s="4"/>
      <c r="N716" s="4"/>
      <c r="O716" s="4"/>
      <c r="P716" s="4"/>
      <c r="Q716" s="4"/>
      <c r="R716" s="4"/>
      <c r="S716" s="7"/>
      <c r="T716" s="7"/>
      <c r="U716" s="7"/>
      <c r="V716" s="7"/>
      <c r="W716" s="7"/>
      <c r="X716" s="7"/>
      <c r="Y716" s="7"/>
      <c r="Z716" s="7"/>
    </row>
    <row r="717" ht="15.75" customHeight="1">
      <c r="A717" s="4"/>
      <c r="B717" s="4"/>
      <c r="C717" s="4"/>
      <c r="D717" s="4"/>
      <c r="E717" s="19"/>
      <c r="F717" s="4"/>
      <c r="G717" s="4"/>
      <c r="H717" s="7"/>
      <c r="I717" s="4"/>
      <c r="J717" s="4"/>
      <c r="K717" s="22"/>
      <c r="L717" s="4"/>
      <c r="M717" s="4"/>
      <c r="N717" s="4"/>
      <c r="O717" s="4"/>
      <c r="P717" s="4"/>
      <c r="Q717" s="4"/>
      <c r="R717" s="4"/>
      <c r="S717" s="7"/>
      <c r="T717" s="7"/>
      <c r="U717" s="7"/>
      <c r="V717" s="7"/>
      <c r="W717" s="7"/>
      <c r="X717" s="7"/>
      <c r="Y717" s="7"/>
      <c r="Z717" s="7"/>
    </row>
    <row r="718" ht="15.75" customHeight="1">
      <c r="A718" s="4"/>
      <c r="B718" s="4"/>
      <c r="C718" s="4"/>
      <c r="D718" s="4"/>
      <c r="E718" s="19"/>
      <c r="F718" s="4"/>
      <c r="G718" s="4"/>
      <c r="H718" s="7"/>
      <c r="I718" s="4"/>
      <c r="J718" s="4"/>
      <c r="K718" s="22"/>
      <c r="L718" s="4"/>
      <c r="M718" s="4"/>
      <c r="N718" s="4"/>
      <c r="O718" s="4"/>
      <c r="P718" s="4"/>
      <c r="Q718" s="4"/>
      <c r="R718" s="4"/>
      <c r="S718" s="7"/>
      <c r="T718" s="7"/>
      <c r="U718" s="7"/>
      <c r="V718" s="7"/>
      <c r="W718" s="7"/>
      <c r="X718" s="7"/>
      <c r="Y718" s="7"/>
      <c r="Z718" s="7"/>
    </row>
    <row r="719" ht="15.75" customHeight="1">
      <c r="A719" s="4"/>
      <c r="B719" s="4"/>
      <c r="C719" s="4"/>
      <c r="D719" s="4"/>
      <c r="E719" s="19"/>
      <c r="F719" s="4"/>
      <c r="G719" s="4"/>
      <c r="H719" s="7"/>
      <c r="I719" s="4"/>
      <c r="J719" s="4"/>
      <c r="K719" s="22"/>
      <c r="L719" s="4"/>
      <c r="M719" s="4"/>
      <c r="N719" s="4"/>
      <c r="O719" s="4"/>
      <c r="P719" s="4"/>
      <c r="Q719" s="4"/>
      <c r="R719" s="4"/>
      <c r="S719" s="7"/>
      <c r="T719" s="7"/>
      <c r="U719" s="7"/>
      <c r="V719" s="7"/>
      <c r="W719" s="7"/>
      <c r="X719" s="7"/>
      <c r="Y719" s="7"/>
      <c r="Z719" s="7"/>
    </row>
    <row r="720" ht="15.75" customHeight="1">
      <c r="A720" s="4"/>
      <c r="B720" s="4"/>
      <c r="C720" s="4"/>
      <c r="D720" s="4"/>
      <c r="E720" s="19"/>
      <c r="F720" s="4"/>
      <c r="G720" s="4"/>
      <c r="H720" s="7"/>
      <c r="I720" s="4"/>
      <c r="J720" s="4"/>
      <c r="K720" s="22"/>
      <c r="L720" s="4"/>
      <c r="M720" s="4"/>
      <c r="N720" s="4"/>
      <c r="O720" s="4"/>
      <c r="P720" s="4"/>
      <c r="Q720" s="4"/>
      <c r="R720" s="4"/>
      <c r="S720" s="7"/>
      <c r="T720" s="7"/>
      <c r="U720" s="7"/>
      <c r="V720" s="7"/>
      <c r="W720" s="7"/>
      <c r="X720" s="7"/>
      <c r="Y720" s="7"/>
      <c r="Z720" s="7"/>
    </row>
    <row r="721" ht="15.75" customHeight="1">
      <c r="A721" s="4"/>
      <c r="B721" s="4"/>
      <c r="C721" s="4"/>
      <c r="D721" s="4"/>
      <c r="E721" s="19"/>
      <c r="F721" s="4"/>
      <c r="G721" s="4"/>
      <c r="H721" s="7"/>
      <c r="I721" s="4"/>
      <c r="J721" s="4"/>
      <c r="K721" s="22"/>
      <c r="L721" s="4"/>
      <c r="M721" s="4"/>
      <c r="N721" s="4"/>
      <c r="O721" s="4"/>
      <c r="P721" s="4"/>
      <c r="Q721" s="4"/>
      <c r="R721" s="4"/>
      <c r="S721" s="7"/>
      <c r="T721" s="7"/>
      <c r="U721" s="7"/>
      <c r="V721" s="7"/>
      <c r="W721" s="7"/>
      <c r="X721" s="7"/>
      <c r="Y721" s="7"/>
      <c r="Z721" s="7"/>
    </row>
    <row r="722" ht="15.75" customHeight="1">
      <c r="A722" s="4"/>
      <c r="B722" s="4"/>
      <c r="C722" s="4"/>
      <c r="D722" s="4"/>
      <c r="E722" s="19"/>
      <c r="F722" s="4"/>
      <c r="G722" s="4"/>
      <c r="H722" s="7"/>
      <c r="I722" s="4"/>
      <c r="J722" s="4"/>
      <c r="K722" s="22"/>
      <c r="L722" s="4"/>
      <c r="M722" s="4"/>
      <c r="N722" s="4"/>
      <c r="O722" s="4"/>
      <c r="P722" s="4"/>
      <c r="Q722" s="4"/>
      <c r="R722" s="4"/>
      <c r="S722" s="7"/>
      <c r="T722" s="7"/>
      <c r="U722" s="7"/>
      <c r="V722" s="7"/>
      <c r="W722" s="7"/>
      <c r="X722" s="7"/>
      <c r="Y722" s="7"/>
      <c r="Z722" s="7"/>
    </row>
    <row r="723" ht="15.75" customHeight="1">
      <c r="A723" s="4"/>
      <c r="B723" s="4"/>
      <c r="C723" s="4"/>
      <c r="D723" s="4"/>
      <c r="E723" s="19"/>
      <c r="F723" s="4"/>
      <c r="G723" s="4"/>
      <c r="H723" s="7"/>
      <c r="I723" s="4"/>
      <c r="J723" s="4"/>
      <c r="K723" s="22"/>
      <c r="L723" s="4"/>
      <c r="M723" s="4"/>
      <c r="N723" s="4"/>
      <c r="O723" s="4"/>
      <c r="P723" s="4"/>
      <c r="Q723" s="4"/>
      <c r="R723" s="4"/>
      <c r="S723" s="7"/>
      <c r="T723" s="7"/>
      <c r="U723" s="7"/>
      <c r="V723" s="7"/>
      <c r="W723" s="7"/>
      <c r="X723" s="7"/>
      <c r="Y723" s="7"/>
      <c r="Z723" s="7"/>
    </row>
    <row r="724" ht="15.75" customHeight="1">
      <c r="A724" s="4"/>
      <c r="B724" s="4"/>
      <c r="C724" s="4"/>
      <c r="D724" s="4"/>
      <c r="E724" s="19"/>
      <c r="F724" s="4"/>
      <c r="G724" s="4"/>
      <c r="H724" s="7"/>
      <c r="I724" s="4"/>
      <c r="J724" s="4"/>
      <c r="K724" s="22"/>
      <c r="L724" s="4"/>
      <c r="M724" s="4"/>
      <c r="N724" s="4"/>
      <c r="O724" s="4"/>
      <c r="P724" s="4"/>
      <c r="Q724" s="4"/>
      <c r="R724" s="4"/>
      <c r="S724" s="7"/>
      <c r="T724" s="7"/>
      <c r="U724" s="7"/>
      <c r="V724" s="7"/>
      <c r="W724" s="7"/>
      <c r="X724" s="7"/>
      <c r="Y724" s="7"/>
      <c r="Z724" s="7"/>
    </row>
    <row r="725" ht="15.75" customHeight="1">
      <c r="A725" s="4"/>
      <c r="B725" s="4"/>
      <c r="C725" s="4"/>
      <c r="D725" s="4"/>
      <c r="E725" s="19"/>
      <c r="F725" s="4"/>
      <c r="G725" s="4"/>
      <c r="H725" s="7"/>
      <c r="I725" s="4"/>
      <c r="J725" s="4"/>
      <c r="K725" s="22"/>
      <c r="L725" s="4"/>
      <c r="M725" s="4"/>
      <c r="N725" s="4"/>
      <c r="O725" s="4"/>
      <c r="P725" s="4"/>
      <c r="Q725" s="4"/>
      <c r="R725" s="4"/>
      <c r="S725" s="7"/>
      <c r="T725" s="7"/>
      <c r="U725" s="7"/>
      <c r="V725" s="7"/>
      <c r="W725" s="7"/>
      <c r="X725" s="7"/>
      <c r="Y725" s="7"/>
      <c r="Z725" s="7"/>
    </row>
    <row r="726" ht="15.75" customHeight="1">
      <c r="A726" s="4"/>
      <c r="B726" s="4"/>
      <c r="C726" s="4"/>
      <c r="D726" s="4"/>
      <c r="E726" s="19"/>
      <c r="F726" s="4"/>
      <c r="G726" s="4"/>
      <c r="H726" s="7"/>
      <c r="I726" s="4"/>
      <c r="J726" s="4"/>
      <c r="K726" s="22"/>
      <c r="L726" s="4"/>
      <c r="M726" s="4"/>
      <c r="N726" s="4"/>
      <c r="O726" s="4"/>
      <c r="P726" s="4"/>
      <c r="Q726" s="4"/>
      <c r="R726" s="4"/>
      <c r="S726" s="7"/>
      <c r="T726" s="7"/>
      <c r="U726" s="7"/>
      <c r="V726" s="7"/>
      <c r="W726" s="7"/>
      <c r="X726" s="7"/>
      <c r="Y726" s="7"/>
      <c r="Z726" s="7"/>
    </row>
    <row r="727" ht="15.75" customHeight="1">
      <c r="A727" s="4"/>
      <c r="B727" s="4"/>
      <c r="C727" s="4"/>
      <c r="D727" s="4"/>
      <c r="E727" s="19"/>
      <c r="F727" s="4"/>
      <c r="G727" s="4"/>
      <c r="H727" s="7"/>
      <c r="I727" s="4"/>
      <c r="J727" s="4"/>
      <c r="K727" s="22"/>
      <c r="L727" s="4"/>
      <c r="M727" s="4"/>
      <c r="N727" s="4"/>
      <c r="O727" s="4"/>
      <c r="P727" s="4"/>
      <c r="Q727" s="4"/>
      <c r="R727" s="4"/>
      <c r="S727" s="7"/>
      <c r="T727" s="7"/>
      <c r="U727" s="7"/>
      <c r="V727" s="7"/>
      <c r="W727" s="7"/>
      <c r="X727" s="7"/>
      <c r="Y727" s="7"/>
      <c r="Z727" s="7"/>
    </row>
    <row r="728" ht="15.75" customHeight="1">
      <c r="A728" s="4"/>
      <c r="B728" s="4"/>
      <c r="C728" s="4"/>
      <c r="D728" s="4"/>
      <c r="E728" s="19"/>
      <c r="F728" s="4"/>
      <c r="G728" s="4"/>
      <c r="H728" s="7"/>
      <c r="I728" s="4"/>
      <c r="J728" s="4"/>
      <c r="K728" s="22"/>
      <c r="L728" s="4"/>
      <c r="M728" s="4"/>
      <c r="N728" s="4"/>
      <c r="O728" s="4"/>
      <c r="P728" s="4"/>
      <c r="Q728" s="4"/>
      <c r="R728" s="4"/>
      <c r="S728" s="7"/>
      <c r="T728" s="7"/>
      <c r="U728" s="7"/>
      <c r="V728" s="7"/>
      <c r="W728" s="7"/>
      <c r="X728" s="7"/>
      <c r="Y728" s="7"/>
      <c r="Z728" s="7"/>
    </row>
    <row r="729" ht="15.75" customHeight="1">
      <c r="A729" s="4"/>
      <c r="B729" s="4"/>
      <c r="C729" s="4"/>
      <c r="D729" s="4"/>
      <c r="E729" s="19"/>
      <c r="F729" s="4"/>
      <c r="G729" s="4"/>
      <c r="H729" s="7"/>
      <c r="I729" s="4"/>
      <c r="J729" s="4"/>
      <c r="K729" s="22"/>
      <c r="L729" s="4"/>
      <c r="M729" s="4"/>
      <c r="N729" s="4"/>
      <c r="O729" s="4"/>
      <c r="P729" s="4"/>
      <c r="Q729" s="4"/>
      <c r="R729" s="4"/>
      <c r="S729" s="7"/>
      <c r="T729" s="7"/>
      <c r="U729" s="7"/>
      <c r="V729" s="7"/>
      <c r="W729" s="7"/>
      <c r="X729" s="7"/>
      <c r="Y729" s="7"/>
      <c r="Z729" s="7"/>
    </row>
    <row r="730" ht="15.75" customHeight="1">
      <c r="A730" s="4"/>
      <c r="B730" s="4"/>
      <c r="C730" s="4"/>
      <c r="D730" s="4"/>
      <c r="E730" s="19"/>
      <c r="F730" s="4"/>
      <c r="G730" s="4"/>
      <c r="H730" s="7"/>
      <c r="I730" s="4"/>
      <c r="J730" s="4"/>
      <c r="K730" s="22"/>
      <c r="L730" s="4"/>
      <c r="M730" s="4"/>
      <c r="N730" s="4"/>
      <c r="O730" s="4"/>
      <c r="P730" s="4"/>
      <c r="Q730" s="4"/>
      <c r="R730" s="4"/>
      <c r="S730" s="7"/>
      <c r="T730" s="7"/>
      <c r="U730" s="7"/>
      <c r="V730" s="7"/>
      <c r="W730" s="7"/>
      <c r="X730" s="7"/>
      <c r="Y730" s="7"/>
      <c r="Z730" s="7"/>
    </row>
    <row r="731" ht="15.75" customHeight="1">
      <c r="A731" s="4"/>
      <c r="B731" s="4"/>
      <c r="C731" s="4"/>
      <c r="D731" s="4"/>
      <c r="E731" s="19"/>
      <c r="F731" s="4"/>
      <c r="G731" s="4"/>
      <c r="H731" s="7"/>
      <c r="I731" s="4"/>
      <c r="J731" s="4"/>
      <c r="K731" s="22"/>
      <c r="L731" s="4"/>
      <c r="M731" s="4"/>
      <c r="N731" s="4"/>
      <c r="O731" s="4"/>
      <c r="P731" s="4"/>
      <c r="Q731" s="4"/>
      <c r="R731" s="4"/>
      <c r="S731" s="7"/>
      <c r="T731" s="7"/>
      <c r="U731" s="7"/>
      <c r="V731" s="7"/>
      <c r="W731" s="7"/>
      <c r="X731" s="7"/>
      <c r="Y731" s="7"/>
      <c r="Z731" s="7"/>
    </row>
    <row r="732" ht="15.75" customHeight="1">
      <c r="A732" s="4"/>
      <c r="B732" s="4"/>
      <c r="C732" s="4"/>
      <c r="D732" s="4"/>
      <c r="E732" s="19"/>
      <c r="F732" s="4"/>
      <c r="G732" s="4"/>
      <c r="H732" s="7"/>
      <c r="I732" s="4"/>
      <c r="J732" s="4"/>
      <c r="K732" s="22"/>
      <c r="L732" s="4"/>
      <c r="M732" s="4"/>
      <c r="N732" s="4"/>
      <c r="O732" s="4"/>
      <c r="P732" s="4"/>
      <c r="Q732" s="4"/>
      <c r="R732" s="4"/>
      <c r="S732" s="7"/>
      <c r="T732" s="7"/>
      <c r="U732" s="7"/>
      <c r="V732" s="7"/>
      <c r="W732" s="7"/>
      <c r="X732" s="7"/>
      <c r="Y732" s="7"/>
      <c r="Z732" s="7"/>
    </row>
    <row r="733" ht="15.75" customHeight="1">
      <c r="A733" s="4"/>
      <c r="B733" s="4"/>
      <c r="C733" s="4"/>
      <c r="D733" s="4"/>
      <c r="E733" s="19"/>
      <c r="F733" s="4"/>
      <c r="G733" s="4"/>
      <c r="H733" s="7"/>
      <c r="I733" s="4"/>
      <c r="J733" s="4"/>
      <c r="K733" s="22"/>
      <c r="L733" s="4"/>
      <c r="M733" s="4"/>
      <c r="N733" s="4"/>
      <c r="O733" s="4"/>
      <c r="P733" s="4"/>
      <c r="Q733" s="4"/>
      <c r="R733" s="4"/>
      <c r="S733" s="7"/>
      <c r="T733" s="7"/>
      <c r="U733" s="7"/>
      <c r="V733" s="7"/>
      <c r="W733" s="7"/>
      <c r="X733" s="7"/>
      <c r="Y733" s="7"/>
      <c r="Z733" s="7"/>
    </row>
    <row r="734" ht="15.75" customHeight="1">
      <c r="A734" s="4"/>
      <c r="B734" s="4"/>
      <c r="C734" s="4"/>
      <c r="D734" s="4"/>
      <c r="E734" s="19"/>
      <c r="F734" s="4"/>
      <c r="G734" s="4"/>
      <c r="H734" s="7"/>
      <c r="I734" s="4"/>
      <c r="J734" s="4"/>
      <c r="K734" s="22"/>
      <c r="L734" s="4"/>
      <c r="M734" s="4"/>
      <c r="N734" s="4"/>
      <c r="O734" s="4"/>
      <c r="P734" s="4"/>
      <c r="Q734" s="4"/>
      <c r="R734" s="4"/>
      <c r="S734" s="7"/>
      <c r="T734" s="7"/>
      <c r="U734" s="7"/>
      <c r="V734" s="7"/>
      <c r="W734" s="7"/>
      <c r="X734" s="7"/>
      <c r="Y734" s="7"/>
      <c r="Z734" s="7"/>
    </row>
    <row r="735" ht="15.75" customHeight="1">
      <c r="A735" s="4"/>
      <c r="B735" s="4"/>
      <c r="C735" s="4"/>
      <c r="D735" s="4"/>
      <c r="E735" s="19"/>
      <c r="F735" s="4"/>
      <c r="G735" s="4"/>
      <c r="H735" s="7"/>
      <c r="I735" s="4"/>
      <c r="J735" s="4"/>
      <c r="K735" s="22"/>
      <c r="L735" s="4"/>
      <c r="M735" s="4"/>
      <c r="N735" s="4"/>
      <c r="O735" s="4"/>
      <c r="P735" s="4"/>
      <c r="Q735" s="4"/>
      <c r="R735" s="4"/>
      <c r="S735" s="7"/>
      <c r="T735" s="7"/>
      <c r="U735" s="7"/>
      <c r="V735" s="7"/>
      <c r="W735" s="7"/>
      <c r="X735" s="7"/>
      <c r="Y735" s="7"/>
      <c r="Z735" s="7"/>
    </row>
    <row r="736" ht="15.75" customHeight="1">
      <c r="A736" s="4"/>
      <c r="B736" s="4"/>
      <c r="C736" s="4"/>
      <c r="D736" s="4"/>
      <c r="E736" s="19"/>
      <c r="F736" s="4"/>
      <c r="G736" s="4"/>
      <c r="H736" s="7"/>
      <c r="I736" s="4"/>
      <c r="J736" s="4"/>
      <c r="K736" s="22"/>
      <c r="L736" s="4"/>
      <c r="M736" s="4"/>
      <c r="N736" s="4"/>
      <c r="O736" s="4"/>
      <c r="P736" s="4"/>
      <c r="Q736" s="4"/>
      <c r="R736" s="4"/>
      <c r="S736" s="7"/>
      <c r="T736" s="7"/>
      <c r="U736" s="7"/>
      <c r="V736" s="7"/>
      <c r="W736" s="7"/>
      <c r="X736" s="7"/>
      <c r="Y736" s="7"/>
      <c r="Z736" s="7"/>
    </row>
    <row r="737" ht="15.75" customHeight="1">
      <c r="A737" s="4"/>
      <c r="B737" s="4"/>
      <c r="C737" s="4"/>
      <c r="D737" s="4"/>
      <c r="E737" s="19"/>
      <c r="F737" s="4"/>
      <c r="G737" s="4"/>
      <c r="H737" s="7"/>
      <c r="I737" s="4"/>
      <c r="J737" s="4"/>
      <c r="K737" s="22"/>
      <c r="L737" s="4"/>
      <c r="M737" s="4"/>
      <c r="N737" s="4"/>
      <c r="O737" s="4"/>
      <c r="P737" s="4"/>
      <c r="Q737" s="4"/>
      <c r="R737" s="4"/>
      <c r="S737" s="7"/>
      <c r="T737" s="7"/>
      <c r="U737" s="7"/>
      <c r="V737" s="7"/>
      <c r="W737" s="7"/>
      <c r="X737" s="7"/>
      <c r="Y737" s="7"/>
      <c r="Z737" s="7"/>
    </row>
    <row r="738" ht="15.75" customHeight="1">
      <c r="A738" s="4"/>
      <c r="B738" s="4"/>
      <c r="C738" s="4"/>
      <c r="D738" s="4"/>
      <c r="E738" s="19"/>
      <c r="F738" s="4"/>
      <c r="G738" s="4"/>
      <c r="H738" s="7"/>
      <c r="I738" s="4"/>
      <c r="J738" s="4"/>
      <c r="K738" s="22"/>
      <c r="L738" s="4"/>
      <c r="M738" s="4"/>
      <c r="N738" s="4"/>
      <c r="O738" s="4"/>
      <c r="P738" s="4"/>
      <c r="Q738" s="4"/>
      <c r="R738" s="4"/>
      <c r="S738" s="7"/>
      <c r="T738" s="7"/>
      <c r="U738" s="7"/>
      <c r="V738" s="7"/>
      <c r="W738" s="7"/>
      <c r="X738" s="7"/>
      <c r="Y738" s="7"/>
      <c r="Z738" s="7"/>
    </row>
    <row r="739" ht="15.75" customHeight="1">
      <c r="A739" s="4"/>
      <c r="B739" s="4"/>
      <c r="C739" s="4"/>
      <c r="D739" s="4"/>
      <c r="E739" s="19"/>
      <c r="F739" s="4"/>
      <c r="G739" s="4"/>
      <c r="H739" s="7"/>
      <c r="I739" s="4"/>
      <c r="J739" s="4"/>
      <c r="K739" s="22"/>
      <c r="L739" s="4"/>
      <c r="M739" s="4"/>
      <c r="N739" s="4"/>
      <c r="O739" s="4"/>
      <c r="P739" s="4"/>
      <c r="Q739" s="4"/>
      <c r="R739" s="4"/>
      <c r="S739" s="7"/>
      <c r="T739" s="7"/>
      <c r="U739" s="7"/>
      <c r="V739" s="7"/>
      <c r="W739" s="7"/>
      <c r="X739" s="7"/>
      <c r="Y739" s="7"/>
      <c r="Z739" s="7"/>
    </row>
    <row r="740" ht="15.75" customHeight="1">
      <c r="A740" s="4"/>
      <c r="B740" s="4"/>
      <c r="C740" s="4"/>
      <c r="D740" s="4"/>
      <c r="E740" s="19"/>
      <c r="F740" s="4"/>
      <c r="G740" s="4"/>
      <c r="H740" s="7"/>
      <c r="I740" s="4"/>
      <c r="J740" s="4"/>
      <c r="K740" s="22"/>
      <c r="L740" s="4"/>
      <c r="M740" s="4"/>
      <c r="N740" s="4"/>
      <c r="O740" s="4"/>
      <c r="P740" s="4"/>
      <c r="Q740" s="4"/>
      <c r="R740" s="4"/>
      <c r="S740" s="7"/>
      <c r="T740" s="7"/>
      <c r="U740" s="7"/>
      <c r="V740" s="7"/>
      <c r="W740" s="7"/>
      <c r="X740" s="7"/>
      <c r="Y740" s="7"/>
      <c r="Z740" s="7"/>
    </row>
    <row r="741" ht="15.75" customHeight="1">
      <c r="A741" s="4"/>
      <c r="B741" s="4"/>
      <c r="C741" s="4"/>
      <c r="D741" s="4"/>
      <c r="E741" s="19"/>
      <c r="F741" s="4"/>
      <c r="G741" s="4"/>
      <c r="H741" s="7"/>
      <c r="I741" s="4"/>
      <c r="J741" s="4"/>
      <c r="K741" s="22"/>
      <c r="L741" s="4"/>
      <c r="M741" s="4"/>
      <c r="N741" s="4"/>
      <c r="O741" s="4"/>
      <c r="P741" s="4"/>
      <c r="Q741" s="4"/>
      <c r="R741" s="4"/>
      <c r="S741" s="7"/>
      <c r="T741" s="7"/>
      <c r="U741" s="7"/>
      <c r="V741" s="7"/>
      <c r="W741" s="7"/>
      <c r="X741" s="7"/>
      <c r="Y741" s="7"/>
      <c r="Z741" s="7"/>
    </row>
    <row r="742" ht="15.75" customHeight="1">
      <c r="A742" s="4"/>
      <c r="B742" s="4"/>
      <c r="C742" s="4"/>
      <c r="D742" s="4"/>
      <c r="E742" s="19"/>
      <c r="F742" s="4"/>
      <c r="G742" s="4"/>
      <c r="H742" s="7"/>
      <c r="I742" s="4"/>
      <c r="J742" s="4"/>
      <c r="K742" s="22"/>
      <c r="L742" s="4"/>
      <c r="M742" s="4"/>
      <c r="N742" s="4"/>
      <c r="O742" s="4"/>
      <c r="P742" s="4"/>
      <c r="Q742" s="4"/>
      <c r="R742" s="4"/>
      <c r="S742" s="7"/>
      <c r="T742" s="7"/>
      <c r="U742" s="7"/>
      <c r="V742" s="7"/>
      <c r="W742" s="7"/>
      <c r="X742" s="7"/>
      <c r="Y742" s="7"/>
      <c r="Z742" s="7"/>
    </row>
    <row r="743" ht="15.75" customHeight="1">
      <c r="A743" s="4"/>
      <c r="B743" s="4"/>
      <c r="C743" s="4"/>
      <c r="D743" s="4"/>
      <c r="E743" s="19"/>
      <c r="F743" s="4"/>
      <c r="G743" s="4"/>
      <c r="H743" s="7"/>
      <c r="I743" s="4"/>
      <c r="J743" s="4"/>
      <c r="K743" s="22"/>
      <c r="L743" s="4"/>
      <c r="M743" s="4"/>
      <c r="N743" s="4"/>
      <c r="O743" s="4"/>
      <c r="P743" s="4"/>
      <c r="Q743" s="4"/>
      <c r="R743" s="4"/>
      <c r="S743" s="7"/>
      <c r="T743" s="7"/>
      <c r="U743" s="7"/>
      <c r="V743" s="7"/>
      <c r="W743" s="7"/>
      <c r="X743" s="7"/>
      <c r="Y743" s="7"/>
      <c r="Z743" s="7"/>
    </row>
    <row r="744" ht="15.75" customHeight="1">
      <c r="A744" s="4"/>
      <c r="B744" s="4"/>
      <c r="C744" s="4"/>
      <c r="D744" s="4"/>
      <c r="E744" s="19"/>
      <c r="F744" s="4"/>
      <c r="G744" s="4"/>
      <c r="H744" s="7"/>
      <c r="I744" s="4"/>
      <c r="J744" s="4"/>
      <c r="K744" s="22"/>
      <c r="L744" s="4"/>
      <c r="M744" s="4"/>
      <c r="N744" s="4"/>
      <c r="O744" s="4"/>
      <c r="P744" s="4"/>
      <c r="Q744" s="4"/>
      <c r="R744" s="4"/>
      <c r="S744" s="7"/>
      <c r="T744" s="7"/>
      <c r="U744" s="7"/>
      <c r="V744" s="7"/>
      <c r="W744" s="7"/>
      <c r="X744" s="7"/>
      <c r="Y744" s="7"/>
      <c r="Z744" s="7"/>
    </row>
    <row r="745" ht="15.75" customHeight="1">
      <c r="A745" s="4"/>
      <c r="B745" s="4"/>
      <c r="C745" s="4"/>
      <c r="D745" s="4"/>
      <c r="E745" s="19"/>
      <c r="F745" s="4"/>
      <c r="G745" s="4"/>
      <c r="H745" s="7"/>
      <c r="I745" s="4"/>
      <c r="J745" s="4"/>
      <c r="K745" s="22"/>
      <c r="L745" s="4"/>
      <c r="M745" s="4"/>
      <c r="N745" s="4"/>
      <c r="O745" s="4"/>
      <c r="P745" s="4"/>
      <c r="Q745" s="4"/>
      <c r="R745" s="4"/>
      <c r="S745" s="7"/>
      <c r="T745" s="7"/>
      <c r="U745" s="7"/>
      <c r="V745" s="7"/>
      <c r="W745" s="7"/>
      <c r="X745" s="7"/>
      <c r="Y745" s="7"/>
      <c r="Z745" s="7"/>
    </row>
    <row r="746" ht="15.75" customHeight="1">
      <c r="A746" s="4"/>
      <c r="B746" s="4"/>
      <c r="C746" s="4"/>
      <c r="D746" s="4"/>
      <c r="E746" s="19"/>
      <c r="F746" s="4"/>
      <c r="G746" s="4"/>
      <c r="H746" s="7"/>
      <c r="I746" s="4"/>
      <c r="J746" s="4"/>
      <c r="K746" s="22"/>
      <c r="L746" s="4"/>
      <c r="M746" s="4"/>
      <c r="N746" s="4"/>
      <c r="O746" s="4"/>
      <c r="P746" s="4"/>
      <c r="Q746" s="4"/>
      <c r="R746" s="4"/>
      <c r="S746" s="7"/>
      <c r="T746" s="7"/>
      <c r="U746" s="7"/>
      <c r="V746" s="7"/>
      <c r="W746" s="7"/>
      <c r="X746" s="7"/>
      <c r="Y746" s="7"/>
      <c r="Z746" s="7"/>
    </row>
    <row r="747" ht="15.75" customHeight="1">
      <c r="A747" s="4"/>
      <c r="B747" s="4"/>
      <c r="C747" s="4"/>
      <c r="D747" s="4"/>
      <c r="E747" s="19"/>
      <c r="F747" s="4"/>
      <c r="G747" s="4"/>
      <c r="H747" s="7"/>
      <c r="I747" s="4"/>
      <c r="J747" s="4"/>
      <c r="K747" s="22"/>
      <c r="L747" s="4"/>
      <c r="M747" s="4"/>
      <c r="N747" s="4"/>
      <c r="O747" s="4"/>
      <c r="P747" s="4"/>
      <c r="Q747" s="4"/>
      <c r="R747" s="4"/>
      <c r="S747" s="7"/>
      <c r="T747" s="7"/>
      <c r="U747" s="7"/>
      <c r="V747" s="7"/>
      <c r="W747" s="7"/>
      <c r="X747" s="7"/>
      <c r="Y747" s="7"/>
      <c r="Z747" s="7"/>
    </row>
    <row r="748" ht="15.75" customHeight="1">
      <c r="A748" s="4"/>
      <c r="B748" s="4"/>
      <c r="C748" s="4"/>
      <c r="D748" s="4"/>
      <c r="E748" s="19"/>
      <c r="F748" s="4"/>
      <c r="G748" s="4"/>
      <c r="H748" s="7"/>
      <c r="I748" s="4"/>
      <c r="J748" s="4"/>
      <c r="K748" s="22"/>
      <c r="L748" s="4"/>
      <c r="M748" s="4"/>
      <c r="N748" s="4"/>
      <c r="O748" s="4"/>
      <c r="P748" s="4"/>
      <c r="Q748" s="4"/>
      <c r="R748" s="4"/>
      <c r="S748" s="7"/>
      <c r="T748" s="7"/>
      <c r="U748" s="7"/>
      <c r="V748" s="7"/>
      <c r="W748" s="7"/>
      <c r="X748" s="7"/>
      <c r="Y748" s="7"/>
      <c r="Z748" s="7"/>
    </row>
    <row r="749" ht="15.75" customHeight="1">
      <c r="A749" s="4"/>
      <c r="B749" s="4"/>
      <c r="C749" s="4"/>
      <c r="D749" s="4"/>
      <c r="E749" s="19"/>
      <c r="F749" s="4"/>
      <c r="G749" s="4"/>
      <c r="H749" s="7"/>
      <c r="I749" s="4"/>
      <c r="J749" s="4"/>
      <c r="K749" s="22"/>
      <c r="L749" s="4"/>
      <c r="M749" s="4"/>
      <c r="N749" s="4"/>
      <c r="O749" s="4"/>
      <c r="P749" s="4"/>
      <c r="Q749" s="4"/>
      <c r="R749" s="4"/>
      <c r="S749" s="7"/>
      <c r="T749" s="7"/>
      <c r="U749" s="7"/>
      <c r="V749" s="7"/>
      <c r="W749" s="7"/>
      <c r="X749" s="7"/>
      <c r="Y749" s="7"/>
      <c r="Z749" s="7"/>
    </row>
    <row r="750" ht="15.75" customHeight="1">
      <c r="A750" s="4"/>
      <c r="B750" s="4"/>
      <c r="C750" s="4"/>
      <c r="D750" s="4"/>
      <c r="E750" s="19"/>
      <c r="F750" s="4"/>
      <c r="G750" s="4"/>
      <c r="H750" s="7"/>
      <c r="I750" s="4"/>
      <c r="J750" s="4"/>
      <c r="K750" s="22"/>
      <c r="L750" s="4"/>
      <c r="M750" s="4"/>
      <c r="N750" s="4"/>
      <c r="O750" s="4"/>
      <c r="P750" s="4"/>
      <c r="Q750" s="4"/>
      <c r="R750" s="4"/>
      <c r="S750" s="7"/>
      <c r="T750" s="7"/>
      <c r="U750" s="7"/>
      <c r="V750" s="7"/>
      <c r="W750" s="7"/>
      <c r="X750" s="7"/>
      <c r="Y750" s="7"/>
      <c r="Z750" s="7"/>
    </row>
    <row r="751" ht="15.75" customHeight="1">
      <c r="A751" s="4"/>
      <c r="B751" s="4"/>
      <c r="C751" s="4"/>
      <c r="D751" s="4"/>
      <c r="E751" s="19"/>
      <c r="F751" s="4"/>
      <c r="G751" s="4"/>
      <c r="H751" s="7"/>
      <c r="I751" s="4"/>
      <c r="J751" s="4"/>
      <c r="K751" s="22"/>
      <c r="L751" s="4"/>
      <c r="M751" s="4"/>
      <c r="N751" s="4"/>
      <c r="O751" s="4"/>
      <c r="P751" s="4"/>
      <c r="Q751" s="4"/>
      <c r="R751" s="4"/>
      <c r="S751" s="7"/>
      <c r="T751" s="7"/>
      <c r="U751" s="7"/>
      <c r="V751" s="7"/>
      <c r="W751" s="7"/>
      <c r="X751" s="7"/>
      <c r="Y751" s="7"/>
      <c r="Z751" s="7"/>
    </row>
    <row r="752" ht="15.75" customHeight="1">
      <c r="A752" s="4"/>
      <c r="B752" s="4"/>
      <c r="C752" s="4"/>
      <c r="D752" s="4"/>
      <c r="E752" s="19"/>
      <c r="F752" s="4"/>
      <c r="G752" s="4"/>
      <c r="H752" s="7"/>
      <c r="I752" s="4"/>
      <c r="J752" s="4"/>
      <c r="K752" s="22"/>
      <c r="L752" s="4"/>
      <c r="M752" s="4"/>
      <c r="N752" s="4"/>
      <c r="O752" s="4"/>
      <c r="P752" s="4"/>
      <c r="Q752" s="4"/>
      <c r="R752" s="4"/>
      <c r="S752" s="7"/>
      <c r="T752" s="7"/>
      <c r="U752" s="7"/>
      <c r="V752" s="7"/>
      <c r="W752" s="7"/>
      <c r="X752" s="7"/>
      <c r="Y752" s="7"/>
      <c r="Z752" s="7"/>
    </row>
    <row r="753" ht="15.75" customHeight="1">
      <c r="A753" s="4"/>
      <c r="B753" s="4"/>
      <c r="C753" s="4"/>
      <c r="D753" s="4"/>
      <c r="E753" s="19"/>
      <c r="F753" s="4"/>
      <c r="G753" s="4"/>
      <c r="H753" s="7"/>
      <c r="I753" s="4"/>
      <c r="J753" s="4"/>
      <c r="K753" s="22"/>
      <c r="L753" s="4"/>
      <c r="M753" s="4"/>
      <c r="N753" s="4"/>
      <c r="O753" s="4"/>
      <c r="P753" s="4"/>
      <c r="Q753" s="4"/>
      <c r="R753" s="4"/>
      <c r="S753" s="7"/>
      <c r="T753" s="7"/>
      <c r="U753" s="7"/>
      <c r="V753" s="7"/>
      <c r="W753" s="7"/>
      <c r="X753" s="7"/>
      <c r="Y753" s="7"/>
      <c r="Z753" s="7"/>
    </row>
    <row r="754" ht="15.75" customHeight="1">
      <c r="A754" s="4"/>
      <c r="B754" s="4"/>
      <c r="C754" s="4"/>
      <c r="D754" s="4"/>
      <c r="E754" s="19"/>
      <c r="F754" s="4"/>
      <c r="G754" s="4"/>
      <c r="H754" s="7"/>
      <c r="I754" s="4"/>
      <c r="J754" s="4"/>
      <c r="K754" s="22"/>
      <c r="L754" s="4"/>
      <c r="M754" s="4"/>
      <c r="N754" s="4"/>
      <c r="O754" s="4"/>
      <c r="P754" s="4"/>
      <c r="Q754" s="4"/>
      <c r="R754" s="4"/>
      <c r="S754" s="7"/>
      <c r="T754" s="7"/>
      <c r="U754" s="7"/>
      <c r="V754" s="7"/>
      <c r="W754" s="7"/>
      <c r="X754" s="7"/>
      <c r="Y754" s="7"/>
      <c r="Z754" s="7"/>
    </row>
    <row r="755" ht="15.75" customHeight="1">
      <c r="A755" s="4"/>
      <c r="B755" s="4"/>
      <c r="C755" s="4"/>
      <c r="D755" s="4"/>
      <c r="E755" s="19"/>
      <c r="F755" s="4"/>
      <c r="G755" s="4"/>
      <c r="H755" s="7"/>
      <c r="I755" s="4"/>
      <c r="J755" s="4"/>
      <c r="K755" s="22"/>
      <c r="L755" s="4"/>
      <c r="M755" s="4"/>
      <c r="N755" s="4"/>
      <c r="O755" s="4"/>
      <c r="P755" s="4"/>
      <c r="Q755" s="4"/>
      <c r="R755" s="4"/>
      <c r="S755" s="7"/>
      <c r="T755" s="7"/>
      <c r="U755" s="7"/>
      <c r="V755" s="7"/>
      <c r="W755" s="7"/>
      <c r="X755" s="7"/>
      <c r="Y755" s="7"/>
      <c r="Z755" s="7"/>
    </row>
    <row r="756" ht="15.75" customHeight="1">
      <c r="A756" s="4"/>
      <c r="B756" s="4"/>
      <c r="C756" s="4"/>
      <c r="D756" s="4"/>
      <c r="E756" s="19"/>
      <c r="F756" s="4"/>
      <c r="G756" s="4"/>
      <c r="H756" s="7"/>
      <c r="I756" s="4"/>
      <c r="J756" s="4"/>
      <c r="K756" s="22"/>
      <c r="L756" s="4"/>
      <c r="M756" s="4"/>
      <c r="N756" s="4"/>
      <c r="O756" s="4"/>
      <c r="P756" s="4"/>
      <c r="Q756" s="4"/>
      <c r="R756" s="4"/>
      <c r="S756" s="7"/>
      <c r="T756" s="7"/>
      <c r="U756" s="7"/>
      <c r="V756" s="7"/>
      <c r="W756" s="7"/>
      <c r="X756" s="7"/>
      <c r="Y756" s="7"/>
      <c r="Z756" s="7"/>
    </row>
    <row r="757" ht="15.75" customHeight="1">
      <c r="A757" s="4"/>
      <c r="B757" s="4"/>
      <c r="C757" s="4"/>
      <c r="D757" s="4"/>
      <c r="E757" s="19"/>
      <c r="F757" s="4"/>
      <c r="G757" s="4"/>
      <c r="H757" s="7"/>
      <c r="I757" s="4"/>
      <c r="J757" s="4"/>
      <c r="K757" s="22"/>
      <c r="L757" s="4"/>
      <c r="M757" s="4"/>
      <c r="N757" s="4"/>
      <c r="O757" s="4"/>
      <c r="P757" s="4"/>
      <c r="Q757" s="4"/>
      <c r="R757" s="4"/>
      <c r="S757" s="7"/>
      <c r="T757" s="7"/>
      <c r="U757" s="7"/>
      <c r="V757" s="7"/>
      <c r="W757" s="7"/>
      <c r="X757" s="7"/>
      <c r="Y757" s="7"/>
      <c r="Z757" s="7"/>
    </row>
    <row r="758" ht="15.75" customHeight="1">
      <c r="A758" s="4"/>
      <c r="B758" s="4"/>
      <c r="C758" s="4"/>
      <c r="D758" s="4"/>
      <c r="E758" s="19"/>
      <c r="F758" s="4"/>
      <c r="G758" s="4"/>
      <c r="H758" s="7"/>
      <c r="I758" s="4"/>
      <c r="J758" s="4"/>
      <c r="K758" s="22"/>
      <c r="L758" s="4"/>
      <c r="M758" s="4"/>
      <c r="N758" s="4"/>
      <c r="O758" s="4"/>
      <c r="P758" s="4"/>
      <c r="Q758" s="4"/>
      <c r="R758" s="4"/>
      <c r="S758" s="7"/>
      <c r="T758" s="7"/>
      <c r="U758" s="7"/>
      <c r="V758" s="7"/>
      <c r="W758" s="7"/>
      <c r="X758" s="7"/>
      <c r="Y758" s="7"/>
      <c r="Z758" s="7"/>
    </row>
    <row r="759" ht="15.75" customHeight="1">
      <c r="A759" s="4"/>
      <c r="B759" s="4"/>
      <c r="C759" s="4"/>
      <c r="D759" s="4"/>
      <c r="E759" s="19"/>
      <c r="F759" s="4"/>
      <c r="G759" s="4"/>
      <c r="H759" s="7"/>
      <c r="I759" s="4"/>
      <c r="J759" s="4"/>
      <c r="K759" s="22"/>
      <c r="L759" s="4"/>
      <c r="M759" s="4"/>
      <c r="N759" s="4"/>
      <c r="O759" s="4"/>
      <c r="P759" s="4"/>
      <c r="Q759" s="4"/>
      <c r="R759" s="4"/>
      <c r="S759" s="7"/>
      <c r="T759" s="7"/>
      <c r="U759" s="7"/>
      <c r="V759" s="7"/>
      <c r="W759" s="7"/>
      <c r="X759" s="7"/>
      <c r="Y759" s="7"/>
      <c r="Z759" s="7"/>
    </row>
    <row r="760" ht="15.75" customHeight="1">
      <c r="A760" s="4"/>
      <c r="B760" s="4"/>
      <c r="C760" s="4"/>
      <c r="D760" s="4"/>
      <c r="E760" s="19"/>
      <c r="F760" s="4"/>
      <c r="G760" s="4"/>
      <c r="H760" s="7"/>
      <c r="I760" s="4"/>
      <c r="J760" s="4"/>
      <c r="K760" s="22"/>
      <c r="L760" s="4"/>
      <c r="M760" s="4"/>
      <c r="N760" s="4"/>
      <c r="O760" s="4"/>
      <c r="P760" s="4"/>
      <c r="Q760" s="4"/>
      <c r="R760" s="4"/>
      <c r="S760" s="7"/>
      <c r="T760" s="7"/>
      <c r="U760" s="7"/>
      <c r="V760" s="7"/>
      <c r="W760" s="7"/>
      <c r="X760" s="7"/>
      <c r="Y760" s="7"/>
      <c r="Z760" s="7"/>
    </row>
    <row r="761" ht="15.75" customHeight="1">
      <c r="A761" s="4"/>
      <c r="B761" s="4"/>
      <c r="C761" s="4"/>
      <c r="D761" s="4"/>
      <c r="E761" s="19"/>
      <c r="F761" s="4"/>
      <c r="G761" s="4"/>
      <c r="H761" s="7"/>
      <c r="I761" s="4"/>
      <c r="J761" s="4"/>
      <c r="K761" s="22"/>
      <c r="L761" s="4"/>
      <c r="M761" s="4"/>
      <c r="N761" s="4"/>
      <c r="O761" s="4"/>
      <c r="P761" s="4"/>
      <c r="Q761" s="4"/>
      <c r="R761" s="4"/>
      <c r="S761" s="7"/>
      <c r="T761" s="7"/>
      <c r="U761" s="7"/>
      <c r="V761" s="7"/>
      <c r="W761" s="7"/>
      <c r="X761" s="7"/>
      <c r="Y761" s="7"/>
      <c r="Z761" s="7"/>
    </row>
    <row r="762" ht="15.75" customHeight="1">
      <c r="A762" s="4"/>
      <c r="B762" s="4"/>
      <c r="C762" s="4"/>
      <c r="D762" s="4"/>
      <c r="E762" s="19"/>
      <c r="F762" s="4"/>
      <c r="G762" s="4"/>
      <c r="H762" s="7"/>
      <c r="I762" s="4"/>
      <c r="J762" s="4"/>
      <c r="K762" s="22"/>
      <c r="L762" s="4"/>
      <c r="M762" s="4"/>
      <c r="N762" s="4"/>
      <c r="O762" s="4"/>
      <c r="P762" s="4"/>
      <c r="Q762" s="4"/>
      <c r="R762" s="4"/>
      <c r="S762" s="7"/>
      <c r="T762" s="7"/>
      <c r="U762" s="7"/>
      <c r="V762" s="7"/>
      <c r="W762" s="7"/>
      <c r="X762" s="7"/>
      <c r="Y762" s="7"/>
      <c r="Z762" s="7"/>
    </row>
    <row r="763" ht="15.75" customHeight="1">
      <c r="A763" s="4"/>
      <c r="B763" s="4"/>
      <c r="C763" s="4"/>
      <c r="D763" s="4"/>
      <c r="E763" s="19"/>
      <c r="F763" s="4"/>
      <c r="G763" s="4"/>
      <c r="H763" s="7"/>
      <c r="I763" s="4"/>
      <c r="J763" s="4"/>
      <c r="K763" s="22"/>
      <c r="L763" s="4"/>
      <c r="M763" s="4"/>
      <c r="N763" s="4"/>
      <c r="O763" s="4"/>
      <c r="P763" s="4"/>
      <c r="Q763" s="4"/>
      <c r="R763" s="4"/>
      <c r="S763" s="7"/>
      <c r="T763" s="7"/>
      <c r="U763" s="7"/>
      <c r="V763" s="7"/>
      <c r="W763" s="7"/>
      <c r="X763" s="7"/>
      <c r="Y763" s="7"/>
      <c r="Z763" s="7"/>
    </row>
    <row r="764" ht="15.75" customHeight="1">
      <c r="A764" s="4"/>
      <c r="B764" s="4"/>
      <c r="C764" s="4"/>
      <c r="D764" s="4"/>
      <c r="E764" s="19"/>
      <c r="F764" s="4"/>
      <c r="G764" s="4"/>
      <c r="H764" s="7"/>
      <c r="I764" s="4"/>
      <c r="J764" s="4"/>
      <c r="K764" s="22"/>
      <c r="L764" s="4"/>
      <c r="M764" s="4"/>
      <c r="N764" s="4"/>
      <c r="O764" s="4"/>
      <c r="P764" s="4"/>
      <c r="Q764" s="4"/>
      <c r="R764" s="4"/>
      <c r="S764" s="7"/>
      <c r="T764" s="7"/>
      <c r="U764" s="7"/>
      <c r="V764" s="7"/>
      <c r="W764" s="7"/>
      <c r="X764" s="7"/>
      <c r="Y764" s="7"/>
      <c r="Z764" s="7"/>
    </row>
    <row r="765" ht="15.75" customHeight="1">
      <c r="A765" s="4"/>
      <c r="B765" s="4"/>
      <c r="C765" s="4"/>
      <c r="D765" s="4"/>
      <c r="E765" s="19"/>
      <c r="F765" s="4"/>
      <c r="G765" s="4"/>
      <c r="H765" s="7"/>
      <c r="I765" s="4"/>
      <c r="J765" s="4"/>
      <c r="K765" s="22"/>
      <c r="L765" s="4"/>
      <c r="M765" s="4"/>
      <c r="N765" s="4"/>
      <c r="O765" s="4"/>
      <c r="P765" s="4"/>
      <c r="Q765" s="4"/>
      <c r="R765" s="4"/>
      <c r="S765" s="7"/>
      <c r="T765" s="7"/>
      <c r="U765" s="7"/>
      <c r="V765" s="7"/>
      <c r="W765" s="7"/>
      <c r="X765" s="7"/>
      <c r="Y765" s="7"/>
      <c r="Z765" s="7"/>
    </row>
    <row r="766" ht="15.75" customHeight="1">
      <c r="A766" s="4"/>
      <c r="B766" s="4"/>
      <c r="C766" s="4"/>
      <c r="D766" s="4"/>
      <c r="E766" s="19"/>
      <c r="F766" s="4"/>
      <c r="G766" s="4"/>
      <c r="H766" s="7"/>
      <c r="I766" s="4"/>
      <c r="J766" s="4"/>
      <c r="K766" s="22"/>
      <c r="L766" s="4"/>
      <c r="M766" s="4"/>
      <c r="N766" s="4"/>
      <c r="O766" s="4"/>
      <c r="P766" s="4"/>
      <c r="Q766" s="4"/>
      <c r="R766" s="4"/>
      <c r="S766" s="7"/>
      <c r="T766" s="7"/>
      <c r="U766" s="7"/>
      <c r="V766" s="7"/>
      <c r="W766" s="7"/>
      <c r="X766" s="7"/>
      <c r="Y766" s="7"/>
      <c r="Z766" s="7"/>
    </row>
    <row r="767" ht="15.75" customHeight="1">
      <c r="A767" s="4"/>
      <c r="B767" s="4"/>
      <c r="C767" s="4"/>
      <c r="D767" s="4"/>
      <c r="E767" s="19"/>
      <c r="F767" s="4"/>
      <c r="G767" s="4"/>
      <c r="H767" s="7"/>
      <c r="I767" s="4"/>
      <c r="J767" s="4"/>
      <c r="K767" s="22"/>
      <c r="L767" s="4"/>
      <c r="M767" s="4"/>
      <c r="N767" s="4"/>
      <c r="O767" s="4"/>
      <c r="P767" s="4"/>
      <c r="Q767" s="4"/>
      <c r="R767" s="4"/>
      <c r="S767" s="7"/>
      <c r="T767" s="7"/>
      <c r="U767" s="7"/>
      <c r="V767" s="7"/>
      <c r="W767" s="7"/>
      <c r="X767" s="7"/>
      <c r="Y767" s="7"/>
      <c r="Z767" s="7"/>
    </row>
    <row r="768" ht="15.75" customHeight="1">
      <c r="A768" s="4"/>
      <c r="B768" s="4"/>
      <c r="C768" s="4"/>
      <c r="D768" s="4"/>
      <c r="E768" s="19"/>
      <c r="F768" s="4"/>
      <c r="G768" s="4"/>
      <c r="H768" s="7"/>
      <c r="I768" s="4"/>
      <c r="J768" s="4"/>
      <c r="K768" s="22"/>
      <c r="L768" s="4"/>
      <c r="M768" s="4"/>
      <c r="N768" s="4"/>
      <c r="O768" s="4"/>
      <c r="P768" s="4"/>
      <c r="Q768" s="4"/>
      <c r="R768" s="4"/>
      <c r="S768" s="7"/>
      <c r="T768" s="7"/>
      <c r="U768" s="7"/>
      <c r="V768" s="7"/>
      <c r="W768" s="7"/>
      <c r="X768" s="7"/>
      <c r="Y768" s="7"/>
      <c r="Z768" s="7"/>
    </row>
    <row r="769" ht="15.75" customHeight="1">
      <c r="A769" s="4"/>
      <c r="B769" s="4"/>
      <c r="C769" s="4"/>
      <c r="D769" s="4"/>
      <c r="E769" s="19"/>
      <c r="F769" s="4"/>
      <c r="G769" s="4"/>
      <c r="H769" s="7"/>
      <c r="I769" s="4"/>
      <c r="J769" s="4"/>
      <c r="K769" s="22"/>
      <c r="L769" s="4"/>
      <c r="M769" s="4"/>
      <c r="N769" s="4"/>
      <c r="O769" s="4"/>
      <c r="P769" s="4"/>
      <c r="Q769" s="4"/>
      <c r="R769" s="4"/>
      <c r="S769" s="7"/>
      <c r="T769" s="7"/>
      <c r="U769" s="7"/>
      <c r="V769" s="7"/>
      <c r="W769" s="7"/>
      <c r="X769" s="7"/>
      <c r="Y769" s="7"/>
      <c r="Z769" s="7"/>
    </row>
    <row r="770" ht="15.75" customHeight="1">
      <c r="A770" s="4"/>
      <c r="B770" s="4"/>
      <c r="C770" s="4"/>
      <c r="D770" s="4"/>
      <c r="E770" s="19"/>
      <c r="F770" s="4"/>
      <c r="G770" s="4"/>
      <c r="H770" s="7"/>
      <c r="I770" s="4"/>
      <c r="J770" s="4"/>
      <c r="K770" s="22"/>
      <c r="L770" s="4"/>
      <c r="M770" s="4"/>
      <c r="N770" s="4"/>
      <c r="O770" s="4"/>
      <c r="P770" s="4"/>
      <c r="Q770" s="4"/>
      <c r="R770" s="4"/>
      <c r="S770" s="7"/>
      <c r="T770" s="7"/>
      <c r="U770" s="7"/>
      <c r="V770" s="7"/>
      <c r="W770" s="7"/>
      <c r="X770" s="7"/>
      <c r="Y770" s="7"/>
      <c r="Z770" s="7"/>
    </row>
    <row r="771" ht="15.75" customHeight="1">
      <c r="A771" s="4"/>
      <c r="B771" s="4"/>
      <c r="C771" s="4"/>
      <c r="D771" s="4"/>
      <c r="E771" s="19"/>
      <c r="F771" s="4"/>
      <c r="G771" s="4"/>
      <c r="H771" s="7"/>
      <c r="I771" s="4"/>
      <c r="J771" s="4"/>
      <c r="K771" s="22"/>
      <c r="L771" s="4"/>
      <c r="M771" s="4"/>
      <c r="N771" s="4"/>
      <c r="O771" s="4"/>
      <c r="P771" s="4"/>
      <c r="Q771" s="4"/>
      <c r="R771" s="4"/>
      <c r="S771" s="7"/>
      <c r="T771" s="7"/>
      <c r="U771" s="7"/>
      <c r="V771" s="7"/>
      <c r="W771" s="7"/>
      <c r="X771" s="7"/>
      <c r="Y771" s="7"/>
      <c r="Z771" s="7"/>
    </row>
    <row r="772" ht="15.75" customHeight="1">
      <c r="A772" s="4"/>
      <c r="B772" s="4"/>
      <c r="C772" s="4"/>
      <c r="D772" s="4"/>
      <c r="E772" s="19"/>
      <c r="F772" s="4"/>
      <c r="G772" s="4"/>
      <c r="H772" s="7"/>
      <c r="I772" s="4"/>
      <c r="J772" s="4"/>
      <c r="K772" s="22"/>
      <c r="L772" s="4"/>
      <c r="M772" s="4"/>
      <c r="N772" s="4"/>
      <c r="O772" s="4"/>
      <c r="P772" s="4"/>
      <c r="Q772" s="4"/>
      <c r="R772" s="4"/>
      <c r="S772" s="7"/>
      <c r="T772" s="7"/>
      <c r="U772" s="7"/>
      <c r="V772" s="7"/>
      <c r="W772" s="7"/>
      <c r="X772" s="7"/>
      <c r="Y772" s="7"/>
      <c r="Z772" s="7"/>
    </row>
    <row r="773" ht="15.75" customHeight="1">
      <c r="A773" s="4"/>
      <c r="B773" s="4"/>
      <c r="C773" s="4"/>
      <c r="D773" s="4"/>
      <c r="E773" s="19"/>
      <c r="F773" s="4"/>
      <c r="G773" s="4"/>
      <c r="H773" s="7"/>
      <c r="I773" s="4"/>
      <c r="J773" s="4"/>
      <c r="K773" s="22"/>
      <c r="L773" s="4"/>
      <c r="M773" s="4"/>
      <c r="N773" s="4"/>
      <c r="O773" s="4"/>
      <c r="P773" s="4"/>
      <c r="Q773" s="4"/>
      <c r="R773" s="4"/>
      <c r="S773" s="7"/>
      <c r="T773" s="7"/>
      <c r="U773" s="7"/>
      <c r="V773" s="7"/>
      <c r="W773" s="7"/>
      <c r="X773" s="7"/>
      <c r="Y773" s="7"/>
      <c r="Z773" s="7"/>
    </row>
    <row r="774" ht="15.75" customHeight="1">
      <c r="A774" s="4"/>
      <c r="B774" s="4"/>
      <c r="C774" s="4"/>
      <c r="D774" s="4"/>
      <c r="E774" s="19"/>
      <c r="F774" s="4"/>
      <c r="G774" s="4"/>
      <c r="H774" s="7"/>
      <c r="I774" s="4"/>
      <c r="J774" s="4"/>
      <c r="K774" s="22"/>
      <c r="L774" s="4"/>
      <c r="M774" s="4"/>
      <c r="N774" s="4"/>
      <c r="O774" s="4"/>
      <c r="P774" s="4"/>
      <c r="Q774" s="4"/>
      <c r="R774" s="4"/>
      <c r="S774" s="7"/>
      <c r="T774" s="7"/>
      <c r="U774" s="7"/>
      <c r="V774" s="7"/>
      <c r="W774" s="7"/>
      <c r="X774" s="7"/>
      <c r="Y774" s="7"/>
      <c r="Z774" s="7"/>
    </row>
    <row r="775" ht="15.75" customHeight="1">
      <c r="A775" s="4"/>
      <c r="B775" s="4"/>
      <c r="C775" s="4"/>
      <c r="D775" s="4"/>
      <c r="E775" s="19"/>
      <c r="F775" s="4"/>
      <c r="G775" s="4"/>
      <c r="H775" s="7"/>
      <c r="I775" s="4"/>
      <c r="J775" s="4"/>
      <c r="K775" s="22"/>
      <c r="L775" s="4"/>
      <c r="M775" s="4"/>
      <c r="N775" s="4"/>
      <c r="O775" s="4"/>
      <c r="P775" s="4"/>
      <c r="Q775" s="4"/>
      <c r="R775" s="4"/>
      <c r="S775" s="7"/>
      <c r="T775" s="7"/>
      <c r="U775" s="7"/>
      <c r="V775" s="7"/>
      <c r="W775" s="7"/>
      <c r="X775" s="7"/>
      <c r="Y775" s="7"/>
      <c r="Z775" s="7"/>
    </row>
    <row r="776" ht="15.75" customHeight="1">
      <c r="A776" s="4"/>
      <c r="B776" s="4"/>
      <c r="C776" s="4"/>
      <c r="D776" s="4"/>
      <c r="E776" s="19"/>
      <c r="F776" s="4"/>
      <c r="G776" s="4"/>
      <c r="H776" s="7"/>
      <c r="I776" s="4"/>
      <c r="J776" s="4"/>
      <c r="K776" s="22"/>
      <c r="L776" s="4"/>
      <c r="M776" s="4"/>
      <c r="N776" s="4"/>
      <c r="O776" s="4"/>
      <c r="P776" s="4"/>
      <c r="Q776" s="4"/>
      <c r="R776" s="4"/>
      <c r="S776" s="7"/>
      <c r="T776" s="7"/>
      <c r="U776" s="7"/>
      <c r="V776" s="7"/>
      <c r="W776" s="7"/>
      <c r="X776" s="7"/>
      <c r="Y776" s="7"/>
      <c r="Z776" s="7"/>
    </row>
    <row r="777" ht="15.75" customHeight="1">
      <c r="A777" s="4"/>
      <c r="B777" s="4"/>
      <c r="C777" s="4"/>
      <c r="D777" s="4"/>
      <c r="E777" s="19"/>
      <c r="F777" s="4"/>
      <c r="G777" s="4"/>
      <c r="H777" s="7"/>
      <c r="I777" s="4"/>
      <c r="J777" s="4"/>
      <c r="K777" s="22"/>
      <c r="L777" s="4"/>
      <c r="M777" s="4"/>
      <c r="N777" s="4"/>
      <c r="O777" s="4"/>
      <c r="P777" s="4"/>
      <c r="Q777" s="4"/>
      <c r="R777" s="4"/>
      <c r="S777" s="7"/>
      <c r="T777" s="7"/>
      <c r="U777" s="7"/>
      <c r="V777" s="7"/>
      <c r="W777" s="7"/>
      <c r="X777" s="7"/>
      <c r="Y777" s="7"/>
      <c r="Z777" s="7"/>
    </row>
    <row r="778" ht="15.75" customHeight="1">
      <c r="A778" s="4"/>
      <c r="B778" s="4"/>
      <c r="C778" s="4"/>
      <c r="D778" s="4"/>
      <c r="E778" s="19"/>
      <c r="F778" s="4"/>
      <c r="G778" s="4"/>
      <c r="H778" s="7"/>
      <c r="I778" s="4"/>
      <c r="J778" s="4"/>
      <c r="K778" s="22"/>
      <c r="L778" s="4"/>
      <c r="M778" s="4"/>
      <c r="N778" s="4"/>
      <c r="O778" s="4"/>
      <c r="P778" s="4"/>
      <c r="Q778" s="4"/>
      <c r="R778" s="4"/>
      <c r="S778" s="7"/>
      <c r="T778" s="7"/>
      <c r="U778" s="7"/>
      <c r="V778" s="7"/>
      <c r="W778" s="7"/>
      <c r="X778" s="7"/>
      <c r="Y778" s="7"/>
      <c r="Z778" s="7"/>
    </row>
    <row r="779" ht="15.75" customHeight="1">
      <c r="A779" s="4"/>
      <c r="B779" s="4"/>
      <c r="C779" s="4"/>
      <c r="D779" s="4"/>
      <c r="E779" s="19"/>
      <c r="F779" s="4"/>
      <c r="G779" s="4"/>
      <c r="H779" s="7"/>
      <c r="I779" s="4"/>
      <c r="J779" s="4"/>
      <c r="K779" s="22"/>
      <c r="L779" s="4"/>
      <c r="M779" s="4"/>
      <c r="N779" s="4"/>
      <c r="O779" s="4"/>
      <c r="P779" s="4"/>
      <c r="Q779" s="4"/>
      <c r="R779" s="4"/>
      <c r="S779" s="7"/>
      <c r="T779" s="7"/>
      <c r="U779" s="7"/>
      <c r="V779" s="7"/>
      <c r="W779" s="7"/>
      <c r="X779" s="7"/>
      <c r="Y779" s="7"/>
      <c r="Z779" s="7"/>
    </row>
    <row r="780" ht="15.75" customHeight="1">
      <c r="A780" s="4"/>
      <c r="B780" s="4"/>
      <c r="C780" s="4"/>
      <c r="D780" s="4"/>
      <c r="E780" s="19"/>
      <c r="F780" s="4"/>
      <c r="G780" s="4"/>
      <c r="H780" s="7"/>
      <c r="I780" s="4"/>
      <c r="J780" s="4"/>
      <c r="K780" s="22"/>
      <c r="L780" s="4"/>
      <c r="M780" s="4"/>
      <c r="N780" s="4"/>
      <c r="O780" s="4"/>
      <c r="P780" s="4"/>
      <c r="Q780" s="4"/>
      <c r="R780" s="4"/>
      <c r="S780" s="7"/>
      <c r="T780" s="7"/>
      <c r="U780" s="7"/>
      <c r="V780" s="7"/>
      <c r="W780" s="7"/>
      <c r="X780" s="7"/>
      <c r="Y780" s="7"/>
      <c r="Z780" s="7"/>
    </row>
    <row r="781" ht="15.75" customHeight="1">
      <c r="A781" s="4"/>
      <c r="B781" s="4"/>
      <c r="C781" s="4"/>
      <c r="D781" s="4"/>
      <c r="E781" s="19"/>
      <c r="F781" s="4"/>
      <c r="G781" s="4"/>
      <c r="H781" s="7"/>
      <c r="I781" s="4"/>
      <c r="J781" s="4"/>
      <c r="K781" s="22"/>
      <c r="L781" s="4"/>
      <c r="M781" s="4"/>
      <c r="N781" s="4"/>
      <c r="O781" s="4"/>
      <c r="P781" s="4"/>
      <c r="Q781" s="4"/>
      <c r="R781" s="4"/>
      <c r="S781" s="7"/>
      <c r="T781" s="7"/>
      <c r="U781" s="7"/>
      <c r="V781" s="7"/>
      <c r="W781" s="7"/>
      <c r="X781" s="7"/>
      <c r="Y781" s="7"/>
      <c r="Z781" s="7"/>
    </row>
    <row r="782" ht="15.75" customHeight="1">
      <c r="A782" s="4"/>
      <c r="B782" s="4"/>
      <c r="C782" s="4"/>
      <c r="D782" s="4"/>
      <c r="E782" s="19"/>
      <c r="F782" s="4"/>
      <c r="G782" s="4"/>
      <c r="H782" s="7"/>
      <c r="I782" s="4"/>
      <c r="J782" s="4"/>
      <c r="K782" s="22"/>
      <c r="L782" s="4"/>
      <c r="M782" s="4"/>
      <c r="N782" s="4"/>
      <c r="O782" s="4"/>
      <c r="P782" s="4"/>
      <c r="Q782" s="4"/>
      <c r="R782" s="4"/>
      <c r="S782" s="7"/>
      <c r="T782" s="7"/>
      <c r="U782" s="7"/>
      <c r="V782" s="7"/>
      <c r="W782" s="7"/>
      <c r="X782" s="7"/>
      <c r="Y782" s="7"/>
      <c r="Z782" s="7"/>
    </row>
    <row r="783" ht="15.75" customHeight="1">
      <c r="A783" s="4"/>
      <c r="B783" s="4"/>
      <c r="C783" s="4"/>
      <c r="D783" s="4"/>
      <c r="E783" s="19"/>
      <c r="F783" s="4"/>
      <c r="G783" s="4"/>
      <c r="H783" s="7"/>
      <c r="I783" s="4"/>
      <c r="J783" s="4"/>
      <c r="K783" s="22"/>
      <c r="L783" s="4"/>
      <c r="M783" s="4"/>
      <c r="N783" s="4"/>
      <c r="O783" s="4"/>
      <c r="P783" s="4"/>
      <c r="Q783" s="4"/>
      <c r="R783" s="4"/>
      <c r="S783" s="7"/>
      <c r="T783" s="7"/>
      <c r="U783" s="7"/>
      <c r="V783" s="7"/>
      <c r="W783" s="7"/>
      <c r="X783" s="7"/>
      <c r="Y783" s="7"/>
      <c r="Z783" s="7"/>
    </row>
    <row r="784" ht="15.75" customHeight="1">
      <c r="A784" s="4"/>
      <c r="B784" s="4"/>
      <c r="C784" s="4"/>
      <c r="D784" s="4"/>
      <c r="E784" s="19"/>
      <c r="F784" s="4"/>
      <c r="G784" s="4"/>
      <c r="H784" s="7"/>
      <c r="I784" s="4"/>
      <c r="J784" s="4"/>
      <c r="K784" s="22"/>
      <c r="L784" s="4"/>
      <c r="M784" s="4"/>
      <c r="N784" s="4"/>
      <c r="O784" s="4"/>
      <c r="P784" s="4"/>
      <c r="Q784" s="4"/>
      <c r="R784" s="4"/>
      <c r="S784" s="7"/>
      <c r="T784" s="7"/>
      <c r="U784" s="7"/>
      <c r="V784" s="7"/>
      <c r="W784" s="7"/>
      <c r="X784" s="7"/>
      <c r="Y784" s="7"/>
      <c r="Z784" s="7"/>
    </row>
    <row r="785" ht="15.75" customHeight="1">
      <c r="A785" s="4"/>
      <c r="B785" s="4"/>
      <c r="C785" s="4"/>
      <c r="D785" s="4"/>
      <c r="E785" s="19"/>
      <c r="F785" s="4"/>
      <c r="G785" s="4"/>
      <c r="H785" s="7"/>
      <c r="I785" s="4"/>
      <c r="J785" s="4"/>
      <c r="K785" s="22"/>
      <c r="L785" s="4"/>
      <c r="M785" s="4"/>
      <c r="N785" s="4"/>
      <c r="O785" s="4"/>
      <c r="P785" s="4"/>
      <c r="Q785" s="4"/>
      <c r="R785" s="4"/>
      <c r="S785" s="7"/>
      <c r="T785" s="7"/>
      <c r="U785" s="7"/>
      <c r="V785" s="7"/>
      <c r="W785" s="7"/>
      <c r="X785" s="7"/>
      <c r="Y785" s="7"/>
      <c r="Z785" s="7"/>
    </row>
    <row r="786" ht="15.75" customHeight="1">
      <c r="A786" s="4"/>
      <c r="B786" s="4"/>
      <c r="C786" s="4"/>
      <c r="D786" s="4"/>
      <c r="E786" s="19"/>
      <c r="F786" s="4"/>
      <c r="G786" s="4"/>
      <c r="H786" s="7"/>
      <c r="I786" s="4"/>
      <c r="J786" s="4"/>
      <c r="K786" s="22"/>
      <c r="L786" s="4"/>
      <c r="M786" s="4"/>
      <c r="N786" s="4"/>
      <c r="O786" s="4"/>
      <c r="P786" s="4"/>
      <c r="Q786" s="4"/>
      <c r="R786" s="4"/>
      <c r="S786" s="7"/>
      <c r="T786" s="7"/>
      <c r="U786" s="7"/>
      <c r="V786" s="7"/>
      <c r="W786" s="7"/>
      <c r="X786" s="7"/>
      <c r="Y786" s="7"/>
      <c r="Z786" s="7"/>
    </row>
    <row r="787" ht="15.75" customHeight="1">
      <c r="A787" s="4"/>
      <c r="B787" s="4"/>
      <c r="C787" s="4"/>
      <c r="D787" s="4"/>
      <c r="E787" s="19"/>
      <c r="F787" s="4"/>
      <c r="G787" s="4"/>
      <c r="H787" s="7"/>
      <c r="I787" s="4"/>
      <c r="J787" s="4"/>
      <c r="K787" s="22"/>
      <c r="L787" s="4"/>
      <c r="M787" s="4"/>
      <c r="N787" s="4"/>
      <c r="O787" s="4"/>
      <c r="P787" s="4"/>
      <c r="Q787" s="4"/>
      <c r="R787" s="4"/>
      <c r="S787" s="7"/>
      <c r="T787" s="7"/>
      <c r="U787" s="7"/>
      <c r="V787" s="7"/>
      <c r="W787" s="7"/>
      <c r="X787" s="7"/>
      <c r="Y787" s="7"/>
      <c r="Z787" s="7"/>
    </row>
    <row r="788" ht="15.75" customHeight="1">
      <c r="A788" s="4"/>
      <c r="B788" s="4"/>
      <c r="C788" s="4"/>
      <c r="D788" s="4"/>
      <c r="E788" s="19"/>
      <c r="F788" s="4"/>
      <c r="G788" s="4"/>
      <c r="H788" s="7"/>
      <c r="I788" s="4"/>
      <c r="J788" s="4"/>
      <c r="K788" s="22"/>
      <c r="L788" s="4"/>
      <c r="M788" s="4"/>
      <c r="N788" s="4"/>
      <c r="O788" s="4"/>
      <c r="P788" s="4"/>
      <c r="Q788" s="4"/>
      <c r="R788" s="4"/>
      <c r="S788" s="7"/>
      <c r="T788" s="7"/>
      <c r="U788" s="7"/>
      <c r="V788" s="7"/>
      <c r="W788" s="7"/>
      <c r="X788" s="7"/>
      <c r="Y788" s="7"/>
      <c r="Z788" s="7"/>
    </row>
    <row r="789" ht="15.75" customHeight="1">
      <c r="A789" s="4"/>
      <c r="B789" s="4"/>
      <c r="C789" s="4"/>
      <c r="D789" s="4"/>
      <c r="E789" s="19"/>
      <c r="F789" s="4"/>
      <c r="G789" s="4"/>
      <c r="H789" s="7"/>
      <c r="I789" s="4"/>
      <c r="J789" s="4"/>
      <c r="K789" s="22"/>
      <c r="L789" s="4"/>
      <c r="M789" s="4"/>
      <c r="N789" s="4"/>
      <c r="O789" s="4"/>
      <c r="P789" s="4"/>
      <c r="Q789" s="4"/>
      <c r="R789" s="4"/>
      <c r="S789" s="7"/>
      <c r="T789" s="7"/>
      <c r="U789" s="7"/>
      <c r="V789" s="7"/>
      <c r="W789" s="7"/>
      <c r="X789" s="7"/>
      <c r="Y789" s="7"/>
      <c r="Z789" s="7"/>
    </row>
    <row r="790" ht="15.75" customHeight="1">
      <c r="A790" s="4"/>
      <c r="B790" s="4"/>
      <c r="C790" s="4"/>
      <c r="D790" s="4"/>
      <c r="E790" s="19"/>
      <c r="F790" s="4"/>
      <c r="G790" s="4"/>
      <c r="H790" s="7"/>
      <c r="I790" s="4"/>
      <c r="J790" s="4"/>
      <c r="K790" s="22"/>
      <c r="L790" s="4"/>
      <c r="M790" s="4"/>
      <c r="N790" s="4"/>
      <c r="O790" s="4"/>
      <c r="P790" s="4"/>
      <c r="Q790" s="4"/>
      <c r="R790" s="4"/>
      <c r="S790" s="7"/>
      <c r="T790" s="7"/>
      <c r="U790" s="7"/>
      <c r="V790" s="7"/>
      <c r="W790" s="7"/>
      <c r="X790" s="7"/>
      <c r="Y790" s="7"/>
      <c r="Z790" s="7"/>
    </row>
    <row r="791" ht="15.75" customHeight="1">
      <c r="A791" s="4"/>
      <c r="B791" s="4"/>
      <c r="C791" s="4"/>
      <c r="D791" s="4"/>
      <c r="E791" s="19"/>
      <c r="F791" s="4"/>
      <c r="G791" s="4"/>
      <c r="H791" s="7"/>
      <c r="I791" s="4"/>
      <c r="J791" s="4"/>
      <c r="K791" s="22"/>
      <c r="L791" s="4"/>
      <c r="M791" s="4"/>
      <c r="N791" s="4"/>
      <c r="O791" s="4"/>
      <c r="P791" s="4"/>
      <c r="Q791" s="4"/>
      <c r="R791" s="4"/>
      <c r="S791" s="7"/>
      <c r="T791" s="7"/>
      <c r="U791" s="7"/>
      <c r="V791" s="7"/>
      <c r="W791" s="7"/>
      <c r="X791" s="7"/>
      <c r="Y791" s="7"/>
      <c r="Z791" s="7"/>
    </row>
    <row r="792" ht="15.75" customHeight="1">
      <c r="A792" s="4"/>
      <c r="B792" s="4"/>
      <c r="C792" s="4"/>
      <c r="D792" s="4"/>
      <c r="E792" s="19"/>
      <c r="F792" s="4"/>
      <c r="G792" s="4"/>
      <c r="H792" s="7"/>
      <c r="I792" s="4"/>
      <c r="J792" s="4"/>
      <c r="K792" s="22"/>
      <c r="L792" s="4"/>
      <c r="M792" s="4"/>
      <c r="N792" s="4"/>
      <c r="O792" s="4"/>
      <c r="P792" s="4"/>
      <c r="Q792" s="4"/>
      <c r="R792" s="4"/>
      <c r="S792" s="7"/>
      <c r="T792" s="7"/>
      <c r="U792" s="7"/>
      <c r="V792" s="7"/>
      <c r="W792" s="7"/>
      <c r="X792" s="7"/>
      <c r="Y792" s="7"/>
      <c r="Z792" s="7"/>
    </row>
    <row r="793" ht="15.75" customHeight="1">
      <c r="A793" s="4"/>
      <c r="B793" s="4"/>
      <c r="C793" s="4"/>
      <c r="D793" s="4"/>
      <c r="E793" s="19"/>
      <c r="F793" s="4"/>
      <c r="G793" s="4"/>
      <c r="H793" s="7"/>
      <c r="I793" s="4"/>
      <c r="J793" s="4"/>
      <c r="K793" s="22"/>
      <c r="L793" s="4"/>
      <c r="M793" s="4"/>
      <c r="N793" s="4"/>
      <c r="O793" s="4"/>
      <c r="P793" s="4"/>
      <c r="Q793" s="4"/>
      <c r="R793" s="4"/>
      <c r="S793" s="7"/>
      <c r="T793" s="7"/>
      <c r="U793" s="7"/>
      <c r="V793" s="7"/>
      <c r="W793" s="7"/>
      <c r="X793" s="7"/>
      <c r="Y793" s="7"/>
      <c r="Z793" s="7"/>
    </row>
    <row r="794" ht="15.75" customHeight="1">
      <c r="A794" s="4"/>
      <c r="B794" s="4"/>
      <c r="C794" s="4"/>
      <c r="D794" s="4"/>
      <c r="E794" s="19"/>
      <c r="F794" s="4"/>
      <c r="G794" s="4"/>
      <c r="H794" s="7"/>
      <c r="I794" s="4"/>
      <c r="J794" s="4"/>
      <c r="K794" s="22"/>
      <c r="L794" s="4"/>
      <c r="M794" s="4"/>
      <c r="N794" s="4"/>
      <c r="O794" s="4"/>
      <c r="P794" s="4"/>
      <c r="Q794" s="4"/>
      <c r="R794" s="4"/>
      <c r="S794" s="7"/>
      <c r="T794" s="7"/>
      <c r="U794" s="7"/>
      <c r="V794" s="7"/>
      <c r="W794" s="7"/>
      <c r="X794" s="7"/>
      <c r="Y794" s="7"/>
      <c r="Z794" s="7"/>
    </row>
    <row r="795" ht="15.75" customHeight="1">
      <c r="A795" s="4"/>
      <c r="B795" s="4"/>
      <c r="C795" s="4"/>
      <c r="D795" s="4"/>
      <c r="E795" s="19"/>
      <c r="F795" s="4"/>
      <c r="G795" s="4"/>
      <c r="H795" s="7"/>
      <c r="I795" s="4"/>
      <c r="J795" s="4"/>
      <c r="K795" s="22"/>
      <c r="L795" s="4"/>
      <c r="M795" s="4"/>
      <c r="N795" s="4"/>
      <c r="O795" s="4"/>
      <c r="P795" s="4"/>
      <c r="Q795" s="4"/>
      <c r="R795" s="4"/>
      <c r="S795" s="7"/>
      <c r="T795" s="7"/>
      <c r="U795" s="7"/>
      <c r="V795" s="7"/>
      <c r="W795" s="7"/>
      <c r="X795" s="7"/>
      <c r="Y795" s="7"/>
      <c r="Z795" s="7"/>
    </row>
    <row r="796" ht="15.75" customHeight="1">
      <c r="A796" s="4"/>
      <c r="B796" s="4"/>
      <c r="C796" s="4"/>
      <c r="D796" s="4"/>
      <c r="E796" s="19"/>
      <c r="F796" s="4"/>
      <c r="G796" s="4"/>
      <c r="H796" s="7"/>
      <c r="I796" s="4"/>
      <c r="J796" s="4"/>
      <c r="K796" s="22"/>
      <c r="L796" s="4"/>
      <c r="M796" s="4"/>
      <c r="N796" s="4"/>
      <c r="O796" s="4"/>
      <c r="P796" s="4"/>
      <c r="Q796" s="4"/>
      <c r="R796" s="4"/>
      <c r="S796" s="7"/>
      <c r="T796" s="7"/>
      <c r="U796" s="7"/>
      <c r="V796" s="7"/>
      <c r="W796" s="7"/>
      <c r="X796" s="7"/>
      <c r="Y796" s="7"/>
      <c r="Z796" s="7"/>
    </row>
    <row r="797" ht="15.75" customHeight="1">
      <c r="A797" s="4"/>
      <c r="B797" s="4"/>
      <c r="C797" s="4"/>
      <c r="D797" s="4"/>
      <c r="E797" s="19"/>
      <c r="F797" s="4"/>
      <c r="G797" s="4"/>
      <c r="H797" s="7"/>
      <c r="I797" s="4"/>
      <c r="J797" s="4"/>
      <c r="K797" s="22"/>
      <c r="L797" s="4"/>
      <c r="M797" s="4"/>
      <c r="N797" s="4"/>
      <c r="O797" s="4"/>
      <c r="P797" s="4"/>
      <c r="Q797" s="4"/>
      <c r="R797" s="4"/>
      <c r="S797" s="7"/>
      <c r="T797" s="7"/>
      <c r="U797" s="7"/>
      <c r="V797" s="7"/>
      <c r="W797" s="7"/>
      <c r="X797" s="7"/>
      <c r="Y797" s="7"/>
      <c r="Z797" s="7"/>
    </row>
    <row r="798" ht="15.75" customHeight="1">
      <c r="A798" s="4"/>
      <c r="B798" s="4"/>
      <c r="C798" s="4"/>
      <c r="D798" s="4"/>
      <c r="E798" s="19"/>
      <c r="F798" s="4"/>
      <c r="G798" s="4"/>
      <c r="H798" s="7"/>
      <c r="I798" s="4"/>
      <c r="J798" s="4"/>
      <c r="K798" s="22"/>
      <c r="L798" s="4"/>
      <c r="M798" s="4"/>
      <c r="N798" s="4"/>
      <c r="O798" s="4"/>
      <c r="P798" s="4"/>
      <c r="Q798" s="4"/>
      <c r="R798" s="4"/>
      <c r="S798" s="7"/>
      <c r="T798" s="7"/>
      <c r="U798" s="7"/>
      <c r="V798" s="7"/>
      <c r="W798" s="7"/>
      <c r="X798" s="7"/>
      <c r="Y798" s="7"/>
      <c r="Z798" s="7"/>
    </row>
    <row r="799" ht="15.75" customHeight="1">
      <c r="A799" s="4"/>
      <c r="B799" s="4"/>
      <c r="C799" s="4"/>
      <c r="D799" s="4"/>
      <c r="E799" s="19"/>
      <c r="F799" s="4"/>
      <c r="G799" s="4"/>
      <c r="H799" s="7"/>
      <c r="I799" s="4"/>
      <c r="J799" s="4"/>
      <c r="K799" s="22"/>
      <c r="L799" s="4"/>
      <c r="M799" s="4"/>
      <c r="N799" s="4"/>
      <c r="O799" s="4"/>
      <c r="P799" s="4"/>
      <c r="Q799" s="4"/>
      <c r="R799" s="4"/>
      <c r="S799" s="7"/>
      <c r="T799" s="7"/>
      <c r="U799" s="7"/>
      <c r="V799" s="7"/>
      <c r="W799" s="7"/>
      <c r="X799" s="7"/>
      <c r="Y799" s="7"/>
      <c r="Z799" s="7"/>
    </row>
    <row r="800" ht="15.75" customHeight="1">
      <c r="A800" s="4"/>
      <c r="B800" s="4"/>
      <c r="C800" s="4"/>
      <c r="D800" s="4"/>
      <c r="E800" s="19"/>
      <c r="F800" s="4"/>
      <c r="G800" s="4"/>
      <c r="H800" s="7"/>
      <c r="I800" s="4"/>
      <c r="J800" s="4"/>
      <c r="K800" s="22"/>
      <c r="L800" s="4"/>
      <c r="M800" s="4"/>
      <c r="N800" s="4"/>
      <c r="O800" s="4"/>
      <c r="P800" s="4"/>
      <c r="Q800" s="4"/>
      <c r="R800" s="4"/>
      <c r="S800" s="7"/>
      <c r="T800" s="7"/>
      <c r="U800" s="7"/>
      <c r="V800" s="7"/>
      <c r="W800" s="7"/>
      <c r="X800" s="7"/>
      <c r="Y800" s="7"/>
      <c r="Z800" s="7"/>
    </row>
    <row r="801" ht="15.75" customHeight="1">
      <c r="A801" s="4"/>
      <c r="B801" s="4"/>
      <c r="C801" s="4"/>
      <c r="D801" s="4"/>
      <c r="E801" s="19"/>
      <c r="F801" s="4"/>
      <c r="G801" s="4"/>
      <c r="H801" s="7"/>
      <c r="I801" s="4"/>
      <c r="J801" s="4"/>
      <c r="K801" s="22"/>
      <c r="L801" s="4"/>
      <c r="M801" s="4"/>
      <c r="N801" s="4"/>
      <c r="O801" s="4"/>
      <c r="P801" s="4"/>
      <c r="Q801" s="4"/>
      <c r="R801" s="4"/>
      <c r="S801" s="7"/>
      <c r="T801" s="7"/>
      <c r="U801" s="7"/>
      <c r="V801" s="7"/>
      <c r="W801" s="7"/>
      <c r="X801" s="7"/>
      <c r="Y801" s="7"/>
      <c r="Z801" s="7"/>
    </row>
    <row r="802" ht="15.75" customHeight="1">
      <c r="A802" s="4"/>
      <c r="B802" s="4"/>
      <c r="C802" s="4"/>
      <c r="D802" s="4"/>
      <c r="E802" s="19"/>
      <c r="F802" s="4"/>
      <c r="G802" s="4"/>
      <c r="H802" s="7"/>
      <c r="I802" s="4"/>
      <c r="J802" s="4"/>
      <c r="K802" s="22"/>
      <c r="L802" s="4"/>
      <c r="M802" s="4"/>
      <c r="N802" s="4"/>
      <c r="O802" s="4"/>
      <c r="P802" s="4"/>
      <c r="Q802" s="4"/>
      <c r="R802" s="4"/>
      <c r="S802" s="7"/>
      <c r="T802" s="7"/>
      <c r="U802" s="7"/>
      <c r="V802" s="7"/>
      <c r="W802" s="7"/>
      <c r="X802" s="7"/>
      <c r="Y802" s="7"/>
      <c r="Z802" s="7"/>
    </row>
    <row r="803" ht="15.75" customHeight="1">
      <c r="A803" s="4"/>
      <c r="B803" s="4"/>
      <c r="C803" s="4"/>
      <c r="D803" s="4"/>
      <c r="E803" s="19"/>
      <c r="F803" s="4"/>
      <c r="G803" s="4"/>
      <c r="H803" s="7"/>
      <c r="I803" s="4"/>
      <c r="J803" s="4"/>
      <c r="K803" s="22"/>
      <c r="L803" s="4"/>
      <c r="M803" s="4"/>
      <c r="N803" s="4"/>
      <c r="O803" s="4"/>
      <c r="P803" s="4"/>
      <c r="Q803" s="4"/>
      <c r="R803" s="4"/>
      <c r="S803" s="7"/>
      <c r="T803" s="7"/>
      <c r="U803" s="7"/>
      <c r="V803" s="7"/>
      <c r="W803" s="7"/>
      <c r="X803" s="7"/>
      <c r="Y803" s="7"/>
      <c r="Z803" s="7"/>
    </row>
    <row r="804" ht="15.75" customHeight="1">
      <c r="A804" s="4"/>
      <c r="B804" s="4"/>
      <c r="C804" s="4"/>
      <c r="D804" s="4"/>
      <c r="E804" s="19"/>
      <c r="F804" s="4"/>
      <c r="G804" s="4"/>
      <c r="H804" s="7"/>
      <c r="I804" s="4"/>
      <c r="J804" s="4"/>
      <c r="K804" s="22"/>
      <c r="L804" s="4"/>
      <c r="M804" s="4"/>
      <c r="N804" s="4"/>
      <c r="O804" s="4"/>
      <c r="P804" s="4"/>
      <c r="Q804" s="4"/>
      <c r="R804" s="4"/>
      <c r="S804" s="7"/>
      <c r="T804" s="7"/>
      <c r="U804" s="7"/>
      <c r="V804" s="7"/>
      <c r="W804" s="7"/>
      <c r="X804" s="7"/>
      <c r="Y804" s="7"/>
      <c r="Z804" s="7"/>
    </row>
    <row r="805" ht="15.75" customHeight="1">
      <c r="A805" s="4"/>
      <c r="B805" s="4"/>
      <c r="C805" s="4"/>
      <c r="D805" s="4"/>
      <c r="E805" s="19"/>
      <c r="F805" s="4"/>
      <c r="G805" s="4"/>
      <c r="H805" s="7"/>
      <c r="I805" s="4"/>
      <c r="J805" s="4"/>
      <c r="K805" s="22"/>
      <c r="L805" s="4"/>
      <c r="M805" s="4"/>
      <c r="N805" s="4"/>
      <c r="O805" s="4"/>
      <c r="P805" s="4"/>
      <c r="Q805" s="4"/>
      <c r="R805" s="4"/>
      <c r="S805" s="7"/>
      <c r="T805" s="7"/>
      <c r="U805" s="7"/>
      <c r="V805" s="7"/>
      <c r="W805" s="7"/>
      <c r="X805" s="7"/>
      <c r="Y805" s="7"/>
      <c r="Z805" s="7"/>
    </row>
    <row r="806" ht="15.75" customHeight="1">
      <c r="A806" s="4"/>
      <c r="B806" s="4"/>
      <c r="C806" s="4"/>
      <c r="D806" s="4"/>
      <c r="E806" s="19"/>
      <c r="F806" s="4"/>
      <c r="G806" s="4"/>
      <c r="H806" s="7"/>
      <c r="I806" s="4"/>
      <c r="J806" s="4"/>
      <c r="K806" s="22"/>
      <c r="L806" s="4"/>
      <c r="M806" s="4"/>
      <c r="N806" s="4"/>
      <c r="O806" s="4"/>
      <c r="P806" s="4"/>
      <c r="Q806" s="4"/>
      <c r="R806" s="4"/>
      <c r="S806" s="7"/>
      <c r="T806" s="7"/>
      <c r="U806" s="7"/>
      <c r="V806" s="7"/>
      <c r="W806" s="7"/>
      <c r="X806" s="7"/>
      <c r="Y806" s="7"/>
      <c r="Z806" s="7"/>
    </row>
    <row r="807" ht="15.75" customHeight="1">
      <c r="A807" s="4"/>
      <c r="B807" s="4"/>
      <c r="C807" s="4"/>
      <c r="D807" s="4"/>
      <c r="E807" s="19"/>
      <c r="F807" s="4"/>
      <c r="G807" s="4"/>
      <c r="H807" s="7"/>
      <c r="I807" s="4"/>
      <c r="J807" s="4"/>
      <c r="K807" s="22"/>
      <c r="L807" s="4"/>
      <c r="M807" s="4"/>
      <c r="N807" s="4"/>
      <c r="O807" s="4"/>
      <c r="P807" s="4"/>
      <c r="Q807" s="4"/>
      <c r="R807" s="4"/>
      <c r="S807" s="7"/>
      <c r="T807" s="7"/>
      <c r="U807" s="7"/>
      <c r="V807" s="7"/>
      <c r="W807" s="7"/>
      <c r="X807" s="7"/>
      <c r="Y807" s="7"/>
      <c r="Z807" s="7"/>
    </row>
    <row r="808" ht="15.75" customHeight="1">
      <c r="A808" s="4"/>
      <c r="B808" s="4"/>
      <c r="C808" s="4"/>
      <c r="D808" s="4"/>
      <c r="E808" s="19"/>
      <c r="F808" s="4"/>
      <c r="G808" s="4"/>
      <c r="H808" s="7"/>
      <c r="I808" s="4"/>
      <c r="J808" s="4"/>
      <c r="K808" s="22"/>
      <c r="L808" s="4"/>
      <c r="M808" s="4"/>
      <c r="N808" s="4"/>
      <c r="O808" s="4"/>
      <c r="P808" s="4"/>
      <c r="Q808" s="4"/>
      <c r="R808" s="4"/>
      <c r="S808" s="7"/>
      <c r="T808" s="7"/>
      <c r="U808" s="7"/>
      <c r="V808" s="7"/>
      <c r="W808" s="7"/>
      <c r="X808" s="7"/>
      <c r="Y808" s="7"/>
      <c r="Z808" s="7"/>
    </row>
    <row r="809" ht="15.75" customHeight="1">
      <c r="A809" s="4"/>
      <c r="B809" s="4"/>
      <c r="C809" s="4"/>
      <c r="D809" s="4"/>
      <c r="E809" s="19"/>
      <c r="F809" s="4"/>
      <c r="G809" s="4"/>
      <c r="H809" s="7"/>
      <c r="I809" s="4"/>
      <c r="J809" s="4"/>
      <c r="K809" s="22"/>
      <c r="L809" s="4"/>
      <c r="M809" s="4"/>
      <c r="N809" s="4"/>
      <c r="O809" s="4"/>
      <c r="P809" s="4"/>
      <c r="Q809" s="4"/>
      <c r="R809" s="4"/>
      <c r="S809" s="7"/>
      <c r="T809" s="7"/>
      <c r="U809" s="7"/>
      <c r="V809" s="7"/>
      <c r="W809" s="7"/>
      <c r="X809" s="7"/>
      <c r="Y809" s="7"/>
      <c r="Z809" s="7"/>
    </row>
    <row r="810" ht="15.75" customHeight="1">
      <c r="A810" s="4"/>
      <c r="B810" s="4"/>
      <c r="C810" s="4"/>
      <c r="D810" s="4"/>
      <c r="E810" s="19"/>
      <c r="F810" s="4"/>
      <c r="G810" s="4"/>
      <c r="H810" s="7"/>
      <c r="I810" s="4"/>
      <c r="J810" s="4"/>
      <c r="K810" s="22"/>
      <c r="L810" s="4"/>
      <c r="M810" s="4"/>
      <c r="N810" s="4"/>
      <c r="O810" s="4"/>
      <c r="P810" s="4"/>
      <c r="Q810" s="4"/>
      <c r="R810" s="4"/>
      <c r="S810" s="7"/>
      <c r="T810" s="7"/>
      <c r="U810" s="7"/>
      <c r="V810" s="7"/>
      <c r="W810" s="7"/>
      <c r="X810" s="7"/>
      <c r="Y810" s="7"/>
      <c r="Z810" s="7"/>
    </row>
    <row r="811" ht="15.75" customHeight="1">
      <c r="A811" s="4"/>
      <c r="B811" s="4"/>
      <c r="C811" s="4"/>
      <c r="D811" s="4"/>
      <c r="E811" s="19"/>
      <c r="F811" s="4"/>
      <c r="G811" s="4"/>
      <c r="H811" s="7"/>
      <c r="I811" s="4"/>
      <c r="J811" s="4"/>
      <c r="K811" s="22"/>
      <c r="L811" s="4"/>
      <c r="M811" s="4"/>
      <c r="N811" s="4"/>
      <c r="O811" s="4"/>
      <c r="P811" s="4"/>
      <c r="Q811" s="4"/>
      <c r="R811" s="4"/>
      <c r="S811" s="7"/>
      <c r="T811" s="7"/>
      <c r="U811" s="7"/>
      <c r="V811" s="7"/>
      <c r="W811" s="7"/>
      <c r="X811" s="7"/>
      <c r="Y811" s="7"/>
      <c r="Z811" s="7"/>
    </row>
    <row r="812" ht="15.75" customHeight="1">
      <c r="A812" s="4"/>
      <c r="B812" s="4"/>
      <c r="C812" s="4"/>
      <c r="D812" s="4"/>
      <c r="E812" s="19"/>
      <c r="F812" s="4"/>
      <c r="G812" s="4"/>
      <c r="H812" s="7"/>
      <c r="I812" s="4"/>
      <c r="J812" s="4"/>
      <c r="K812" s="22"/>
      <c r="L812" s="4"/>
      <c r="M812" s="4"/>
      <c r="N812" s="4"/>
      <c r="O812" s="4"/>
      <c r="P812" s="4"/>
      <c r="Q812" s="4"/>
      <c r="R812" s="4"/>
      <c r="S812" s="7"/>
      <c r="T812" s="7"/>
      <c r="U812" s="7"/>
      <c r="V812" s="7"/>
      <c r="W812" s="7"/>
      <c r="X812" s="7"/>
      <c r="Y812" s="7"/>
      <c r="Z812" s="7"/>
    </row>
    <row r="813" ht="15.75" customHeight="1">
      <c r="A813" s="4"/>
      <c r="B813" s="4"/>
      <c r="C813" s="4"/>
      <c r="D813" s="4"/>
      <c r="E813" s="19"/>
      <c r="F813" s="4"/>
      <c r="G813" s="4"/>
      <c r="H813" s="7"/>
      <c r="I813" s="4"/>
      <c r="J813" s="4"/>
      <c r="K813" s="22"/>
      <c r="L813" s="4"/>
      <c r="M813" s="4"/>
      <c r="N813" s="4"/>
      <c r="O813" s="4"/>
      <c r="P813" s="4"/>
      <c r="Q813" s="4"/>
      <c r="R813" s="4"/>
      <c r="S813" s="7"/>
      <c r="T813" s="7"/>
      <c r="U813" s="7"/>
      <c r="V813" s="7"/>
      <c r="W813" s="7"/>
      <c r="X813" s="7"/>
      <c r="Y813" s="7"/>
      <c r="Z813" s="7"/>
    </row>
    <row r="814" ht="15.75" customHeight="1">
      <c r="A814" s="4"/>
      <c r="B814" s="4"/>
      <c r="C814" s="4"/>
      <c r="D814" s="4"/>
      <c r="E814" s="19"/>
      <c r="F814" s="4"/>
      <c r="G814" s="4"/>
      <c r="H814" s="7"/>
      <c r="I814" s="4"/>
      <c r="J814" s="4"/>
      <c r="K814" s="22"/>
      <c r="L814" s="4"/>
      <c r="M814" s="4"/>
      <c r="N814" s="4"/>
      <c r="O814" s="4"/>
      <c r="P814" s="4"/>
      <c r="Q814" s="4"/>
      <c r="R814" s="4"/>
      <c r="S814" s="7"/>
      <c r="T814" s="7"/>
      <c r="U814" s="7"/>
      <c r="V814" s="7"/>
      <c r="W814" s="7"/>
      <c r="X814" s="7"/>
      <c r="Y814" s="7"/>
      <c r="Z814" s="7"/>
    </row>
    <row r="815" ht="15.75" customHeight="1">
      <c r="A815" s="4"/>
      <c r="B815" s="4"/>
      <c r="C815" s="4"/>
      <c r="D815" s="4"/>
      <c r="E815" s="19"/>
      <c r="F815" s="4"/>
      <c r="G815" s="4"/>
      <c r="H815" s="7"/>
      <c r="I815" s="4"/>
      <c r="J815" s="4"/>
      <c r="K815" s="22"/>
      <c r="L815" s="4"/>
      <c r="M815" s="4"/>
      <c r="N815" s="4"/>
      <c r="O815" s="4"/>
      <c r="P815" s="4"/>
      <c r="Q815" s="4"/>
      <c r="R815" s="4"/>
      <c r="S815" s="7"/>
      <c r="T815" s="7"/>
      <c r="U815" s="7"/>
      <c r="V815" s="7"/>
      <c r="W815" s="7"/>
      <c r="X815" s="7"/>
      <c r="Y815" s="7"/>
      <c r="Z815" s="7"/>
    </row>
    <row r="816" ht="15.75" customHeight="1">
      <c r="A816" s="4"/>
      <c r="B816" s="4"/>
      <c r="C816" s="4"/>
      <c r="D816" s="4"/>
      <c r="E816" s="19"/>
      <c r="F816" s="4"/>
      <c r="G816" s="4"/>
      <c r="H816" s="7"/>
      <c r="I816" s="4"/>
      <c r="J816" s="4"/>
      <c r="K816" s="22"/>
      <c r="L816" s="4"/>
      <c r="M816" s="4"/>
      <c r="N816" s="4"/>
      <c r="O816" s="4"/>
      <c r="P816" s="4"/>
      <c r="Q816" s="4"/>
      <c r="R816" s="4"/>
      <c r="S816" s="7"/>
      <c r="T816" s="7"/>
      <c r="U816" s="7"/>
      <c r="V816" s="7"/>
      <c r="W816" s="7"/>
      <c r="X816" s="7"/>
      <c r="Y816" s="7"/>
      <c r="Z816" s="7"/>
    </row>
    <row r="817" ht="15.75" customHeight="1">
      <c r="A817" s="4"/>
      <c r="B817" s="4"/>
      <c r="C817" s="4"/>
      <c r="D817" s="4"/>
      <c r="E817" s="19"/>
      <c r="F817" s="4"/>
      <c r="G817" s="4"/>
      <c r="H817" s="7"/>
      <c r="I817" s="4"/>
      <c r="J817" s="4"/>
      <c r="K817" s="22"/>
      <c r="L817" s="4"/>
      <c r="M817" s="4"/>
      <c r="N817" s="4"/>
      <c r="O817" s="4"/>
      <c r="P817" s="4"/>
      <c r="Q817" s="4"/>
      <c r="R817" s="4"/>
      <c r="S817" s="7"/>
      <c r="T817" s="7"/>
      <c r="U817" s="7"/>
      <c r="V817" s="7"/>
      <c r="W817" s="7"/>
      <c r="X817" s="7"/>
      <c r="Y817" s="7"/>
      <c r="Z817" s="7"/>
    </row>
    <row r="818" ht="15.75" customHeight="1">
      <c r="A818" s="4"/>
      <c r="B818" s="4"/>
      <c r="C818" s="4"/>
      <c r="D818" s="4"/>
      <c r="E818" s="19"/>
      <c r="F818" s="4"/>
      <c r="G818" s="4"/>
      <c r="H818" s="7"/>
      <c r="I818" s="4"/>
      <c r="J818" s="4"/>
      <c r="K818" s="22"/>
      <c r="L818" s="4"/>
      <c r="M818" s="4"/>
      <c r="N818" s="4"/>
      <c r="O818" s="4"/>
      <c r="P818" s="4"/>
      <c r="Q818" s="4"/>
      <c r="R818" s="4"/>
      <c r="S818" s="7"/>
      <c r="T818" s="7"/>
      <c r="U818" s="7"/>
      <c r="V818" s="7"/>
      <c r="W818" s="7"/>
      <c r="X818" s="7"/>
      <c r="Y818" s="7"/>
      <c r="Z818" s="7"/>
    </row>
    <row r="819" ht="15.75" customHeight="1">
      <c r="A819" s="4"/>
      <c r="B819" s="4"/>
      <c r="C819" s="4"/>
      <c r="D819" s="4"/>
      <c r="E819" s="19"/>
      <c r="F819" s="4"/>
      <c r="G819" s="4"/>
      <c r="H819" s="7"/>
      <c r="I819" s="4"/>
      <c r="J819" s="4"/>
      <c r="K819" s="22"/>
      <c r="L819" s="4"/>
      <c r="M819" s="4"/>
      <c r="N819" s="4"/>
      <c r="O819" s="4"/>
      <c r="P819" s="4"/>
      <c r="Q819" s="4"/>
      <c r="R819" s="4"/>
      <c r="S819" s="7"/>
      <c r="T819" s="7"/>
      <c r="U819" s="7"/>
      <c r="V819" s="7"/>
      <c r="W819" s="7"/>
      <c r="X819" s="7"/>
      <c r="Y819" s="7"/>
      <c r="Z819" s="7"/>
    </row>
    <row r="820" ht="15.75" customHeight="1">
      <c r="A820" s="4"/>
      <c r="B820" s="4"/>
      <c r="C820" s="4"/>
      <c r="D820" s="4"/>
      <c r="E820" s="19"/>
      <c r="F820" s="4"/>
      <c r="G820" s="4"/>
      <c r="H820" s="7"/>
      <c r="I820" s="4"/>
      <c r="J820" s="4"/>
      <c r="K820" s="22"/>
      <c r="L820" s="4"/>
      <c r="M820" s="4"/>
      <c r="N820" s="4"/>
      <c r="O820" s="4"/>
      <c r="P820" s="4"/>
      <c r="Q820" s="4"/>
      <c r="R820" s="4"/>
      <c r="S820" s="7"/>
      <c r="T820" s="7"/>
      <c r="U820" s="7"/>
      <c r="V820" s="7"/>
      <c r="W820" s="7"/>
      <c r="X820" s="7"/>
      <c r="Y820" s="7"/>
      <c r="Z820" s="7"/>
    </row>
    <row r="821" ht="15.75" customHeight="1">
      <c r="A821" s="4"/>
      <c r="B821" s="4"/>
      <c r="C821" s="4"/>
      <c r="D821" s="4"/>
      <c r="E821" s="19"/>
      <c r="F821" s="4"/>
      <c r="G821" s="4"/>
      <c r="H821" s="7"/>
      <c r="I821" s="4"/>
      <c r="J821" s="4"/>
      <c r="K821" s="22"/>
      <c r="L821" s="4"/>
      <c r="M821" s="4"/>
      <c r="N821" s="4"/>
      <c r="O821" s="4"/>
      <c r="P821" s="4"/>
      <c r="Q821" s="4"/>
      <c r="R821" s="4"/>
      <c r="S821" s="7"/>
      <c r="T821" s="7"/>
      <c r="U821" s="7"/>
      <c r="V821" s="7"/>
      <c r="W821" s="7"/>
      <c r="X821" s="7"/>
      <c r="Y821" s="7"/>
      <c r="Z821" s="7"/>
    </row>
    <row r="822" ht="15.75" customHeight="1">
      <c r="A822" s="4"/>
      <c r="B822" s="4"/>
      <c r="C822" s="4"/>
      <c r="D822" s="4"/>
      <c r="E822" s="19"/>
      <c r="F822" s="4"/>
      <c r="G822" s="4"/>
      <c r="H822" s="7"/>
      <c r="I822" s="4"/>
      <c r="J822" s="4"/>
      <c r="K822" s="22"/>
      <c r="L822" s="4"/>
      <c r="M822" s="4"/>
      <c r="N822" s="4"/>
      <c r="O822" s="4"/>
      <c r="P822" s="4"/>
      <c r="Q822" s="4"/>
      <c r="R822" s="4"/>
      <c r="S822" s="7"/>
      <c r="T822" s="7"/>
      <c r="U822" s="7"/>
      <c r="V822" s="7"/>
      <c r="W822" s="7"/>
      <c r="X822" s="7"/>
      <c r="Y822" s="7"/>
      <c r="Z822" s="7"/>
    </row>
    <row r="823" ht="15.75" customHeight="1">
      <c r="A823" s="4"/>
      <c r="B823" s="4"/>
      <c r="C823" s="4"/>
      <c r="D823" s="4"/>
      <c r="E823" s="19"/>
      <c r="F823" s="4"/>
      <c r="G823" s="4"/>
      <c r="H823" s="7"/>
      <c r="I823" s="4"/>
      <c r="J823" s="4"/>
      <c r="K823" s="22"/>
      <c r="L823" s="4"/>
      <c r="M823" s="4"/>
      <c r="N823" s="4"/>
      <c r="O823" s="4"/>
      <c r="P823" s="4"/>
      <c r="Q823" s="4"/>
      <c r="R823" s="4"/>
      <c r="S823" s="7"/>
      <c r="T823" s="7"/>
      <c r="U823" s="7"/>
      <c r="V823" s="7"/>
      <c r="W823" s="7"/>
      <c r="X823" s="7"/>
      <c r="Y823" s="7"/>
      <c r="Z823" s="7"/>
    </row>
    <row r="824" ht="15.75" customHeight="1">
      <c r="A824" s="4"/>
      <c r="B824" s="4"/>
      <c r="C824" s="4"/>
      <c r="D824" s="4"/>
      <c r="E824" s="19"/>
      <c r="F824" s="4"/>
      <c r="G824" s="4"/>
      <c r="H824" s="7"/>
      <c r="I824" s="4"/>
      <c r="J824" s="4"/>
      <c r="K824" s="22"/>
      <c r="L824" s="4"/>
      <c r="M824" s="4"/>
      <c r="N824" s="4"/>
      <c r="O824" s="4"/>
      <c r="P824" s="4"/>
      <c r="Q824" s="4"/>
      <c r="R824" s="4"/>
      <c r="S824" s="7"/>
      <c r="T824" s="7"/>
      <c r="U824" s="7"/>
      <c r="V824" s="7"/>
      <c r="W824" s="7"/>
      <c r="X824" s="7"/>
      <c r="Y824" s="7"/>
      <c r="Z824" s="7"/>
    </row>
    <row r="825" ht="15.75" customHeight="1">
      <c r="A825" s="4"/>
      <c r="B825" s="4"/>
      <c r="C825" s="4"/>
      <c r="D825" s="4"/>
      <c r="E825" s="19"/>
      <c r="F825" s="4"/>
      <c r="G825" s="4"/>
      <c r="H825" s="7"/>
      <c r="I825" s="4"/>
      <c r="J825" s="4"/>
      <c r="K825" s="22"/>
      <c r="L825" s="4"/>
      <c r="M825" s="4"/>
      <c r="N825" s="4"/>
      <c r="O825" s="4"/>
      <c r="P825" s="4"/>
      <c r="Q825" s="4"/>
      <c r="R825" s="4"/>
      <c r="S825" s="7"/>
      <c r="T825" s="7"/>
      <c r="U825" s="7"/>
      <c r="V825" s="7"/>
      <c r="W825" s="7"/>
      <c r="X825" s="7"/>
      <c r="Y825" s="7"/>
      <c r="Z825" s="7"/>
    </row>
    <row r="826" ht="15.75" customHeight="1">
      <c r="A826" s="4"/>
      <c r="B826" s="4"/>
      <c r="C826" s="4"/>
      <c r="D826" s="4"/>
      <c r="E826" s="19"/>
      <c r="F826" s="4"/>
      <c r="G826" s="4"/>
      <c r="H826" s="7"/>
      <c r="I826" s="4"/>
      <c r="J826" s="4"/>
      <c r="K826" s="22"/>
      <c r="L826" s="4"/>
      <c r="M826" s="4"/>
      <c r="N826" s="4"/>
      <c r="O826" s="4"/>
      <c r="P826" s="4"/>
      <c r="Q826" s="4"/>
      <c r="R826" s="4"/>
      <c r="S826" s="7"/>
      <c r="T826" s="7"/>
      <c r="U826" s="7"/>
      <c r="V826" s="7"/>
      <c r="W826" s="7"/>
      <c r="X826" s="7"/>
      <c r="Y826" s="7"/>
      <c r="Z826" s="7"/>
    </row>
    <row r="827" ht="15.75" customHeight="1">
      <c r="A827" s="4"/>
      <c r="B827" s="4"/>
      <c r="C827" s="4"/>
      <c r="D827" s="4"/>
      <c r="E827" s="19"/>
      <c r="F827" s="4"/>
      <c r="G827" s="4"/>
      <c r="H827" s="7"/>
      <c r="I827" s="4"/>
      <c r="J827" s="4"/>
      <c r="K827" s="22"/>
      <c r="L827" s="4"/>
      <c r="M827" s="4"/>
      <c r="N827" s="4"/>
      <c r="O827" s="4"/>
      <c r="P827" s="4"/>
      <c r="Q827" s="4"/>
      <c r="R827" s="4"/>
      <c r="S827" s="7"/>
      <c r="T827" s="7"/>
      <c r="U827" s="7"/>
      <c r="V827" s="7"/>
      <c r="W827" s="7"/>
      <c r="X827" s="7"/>
      <c r="Y827" s="7"/>
      <c r="Z827" s="7"/>
    </row>
    <row r="828" ht="15.75" customHeight="1">
      <c r="A828" s="4"/>
      <c r="B828" s="4"/>
      <c r="C828" s="4"/>
      <c r="D828" s="4"/>
      <c r="E828" s="19"/>
      <c r="F828" s="4"/>
      <c r="G828" s="4"/>
      <c r="H828" s="7"/>
      <c r="I828" s="4"/>
      <c r="J828" s="4"/>
      <c r="K828" s="22"/>
      <c r="L828" s="4"/>
      <c r="M828" s="4"/>
      <c r="N828" s="4"/>
      <c r="O828" s="4"/>
      <c r="P828" s="4"/>
      <c r="Q828" s="4"/>
      <c r="R828" s="4"/>
      <c r="S828" s="7"/>
      <c r="T828" s="7"/>
      <c r="U828" s="7"/>
      <c r="V828" s="7"/>
      <c r="W828" s="7"/>
      <c r="X828" s="7"/>
      <c r="Y828" s="7"/>
      <c r="Z828" s="7"/>
    </row>
    <row r="829" ht="15.75" customHeight="1">
      <c r="A829" s="4"/>
      <c r="B829" s="4"/>
      <c r="C829" s="4"/>
      <c r="D829" s="4"/>
      <c r="E829" s="19"/>
      <c r="F829" s="4"/>
      <c r="G829" s="4"/>
      <c r="H829" s="7"/>
      <c r="I829" s="4"/>
      <c r="J829" s="4"/>
      <c r="K829" s="22"/>
      <c r="L829" s="4"/>
      <c r="M829" s="4"/>
      <c r="N829" s="4"/>
      <c r="O829" s="4"/>
      <c r="P829" s="4"/>
      <c r="Q829" s="4"/>
      <c r="R829" s="4"/>
      <c r="S829" s="7"/>
      <c r="T829" s="7"/>
      <c r="U829" s="7"/>
      <c r="V829" s="7"/>
      <c r="W829" s="7"/>
      <c r="X829" s="7"/>
      <c r="Y829" s="7"/>
      <c r="Z829" s="7"/>
    </row>
    <row r="830" ht="15.75" customHeight="1">
      <c r="A830" s="4"/>
      <c r="B830" s="4"/>
      <c r="C830" s="4"/>
      <c r="D830" s="4"/>
      <c r="E830" s="19"/>
      <c r="F830" s="4"/>
      <c r="G830" s="4"/>
      <c r="H830" s="7"/>
      <c r="I830" s="4"/>
      <c r="J830" s="4"/>
      <c r="K830" s="22"/>
      <c r="L830" s="4"/>
      <c r="M830" s="4"/>
      <c r="N830" s="4"/>
      <c r="O830" s="4"/>
      <c r="P830" s="4"/>
      <c r="Q830" s="4"/>
      <c r="R830" s="4"/>
      <c r="S830" s="7"/>
      <c r="T830" s="7"/>
      <c r="U830" s="7"/>
      <c r="V830" s="7"/>
      <c r="W830" s="7"/>
      <c r="X830" s="7"/>
      <c r="Y830" s="7"/>
      <c r="Z830" s="7"/>
    </row>
    <row r="831" ht="15.75" customHeight="1">
      <c r="A831" s="4"/>
      <c r="B831" s="4"/>
      <c r="C831" s="4"/>
      <c r="D831" s="4"/>
      <c r="E831" s="19"/>
      <c r="F831" s="4"/>
      <c r="G831" s="4"/>
      <c r="H831" s="7"/>
      <c r="I831" s="4"/>
      <c r="J831" s="4"/>
      <c r="K831" s="22"/>
      <c r="L831" s="4"/>
      <c r="M831" s="4"/>
      <c r="N831" s="4"/>
      <c r="O831" s="4"/>
      <c r="P831" s="4"/>
      <c r="Q831" s="4"/>
      <c r="R831" s="4"/>
      <c r="S831" s="7"/>
      <c r="T831" s="7"/>
      <c r="U831" s="7"/>
      <c r="V831" s="7"/>
      <c r="W831" s="7"/>
      <c r="X831" s="7"/>
      <c r="Y831" s="7"/>
      <c r="Z831" s="7"/>
    </row>
    <row r="832" ht="15.75" customHeight="1">
      <c r="A832" s="4"/>
      <c r="B832" s="4"/>
      <c r="C832" s="4"/>
      <c r="D832" s="4"/>
      <c r="E832" s="19"/>
      <c r="F832" s="4"/>
      <c r="G832" s="4"/>
      <c r="H832" s="7"/>
      <c r="I832" s="4"/>
      <c r="J832" s="4"/>
      <c r="K832" s="22"/>
      <c r="L832" s="4"/>
      <c r="M832" s="4"/>
      <c r="N832" s="4"/>
      <c r="O832" s="4"/>
      <c r="P832" s="4"/>
      <c r="Q832" s="4"/>
      <c r="R832" s="4"/>
      <c r="S832" s="7"/>
      <c r="T832" s="7"/>
      <c r="U832" s="7"/>
      <c r="V832" s="7"/>
      <c r="W832" s="7"/>
      <c r="X832" s="7"/>
      <c r="Y832" s="7"/>
      <c r="Z832" s="7"/>
    </row>
    <row r="833" ht="15.75" customHeight="1">
      <c r="A833" s="4"/>
      <c r="B833" s="4"/>
      <c r="C833" s="4"/>
      <c r="D833" s="4"/>
      <c r="E833" s="19"/>
      <c r="F833" s="4"/>
      <c r="G833" s="4"/>
      <c r="H833" s="7"/>
      <c r="I833" s="4"/>
      <c r="J833" s="4"/>
      <c r="K833" s="22"/>
      <c r="L833" s="4"/>
      <c r="M833" s="4"/>
      <c r="N833" s="4"/>
      <c r="O833" s="4"/>
      <c r="P833" s="4"/>
      <c r="Q833" s="4"/>
      <c r="R833" s="4"/>
      <c r="S833" s="7"/>
      <c r="T833" s="7"/>
      <c r="U833" s="7"/>
      <c r="V833" s="7"/>
      <c r="W833" s="7"/>
      <c r="X833" s="7"/>
      <c r="Y833" s="7"/>
      <c r="Z833" s="7"/>
    </row>
    <row r="834" ht="15.75" customHeight="1">
      <c r="A834" s="4"/>
      <c r="B834" s="4"/>
      <c r="C834" s="4"/>
      <c r="D834" s="4"/>
      <c r="E834" s="19"/>
      <c r="F834" s="4"/>
      <c r="G834" s="4"/>
      <c r="H834" s="7"/>
      <c r="I834" s="4"/>
      <c r="J834" s="4"/>
      <c r="K834" s="22"/>
      <c r="L834" s="4"/>
      <c r="M834" s="4"/>
      <c r="N834" s="4"/>
      <c r="O834" s="4"/>
      <c r="P834" s="4"/>
      <c r="Q834" s="4"/>
      <c r="R834" s="4"/>
      <c r="S834" s="7"/>
      <c r="T834" s="7"/>
      <c r="U834" s="7"/>
      <c r="V834" s="7"/>
      <c r="W834" s="7"/>
      <c r="X834" s="7"/>
      <c r="Y834" s="7"/>
      <c r="Z834" s="7"/>
    </row>
    <row r="835" ht="15.75" customHeight="1">
      <c r="A835" s="4"/>
      <c r="B835" s="4"/>
      <c r="C835" s="4"/>
      <c r="D835" s="4"/>
      <c r="E835" s="19"/>
      <c r="F835" s="4"/>
      <c r="G835" s="4"/>
      <c r="H835" s="7"/>
      <c r="I835" s="4"/>
      <c r="J835" s="4"/>
      <c r="K835" s="22"/>
      <c r="L835" s="4"/>
      <c r="M835" s="4"/>
      <c r="N835" s="4"/>
      <c r="O835" s="4"/>
      <c r="P835" s="4"/>
      <c r="Q835" s="4"/>
      <c r="R835" s="4"/>
      <c r="S835" s="7"/>
      <c r="T835" s="7"/>
      <c r="U835" s="7"/>
      <c r="V835" s="7"/>
      <c r="W835" s="7"/>
      <c r="X835" s="7"/>
      <c r="Y835" s="7"/>
      <c r="Z835" s="7"/>
    </row>
    <row r="836" ht="15.75" customHeight="1">
      <c r="A836" s="4"/>
      <c r="B836" s="4"/>
      <c r="C836" s="4"/>
      <c r="D836" s="4"/>
      <c r="E836" s="19"/>
      <c r="F836" s="4"/>
      <c r="G836" s="4"/>
      <c r="H836" s="7"/>
      <c r="I836" s="4"/>
      <c r="J836" s="4"/>
      <c r="K836" s="22"/>
      <c r="L836" s="4"/>
      <c r="M836" s="4"/>
      <c r="N836" s="4"/>
      <c r="O836" s="4"/>
      <c r="P836" s="4"/>
      <c r="Q836" s="4"/>
      <c r="R836" s="4"/>
      <c r="S836" s="7"/>
      <c r="T836" s="7"/>
      <c r="U836" s="7"/>
      <c r="V836" s="7"/>
      <c r="W836" s="7"/>
      <c r="X836" s="7"/>
      <c r="Y836" s="7"/>
      <c r="Z836" s="7"/>
    </row>
    <row r="837" ht="15.75" customHeight="1">
      <c r="A837" s="4"/>
      <c r="B837" s="4"/>
      <c r="C837" s="4"/>
      <c r="D837" s="4"/>
      <c r="E837" s="19"/>
      <c r="F837" s="4"/>
      <c r="G837" s="4"/>
      <c r="H837" s="7"/>
      <c r="I837" s="4"/>
      <c r="J837" s="4"/>
      <c r="K837" s="22"/>
      <c r="L837" s="4"/>
      <c r="M837" s="4"/>
      <c r="N837" s="4"/>
      <c r="O837" s="4"/>
      <c r="P837" s="4"/>
      <c r="Q837" s="4"/>
      <c r="R837" s="4"/>
      <c r="S837" s="7"/>
      <c r="T837" s="7"/>
      <c r="U837" s="7"/>
      <c r="V837" s="7"/>
      <c r="W837" s="7"/>
      <c r="X837" s="7"/>
      <c r="Y837" s="7"/>
      <c r="Z837" s="7"/>
    </row>
    <row r="838" ht="15.75" customHeight="1">
      <c r="A838" s="4"/>
      <c r="B838" s="4"/>
      <c r="C838" s="4"/>
      <c r="D838" s="4"/>
      <c r="E838" s="19"/>
      <c r="F838" s="4"/>
      <c r="G838" s="4"/>
      <c r="H838" s="7"/>
      <c r="I838" s="4"/>
      <c r="J838" s="4"/>
      <c r="K838" s="22"/>
      <c r="L838" s="4"/>
      <c r="M838" s="4"/>
      <c r="N838" s="4"/>
      <c r="O838" s="4"/>
      <c r="P838" s="4"/>
      <c r="Q838" s="4"/>
      <c r="R838" s="4"/>
      <c r="S838" s="7"/>
      <c r="T838" s="7"/>
      <c r="U838" s="7"/>
      <c r="V838" s="7"/>
      <c r="W838" s="7"/>
      <c r="X838" s="7"/>
      <c r="Y838" s="7"/>
      <c r="Z838" s="7"/>
    </row>
    <row r="839" ht="15.75" customHeight="1">
      <c r="A839" s="4"/>
      <c r="B839" s="4"/>
      <c r="C839" s="4"/>
      <c r="D839" s="4"/>
      <c r="E839" s="19"/>
      <c r="F839" s="4"/>
      <c r="G839" s="4"/>
      <c r="H839" s="7"/>
      <c r="I839" s="4"/>
      <c r="J839" s="4"/>
      <c r="K839" s="22"/>
      <c r="L839" s="4"/>
      <c r="M839" s="4"/>
      <c r="N839" s="4"/>
      <c r="O839" s="4"/>
      <c r="P839" s="4"/>
      <c r="Q839" s="4"/>
      <c r="R839" s="4"/>
      <c r="S839" s="7"/>
      <c r="T839" s="7"/>
      <c r="U839" s="7"/>
      <c r="V839" s="7"/>
      <c r="W839" s="7"/>
      <c r="X839" s="7"/>
      <c r="Y839" s="7"/>
      <c r="Z839" s="7"/>
    </row>
    <row r="840" ht="15.75" customHeight="1">
      <c r="A840" s="4"/>
      <c r="B840" s="4"/>
      <c r="C840" s="4"/>
      <c r="D840" s="4"/>
      <c r="E840" s="19"/>
      <c r="F840" s="4"/>
      <c r="G840" s="4"/>
      <c r="H840" s="7"/>
      <c r="I840" s="4"/>
      <c r="J840" s="4"/>
      <c r="K840" s="22"/>
      <c r="L840" s="4"/>
      <c r="M840" s="4"/>
      <c r="N840" s="4"/>
      <c r="O840" s="4"/>
      <c r="P840" s="4"/>
      <c r="Q840" s="4"/>
      <c r="R840" s="4"/>
      <c r="S840" s="7"/>
      <c r="T840" s="7"/>
      <c r="U840" s="7"/>
      <c r="V840" s="7"/>
      <c r="W840" s="7"/>
      <c r="X840" s="7"/>
      <c r="Y840" s="7"/>
      <c r="Z840" s="7"/>
    </row>
    <row r="841" ht="15.75" customHeight="1">
      <c r="A841" s="4"/>
      <c r="B841" s="4"/>
      <c r="C841" s="4"/>
      <c r="D841" s="4"/>
      <c r="E841" s="19"/>
      <c r="F841" s="4"/>
      <c r="G841" s="4"/>
      <c r="H841" s="7"/>
      <c r="I841" s="4"/>
      <c r="J841" s="4"/>
      <c r="K841" s="22"/>
      <c r="L841" s="4"/>
      <c r="M841" s="4"/>
      <c r="N841" s="4"/>
      <c r="O841" s="4"/>
      <c r="P841" s="4"/>
      <c r="Q841" s="4"/>
      <c r="R841" s="4"/>
      <c r="S841" s="7"/>
      <c r="T841" s="7"/>
      <c r="U841" s="7"/>
      <c r="V841" s="7"/>
      <c r="W841" s="7"/>
      <c r="X841" s="7"/>
      <c r="Y841" s="7"/>
      <c r="Z841" s="7"/>
    </row>
    <row r="842" ht="15.75" customHeight="1">
      <c r="A842" s="4"/>
      <c r="B842" s="4"/>
      <c r="C842" s="4"/>
      <c r="D842" s="4"/>
      <c r="E842" s="19"/>
      <c r="F842" s="4"/>
      <c r="G842" s="4"/>
      <c r="H842" s="7"/>
      <c r="I842" s="4"/>
      <c r="J842" s="4"/>
      <c r="K842" s="22"/>
      <c r="L842" s="4"/>
      <c r="M842" s="4"/>
      <c r="N842" s="4"/>
      <c r="O842" s="4"/>
      <c r="P842" s="4"/>
      <c r="Q842" s="4"/>
      <c r="R842" s="4"/>
      <c r="S842" s="7"/>
      <c r="T842" s="7"/>
      <c r="U842" s="7"/>
      <c r="V842" s="7"/>
      <c r="W842" s="7"/>
      <c r="X842" s="7"/>
      <c r="Y842" s="7"/>
      <c r="Z842" s="7"/>
    </row>
    <row r="843" ht="15.75" customHeight="1">
      <c r="A843" s="4"/>
      <c r="B843" s="4"/>
      <c r="C843" s="4"/>
      <c r="D843" s="4"/>
      <c r="E843" s="19"/>
      <c r="F843" s="4"/>
      <c r="G843" s="4"/>
      <c r="H843" s="7"/>
      <c r="I843" s="4"/>
      <c r="J843" s="4"/>
      <c r="K843" s="22"/>
      <c r="L843" s="4"/>
      <c r="M843" s="4"/>
      <c r="N843" s="4"/>
      <c r="O843" s="4"/>
      <c r="P843" s="4"/>
      <c r="Q843" s="4"/>
      <c r="R843" s="4"/>
      <c r="S843" s="7"/>
      <c r="T843" s="7"/>
      <c r="U843" s="7"/>
      <c r="V843" s="7"/>
      <c r="W843" s="7"/>
      <c r="X843" s="7"/>
      <c r="Y843" s="7"/>
      <c r="Z843" s="7"/>
    </row>
    <row r="844" ht="15.75" customHeight="1">
      <c r="A844" s="4"/>
      <c r="B844" s="4"/>
      <c r="C844" s="4"/>
      <c r="D844" s="4"/>
      <c r="E844" s="19"/>
      <c r="F844" s="4"/>
      <c r="G844" s="4"/>
      <c r="H844" s="7"/>
      <c r="I844" s="4"/>
      <c r="J844" s="4"/>
      <c r="K844" s="22"/>
      <c r="L844" s="4"/>
      <c r="M844" s="4"/>
      <c r="N844" s="4"/>
      <c r="O844" s="4"/>
      <c r="P844" s="4"/>
      <c r="Q844" s="4"/>
      <c r="R844" s="4"/>
      <c r="S844" s="7"/>
      <c r="T844" s="7"/>
      <c r="U844" s="7"/>
      <c r="V844" s="7"/>
      <c r="W844" s="7"/>
      <c r="X844" s="7"/>
      <c r="Y844" s="7"/>
      <c r="Z844" s="7"/>
    </row>
    <row r="845" ht="15.75" customHeight="1">
      <c r="A845" s="4"/>
      <c r="B845" s="4"/>
      <c r="C845" s="4"/>
      <c r="D845" s="4"/>
      <c r="E845" s="19"/>
      <c r="F845" s="4"/>
      <c r="G845" s="4"/>
      <c r="H845" s="7"/>
      <c r="I845" s="4"/>
      <c r="J845" s="4"/>
      <c r="K845" s="22"/>
      <c r="L845" s="4"/>
      <c r="M845" s="4"/>
      <c r="N845" s="4"/>
      <c r="O845" s="4"/>
      <c r="P845" s="4"/>
      <c r="Q845" s="4"/>
      <c r="R845" s="4"/>
      <c r="S845" s="7"/>
      <c r="T845" s="7"/>
      <c r="U845" s="7"/>
      <c r="V845" s="7"/>
      <c r="W845" s="7"/>
      <c r="X845" s="7"/>
      <c r="Y845" s="7"/>
      <c r="Z845" s="7"/>
    </row>
    <row r="846" ht="15.75" customHeight="1">
      <c r="A846" s="4"/>
      <c r="B846" s="4"/>
      <c r="C846" s="4"/>
      <c r="D846" s="4"/>
      <c r="E846" s="19"/>
      <c r="F846" s="4"/>
      <c r="G846" s="4"/>
      <c r="H846" s="7"/>
      <c r="I846" s="4"/>
      <c r="J846" s="4"/>
      <c r="K846" s="22"/>
      <c r="L846" s="4"/>
      <c r="M846" s="4"/>
      <c r="N846" s="4"/>
      <c r="O846" s="4"/>
      <c r="P846" s="4"/>
      <c r="Q846" s="4"/>
      <c r="R846" s="4"/>
      <c r="S846" s="7"/>
      <c r="T846" s="7"/>
      <c r="U846" s="7"/>
      <c r="V846" s="7"/>
      <c r="W846" s="7"/>
      <c r="X846" s="7"/>
      <c r="Y846" s="7"/>
      <c r="Z846" s="7"/>
    </row>
    <row r="847" ht="15.75" customHeight="1">
      <c r="A847" s="4"/>
      <c r="B847" s="4"/>
      <c r="C847" s="4"/>
      <c r="D847" s="4"/>
      <c r="E847" s="19"/>
      <c r="F847" s="4"/>
      <c r="G847" s="4"/>
      <c r="H847" s="7"/>
      <c r="I847" s="4"/>
      <c r="J847" s="4"/>
      <c r="K847" s="22"/>
      <c r="L847" s="4"/>
      <c r="M847" s="4"/>
      <c r="N847" s="4"/>
      <c r="O847" s="4"/>
      <c r="P847" s="4"/>
      <c r="Q847" s="4"/>
      <c r="R847" s="4"/>
      <c r="S847" s="7"/>
      <c r="T847" s="7"/>
      <c r="U847" s="7"/>
      <c r="V847" s="7"/>
      <c r="W847" s="7"/>
      <c r="X847" s="7"/>
      <c r="Y847" s="7"/>
      <c r="Z847" s="7"/>
    </row>
    <row r="848" ht="15.75" customHeight="1">
      <c r="A848" s="4"/>
      <c r="B848" s="4"/>
      <c r="C848" s="4"/>
      <c r="D848" s="4"/>
      <c r="E848" s="19"/>
      <c r="F848" s="4"/>
      <c r="G848" s="4"/>
      <c r="H848" s="7"/>
      <c r="I848" s="4"/>
      <c r="J848" s="4"/>
      <c r="K848" s="22"/>
      <c r="L848" s="4"/>
      <c r="M848" s="4"/>
      <c r="N848" s="4"/>
      <c r="O848" s="4"/>
      <c r="P848" s="4"/>
      <c r="Q848" s="4"/>
      <c r="R848" s="4"/>
      <c r="S848" s="7"/>
      <c r="T848" s="7"/>
      <c r="U848" s="7"/>
      <c r="V848" s="7"/>
      <c r="W848" s="7"/>
      <c r="X848" s="7"/>
      <c r="Y848" s="7"/>
      <c r="Z848" s="7"/>
    </row>
    <row r="849" ht="15.75" customHeight="1">
      <c r="A849" s="4"/>
      <c r="B849" s="4"/>
      <c r="C849" s="4"/>
      <c r="D849" s="4"/>
      <c r="E849" s="19"/>
      <c r="F849" s="4"/>
      <c r="G849" s="4"/>
      <c r="H849" s="7"/>
      <c r="I849" s="4"/>
      <c r="J849" s="4"/>
      <c r="K849" s="22"/>
      <c r="L849" s="4"/>
      <c r="M849" s="4"/>
      <c r="N849" s="4"/>
      <c r="O849" s="4"/>
      <c r="P849" s="4"/>
      <c r="Q849" s="4"/>
      <c r="R849" s="4"/>
      <c r="S849" s="7"/>
      <c r="T849" s="7"/>
      <c r="U849" s="7"/>
      <c r="V849" s="7"/>
      <c r="W849" s="7"/>
      <c r="X849" s="7"/>
      <c r="Y849" s="7"/>
      <c r="Z849" s="7"/>
    </row>
    <row r="850" ht="15.75" customHeight="1">
      <c r="A850" s="4"/>
      <c r="B850" s="4"/>
      <c r="C850" s="4"/>
      <c r="D850" s="4"/>
      <c r="E850" s="19"/>
      <c r="F850" s="4"/>
      <c r="G850" s="4"/>
      <c r="H850" s="7"/>
      <c r="I850" s="4"/>
      <c r="J850" s="4"/>
      <c r="K850" s="22"/>
      <c r="L850" s="4"/>
      <c r="M850" s="4"/>
      <c r="N850" s="4"/>
      <c r="O850" s="4"/>
      <c r="P850" s="4"/>
      <c r="Q850" s="4"/>
      <c r="R850" s="4"/>
      <c r="S850" s="7"/>
      <c r="T850" s="7"/>
      <c r="U850" s="7"/>
      <c r="V850" s="7"/>
      <c r="W850" s="7"/>
      <c r="X850" s="7"/>
      <c r="Y850" s="7"/>
      <c r="Z850" s="7"/>
    </row>
    <row r="851" ht="15.75" customHeight="1">
      <c r="A851" s="4"/>
      <c r="B851" s="4"/>
      <c r="C851" s="4"/>
      <c r="D851" s="4"/>
      <c r="E851" s="19"/>
      <c r="F851" s="4"/>
      <c r="G851" s="4"/>
      <c r="H851" s="7"/>
      <c r="I851" s="4"/>
      <c r="J851" s="4"/>
      <c r="K851" s="22"/>
      <c r="L851" s="4"/>
      <c r="M851" s="4"/>
      <c r="N851" s="4"/>
      <c r="O851" s="4"/>
      <c r="P851" s="4"/>
      <c r="Q851" s="4"/>
      <c r="R851" s="4"/>
      <c r="S851" s="7"/>
      <c r="T851" s="7"/>
      <c r="U851" s="7"/>
      <c r="V851" s="7"/>
      <c r="W851" s="7"/>
      <c r="X851" s="7"/>
      <c r="Y851" s="7"/>
      <c r="Z851" s="7"/>
    </row>
    <row r="852" ht="15.75" customHeight="1">
      <c r="A852" s="4"/>
      <c r="B852" s="4"/>
      <c r="C852" s="4"/>
      <c r="D852" s="4"/>
      <c r="E852" s="19"/>
      <c r="F852" s="4"/>
      <c r="G852" s="4"/>
      <c r="H852" s="7"/>
      <c r="I852" s="4"/>
      <c r="J852" s="4"/>
      <c r="K852" s="22"/>
      <c r="L852" s="4"/>
      <c r="M852" s="4"/>
      <c r="N852" s="4"/>
      <c r="O852" s="4"/>
      <c r="P852" s="4"/>
      <c r="Q852" s="4"/>
      <c r="R852" s="4"/>
      <c r="S852" s="7"/>
      <c r="T852" s="7"/>
      <c r="U852" s="7"/>
      <c r="V852" s="7"/>
      <c r="W852" s="7"/>
      <c r="X852" s="7"/>
      <c r="Y852" s="7"/>
      <c r="Z852" s="7"/>
    </row>
    <row r="853" ht="15.75" customHeight="1">
      <c r="A853" s="4"/>
      <c r="B853" s="4"/>
      <c r="C853" s="4"/>
      <c r="D853" s="4"/>
      <c r="E853" s="19"/>
      <c r="F853" s="4"/>
      <c r="G853" s="4"/>
      <c r="H853" s="7"/>
      <c r="I853" s="4"/>
      <c r="J853" s="4"/>
      <c r="K853" s="22"/>
      <c r="L853" s="4"/>
      <c r="M853" s="4"/>
      <c r="N853" s="4"/>
      <c r="O853" s="4"/>
      <c r="P853" s="4"/>
      <c r="Q853" s="4"/>
      <c r="R853" s="4"/>
      <c r="S853" s="7"/>
      <c r="T853" s="7"/>
      <c r="U853" s="7"/>
      <c r="V853" s="7"/>
      <c r="W853" s="7"/>
      <c r="X853" s="7"/>
      <c r="Y853" s="7"/>
      <c r="Z853" s="7"/>
    </row>
    <row r="854" ht="15.75" customHeight="1">
      <c r="A854" s="4"/>
      <c r="B854" s="4"/>
      <c r="C854" s="4"/>
      <c r="D854" s="4"/>
      <c r="E854" s="19"/>
      <c r="F854" s="4"/>
      <c r="G854" s="4"/>
      <c r="H854" s="7"/>
      <c r="I854" s="4"/>
      <c r="J854" s="4"/>
      <c r="K854" s="22"/>
      <c r="L854" s="4"/>
      <c r="M854" s="4"/>
      <c r="N854" s="4"/>
      <c r="O854" s="4"/>
      <c r="P854" s="4"/>
      <c r="Q854" s="4"/>
      <c r="R854" s="4"/>
      <c r="S854" s="7"/>
      <c r="T854" s="7"/>
      <c r="U854" s="7"/>
      <c r="V854" s="7"/>
      <c r="W854" s="7"/>
      <c r="X854" s="7"/>
      <c r="Y854" s="7"/>
      <c r="Z854" s="7"/>
    </row>
    <row r="855" ht="15.75" customHeight="1">
      <c r="A855" s="4"/>
      <c r="B855" s="4"/>
      <c r="C855" s="4"/>
      <c r="D855" s="4"/>
      <c r="E855" s="19"/>
      <c r="F855" s="4"/>
      <c r="G855" s="4"/>
      <c r="H855" s="7"/>
      <c r="I855" s="4"/>
      <c r="J855" s="4"/>
      <c r="K855" s="22"/>
      <c r="L855" s="4"/>
      <c r="M855" s="4"/>
      <c r="N855" s="4"/>
      <c r="O855" s="4"/>
      <c r="P855" s="4"/>
      <c r="Q855" s="4"/>
      <c r="R855" s="4"/>
      <c r="S855" s="7"/>
      <c r="T855" s="7"/>
      <c r="U855" s="7"/>
      <c r="V855" s="7"/>
      <c r="W855" s="7"/>
      <c r="X855" s="7"/>
      <c r="Y855" s="7"/>
      <c r="Z855" s="7"/>
    </row>
    <row r="856" ht="15.75" customHeight="1">
      <c r="A856" s="4"/>
      <c r="B856" s="4"/>
      <c r="C856" s="4"/>
      <c r="D856" s="4"/>
      <c r="E856" s="19"/>
      <c r="F856" s="4"/>
      <c r="G856" s="4"/>
      <c r="H856" s="7"/>
      <c r="I856" s="4"/>
      <c r="J856" s="4"/>
      <c r="K856" s="22"/>
      <c r="L856" s="4"/>
      <c r="M856" s="4"/>
      <c r="N856" s="4"/>
      <c r="O856" s="4"/>
      <c r="P856" s="4"/>
      <c r="Q856" s="4"/>
      <c r="R856" s="4"/>
      <c r="S856" s="7"/>
      <c r="T856" s="7"/>
      <c r="U856" s="7"/>
      <c r="V856" s="7"/>
      <c r="W856" s="7"/>
      <c r="X856" s="7"/>
      <c r="Y856" s="7"/>
      <c r="Z856" s="7"/>
    </row>
    <row r="857" ht="15.75" customHeight="1">
      <c r="A857" s="4"/>
      <c r="B857" s="4"/>
      <c r="C857" s="4"/>
      <c r="D857" s="4"/>
      <c r="E857" s="19"/>
      <c r="F857" s="4"/>
      <c r="G857" s="4"/>
      <c r="H857" s="7"/>
      <c r="I857" s="4"/>
      <c r="J857" s="4"/>
      <c r="K857" s="22"/>
      <c r="L857" s="4"/>
      <c r="M857" s="4"/>
      <c r="N857" s="4"/>
      <c r="O857" s="4"/>
      <c r="P857" s="4"/>
      <c r="Q857" s="4"/>
      <c r="R857" s="4"/>
      <c r="S857" s="7"/>
      <c r="T857" s="7"/>
      <c r="U857" s="7"/>
      <c r="V857" s="7"/>
      <c r="W857" s="7"/>
      <c r="X857" s="7"/>
      <c r="Y857" s="7"/>
      <c r="Z857" s="7"/>
    </row>
    <row r="858" ht="15.75" customHeight="1">
      <c r="A858" s="4"/>
      <c r="B858" s="4"/>
      <c r="C858" s="4"/>
      <c r="D858" s="4"/>
      <c r="E858" s="19"/>
      <c r="F858" s="4"/>
      <c r="G858" s="4"/>
      <c r="H858" s="7"/>
      <c r="I858" s="4"/>
      <c r="J858" s="4"/>
      <c r="K858" s="22"/>
      <c r="L858" s="4"/>
      <c r="M858" s="4"/>
      <c r="N858" s="4"/>
      <c r="O858" s="4"/>
      <c r="P858" s="4"/>
      <c r="Q858" s="4"/>
      <c r="R858" s="4"/>
      <c r="S858" s="7"/>
      <c r="T858" s="7"/>
      <c r="U858" s="7"/>
      <c r="V858" s="7"/>
      <c r="W858" s="7"/>
      <c r="X858" s="7"/>
      <c r="Y858" s="7"/>
      <c r="Z858" s="7"/>
    </row>
    <row r="859" ht="15.75" customHeight="1">
      <c r="A859" s="4"/>
      <c r="B859" s="4"/>
      <c r="C859" s="4"/>
      <c r="D859" s="4"/>
      <c r="E859" s="19"/>
      <c r="F859" s="4"/>
      <c r="G859" s="4"/>
      <c r="H859" s="7"/>
      <c r="I859" s="4"/>
      <c r="J859" s="4"/>
      <c r="K859" s="22"/>
      <c r="L859" s="4"/>
      <c r="M859" s="4"/>
      <c r="N859" s="4"/>
      <c r="O859" s="4"/>
      <c r="P859" s="4"/>
      <c r="Q859" s="4"/>
      <c r="R859" s="4"/>
      <c r="S859" s="7"/>
      <c r="T859" s="7"/>
      <c r="U859" s="7"/>
      <c r="V859" s="7"/>
      <c r="W859" s="7"/>
      <c r="X859" s="7"/>
      <c r="Y859" s="7"/>
      <c r="Z859" s="7"/>
    </row>
    <row r="860" ht="15.75" customHeight="1">
      <c r="A860" s="4"/>
      <c r="B860" s="4"/>
      <c r="C860" s="4"/>
      <c r="D860" s="4"/>
      <c r="E860" s="19"/>
      <c r="F860" s="4"/>
      <c r="G860" s="4"/>
      <c r="H860" s="7"/>
      <c r="I860" s="4"/>
      <c r="J860" s="4"/>
      <c r="K860" s="22"/>
      <c r="L860" s="4"/>
      <c r="M860" s="4"/>
      <c r="N860" s="4"/>
      <c r="O860" s="4"/>
      <c r="P860" s="4"/>
      <c r="Q860" s="4"/>
      <c r="R860" s="4"/>
      <c r="S860" s="7"/>
      <c r="T860" s="7"/>
      <c r="U860" s="7"/>
      <c r="V860" s="7"/>
      <c r="W860" s="7"/>
      <c r="X860" s="7"/>
      <c r="Y860" s="7"/>
      <c r="Z860" s="7"/>
    </row>
    <row r="861" ht="15.75" customHeight="1">
      <c r="A861" s="4"/>
      <c r="B861" s="4"/>
      <c r="C861" s="4"/>
      <c r="D861" s="4"/>
      <c r="E861" s="19"/>
      <c r="F861" s="4"/>
      <c r="G861" s="4"/>
      <c r="H861" s="7"/>
      <c r="I861" s="4"/>
      <c r="J861" s="4"/>
      <c r="K861" s="22"/>
      <c r="L861" s="4"/>
      <c r="M861" s="4"/>
      <c r="N861" s="4"/>
      <c r="O861" s="4"/>
      <c r="P861" s="4"/>
      <c r="Q861" s="4"/>
      <c r="R861" s="4"/>
      <c r="S861" s="7"/>
      <c r="T861" s="7"/>
      <c r="U861" s="7"/>
      <c r="V861" s="7"/>
      <c r="W861" s="7"/>
      <c r="X861" s="7"/>
      <c r="Y861" s="7"/>
      <c r="Z861" s="7"/>
    </row>
    <row r="862" ht="15.75" customHeight="1">
      <c r="A862" s="4"/>
      <c r="B862" s="4"/>
      <c r="C862" s="4"/>
      <c r="D862" s="4"/>
      <c r="E862" s="19"/>
      <c r="F862" s="4"/>
      <c r="G862" s="4"/>
      <c r="H862" s="7"/>
      <c r="I862" s="4"/>
      <c r="J862" s="4"/>
      <c r="K862" s="22"/>
      <c r="L862" s="4"/>
      <c r="M862" s="4"/>
      <c r="N862" s="4"/>
      <c r="O862" s="4"/>
      <c r="P862" s="4"/>
      <c r="Q862" s="4"/>
      <c r="R862" s="4"/>
      <c r="S862" s="7"/>
      <c r="T862" s="7"/>
      <c r="U862" s="7"/>
      <c r="V862" s="7"/>
      <c r="W862" s="7"/>
      <c r="X862" s="7"/>
      <c r="Y862" s="7"/>
      <c r="Z862" s="7"/>
    </row>
    <row r="863" ht="15.75" customHeight="1">
      <c r="A863" s="4"/>
      <c r="B863" s="4"/>
      <c r="C863" s="4"/>
      <c r="D863" s="4"/>
      <c r="E863" s="19"/>
      <c r="F863" s="4"/>
      <c r="G863" s="4"/>
      <c r="H863" s="7"/>
      <c r="I863" s="4"/>
      <c r="J863" s="4"/>
      <c r="K863" s="22"/>
      <c r="L863" s="4"/>
      <c r="M863" s="4"/>
      <c r="N863" s="4"/>
      <c r="O863" s="4"/>
      <c r="P863" s="4"/>
      <c r="Q863" s="4"/>
      <c r="R863" s="4"/>
      <c r="S863" s="7"/>
      <c r="T863" s="7"/>
      <c r="U863" s="7"/>
      <c r="V863" s="7"/>
      <c r="W863" s="7"/>
      <c r="X863" s="7"/>
      <c r="Y863" s="7"/>
      <c r="Z863" s="7"/>
    </row>
    <row r="864" ht="15.75" customHeight="1">
      <c r="A864" s="4"/>
      <c r="B864" s="4"/>
      <c r="C864" s="4"/>
      <c r="D864" s="4"/>
      <c r="E864" s="19"/>
      <c r="F864" s="4"/>
      <c r="G864" s="4"/>
      <c r="H864" s="7"/>
      <c r="I864" s="4"/>
      <c r="J864" s="4"/>
      <c r="K864" s="22"/>
      <c r="L864" s="4"/>
      <c r="M864" s="4"/>
      <c r="N864" s="4"/>
      <c r="O864" s="4"/>
      <c r="P864" s="4"/>
      <c r="Q864" s="4"/>
      <c r="R864" s="4"/>
      <c r="S864" s="7"/>
      <c r="T864" s="7"/>
      <c r="U864" s="7"/>
      <c r="V864" s="7"/>
      <c r="W864" s="7"/>
      <c r="X864" s="7"/>
      <c r="Y864" s="7"/>
      <c r="Z864" s="7"/>
    </row>
    <row r="865" ht="15.75" customHeight="1">
      <c r="A865" s="4"/>
      <c r="B865" s="4"/>
      <c r="C865" s="4"/>
      <c r="D865" s="4"/>
      <c r="E865" s="19"/>
      <c r="F865" s="4"/>
      <c r="G865" s="4"/>
      <c r="H865" s="7"/>
      <c r="I865" s="4"/>
      <c r="J865" s="4"/>
      <c r="K865" s="22"/>
      <c r="L865" s="4"/>
      <c r="M865" s="4"/>
      <c r="N865" s="4"/>
      <c r="O865" s="4"/>
      <c r="P865" s="4"/>
      <c r="Q865" s="4"/>
      <c r="R865" s="4"/>
      <c r="S865" s="7"/>
      <c r="T865" s="7"/>
      <c r="U865" s="7"/>
      <c r="V865" s="7"/>
      <c r="W865" s="7"/>
      <c r="X865" s="7"/>
      <c r="Y865" s="7"/>
      <c r="Z865" s="7"/>
    </row>
    <row r="866" ht="15.75" customHeight="1">
      <c r="A866" s="4"/>
      <c r="B866" s="4"/>
      <c r="C866" s="4"/>
      <c r="D866" s="4"/>
      <c r="E866" s="19"/>
      <c r="F866" s="4"/>
      <c r="G866" s="4"/>
      <c r="H866" s="7"/>
      <c r="I866" s="4"/>
      <c r="J866" s="4"/>
      <c r="K866" s="22"/>
      <c r="L866" s="4"/>
      <c r="M866" s="4"/>
      <c r="N866" s="4"/>
      <c r="O866" s="4"/>
      <c r="P866" s="4"/>
      <c r="Q866" s="4"/>
      <c r="R866" s="4"/>
      <c r="S866" s="7"/>
      <c r="T866" s="7"/>
      <c r="U866" s="7"/>
      <c r="V866" s="7"/>
      <c r="W866" s="7"/>
      <c r="X866" s="7"/>
      <c r="Y866" s="7"/>
      <c r="Z866" s="7"/>
    </row>
    <row r="867" ht="15.75" customHeight="1">
      <c r="A867" s="4"/>
      <c r="B867" s="4"/>
      <c r="C867" s="4"/>
      <c r="D867" s="4"/>
      <c r="E867" s="19"/>
      <c r="F867" s="4"/>
      <c r="G867" s="4"/>
      <c r="H867" s="7"/>
      <c r="I867" s="4"/>
      <c r="J867" s="4"/>
      <c r="K867" s="22"/>
      <c r="L867" s="4"/>
      <c r="M867" s="4"/>
      <c r="N867" s="4"/>
      <c r="O867" s="4"/>
      <c r="P867" s="4"/>
      <c r="Q867" s="4"/>
      <c r="R867" s="4"/>
      <c r="S867" s="7"/>
      <c r="T867" s="7"/>
      <c r="U867" s="7"/>
      <c r="V867" s="7"/>
      <c r="W867" s="7"/>
      <c r="X867" s="7"/>
      <c r="Y867" s="7"/>
      <c r="Z867" s="7"/>
    </row>
    <row r="868" ht="15.75" customHeight="1">
      <c r="A868" s="4"/>
      <c r="B868" s="4"/>
      <c r="C868" s="4"/>
      <c r="D868" s="4"/>
      <c r="E868" s="19"/>
      <c r="F868" s="4"/>
      <c r="G868" s="4"/>
      <c r="H868" s="7"/>
      <c r="I868" s="4"/>
      <c r="J868" s="4"/>
      <c r="K868" s="22"/>
      <c r="L868" s="4"/>
      <c r="M868" s="4"/>
      <c r="N868" s="4"/>
      <c r="O868" s="4"/>
      <c r="P868" s="4"/>
      <c r="Q868" s="4"/>
      <c r="R868" s="4"/>
      <c r="S868" s="7"/>
      <c r="T868" s="7"/>
      <c r="U868" s="7"/>
      <c r="V868" s="7"/>
      <c r="W868" s="7"/>
      <c r="X868" s="7"/>
      <c r="Y868" s="7"/>
      <c r="Z868" s="7"/>
    </row>
    <row r="869" ht="15.75" customHeight="1">
      <c r="A869" s="4"/>
      <c r="B869" s="4"/>
      <c r="C869" s="4"/>
      <c r="D869" s="4"/>
      <c r="E869" s="19"/>
      <c r="F869" s="4"/>
      <c r="G869" s="4"/>
      <c r="H869" s="7"/>
      <c r="I869" s="4"/>
      <c r="J869" s="4"/>
      <c r="K869" s="22"/>
      <c r="L869" s="4"/>
      <c r="M869" s="4"/>
      <c r="N869" s="4"/>
      <c r="O869" s="4"/>
      <c r="P869" s="4"/>
      <c r="Q869" s="4"/>
      <c r="R869" s="4"/>
      <c r="S869" s="7"/>
      <c r="T869" s="7"/>
      <c r="U869" s="7"/>
      <c r="V869" s="7"/>
      <c r="W869" s="7"/>
      <c r="X869" s="7"/>
      <c r="Y869" s="7"/>
      <c r="Z869" s="7"/>
    </row>
    <row r="870" ht="15.75" customHeight="1">
      <c r="A870" s="4"/>
      <c r="B870" s="4"/>
      <c r="C870" s="4"/>
      <c r="D870" s="4"/>
      <c r="E870" s="19"/>
      <c r="F870" s="4"/>
      <c r="G870" s="4"/>
      <c r="H870" s="7"/>
      <c r="I870" s="4"/>
      <c r="J870" s="4"/>
      <c r="K870" s="22"/>
      <c r="L870" s="4"/>
      <c r="M870" s="4"/>
      <c r="N870" s="4"/>
      <c r="O870" s="4"/>
      <c r="P870" s="4"/>
      <c r="Q870" s="4"/>
      <c r="R870" s="4"/>
      <c r="S870" s="7"/>
      <c r="T870" s="7"/>
      <c r="U870" s="7"/>
      <c r="V870" s="7"/>
      <c r="W870" s="7"/>
      <c r="X870" s="7"/>
      <c r="Y870" s="7"/>
      <c r="Z870" s="7"/>
    </row>
    <row r="871" ht="15.75" customHeight="1">
      <c r="A871" s="4"/>
      <c r="B871" s="4"/>
      <c r="C871" s="4"/>
      <c r="D871" s="4"/>
      <c r="E871" s="19"/>
      <c r="F871" s="4"/>
      <c r="G871" s="4"/>
      <c r="H871" s="7"/>
      <c r="I871" s="4"/>
      <c r="J871" s="4"/>
      <c r="K871" s="22"/>
      <c r="L871" s="4"/>
      <c r="M871" s="4"/>
      <c r="N871" s="4"/>
      <c r="O871" s="4"/>
      <c r="P871" s="4"/>
      <c r="Q871" s="4"/>
      <c r="R871" s="4"/>
      <c r="S871" s="7"/>
      <c r="T871" s="7"/>
      <c r="U871" s="7"/>
      <c r="V871" s="7"/>
      <c r="W871" s="7"/>
      <c r="X871" s="7"/>
      <c r="Y871" s="7"/>
      <c r="Z871" s="7"/>
    </row>
    <row r="872" ht="15.75" customHeight="1">
      <c r="A872" s="4"/>
      <c r="B872" s="4"/>
      <c r="C872" s="4"/>
      <c r="D872" s="4"/>
      <c r="E872" s="19"/>
      <c r="F872" s="4"/>
      <c r="G872" s="4"/>
      <c r="H872" s="7"/>
      <c r="I872" s="4"/>
      <c r="J872" s="4"/>
      <c r="K872" s="22"/>
      <c r="L872" s="4"/>
      <c r="M872" s="4"/>
      <c r="N872" s="4"/>
      <c r="O872" s="4"/>
      <c r="P872" s="4"/>
      <c r="Q872" s="4"/>
      <c r="R872" s="4"/>
      <c r="S872" s="7"/>
      <c r="T872" s="7"/>
      <c r="U872" s="7"/>
      <c r="V872" s="7"/>
      <c r="W872" s="7"/>
      <c r="X872" s="7"/>
      <c r="Y872" s="7"/>
      <c r="Z872" s="7"/>
    </row>
    <row r="873" ht="15.75" customHeight="1">
      <c r="A873" s="4"/>
      <c r="B873" s="4"/>
      <c r="C873" s="4"/>
      <c r="D873" s="4"/>
      <c r="E873" s="19"/>
      <c r="F873" s="4"/>
      <c r="G873" s="4"/>
      <c r="H873" s="7"/>
      <c r="I873" s="4"/>
      <c r="J873" s="4"/>
      <c r="K873" s="22"/>
      <c r="L873" s="4"/>
      <c r="M873" s="4"/>
      <c r="N873" s="4"/>
      <c r="O873" s="4"/>
      <c r="P873" s="4"/>
      <c r="Q873" s="4"/>
      <c r="R873" s="4"/>
      <c r="S873" s="7"/>
      <c r="T873" s="7"/>
      <c r="U873" s="7"/>
      <c r="V873" s="7"/>
      <c r="W873" s="7"/>
      <c r="X873" s="7"/>
      <c r="Y873" s="7"/>
      <c r="Z873" s="7"/>
    </row>
    <row r="874" ht="15.75" customHeight="1">
      <c r="A874" s="4"/>
      <c r="B874" s="4"/>
      <c r="C874" s="4"/>
      <c r="D874" s="4"/>
      <c r="E874" s="19"/>
      <c r="F874" s="4"/>
      <c r="G874" s="4"/>
      <c r="H874" s="7"/>
      <c r="I874" s="4"/>
      <c r="J874" s="4"/>
      <c r="K874" s="22"/>
      <c r="L874" s="4"/>
      <c r="M874" s="4"/>
      <c r="N874" s="4"/>
      <c r="O874" s="4"/>
      <c r="P874" s="4"/>
      <c r="Q874" s="4"/>
      <c r="R874" s="4"/>
      <c r="S874" s="7"/>
      <c r="T874" s="7"/>
      <c r="U874" s="7"/>
      <c r="V874" s="7"/>
      <c r="W874" s="7"/>
      <c r="X874" s="7"/>
      <c r="Y874" s="7"/>
      <c r="Z874" s="7"/>
    </row>
    <row r="875" ht="15.75" customHeight="1">
      <c r="A875" s="4"/>
      <c r="B875" s="4"/>
      <c r="C875" s="4"/>
      <c r="D875" s="4"/>
      <c r="E875" s="19"/>
      <c r="F875" s="4"/>
      <c r="G875" s="4"/>
      <c r="H875" s="7"/>
      <c r="I875" s="4"/>
      <c r="J875" s="4"/>
      <c r="K875" s="22"/>
      <c r="L875" s="4"/>
      <c r="M875" s="4"/>
      <c r="N875" s="4"/>
      <c r="O875" s="4"/>
      <c r="P875" s="4"/>
      <c r="Q875" s="4"/>
      <c r="R875" s="4"/>
      <c r="S875" s="7"/>
      <c r="T875" s="7"/>
      <c r="U875" s="7"/>
      <c r="V875" s="7"/>
      <c r="W875" s="7"/>
      <c r="X875" s="7"/>
      <c r="Y875" s="7"/>
      <c r="Z875" s="7"/>
    </row>
    <row r="876" ht="15.75" customHeight="1">
      <c r="A876" s="4"/>
      <c r="B876" s="4"/>
      <c r="C876" s="4"/>
      <c r="D876" s="4"/>
      <c r="E876" s="19"/>
      <c r="F876" s="4"/>
      <c r="G876" s="4"/>
      <c r="H876" s="7"/>
      <c r="I876" s="4"/>
      <c r="J876" s="4"/>
      <c r="K876" s="22"/>
      <c r="L876" s="4"/>
      <c r="M876" s="4"/>
      <c r="N876" s="4"/>
      <c r="O876" s="4"/>
      <c r="P876" s="4"/>
      <c r="Q876" s="4"/>
      <c r="R876" s="4"/>
      <c r="S876" s="7"/>
      <c r="T876" s="7"/>
      <c r="U876" s="7"/>
      <c r="V876" s="7"/>
      <c r="W876" s="7"/>
      <c r="X876" s="7"/>
      <c r="Y876" s="7"/>
      <c r="Z876" s="7"/>
    </row>
    <row r="877" ht="15.75" customHeight="1">
      <c r="A877" s="4"/>
      <c r="B877" s="4"/>
      <c r="C877" s="4"/>
      <c r="D877" s="4"/>
      <c r="E877" s="19"/>
      <c r="F877" s="4"/>
      <c r="G877" s="4"/>
      <c r="H877" s="7"/>
      <c r="I877" s="4"/>
      <c r="J877" s="4"/>
      <c r="K877" s="22"/>
      <c r="L877" s="4"/>
      <c r="M877" s="4"/>
      <c r="N877" s="4"/>
      <c r="O877" s="4"/>
      <c r="P877" s="4"/>
      <c r="Q877" s="4"/>
      <c r="R877" s="4"/>
      <c r="S877" s="7"/>
      <c r="T877" s="7"/>
      <c r="U877" s="7"/>
      <c r="V877" s="7"/>
      <c r="W877" s="7"/>
      <c r="X877" s="7"/>
      <c r="Y877" s="7"/>
      <c r="Z877" s="7"/>
    </row>
    <row r="878" ht="15.75" customHeight="1">
      <c r="A878" s="4"/>
      <c r="B878" s="4"/>
      <c r="C878" s="4"/>
      <c r="D878" s="4"/>
      <c r="E878" s="19"/>
      <c r="F878" s="4"/>
      <c r="G878" s="4"/>
      <c r="H878" s="7"/>
      <c r="I878" s="4"/>
      <c r="J878" s="4"/>
      <c r="K878" s="22"/>
      <c r="L878" s="4"/>
      <c r="M878" s="4"/>
      <c r="N878" s="4"/>
      <c r="O878" s="4"/>
      <c r="P878" s="4"/>
      <c r="Q878" s="4"/>
      <c r="R878" s="4"/>
      <c r="S878" s="7"/>
      <c r="T878" s="7"/>
      <c r="U878" s="7"/>
      <c r="V878" s="7"/>
      <c r="W878" s="7"/>
      <c r="X878" s="7"/>
      <c r="Y878" s="7"/>
      <c r="Z878" s="7"/>
    </row>
    <row r="879" ht="15.75" customHeight="1">
      <c r="A879" s="4"/>
      <c r="B879" s="4"/>
      <c r="C879" s="4"/>
      <c r="D879" s="4"/>
      <c r="E879" s="19"/>
      <c r="F879" s="4"/>
      <c r="G879" s="4"/>
      <c r="H879" s="7"/>
      <c r="I879" s="4"/>
      <c r="J879" s="4"/>
      <c r="K879" s="22"/>
      <c r="L879" s="4"/>
      <c r="M879" s="4"/>
      <c r="N879" s="4"/>
      <c r="O879" s="4"/>
      <c r="P879" s="4"/>
      <c r="Q879" s="4"/>
      <c r="R879" s="4"/>
      <c r="S879" s="7"/>
      <c r="T879" s="7"/>
      <c r="U879" s="7"/>
      <c r="V879" s="7"/>
      <c r="W879" s="7"/>
      <c r="X879" s="7"/>
      <c r="Y879" s="7"/>
      <c r="Z879" s="7"/>
    </row>
    <row r="880" ht="15.75" customHeight="1">
      <c r="A880" s="4"/>
      <c r="B880" s="4"/>
      <c r="C880" s="4"/>
      <c r="D880" s="4"/>
      <c r="E880" s="19"/>
      <c r="F880" s="4"/>
      <c r="G880" s="4"/>
      <c r="H880" s="7"/>
      <c r="I880" s="4"/>
      <c r="J880" s="4"/>
      <c r="K880" s="22"/>
      <c r="L880" s="4"/>
      <c r="M880" s="4"/>
      <c r="N880" s="4"/>
      <c r="O880" s="4"/>
      <c r="P880" s="4"/>
      <c r="Q880" s="4"/>
      <c r="R880" s="4"/>
      <c r="S880" s="7"/>
      <c r="T880" s="7"/>
      <c r="U880" s="7"/>
      <c r="V880" s="7"/>
      <c r="W880" s="7"/>
      <c r="X880" s="7"/>
      <c r="Y880" s="7"/>
      <c r="Z880" s="7"/>
    </row>
    <row r="881" ht="15.75" customHeight="1">
      <c r="A881" s="4"/>
      <c r="B881" s="4"/>
      <c r="C881" s="4"/>
      <c r="D881" s="4"/>
      <c r="E881" s="19"/>
      <c r="F881" s="4"/>
      <c r="G881" s="4"/>
      <c r="H881" s="7"/>
      <c r="I881" s="4"/>
      <c r="J881" s="4"/>
      <c r="K881" s="22"/>
      <c r="L881" s="4"/>
      <c r="M881" s="4"/>
      <c r="N881" s="4"/>
      <c r="O881" s="4"/>
      <c r="P881" s="4"/>
      <c r="Q881" s="4"/>
      <c r="R881" s="4"/>
      <c r="S881" s="7"/>
      <c r="T881" s="7"/>
      <c r="U881" s="7"/>
      <c r="V881" s="7"/>
      <c r="W881" s="7"/>
      <c r="X881" s="7"/>
      <c r="Y881" s="7"/>
      <c r="Z881" s="7"/>
    </row>
    <row r="882" ht="15.75" customHeight="1">
      <c r="A882" s="4"/>
      <c r="B882" s="4"/>
      <c r="C882" s="4"/>
      <c r="D882" s="4"/>
      <c r="E882" s="19"/>
      <c r="F882" s="4"/>
      <c r="G882" s="4"/>
      <c r="H882" s="7"/>
      <c r="I882" s="4"/>
      <c r="J882" s="4"/>
      <c r="K882" s="22"/>
      <c r="L882" s="4"/>
      <c r="M882" s="4"/>
      <c r="N882" s="4"/>
      <c r="O882" s="4"/>
      <c r="P882" s="4"/>
      <c r="Q882" s="4"/>
      <c r="R882" s="4"/>
      <c r="S882" s="7"/>
      <c r="T882" s="7"/>
      <c r="U882" s="7"/>
      <c r="V882" s="7"/>
      <c r="W882" s="7"/>
      <c r="X882" s="7"/>
      <c r="Y882" s="7"/>
      <c r="Z882" s="7"/>
    </row>
    <row r="883" ht="15.75" customHeight="1">
      <c r="A883" s="4"/>
      <c r="B883" s="4"/>
      <c r="C883" s="4"/>
      <c r="D883" s="4"/>
      <c r="E883" s="19"/>
      <c r="F883" s="4"/>
      <c r="G883" s="4"/>
      <c r="H883" s="7"/>
      <c r="I883" s="4"/>
      <c r="J883" s="4"/>
      <c r="K883" s="22"/>
      <c r="L883" s="4"/>
      <c r="M883" s="4"/>
      <c r="N883" s="4"/>
      <c r="O883" s="4"/>
      <c r="P883" s="4"/>
      <c r="Q883" s="4"/>
      <c r="R883" s="4"/>
      <c r="S883" s="7"/>
      <c r="T883" s="7"/>
      <c r="U883" s="7"/>
      <c r="V883" s="7"/>
      <c r="W883" s="7"/>
      <c r="X883" s="7"/>
      <c r="Y883" s="7"/>
      <c r="Z883" s="7"/>
    </row>
    <row r="884" ht="15.75" customHeight="1">
      <c r="A884" s="4"/>
      <c r="B884" s="4"/>
      <c r="C884" s="4"/>
      <c r="D884" s="4"/>
      <c r="E884" s="19"/>
      <c r="F884" s="4"/>
      <c r="G884" s="4"/>
      <c r="H884" s="7"/>
      <c r="I884" s="4"/>
      <c r="J884" s="4"/>
      <c r="K884" s="22"/>
      <c r="L884" s="4"/>
      <c r="M884" s="4"/>
      <c r="N884" s="4"/>
      <c r="O884" s="4"/>
      <c r="P884" s="4"/>
      <c r="Q884" s="4"/>
      <c r="R884" s="4"/>
      <c r="S884" s="7"/>
      <c r="T884" s="7"/>
      <c r="U884" s="7"/>
      <c r="V884" s="7"/>
      <c r="W884" s="7"/>
      <c r="X884" s="7"/>
      <c r="Y884" s="7"/>
      <c r="Z884" s="7"/>
    </row>
    <row r="885" ht="15.75" customHeight="1">
      <c r="A885" s="4"/>
      <c r="B885" s="4"/>
      <c r="C885" s="4"/>
      <c r="D885" s="4"/>
      <c r="E885" s="19"/>
      <c r="F885" s="4"/>
      <c r="G885" s="4"/>
      <c r="H885" s="7"/>
      <c r="I885" s="4"/>
      <c r="J885" s="4"/>
      <c r="K885" s="22"/>
      <c r="L885" s="4"/>
      <c r="M885" s="4"/>
      <c r="N885" s="4"/>
      <c r="O885" s="4"/>
      <c r="P885" s="4"/>
      <c r="Q885" s="4"/>
      <c r="R885" s="4"/>
      <c r="S885" s="7"/>
      <c r="T885" s="7"/>
      <c r="U885" s="7"/>
      <c r="V885" s="7"/>
      <c r="W885" s="7"/>
      <c r="X885" s="7"/>
      <c r="Y885" s="7"/>
      <c r="Z885" s="7"/>
    </row>
    <row r="886" ht="15.75" customHeight="1">
      <c r="A886" s="4"/>
      <c r="B886" s="4"/>
      <c r="C886" s="4"/>
      <c r="D886" s="4"/>
      <c r="E886" s="19"/>
      <c r="F886" s="4"/>
      <c r="G886" s="4"/>
      <c r="H886" s="7"/>
      <c r="I886" s="4"/>
      <c r="J886" s="4"/>
      <c r="K886" s="22"/>
      <c r="L886" s="4"/>
      <c r="M886" s="4"/>
      <c r="N886" s="4"/>
      <c r="O886" s="4"/>
      <c r="P886" s="4"/>
      <c r="Q886" s="4"/>
      <c r="R886" s="4"/>
      <c r="S886" s="7"/>
      <c r="T886" s="7"/>
      <c r="U886" s="7"/>
      <c r="V886" s="7"/>
      <c r="W886" s="7"/>
      <c r="X886" s="7"/>
      <c r="Y886" s="7"/>
      <c r="Z886" s="7"/>
    </row>
    <row r="887" ht="15.75" customHeight="1">
      <c r="A887" s="4"/>
      <c r="B887" s="4"/>
      <c r="C887" s="4"/>
      <c r="D887" s="4"/>
      <c r="E887" s="19"/>
      <c r="F887" s="4"/>
      <c r="G887" s="4"/>
      <c r="H887" s="7"/>
      <c r="I887" s="4"/>
      <c r="J887" s="4"/>
      <c r="K887" s="22"/>
      <c r="L887" s="4"/>
      <c r="M887" s="4"/>
      <c r="N887" s="4"/>
      <c r="O887" s="4"/>
      <c r="P887" s="4"/>
      <c r="Q887" s="4"/>
      <c r="R887" s="4"/>
      <c r="S887" s="7"/>
      <c r="T887" s="7"/>
      <c r="U887" s="7"/>
      <c r="V887" s="7"/>
      <c r="W887" s="7"/>
      <c r="X887" s="7"/>
      <c r="Y887" s="7"/>
      <c r="Z887" s="7"/>
    </row>
    <row r="888" ht="15.75" customHeight="1">
      <c r="A888" s="4"/>
      <c r="B888" s="4"/>
      <c r="C888" s="4"/>
      <c r="D888" s="4"/>
      <c r="E888" s="19"/>
      <c r="F888" s="4"/>
      <c r="G888" s="4"/>
      <c r="H888" s="7"/>
      <c r="I888" s="4"/>
      <c r="J888" s="4"/>
      <c r="K888" s="22"/>
      <c r="L888" s="4"/>
      <c r="M888" s="4"/>
      <c r="N888" s="4"/>
      <c r="O888" s="4"/>
      <c r="P888" s="4"/>
      <c r="Q888" s="4"/>
      <c r="R888" s="4"/>
      <c r="S888" s="7"/>
      <c r="T888" s="7"/>
      <c r="U888" s="7"/>
      <c r="V888" s="7"/>
      <c r="W888" s="7"/>
      <c r="X888" s="7"/>
      <c r="Y888" s="7"/>
      <c r="Z888" s="7"/>
    </row>
    <row r="889" ht="15.75" customHeight="1">
      <c r="A889" s="4"/>
      <c r="B889" s="4"/>
      <c r="C889" s="4"/>
      <c r="D889" s="4"/>
      <c r="E889" s="19"/>
      <c r="F889" s="4"/>
      <c r="G889" s="4"/>
      <c r="H889" s="7"/>
      <c r="I889" s="4"/>
      <c r="J889" s="4"/>
      <c r="K889" s="22"/>
      <c r="L889" s="4"/>
      <c r="M889" s="4"/>
      <c r="N889" s="4"/>
      <c r="O889" s="4"/>
      <c r="P889" s="4"/>
      <c r="Q889" s="4"/>
      <c r="R889" s="4"/>
      <c r="S889" s="7"/>
      <c r="T889" s="7"/>
      <c r="U889" s="7"/>
      <c r="V889" s="7"/>
      <c r="W889" s="7"/>
      <c r="X889" s="7"/>
      <c r="Y889" s="7"/>
      <c r="Z889" s="7"/>
    </row>
    <row r="890" ht="15.75" customHeight="1">
      <c r="A890" s="4"/>
      <c r="B890" s="4"/>
      <c r="C890" s="4"/>
      <c r="D890" s="4"/>
      <c r="E890" s="19"/>
      <c r="F890" s="4"/>
      <c r="G890" s="4"/>
      <c r="H890" s="7"/>
      <c r="I890" s="4"/>
      <c r="J890" s="4"/>
      <c r="K890" s="22"/>
      <c r="L890" s="4"/>
      <c r="M890" s="4"/>
      <c r="N890" s="4"/>
      <c r="O890" s="4"/>
      <c r="P890" s="4"/>
      <c r="Q890" s="4"/>
      <c r="R890" s="4"/>
      <c r="S890" s="7"/>
      <c r="T890" s="7"/>
      <c r="U890" s="7"/>
      <c r="V890" s="7"/>
      <c r="W890" s="7"/>
      <c r="X890" s="7"/>
      <c r="Y890" s="7"/>
      <c r="Z890" s="7"/>
    </row>
    <row r="891" ht="15.75" customHeight="1">
      <c r="A891" s="4"/>
      <c r="B891" s="4"/>
      <c r="C891" s="4"/>
      <c r="D891" s="4"/>
      <c r="E891" s="19"/>
      <c r="F891" s="4"/>
      <c r="G891" s="4"/>
      <c r="H891" s="7"/>
      <c r="I891" s="4"/>
      <c r="J891" s="4"/>
      <c r="K891" s="22"/>
      <c r="L891" s="4"/>
      <c r="M891" s="4"/>
      <c r="N891" s="4"/>
      <c r="O891" s="4"/>
      <c r="P891" s="4"/>
      <c r="Q891" s="4"/>
      <c r="R891" s="4"/>
      <c r="S891" s="7"/>
      <c r="T891" s="7"/>
      <c r="U891" s="7"/>
      <c r="V891" s="7"/>
      <c r="W891" s="7"/>
      <c r="X891" s="7"/>
      <c r="Y891" s="7"/>
      <c r="Z891" s="7"/>
    </row>
    <row r="892" ht="15.75" customHeight="1">
      <c r="A892" s="4"/>
      <c r="B892" s="4"/>
      <c r="C892" s="4"/>
      <c r="D892" s="4"/>
      <c r="E892" s="19"/>
      <c r="F892" s="4"/>
      <c r="G892" s="4"/>
      <c r="H892" s="7"/>
      <c r="I892" s="4"/>
      <c r="J892" s="4"/>
      <c r="K892" s="22"/>
      <c r="L892" s="4"/>
      <c r="M892" s="4"/>
      <c r="N892" s="4"/>
      <c r="O892" s="4"/>
      <c r="P892" s="4"/>
      <c r="Q892" s="4"/>
      <c r="R892" s="4"/>
      <c r="S892" s="7"/>
      <c r="T892" s="7"/>
      <c r="U892" s="7"/>
      <c r="V892" s="7"/>
      <c r="W892" s="7"/>
      <c r="X892" s="7"/>
      <c r="Y892" s="7"/>
      <c r="Z892" s="7"/>
    </row>
    <row r="893" ht="15.75" customHeight="1">
      <c r="A893" s="4"/>
      <c r="B893" s="4"/>
      <c r="C893" s="4"/>
      <c r="D893" s="4"/>
      <c r="E893" s="19"/>
      <c r="F893" s="4"/>
      <c r="G893" s="4"/>
      <c r="H893" s="7"/>
      <c r="I893" s="4"/>
      <c r="J893" s="4"/>
      <c r="K893" s="22"/>
      <c r="L893" s="4"/>
      <c r="M893" s="4"/>
      <c r="N893" s="4"/>
      <c r="O893" s="4"/>
      <c r="P893" s="4"/>
      <c r="Q893" s="4"/>
      <c r="R893" s="4"/>
      <c r="S893" s="7"/>
      <c r="T893" s="7"/>
      <c r="U893" s="7"/>
      <c r="V893" s="7"/>
      <c r="W893" s="7"/>
      <c r="X893" s="7"/>
      <c r="Y893" s="7"/>
      <c r="Z893" s="7"/>
    </row>
    <row r="894" ht="15.75" customHeight="1">
      <c r="A894" s="4"/>
      <c r="B894" s="4"/>
      <c r="C894" s="4"/>
      <c r="D894" s="4"/>
      <c r="E894" s="19"/>
      <c r="F894" s="4"/>
      <c r="G894" s="4"/>
      <c r="H894" s="7"/>
      <c r="I894" s="4"/>
      <c r="J894" s="4"/>
      <c r="K894" s="22"/>
      <c r="L894" s="4"/>
      <c r="M894" s="4"/>
      <c r="N894" s="4"/>
      <c r="O894" s="4"/>
      <c r="P894" s="4"/>
      <c r="Q894" s="4"/>
      <c r="R894" s="4"/>
      <c r="S894" s="7"/>
      <c r="T894" s="7"/>
      <c r="U894" s="7"/>
      <c r="V894" s="7"/>
      <c r="W894" s="7"/>
      <c r="X894" s="7"/>
      <c r="Y894" s="7"/>
      <c r="Z894" s="7"/>
    </row>
    <row r="895" ht="15.75" customHeight="1">
      <c r="A895" s="4"/>
      <c r="B895" s="4"/>
      <c r="C895" s="4"/>
      <c r="D895" s="4"/>
      <c r="E895" s="19"/>
      <c r="F895" s="4"/>
      <c r="G895" s="4"/>
      <c r="H895" s="7"/>
      <c r="I895" s="4"/>
      <c r="J895" s="4"/>
      <c r="K895" s="22"/>
      <c r="L895" s="4"/>
      <c r="M895" s="4"/>
      <c r="N895" s="4"/>
      <c r="O895" s="4"/>
      <c r="P895" s="4"/>
      <c r="Q895" s="4"/>
      <c r="R895" s="4"/>
      <c r="S895" s="7"/>
      <c r="T895" s="7"/>
      <c r="U895" s="7"/>
      <c r="V895" s="7"/>
      <c r="W895" s="7"/>
      <c r="X895" s="7"/>
      <c r="Y895" s="7"/>
      <c r="Z895" s="7"/>
    </row>
    <row r="896" ht="15.75" customHeight="1">
      <c r="A896" s="4"/>
      <c r="B896" s="4"/>
      <c r="C896" s="4"/>
      <c r="D896" s="4"/>
      <c r="E896" s="19"/>
      <c r="F896" s="4"/>
      <c r="G896" s="4"/>
      <c r="H896" s="7"/>
      <c r="I896" s="4"/>
      <c r="J896" s="4"/>
      <c r="K896" s="22"/>
      <c r="L896" s="4"/>
      <c r="M896" s="4"/>
      <c r="N896" s="4"/>
      <c r="O896" s="4"/>
      <c r="P896" s="4"/>
      <c r="Q896" s="4"/>
      <c r="R896" s="4"/>
      <c r="S896" s="7"/>
      <c r="T896" s="7"/>
      <c r="U896" s="7"/>
      <c r="V896" s="7"/>
      <c r="W896" s="7"/>
      <c r="X896" s="7"/>
      <c r="Y896" s="7"/>
      <c r="Z896" s="7"/>
    </row>
    <row r="897" ht="15.75" customHeight="1">
      <c r="A897" s="4"/>
      <c r="B897" s="4"/>
      <c r="C897" s="4"/>
      <c r="D897" s="4"/>
      <c r="E897" s="19"/>
      <c r="F897" s="4"/>
      <c r="G897" s="4"/>
      <c r="H897" s="7"/>
      <c r="I897" s="4"/>
      <c r="J897" s="4"/>
      <c r="K897" s="22"/>
      <c r="L897" s="4"/>
      <c r="M897" s="4"/>
      <c r="N897" s="4"/>
      <c r="O897" s="4"/>
      <c r="P897" s="4"/>
      <c r="Q897" s="4"/>
      <c r="R897" s="4"/>
      <c r="S897" s="7"/>
      <c r="T897" s="7"/>
      <c r="U897" s="7"/>
      <c r="V897" s="7"/>
      <c r="W897" s="7"/>
      <c r="X897" s="7"/>
      <c r="Y897" s="7"/>
      <c r="Z897" s="7"/>
    </row>
    <row r="898" ht="15.75" customHeight="1">
      <c r="A898" s="4"/>
      <c r="B898" s="4"/>
      <c r="C898" s="4"/>
      <c r="D898" s="4"/>
      <c r="E898" s="19"/>
      <c r="F898" s="4"/>
      <c r="G898" s="4"/>
      <c r="H898" s="7"/>
      <c r="I898" s="4"/>
      <c r="J898" s="4"/>
      <c r="K898" s="22"/>
      <c r="L898" s="4"/>
      <c r="M898" s="4"/>
      <c r="N898" s="4"/>
      <c r="O898" s="4"/>
      <c r="P898" s="4"/>
      <c r="Q898" s="4"/>
      <c r="R898" s="4"/>
      <c r="S898" s="7"/>
      <c r="T898" s="7"/>
      <c r="U898" s="7"/>
      <c r="V898" s="7"/>
      <c r="W898" s="7"/>
      <c r="X898" s="7"/>
      <c r="Y898" s="7"/>
      <c r="Z898" s="7"/>
    </row>
    <row r="899" ht="15.75" customHeight="1">
      <c r="A899" s="4"/>
      <c r="B899" s="4"/>
      <c r="C899" s="4"/>
      <c r="D899" s="4"/>
      <c r="E899" s="19"/>
      <c r="F899" s="4"/>
      <c r="G899" s="4"/>
      <c r="H899" s="7"/>
      <c r="I899" s="4"/>
      <c r="J899" s="4"/>
      <c r="K899" s="22"/>
      <c r="L899" s="4"/>
      <c r="M899" s="4"/>
      <c r="N899" s="4"/>
      <c r="O899" s="4"/>
      <c r="P899" s="4"/>
      <c r="Q899" s="4"/>
      <c r="R899" s="4"/>
      <c r="S899" s="7"/>
      <c r="T899" s="7"/>
      <c r="U899" s="7"/>
      <c r="V899" s="7"/>
      <c r="W899" s="7"/>
      <c r="X899" s="7"/>
      <c r="Y899" s="7"/>
      <c r="Z899" s="7"/>
    </row>
    <row r="900" ht="15.75" customHeight="1">
      <c r="A900" s="4"/>
      <c r="B900" s="4"/>
      <c r="C900" s="4"/>
      <c r="D900" s="4"/>
      <c r="E900" s="19"/>
      <c r="F900" s="4"/>
      <c r="G900" s="4"/>
      <c r="H900" s="7"/>
      <c r="I900" s="4"/>
      <c r="J900" s="4"/>
      <c r="K900" s="22"/>
      <c r="L900" s="4"/>
      <c r="M900" s="4"/>
      <c r="N900" s="4"/>
      <c r="O900" s="4"/>
      <c r="P900" s="4"/>
      <c r="Q900" s="4"/>
      <c r="R900" s="4"/>
      <c r="S900" s="7"/>
      <c r="T900" s="7"/>
      <c r="U900" s="7"/>
      <c r="V900" s="7"/>
      <c r="W900" s="7"/>
      <c r="X900" s="7"/>
      <c r="Y900" s="7"/>
      <c r="Z900" s="7"/>
    </row>
    <row r="901" ht="15.75" customHeight="1">
      <c r="A901" s="4"/>
      <c r="B901" s="4"/>
      <c r="C901" s="4"/>
      <c r="D901" s="4"/>
      <c r="E901" s="19"/>
      <c r="F901" s="4"/>
      <c r="G901" s="4"/>
      <c r="H901" s="7"/>
      <c r="I901" s="4"/>
      <c r="J901" s="4"/>
      <c r="K901" s="22"/>
      <c r="L901" s="4"/>
      <c r="M901" s="4"/>
      <c r="N901" s="4"/>
      <c r="O901" s="4"/>
      <c r="P901" s="4"/>
      <c r="Q901" s="4"/>
      <c r="R901" s="4"/>
      <c r="S901" s="7"/>
      <c r="T901" s="7"/>
      <c r="U901" s="7"/>
      <c r="V901" s="7"/>
      <c r="W901" s="7"/>
      <c r="X901" s="7"/>
      <c r="Y901" s="7"/>
      <c r="Z901" s="7"/>
    </row>
    <row r="902" ht="15.75" customHeight="1">
      <c r="A902" s="4"/>
      <c r="B902" s="4"/>
      <c r="C902" s="4"/>
      <c r="D902" s="4"/>
      <c r="E902" s="19"/>
      <c r="F902" s="4"/>
      <c r="G902" s="4"/>
      <c r="H902" s="7"/>
      <c r="I902" s="4"/>
      <c r="J902" s="4"/>
      <c r="K902" s="22"/>
      <c r="L902" s="4"/>
      <c r="M902" s="4"/>
      <c r="N902" s="4"/>
      <c r="O902" s="4"/>
      <c r="P902" s="4"/>
      <c r="Q902" s="4"/>
      <c r="R902" s="4"/>
      <c r="S902" s="7"/>
      <c r="T902" s="7"/>
      <c r="U902" s="7"/>
      <c r="V902" s="7"/>
      <c r="W902" s="7"/>
      <c r="X902" s="7"/>
      <c r="Y902" s="7"/>
      <c r="Z902" s="7"/>
    </row>
    <row r="903" ht="15.75" customHeight="1">
      <c r="A903" s="4"/>
      <c r="B903" s="4"/>
      <c r="C903" s="4"/>
      <c r="D903" s="4"/>
      <c r="E903" s="19"/>
      <c r="F903" s="4"/>
      <c r="G903" s="4"/>
      <c r="H903" s="7"/>
      <c r="I903" s="4"/>
      <c r="J903" s="4"/>
      <c r="K903" s="22"/>
      <c r="L903" s="4"/>
      <c r="M903" s="4"/>
      <c r="N903" s="4"/>
      <c r="O903" s="4"/>
      <c r="P903" s="4"/>
      <c r="Q903" s="4"/>
      <c r="R903" s="4"/>
      <c r="S903" s="7"/>
      <c r="T903" s="7"/>
      <c r="U903" s="7"/>
      <c r="V903" s="7"/>
      <c r="W903" s="7"/>
      <c r="X903" s="7"/>
      <c r="Y903" s="7"/>
      <c r="Z903" s="7"/>
    </row>
    <row r="904" ht="15.75" customHeight="1">
      <c r="A904" s="4"/>
      <c r="B904" s="4"/>
      <c r="C904" s="4"/>
      <c r="D904" s="4"/>
      <c r="E904" s="19"/>
      <c r="F904" s="4"/>
      <c r="G904" s="4"/>
      <c r="H904" s="7"/>
      <c r="I904" s="4"/>
      <c r="J904" s="4"/>
      <c r="K904" s="22"/>
      <c r="L904" s="4"/>
      <c r="M904" s="4"/>
      <c r="N904" s="4"/>
      <c r="O904" s="4"/>
      <c r="P904" s="4"/>
      <c r="Q904" s="4"/>
      <c r="R904" s="4"/>
      <c r="S904" s="7"/>
      <c r="T904" s="7"/>
      <c r="U904" s="7"/>
      <c r="V904" s="7"/>
      <c r="W904" s="7"/>
      <c r="X904" s="7"/>
      <c r="Y904" s="7"/>
      <c r="Z904" s="7"/>
    </row>
    <row r="905" ht="15.75" customHeight="1">
      <c r="A905" s="4"/>
      <c r="B905" s="4"/>
      <c r="C905" s="4"/>
      <c r="D905" s="4"/>
      <c r="E905" s="19"/>
      <c r="F905" s="4"/>
      <c r="G905" s="4"/>
      <c r="H905" s="7"/>
      <c r="I905" s="4"/>
      <c r="J905" s="4"/>
      <c r="K905" s="22"/>
      <c r="L905" s="4"/>
      <c r="M905" s="4"/>
      <c r="N905" s="4"/>
      <c r="O905" s="4"/>
      <c r="P905" s="4"/>
      <c r="Q905" s="4"/>
      <c r="R905" s="4"/>
      <c r="S905" s="7"/>
      <c r="T905" s="7"/>
      <c r="U905" s="7"/>
      <c r="V905" s="7"/>
      <c r="W905" s="7"/>
      <c r="X905" s="7"/>
      <c r="Y905" s="7"/>
      <c r="Z905" s="7"/>
    </row>
    <row r="906" ht="15.75" customHeight="1">
      <c r="A906" s="4"/>
      <c r="B906" s="4"/>
      <c r="C906" s="4"/>
      <c r="D906" s="4"/>
      <c r="E906" s="19"/>
      <c r="F906" s="4"/>
      <c r="G906" s="4"/>
      <c r="H906" s="7"/>
      <c r="I906" s="4"/>
      <c r="J906" s="4"/>
      <c r="K906" s="22"/>
      <c r="L906" s="4"/>
      <c r="M906" s="4"/>
      <c r="N906" s="4"/>
      <c r="O906" s="4"/>
      <c r="P906" s="4"/>
      <c r="Q906" s="4"/>
      <c r="R906" s="4"/>
      <c r="S906" s="7"/>
      <c r="T906" s="7"/>
      <c r="U906" s="7"/>
      <c r="V906" s="7"/>
      <c r="W906" s="7"/>
      <c r="X906" s="7"/>
      <c r="Y906" s="7"/>
      <c r="Z906" s="7"/>
    </row>
    <row r="907" ht="15.75" customHeight="1">
      <c r="A907" s="4"/>
      <c r="B907" s="4"/>
      <c r="C907" s="4"/>
      <c r="D907" s="4"/>
      <c r="E907" s="19"/>
      <c r="F907" s="4"/>
      <c r="G907" s="4"/>
      <c r="H907" s="7"/>
      <c r="I907" s="4"/>
      <c r="J907" s="4"/>
      <c r="K907" s="22"/>
      <c r="L907" s="4"/>
      <c r="M907" s="4"/>
      <c r="N907" s="4"/>
      <c r="O907" s="4"/>
      <c r="P907" s="4"/>
      <c r="Q907" s="4"/>
      <c r="R907" s="4"/>
      <c r="S907" s="7"/>
      <c r="T907" s="7"/>
      <c r="U907" s="7"/>
      <c r="V907" s="7"/>
      <c r="W907" s="7"/>
      <c r="X907" s="7"/>
      <c r="Y907" s="7"/>
      <c r="Z907" s="7"/>
    </row>
    <row r="908" ht="15.75" customHeight="1">
      <c r="A908" s="4"/>
      <c r="B908" s="4"/>
      <c r="C908" s="4"/>
      <c r="D908" s="4"/>
      <c r="E908" s="19"/>
      <c r="F908" s="4"/>
      <c r="G908" s="4"/>
      <c r="H908" s="7"/>
      <c r="I908" s="4"/>
      <c r="J908" s="4"/>
      <c r="K908" s="22"/>
      <c r="L908" s="4"/>
      <c r="M908" s="4"/>
      <c r="N908" s="4"/>
      <c r="O908" s="4"/>
      <c r="P908" s="4"/>
      <c r="Q908" s="4"/>
      <c r="R908" s="4"/>
      <c r="S908" s="7"/>
      <c r="T908" s="7"/>
      <c r="U908" s="7"/>
      <c r="V908" s="7"/>
      <c r="W908" s="7"/>
      <c r="X908" s="7"/>
      <c r="Y908" s="7"/>
      <c r="Z908" s="7"/>
    </row>
    <row r="909" ht="15.75" customHeight="1">
      <c r="A909" s="4"/>
      <c r="B909" s="4"/>
      <c r="C909" s="4"/>
      <c r="D909" s="4"/>
      <c r="E909" s="19"/>
      <c r="F909" s="4"/>
      <c r="G909" s="4"/>
      <c r="H909" s="7"/>
      <c r="I909" s="4"/>
      <c r="J909" s="4"/>
      <c r="K909" s="22"/>
      <c r="L909" s="4"/>
      <c r="M909" s="4"/>
      <c r="N909" s="4"/>
      <c r="O909" s="4"/>
      <c r="P909" s="4"/>
      <c r="Q909" s="4"/>
      <c r="R909" s="4"/>
      <c r="S909" s="7"/>
      <c r="T909" s="7"/>
      <c r="U909" s="7"/>
      <c r="V909" s="7"/>
      <c r="W909" s="7"/>
      <c r="X909" s="7"/>
      <c r="Y909" s="7"/>
      <c r="Z909" s="7"/>
    </row>
    <row r="910" ht="15.75" customHeight="1">
      <c r="A910" s="4"/>
      <c r="B910" s="4"/>
      <c r="C910" s="4"/>
      <c r="D910" s="4"/>
      <c r="E910" s="19"/>
      <c r="F910" s="4"/>
      <c r="G910" s="4"/>
      <c r="H910" s="7"/>
      <c r="I910" s="4"/>
      <c r="J910" s="4"/>
      <c r="K910" s="22"/>
      <c r="L910" s="4"/>
      <c r="M910" s="4"/>
      <c r="N910" s="4"/>
      <c r="O910" s="4"/>
      <c r="P910" s="4"/>
      <c r="Q910" s="4"/>
      <c r="R910" s="4"/>
      <c r="S910" s="7"/>
      <c r="T910" s="7"/>
      <c r="U910" s="7"/>
      <c r="V910" s="7"/>
      <c r="W910" s="7"/>
      <c r="X910" s="7"/>
      <c r="Y910" s="7"/>
      <c r="Z910" s="7"/>
    </row>
    <row r="911" ht="15.75" customHeight="1">
      <c r="A911" s="4"/>
      <c r="B911" s="4"/>
      <c r="C911" s="4"/>
      <c r="D911" s="4"/>
      <c r="E911" s="19"/>
      <c r="F911" s="4"/>
      <c r="G911" s="4"/>
      <c r="H911" s="7"/>
      <c r="I911" s="4"/>
      <c r="J911" s="4"/>
      <c r="K911" s="22"/>
      <c r="L911" s="4"/>
      <c r="M911" s="4"/>
      <c r="N911" s="4"/>
      <c r="O911" s="4"/>
      <c r="P911" s="4"/>
      <c r="Q911" s="4"/>
      <c r="R911" s="4"/>
      <c r="S911" s="7"/>
      <c r="T911" s="7"/>
      <c r="U911" s="7"/>
      <c r="V911" s="7"/>
      <c r="W911" s="7"/>
      <c r="X911" s="7"/>
      <c r="Y911" s="7"/>
      <c r="Z911" s="7"/>
    </row>
    <row r="912" ht="15.75" customHeight="1">
      <c r="A912" s="4"/>
      <c r="B912" s="4"/>
      <c r="C912" s="4"/>
      <c r="D912" s="4"/>
      <c r="E912" s="19"/>
      <c r="F912" s="4"/>
      <c r="G912" s="4"/>
      <c r="H912" s="7"/>
      <c r="I912" s="4"/>
      <c r="J912" s="4"/>
      <c r="K912" s="22"/>
      <c r="L912" s="4"/>
      <c r="M912" s="4"/>
      <c r="N912" s="4"/>
      <c r="O912" s="4"/>
      <c r="P912" s="4"/>
      <c r="Q912" s="4"/>
      <c r="R912" s="4"/>
      <c r="S912" s="7"/>
      <c r="T912" s="7"/>
      <c r="U912" s="7"/>
      <c r="V912" s="7"/>
      <c r="W912" s="7"/>
      <c r="X912" s="7"/>
      <c r="Y912" s="7"/>
      <c r="Z912" s="7"/>
    </row>
    <row r="913" ht="15.75" customHeight="1">
      <c r="A913" s="4"/>
      <c r="B913" s="4"/>
      <c r="C913" s="4"/>
      <c r="D913" s="4"/>
      <c r="E913" s="19"/>
      <c r="F913" s="4"/>
      <c r="G913" s="4"/>
      <c r="H913" s="7"/>
      <c r="I913" s="4"/>
      <c r="J913" s="4"/>
      <c r="K913" s="22"/>
      <c r="L913" s="4"/>
      <c r="M913" s="4"/>
      <c r="N913" s="4"/>
      <c r="O913" s="4"/>
      <c r="P913" s="4"/>
      <c r="Q913" s="4"/>
      <c r="R913" s="4"/>
      <c r="S913" s="7"/>
      <c r="T913" s="7"/>
      <c r="U913" s="7"/>
      <c r="V913" s="7"/>
      <c r="W913" s="7"/>
      <c r="X913" s="7"/>
      <c r="Y913" s="7"/>
      <c r="Z913" s="7"/>
    </row>
    <row r="914" ht="15.75" customHeight="1">
      <c r="A914" s="4"/>
      <c r="B914" s="4"/>
      <c r="C914" s="4"/>
      <c r="D914" s="4"/>
      <c r="E914" s="19"/>
      <c r="F914" s="4"/>
      <c r="G914" s="4"/>
      <c r="H914" s="7"/>
      <c r="I914" s="4"/>
      <c r="J914" s="4"/>
      <c r="K914" s="22"/>
      <c r="L914" s="4"/>
      <c r="M914" s="4"/>
      <c r="N914" s="4"/>
      <c r="O914" s="4"/>
      <c r="P914" s="4"/>
      <c r="Q914" s="4"/>
      <c r="R914" s="4"/>
      <c r="S914" s="7"/>
      <c r="T914" s="7"/>
      <c r="U914" s="7"/>
      <c r="V914" s="7"/>
      <c r="W914" s="7"/>
      <c r="X914" s="7"/>
      <c r="Y914" s="7"/>
      <c r="Z914" s="7"/>
    </row>
    <row r="915" ht="15.75" customHeight="1">
      <c r="A915" s="4"/>
      <c r="B915" s="4"/>
      <c r="C915" s="4"/>
      <c r="D915" s="4"/>
      <c r="E915" s="19"/>
      <c r="F915" s="4"/>
      <c r="G915" s="4"/>
      <c r="H915" s="7"/>
      <c r="I915" s="4"/>
      <c r="J915" s="4"/>
      <c r="K915" s="22"/>
      <c r="L915" s="4"/>
      <c r="M915" s="4"/>
      <c r="N915" s="4"/>
      <c r="O915" s="4"/>
      <c r="P915" s="4"/>
      <c r="Q915" s="4"/>
      <c r="R915" s="4"/>
      <c r="S915" s="7"/>
      <c r="T915" s="7"/>
      <c r="U915" s="7"/>
      <c r="V915" s="7"/>
      <c r="W915" s="7"/>
      <c r="X915" s="7"/>
      <c r="Y915" s="7"/>
      <c r="Z915" s="7"/>
    </row>
    <row r="916" ht="15.75" customHeight="1">
      <c r="A916" s="4"/>
      <c r="B916" s="4"/>
      <c r="C916" s="4"/>
      <c r="D916" s="4"/>
      <c r="E916" s="19"/>
      <c r="F916" s="4"/>
      <c r="G916" s="4"/>
      <c r="H916" s="7"/>
      <c r="I916" s="4"/>
      <c r="J916" s="4"/>
      <c r="K916" s="22"/>
      <c r="L916" s="4"/>
      <c r="M916" s="4"/>
      <c r="N916" s="4"/>
      <c r="O916" s="4"/>
      <c r="P916" s="4"/>
      <c r="Q916" s="4"/>
      <c r="R916" s="4"/>
      <c r="S916" s="7"/>
      <c r="T916" s="7"/>
      <c r="U916" s="7"/>
      <c r="V916" s="7"/>
      <c r="W916" s="7"/>
      <c r="X916" s="7"/>
      <c r="Y916" s="7"/>
      <c r="Z916" s="7"/>
    </row>
    <row r="917" ht="15.75" customHeight="1">
      <c r="A917" s="4"/>
      <c r="B917" s="4"/>
      <c r="C917" s="4"/>
      <c r="D917" s="4"/>
      <c r="E917" s="19"/>
      <c r="F917" s="4"/>
      <c r="G917" s="4"/>
      <c r="H917" s="7"/>
      <c r="I917" s="4"/>
      <c r="J917" s="4"/>
      <c r="K917" s="22"/>
      <c r="L917" s="4"/>
      <c r="M917" s="4"/>
      <c r="N917" s="4"/>
      <c r="O917" s="4"/>
      <c r="P917" s="4"/>
      <c r="Q917" s="4"/>
      <c r="R917" s="4"/>
      <c r="S917" s="7"/>
      <c r="T917" s="7"/>
      <c r="U917" s="7"/>
      <c r="V917" s="7"/>
      <c r="W917" s="7"/>
      <c r="X917" s="7"/>
      <c r="Y917" s="7"/>
      <c r="Z917" s="7"/>
    </row>
    <row r="918" ht="15.75" customHeight="1">
      <c r="A918" s="4"/>
      <c r="B918" s="4"/>
      <c r="C918" s="4"/>
      <c r="D918" s="4"/>
      <c r="E918" s="19"/>
      <c r="F918" s="4"/>
      <c r="G918" s="4"/>
      <c r="H918" s="7"/>
      <c r="I918" s="4"/>
      <c r="J918" s="4"/>
      <c r="K918" s="22"/>
      <c r="L918" s="4"/>
      <c r="M918" s="4"/>
      <c r="N918" s="4"/>
      <c r="O918" s="4"/>
      <c r="P918" s="4"/>
      <c r="Q918" s="4"/>
      <c r="R918" s="4"/>
      <c r="S918" s="7"/>
      <c r="T918" s="7"/>
      <c r="U918" s="7"/>
      <c r="V918" s="7"/>
      <c r="W918" s="7"/>
      <c r="X918" s="7"/>
      <c r="Y918" s="7"/>
      <c r="Z918" s="7"/>
    </row>
    <row r="919" ht="15.75" customHeight="1">
      <c r="A919" s="4"/>
      <c r="B919" s="4"/>
      <c r="C919" s="4"/>
      <c r="D919" s="4"/>
      <c r="E919" s="19"/>
      <c r="F919" s="4"/>
      <c r="G919" s="4"/>
      <c r="H919" s="7"/>
      <c r="I919" s="4"/>
      <c r="J919" s="4"/>
      <c r="K919" s="22"/>
      <c r="L919" s="4"/>
      <c r="M919" s="4"/>
      <c r="N919" s="4"/>
      <c r="O919" s="4"/>
      <c r="P919" s="4"/>
      <c r="Q919" s="4"/>
      <c r="R919" s="4"/>
      <c r="S919" s="7"/>
      <c r="T919" s="7"/>
      <c r="U919" s="7"/>
      <c r="V919" s="7"/>
      <c r="W919" s="7"/>
      <c r="X919" s="7"/>
      <c r="Y919" s="7"/>
      <c r="Z919" s="7"/>
    </row>
    <row r="920" ht="15.75" customHeight="1">
      <c r="A920" s="4"/>
      <c r="B920" s="4"/>
      <c r="C920" s="4"/>
      <c r="D920" s="4"/>
      <c r="E920" s="19"/>
      <c r="F920" s="4"/>
      <c r="G920" s="4"/>
      <c r="H920" s="7"/>
      <c r="I920" s="4"/>
      <c r="J920" s="4"/>
      <c r="K920" s="22"/>
      <c r="L920" s="4"/>
      <c r="M920" s="4"/>
      <c r="N920" s="4"/>
      <c r="O920" s="4"/>
      <c r="P920" s="4"/>
      <c r="Q920" s="4"/>
      <c r="R920" s="4"/>
      <c r="S920" s="7"/>
      <c r="T920" s="7"/>
      <c r="U920" s="7"/>
      <c r="V920" s="7"/>
      <c r="W920" s="7"/>
      <c r="X920" s="7"/>
      <c r="Y920" s="7"/>
      <c r="Z920" s="7"/>
    </row>
    <row r="921" ht="15.75" customHeight="1">
      <c r="A921" s="4"/>
      <c r="B921" s="4"/>
      <c r="C921" s="4"/>
      <c r="D921" s="4"/>
      <c r="E921" s="19"/>
      <c r="F921" s="4"/>
      <c r="G921" s="4"/>
      <c r="H921" s="7"/>
      <c r="I921" s="4"/>
      <c r="J921" s="4"/>
      <c r="K921" s="22"/>
      <c r="L921" s="4"/>
      <c r="M921" s="4"/>
      <c r="N921" s="4"/>
      <c r="O921" s="4"/>
      <c r="P921" s="4"/>
      <c r="Q921" s="4"/>
      <c r="R921" s="4"/>
      <c r="S921" s="7"/>
      <c r="T921" s="7"/>
      <c r="U921" s="7"/>
      <c r="V921" s="7"/>
      <c r="W921" s="7"/>
      <c r="X921" s="7"/>
      <c r="Y921" s="7"/>
      <c r="Z921" s="7"/>
    </row>
    <row r="922" ht="15.75" customHeight="1">
      <c r="A922" s="4"/>
      <c r="B922" s="4"/>
      <c r="C922" s="4"/>
      <c r="D922" s="4"/>
      <c r="E922" s="19"/>
      <c r="F922" s="4"/>
      <c r="G922" s="4"/>
      <c r="H922" s="7"/>
      <c r="I922" s="4"/>
      <c r="J922" s="4"/>
      <c r="K922" s="22"/>
      <c r="L922" s="4"/>
      <c r="M922" s="4"/>
      <c r="N922" s="4"/>
      <c r="O922" s="4"/>
      <c r="P922" s="4"/>
      <c r="Q922" s="4"/>
      <c r="R922" s="4"/>
      <c r="S922" s="7"/>
      <c r="T922" s="7"/>
      <c r="U922" s="7"/>
      <c r="V922" s="7"/>
      <c r="W922" s="7"/>
      <c r="X922" s="7"/>
      <c r="Y922" s="7"/>
      <c r="Z922" s="7"/>
    </row>
    <row r="923" ht="15.75" customHeight="1">
      <c r="A923" s="4"/>
      <c r="B923" s="4"/>
      <c r="C923" s="4"/>
      <c r="D923" s="4"/>
      <c r="E923" s="19"/>
      <c r="F923" s="4"/>
      <c r="G923" s="4"/>
      <c r="H923" s="7"/>
      <c r="I923" s="4"/>
      <c r="J923" s="4"/>
      <c r="K923" s="22"/>
      <c r="L923" s="4"/>
      <c r="M923" s="4"/>
      <c r="N923" s="4"/>
      <c r="O923" s="4"/>
      <c r="P923" s="4"/>
      <c r="Q923" s="4"/>
      <c r="R923" s="4"/>
      <c r="S923" s="7"/>
      <c r="T923" s="7"/>
      <c r="U923" s="7"/>
      <c r="V923" s="7"/>
      <c r="W923" s="7"/>
      <c r="X923" s="7"/>
      <c r="Y923" s="7"/>
      <c r="Z923" s="7"/>
    </row>
    <row r="924" ht="15.75" customHeight="1">
      <c r="A924" s="4"/>
      <c r="B924" s="4"/>
      <c r="C924" s="4"/>
      <c r="D924" s="4"/>
      <c r="E924" s="19"/>
      <c r="F924" s="4"/>
      <c r="G924" s="4"/>
      <c r="H924" s="7"/>
      <c r="I924" s="4"/>
      <c r="J924" s="4"/>
      <c r="K924" s="22"/>
      <c r="L924" s="4"/>
      <c r="M924" s="4"/>
      <c r="N924" s="4"/>
      <c r="O924" s="4"/>
      <c r="P924" s="4"/>
      <c r="Q924" s="4"/>
      <c r="R924" s="4"/>
      <c r="S924" s="7"/>
      <c r="T924" s="7"/>
      <c r="U924" s="7"/>
      <c r="V924" s="7"/>
      <c r="W924" s="7"/>
      <c r="X924" s="7"/>
      <c r="Y924" s="7"/>
      <c r="Z924" s="7"/>
    </row>
    <row r="925" ht="15.75" customHeight="1">
      <c r="A925" s="4"/>
      <c r="B925" s="4"/>
      <c r="C925" s="4"/>
      <c r="D925" s="4"/>
      <c r="E925" s="19"/>
      <c r="F925" s="4"/>
      <c r="G925" s="4"/>
      <c r="H925" s="7"/>
      <c r="I925" s="4"/>
      <c r="J925" s="4"/>
      <c r="K925" s="22"/>
      <c r="L925" s="4"/>
      <c r="M925" s="4"/>
      <c r="N925" s="4"/>
      <c r="O925" s="4"/>
      <c r="P925" s="4"/>
      <c r="Q925" s="4"/>
      <c r="R925" s="4"/>
      <c r="S925" s="7"/>
      <c r="T925" s="7"/>
      <c r="U925" s="7"/>
      <c r="V925" s="7"/>
      <c r="W925" s="7"/>
      <c r="X925" s="7"/>
      <c r="Y925" s="7"/>
      <c r="Z925" s="7"/>
    </row>
    <row r="926" ht="15.75" customHeight="1">
      <c r="A926" s="4"/>
      <c r="B926" s="4"/>
      <c r="C926" s="4"/>
      <c r="D926" s="4"/>
      <c r="E926" s="19"/>
      <c r="F926" s="4"/>
      <c r="G926" s="4"/>
      <c r="H926" s="7"/>
      <c r="I926" s="4"/>
      <c r="J926" s="4"/>
      <c r="K926" s="22"/>
      <c r="L926" s="4"/>
      <c r="M926" s="4"/>
      <c r="N926" s="4"/>
      <c r="O926" s="4"/>
      <c r="P926" s="4"/>
      <c r="Q926" s="4"/>
      <c r="R926" s="4"/>
      <c r="S926" s="7"/>
      <c r="T926" s="7"/>
      <c r="U926" s="7"/>
      <c r="V926" s="7"/>
      <c r="W926" s="7"/>
      <c r="X926" s="7"/>
      <c r="Y926" s="7"/>
      <c r="Z926" s="7"/>
    </row>
    <row r="927" ht="15.75" customHeight="1">
      <c r="A927" s="4"/>
      <c r="B927" s="4"/>
      <c r="C927" s="4"/>
      <c r="D927" s="4"/>
      <c r="E927" s="19"/>
      <c r="F927" s="4"/>
      <c r="G927" s="4"/>
      <c r="H927" s="7"/>
      <c r="I927" s="4"/>
      <c r="J927" s="4"/>
      <c r="K927" s="22"/>
      <c r="L927" s="4"/>
      <c r="M927" s="4"/>
      <c r="N927" s="4"/>
      <c r="O927" s="4"/>
      <c r="P927" s="4"/>
      <c r="Q927" s="4"/>
      <c r="R927" s="4"/>
      <c r="S927" s="7"/>
      <c r="T927" s="7"/>
      <c r="U927" s="7"/>
      <c r="V927" s="7"/>
      <c r="W927" s="7"/>
      <c r="X927" s="7"/>
      <c r="Y927" s="7"/>
      <c r="Z927" s="7"/>
    </row>
    <row r="928" ht="15.75" customHeight="1">
      <c r="A928" s="4"/>
      <c r="B928" s="4"/>
      <c r="C928" s="4"/>
      <c r="D928" s="4"/>
      <c r="E928" s="19"/>
      <c r="F928" s="4"/>
      <c r="G928" s="4"/>
      <c r="H928" s="7"/>
      <c r="I928" s="4"/>
      <c r="J928" s="4"/>
      <c r="K928" s="22"/>
      <c r="L928" s="4"/>
      <c r="M928" s="4"/>
      <c r="N928" s="4"/>
      <c r="O928" s="4"/>
      <c r="P928" s="4"/>
      <c r="Q928" s="4"/>
      <c r="R928" s="4"/>
      <c r="S928" s="7"/>
      <c r="T928" s="7"/>
      <c r="U928" s="7"/>
      <c r="V928" s="7"/>
      <c r="W928" s="7"/>
      <c r="X928" s="7"/>
      <c r="Y928" s="7"/>
      <c r="Z928" s="7"/>
    </row>
    <row r="929" ht="15.75" customHeight="1">
      <c r="A929" s="4"/>
      <c r="B929" s="4"/>
      <c r="C929" s="4"/>
      <c r="D929" s="4"/>
      <c r="E929" s="19"/>
      <c r="F929" s="4"/>
      <c r="G929" s="4"/>
      <c r="H929" s="7"/>
      <c r="I929" s="4"/>
      <c r="J929" s="4"/>
      <c r="K929" s="22"/>
      <c r="L929" s="4"/>
      <c r="M929" s="4"/>
      <c r="N929" s="4"/>
      <c r="O929" s="4"/>
      <c r="P929" s="4"/>
      <c r="Q929" s="4"/>
      <c r="R929" s="4"/>
      <c r="S929" s="7"/>
      <c r="T929" s="7"/>
      <c r="U929" s="7"/>
      <c r="V929" s="7"/>
      <c r="W929" s="7"/>
      <c r="X929" s="7"/>
      <c r="Y929" s="7"/>
      <c r="Z929" s="7"/>
    </row>
    <row r="930" ht="15.75" customHeight="1">
      <c r="A930" s="4"/>
      <c r="B930" s="4"/>
      <c r="C930" s="4"/>
      <c r="D930" s="4"/>
      <c r="E930" s="19"/>
      <c r="F930" s="4"/>
      <c r="G930" s="4"/>
      <c r="H930" s="7"/>
      <c r="I930" s="4"/>
      <c r="J930" s="4"/>
      <c r="K930" s="22"/>
      <c r="L930" s="4"/>
      <c r="M930" s="4"/>
      <c r="N930" s="4"/>
      <c r="O930" s="4"/>
      <c r="P930" s="4"/>
      <c r="Q930" s="4"/>
      <c r="R930" s="4"/>
      <c r="S930" s="7"/>
      <c r="T930" s="7"/>
      <c r="U930" s="7"/>
      <c r="V930" s="7"/>
      <c r="W930" s="7"/>
      <c r="X930" s="7"/>
      <c r="Y930" s="7"/>
      <c r="Z930" s="7"/>
    </row>
    <row r="931" ht="15.75" customHeight="1">
      <c r="A931" s="4"/>
      <c r="B931" s="4"/>
      <c r="C931" s="4"/>
      <c r="D931" s="4"/>
      <c r="E931" s="19"/>
      <c r="F931" s="4"/>
      <c r="G931" s="4"/>
      <c r="H931" s="7"/>
      <c r="I931" s="4"/>
      <c r="J931" s="4"/>
      <c r="K931" s="22"/>
      <c r="L931" s="4"/>
      <c r="M931" s="4"/>
      <c r="N931" s="4"/>
      <c r="O931" s="4"/>
      <c r="P931" s="4"/>
      <c r="Q931" s="4"/>
      <c r="R931" s="4"/>
      <c r="S931" s="7"/>
      <c r="T931" s="7"/>
      <c r="U931" s="7"/>
      <c r="V931" s="7"/>
      <c r="W931" s="7"/>
      <c r="X931" s="7"/>
      <c r="Y931" s="7"/>
      <c r="Z931" s="7"/>
    </row>
    <row r="932" ht="15.75" customHeight="1">
      <c r="A932" s="4"/>
      <c r="B932" s="4"/>
      <c r="C932" s="4"/>
      <c r="D932" s="4"/>
      <c r="E932" s="19"/>
      <c r="F932" s="4"/>
      <c r="G932" s="4"/>
      <c r="H932" s="7"/>
      <c r="I932" s="4"/>
      <c r="J932" s="4"/>
      <c r="K932" s="22"/>
      <c r="L932" s="4"/>
      <c r="M932" s="4"/>
      <c r="N932" s="4"/>
      <c r="O932" s="4"/>
      <c r="P932" s="4"/>
      <c r="Q932" s="4"/>
      <c r="R932" s="4"/>
      <c r="S932" s="7"/>
      <c r="T932" s="7"/>
      <c r="U932" s="7"/>
      <c r="V932" s="7"/>
      <c r="W932" s="7"/>
      <c r="X932" s="7"/>
      <c r="Y932" s="7"/>
      <c r="Z932" s="7"/>
    </row>
    <row r="933" ht="15.75" customHeight="1">
      <c r="A933" s="4"/>
      <c r="B933" s="4"/>
      <c r="C933" s="4"/>
      <c r="D933" s="4"/>
      <c r="E933" s="19"/>
      <c r="F933" s="4"/>
      <c r="G933" s="4"/>
      <c r="H933" s="7"/>
      <c r="I933" s="4"/>
      <c r="J933" s="4"/>
      <c r="K933" s="22"/>
      <c r="L933" s="4"/>
      <c r="M933" s="4"/>
      <c r="N933" s="4"/>
      <c r="O933" s="4"/>
      <c r="P933" s="4"/>
      <c r="Q933" s="4"/>
      <c r="R933" s="4"/>
      <c r="S933" s="7"/>
      <c r="T933" s="7"/>
      <c r="U933" s="7"/>
      <c r="V933" s="7"/>
      <c r="W933" s="7"/>
      <c r="X933" s="7"/>
      <c r="Y933" s="7"/>
      <c r="Z933" s="7"/>
    </row>
    <row r="934" ht="15.75" customHeight="1">
      <c r="A934" s="4"/>
      <c r="B934" s="4"/>
      <c r="C934" s="4"/>
      <c r="D934" s="4"/>
      <c r="E934" s="19"/>
      <c r="F934" s="4"/>
      <c r="G934" s="4"/>
      <c r="H934" s="7"/>
      <c r="I934" s="4"/>
      <c r="J934" s="4"/>
      <c r="K934" s="22"/>
      <c r="L934" s="4"/>
      <c r="M934" s="4"/>
      <c r="N934" s="4"/>
      <c r="O934" s="4"/>
      <c r="P934" s="4"/>
      <c r="Q934" s="4"/>
      <c r="R934" s="4"/>
      <c r="S934" s="7"/>
      <c r="T934" s="7"/>
      <c r="U934" s="7"/>
      <c r="V934" s="7"/>
      <c r="W934" s="7"/>
      <c r="X934" s="7"/>
      <c r="Y934" s="7"/>
      <c r="Z934" s="7"/>
    </row>
    <row r="935" ht="15.75" customHeight="1">
      <c r="A935" s="4"/>
      <c r="B935" s="4"/>
      <c r="C935" s="4"/>
      <c r="D935" s="4"/>
      <c r="E935" s="19"/>
      <c r="F935" s="4"/>
      <c r="G935" s="4"/>
      <c r="H935" s="7"/>
      <c r="I935" s="4"/>
      <c r="J935" s="4"/>
      <c r="K935" s="22"/>
      <c r="L935" s="4"/>
      <c r="M935" s="4"/>
      <c r="N935" s="4"/>
      <c r="O935" s="4"/>
      <c r="P935" s="4"/>
      <c r="Q935" s="4"/>
      <c r="R935" s="4"/>
      <c r="S935" s="7"/>
      <c r="T935" s="7"/>
      <c r="U935" s="7"/>
      <c r="V935" s="7"/>
      <c r="W935" s="7"/>
      <c r="X935" s="7"/>
      <c r="Y935" s="7"/>
      <c r="Z935" s="7"/>
    </row>
    <row r="936" ht="15.75" customHeight="1">
      <c r="A936" s="4"/>
      <c r="B936" s="4"/>
      <c r="C936" s="4"/>
      <c r="D936" s="4"/>
      <c r="E936" s="19"/>
      <c r="F936" s="4"/>
      <c r="G936" s="4"/>
      <c r="H936" s="7"/>
      <c r="I936" s="4"/>
      <c r="J936" s="4"/>
      <c r="K936" s="22"/>
      <c r="L936" s="4"/>
      <c r="M936" s="4"/>
      <c r="N936" s="4"/>
      <c r="O936" s="4"/>
      <c r="P936" s="4"/>
      <c r="Q936" s="4"/>
      <c r="R936" s="4"/>
      <c r="S936" s="7"/>
      <c r="T936" s="7"/>
      <c r="U936" s="7"/>
      <c r="V936" s="7"/>
      <c r="W936" s="7"/>
      <c r="X936" s="7"/>
      <c r="Y936" s="7"/>
      <c r="Z936" s="7"/>
    </row>
    <row r="937" ht="15.75" customHeight="1">
      <c r="A937" s="4"/>
      <c r="B937" s="4"/>
      <c r="C937" s="4"/>
      <c r="D937" s="4"/>
      <c r="E937" s="19"/>
      <c r="F937" s="4"/>
      <c r="G937" s="4"/>
      <c r="H937" s="7"/>
      <c r="I937" s="4"/>
      <c r="J937" s="4"/>
      <c r="K937" s="22"/>
      <c r="L937" s="4"/>
      <c r="M937" s="4"/>
      <c r="N937" s="4"/>
      <c r="O937" s="4"/>
      <c r="P937" s="4"/>
      <c r="Q937" s="4"/>
      <c r="R937" s="4"/>
      <c r="S937" s="7"/>
      <c r="T937" s="7"/>
      <c r="U937" s="7"/>
      <c r="V937" s="7"/>
      <c r="W937" s="7"/>
      <c r="X937" s="7"/>
      <c r="Y937" s="7"/>
      <c r="Z937" s="7"/>
    </row>
    <row r="938" ht="15.75" customHeight="1">
      <c r="A938" s="4"/>
      <c r="B938" s="4"/>
      <c r="C938" s="4"/>
      <c r="D938" s="4"/>
      <c r="E938" s="19"/>
      <c r="F938" s="4"/>
      <c r="G938" s="4"/>
      <c r="H938" s="7"/>
      <c r="I938" s="4"/>
      <c r="J938" s="4"/>
      <c r="K938" s="22"/>
      <c r="L938" s="4"/>
      <c r="M938" s="4"/>
      <c r="N938" s="4"/>
      <c r="O938" s="4"/>
      <c r="P938" s="4"/>
      <c r="Q938" s="4"/>
      <c r="R938" s="4"/>
      <c r="S938" s="7"/>
      <c r="T938" s="7"/>
      <c r="U938" s="7"/>
      <c r="V938" s="7"/>
      <c r="W938" s="7"/>
      <c r="X938" s="7"/>
      <c r="Y938" s="7"/>
      <c r="Z938" s="7"/>
    </row>
    <row r="939" ht="15.75" customHeight="1">
      <c r="A939" s="4"/>
      <c r="B939" s="4"/>
      <c r="C939" s="4"/>
      <c r="D939" s="4"/>
      <c r="E939" s="19"/>
      <c r="F939" s="4"/>
      <c r="G939" s="4"/>
      <c r="H939" s="7"/>
      <c r="I939" s="4"/>
      <c r="J939" s="4"/>
      <c r="K939" s="22"/>
      <c r="L939" s="4"/>
      <c r="M939" s="4"/>
      <c r="N939" s="4"/>
      <c r="O939" s="4"/>
      <c r="P939" s="4"/>
      <c r="Q939" s="4"/>
      <c r="R939" s="4"/>
      <c r="S939" s="7"/>
      <c r="T939" s="7"/>
      <c r="U939" s="7"/>
      <c r="V939" s="7"/>
      <c r="W939" s="7"/>
      <c r="X939" s="7"/>
      <c r="Y939" s="7"/>
      <c r="Z939" s="7"/>
    </row>
    <row r="940" ht="15.75" customHeight="1">
      <c r="A940" s="4"/>
      <c r="B940" s="4"/>
      <c r="C940" s="4"/>
      <c r="D940" s="4"/>
      <c r="E940" s="19"/>
      <c r="F940" s="4"/>
      <c r="G940" s="4"/>
      <c r="H940" s="7"/>
      <c r="I940" s="4"/>
      <c r="J940" s="4"/>
      <c r="K940" s="22"/>
      <c r="L940" s="4"/>
      <c r="M940" s="4"/>
      <c r="N940" s="4"/>
      <c r="O940" s="4"/>
      <c r="P940" s="4"/>
      <c r="Q940" s="4"/>
      <c r="R940" s="4"/>
      <c r="S940" s="7"/>
      <c r="T940" s="7"/>
      <c r="U940" s="7"/>
      <c r="V940" s="7"/>
      <c r="W940" s="7"/>
      <c r="X940" s="7"/>
      <c r="Y940" s="7"/>
      <c r="Z940" s="7"/>
    </row>
    <row r="941" ht="15.75" customHeight="1">
      <c r="A941" s="4"/>
      <c r="B941" s="4"/>
      <c r="C941" s="4"/>
      <c r="D941" s="4"/>
      <c r="E941" s="19"/>
      <c r="F941" s="4"/>
      <c r="G941" s="4"/>
      <c r="H941" s="7"/>
      <c r="I941" s="4"/>
      <c r="J941" s="4"/>
      <c r="K941" s="22"/>
      <c r="L941" s="4"/>
      <c r="M941" s="4"/>
      <c r="N941" s="4"/>
      <c r="O941" s="4"/>
      <c r="P941" s="4"/>
      <c r="Q941" s="4"/>
      <c r="R941" s="4"/>
      <c r="S941" s="7"/>
      <c r="T941" s="7"/>
      <c r="U941" s="7"/>
      <c r="V941" s="7"/>
      <c r="W941" s="7"/>
      <c r="X941" s="7"/>
      <c r="Y941" s="7"/>
      <c r="Z941" s="7"/>
    </row>
    <row r="942" ht="15.75" customHeight="1">
      <c r="A942" s="4"/>
      <c r="B942" s="4"/>
      <c r="C942" s="4"/>
      <c r="D942" s="4"/>
      <c r="E942" s="19"/>
      <c r="F942" s="4"/>
      <c r="G942" s="4"/>
      <c r="H942" s="7"/>
      <c r="I942" s="4"/>
      <c r="J942" s="4"/>
      <c r="K942" s="22"/>
      <c r="L942" s="4"/>
      <c r="M942" s="4"/>
      <c r="N942" s="4"/>
      <c r="O942" s="4"/>
      <c r="P942" s="4"/>
      <c r="Q942" s="4"/>
      <c r="R942" s="4"/>
      <c r="S942" s="7"/>
      <c r="T942" s="7"/>
      <c r="U942" s="7"/>
      <c r="V942" s="7"/>
      <c r="W942" s="7"/>
      <c r="X942" s="7"/>
      <c r="Y942" s="7"/>
      <c r="Z942" s="7"/>
    </row>
    <row r="943" ht="15.75" customHeight="1">
      <c r="A943" s="4"/>
      <c r="B943" s="4"/>
      <c r="C943" s="4"/>
      <c r="D943" s="4"/>
      <c r="E943" s="19"/>
      <c r="F943" s="4"/>
      <c r="G943" s="4"/>
      <c r="H943" s="7"/>
      <c r="I943" s="4"/>
      <c r="J943" s="4"/>
      <c r="K943" s="22"/>
      <c r="L943" s="4"/>
      <c r="M943" s="4"/>
      <c r="N943" s="4"/>
      <c r="O943" s="4"/>
      <c r="P943" s="4"/>
      <c r="Q943" s="4"/>
      <c r="R943" s="4"/>
      <c r="S943" s="7"/>
      <c r="T943" s="7"/>
      <c r="U943" s="7"/>
      <c r="V943" s="7"/>
      <c r="W943" s="7"/>
      <c r="X943" s="7"/>
      <c r="Y943" s="7"/>
      <c r="Z943" s="7"/>
    </row>
    <row r="944" ht="15.75" customHeight="1">
      <c r="A944" s="4"/>
      <c r="B944" s="4"/>
      <c r="C944" s="4"/>
      <c r="D944" s="4"/>
      <c r="E944" s="19"/>
      <c r="F944" s="4"/>
      <c r="G944" s="4"/>
      <c r="H944" s="7"/>
      <c r="I944" s="4"/>
      <c r="J944" s="4"/>
      <c r="K944" s="22"/>
      <c r="L944" s="4"/>
      <c r="M944" s="4"/>
      <c r="N944" s="4"/>
      <c r="O944" s="4"/>
      <c r="P944" s="4"/>
      <c r="Q944" s="4"/>
      <c r="R944" s="4"/>
      <c r="S944" s="7"/>
      <c r="T944" s="7"/>
      <c r="U944" s="7"/>
      <c r="V944" s="7"/>
      <c r="W944" s="7"/>
      <c r="X944" s="7"/>
      <c r="Y944" s="7"/>
      <c r="Z944" s="7"/>
    </row>
    <row r="945" ht="15.75" customHeight="1">
      <c r="A945" s="4"/>
      <c r="B945" s="4"/>
      <c r="C945" s="4"/>
      <c r="D945" s="4"/>
      <c r="E945" s="19"/>
      <c r="F945" s="4"/>
      <c r="G945" s="4"/>
      <c r="H945" s="7"/>
      <c r="I945" s="4"/>
      <c r="J945" s="4"/>
      <c r="K945" s="22"/>
      <c r="L945" s="4"/>
      <c r="M945" s="4"/>
      <c r="N945" s="4"/>
      <c r="O945" s="4"/>
      <c r="P945" s="4"/>
      <c r="Q945" s="4"/>
      <c r="R945" s="4"/>
      <c r="S945" s="7"/>
      <c r="T945" s="7"/>
      <c r="U945" s="7"/>
      <c r="V945" s="7"/>
      <c r="W945" s="7"/>
      <c r="X945" s="7"/>
      <c r="Y945" s="7"/>
      <c r="Z945" s="7"/>
    </row>
    <row r="946" ht="15.75" customHeight="1">
      <c r="A946" s="4"/>
      <c r="B946" s="4"/>
      <c r="C946" s="4"/>
      <c r="D946" s="4"/>
      <c r="E946" s="19"/>
      <c r="F946" s="4"/>
      <c r="G946" s="4"/>
      <c r="H946" s="7"/>
      <c r="I946" s="4"/>
      <c r="J946" s="4"/>
      <c r="K946" s="22"/>
      <c r="L946" s="4"/>
      <c r="M946" s="4"/>
      <c r="N946" s="4"/>
      <c r="O946" s="4"/>
      <c r="P946" s="4"/>
      <c r="Q946" s="4"/>
      <c r="R946" s="4"/>
      <c r="S946" s="7"/>
      <c r="T946" s="7"/>
      <c r="U946" s="7"/>
      <c r="V946" s="7"/>
      <c r="W946" s="7"/>
      <c r="X946" s="7"/>
      <c r="Y946" s="7"/>
      <c r="Z946" s="7"/>
    </row>
    <row r="947" ht="15.75" customHeight="1">
      <c r="A947" s="4"/>
      <c r="B947" s="4"/>
      <c r="C947" s="4"/>
      <c r="D947" s="4"/>
      <c r="E947" s="19"/>
      <c r="F947" s="4"/>
      <c r="G947" s="4"/>
      <c r="H947" s="7"/>
      <c r="I947" s="4"/>
      <c r="J947" s="4"/>
      <c r="K947" s="22"/>
      <c r="L947" s="4"/>
      <c r="M947" s="4"/>
      <c r="N947" s="4"/>
      <c r="O947" s="4"/>
      <c r="P947" s="4"/>
      <c r="Q947" s="4"/>
      <c r="R947" s="4"/>
      <c r="S947" s="7"/>
      <c r="T947" s="7"/>
      <c r="U947" s="7"/>
      <c r="V947" s="7"/>
      <c r="W947" s="7"/>
      <c r="X947" s="7"/>
      <c r="Y947" s="7"/>
      <c r="Z947" s="7"/>
    </row>
    <row r="948" ht="15.75" customHeight="1">
      <c r="A948" s="4"/>
      <c r="B948" s="4"/>
      <c r="C948" s="4"/>
      <c r="D948" s="4"/>
      <c r="E948" s="19"/>
      <c r="F948" s="4"/>
      <c r="G948" s="4"/>
      <c r="H948" s="7"/>
      <c r="I948" s="4"/>
      <c r="J948" s="4"/>
      <c r="K948" s="22"/>
      <c r="L948" s="4"/>
      <c r="M948" s="4"/>
      <c r="N948" s="4"/>
      <c r="O948" s="4"/>
      <c r="P948" s="4"/>
      <c r="Q948" s="4"/>
      <c r="R948" s="4"/>
      <c r="S948" s="7"/>
      <c r="T948" s="7"/>
      <c r="U948" s="7"/>
      <c r="V948" s="7"/>
      <c r="W948" s="7"/>
      <c r="X948" s="7"/>
      <c r="Y948" s="7"/>
      <c r="Z948" s="7"/>
    </row>
    <row r="949" ht="15.75" customHeight="1">
      <c r="A949" s="4"/>
      <c r="B949" s="4"/>
      <c r="C949" s="4"/>
      <c r="D949" s="4"/>
      <c r="E949" s="19"/>
      <c r="F949" s="4"/>
      <c r="G949" s="4"/>
      <c r="H949" s="7"/>
      <c r="I949" s="4"/>
      <c r="J949" s="4"/>
      <c r="K949" s="22"/>
      <c r="L949" s="4"/>
      <c r="M949" s="4"/>
      <c r="N949" s="4"/>
      <c r="O949" s="4"/>
      <c r="P949" s="4"/>
      <c r="Q949" s="4"/>
      <c r="R949" s="4"/>
      <c r="S949" s="7"/>
      <c r="T949" s="7"/>
      <c r="U949" s="7"/>
      <c r="V949" s="7"/>
      <c r="W949" s="7"/>
      <c r="X949" s="7"/>
      <c r="Y949" s="7"/>
      <c r="Z949" s="7"/>
    </row>
    <row r="950" ht="15.75" customHeight="1">
      <c r="A950" s="4"/>
      <c r="B950" s="4"/>
      <c r="C950" s="4"/>
      <c r="D950" s="4"/>
      <c r="E950" s="19"/>
      <c r="F950" s="4"/>
      <c r="G950" s="4"/>
      <c r="H950" s="7"/>
      <c r="I950" s="4"/>
      <c r="J950" s="4"/>
      <c r="K950" s="22"/>
      <c r="L950" s="4"/>
      <c r="M950" s="4"/>
      <c r="N950" s="4"/>
      <c r="O950" s="4"/>
      <c r="P950" s="4"/>
      <c r="Q950" s="4"/>
      <c r="R950" s="4"/>
      <c r="S950" s="7"/>
      <c r="T950" s="7"/>
      <c r="U950" s="7"/>
      <c r="V950" s="7"/>
      <c r="W950" s="7"/>
      <c r="X950" s="7"/>
      <c r="Y950" s="7"/>
      <c r="Z950" s="7"/>
    </row>
    <row r="951" ht="15.75" customHeight="1">
      <c r="A951" s="4"/>
      <c r="B951" s="4"/>
      <c r="C951" s="4"/>
      <c r="D951" s="4"/>
      <c r="E951" s="19"/>
      <c r="F951" s="4"/>
      <c r="G951" s="4"/>
      <c r="H951" s="7"/>
      <c r="I951" s="4"/>
      <c r="J951" s="4"/>
      <c r="K951" s="22"/>
      <c r="L951" s="4"/>
      <c r="M951" s="4"/>
      <c r="N951" s="4"/>
      <c r="O951" s="4"/>
      <c r="P951" s="4"/>
      <c r="Q951" s="4"/>
      <c r="R951" s="4"/>
      <c r="S951" s="7"/>
      <c r="T951" s="7"/>
      <c r="U951" s="7"/>
      <c r="V951" s="7"/>
      <c r="W951" s="7"/>
      <c r="X951" s="7"/>
      <c r="Y951" s="7"/>
      <c r="Z951" s="7"/>
    </row>
    <row r="952" ht="15.75" customHeight="1">
      <c r="A952" s="4"/>
      <c r="B952" s="4"/>
      <c r="C952" s="4"/>
      <c r="D952" s="4"/>
      <c r="E952" s="19"/>
      <c r="F952" s="4"/>
      <c r="G952" s="4"/>
      <c r="H952" s="7"/>
      <c r="I952" s="4"/>
      <c r="J952" s="4"/>
      <c r="K952" s="22"/>
      <c r="L952" s="4"/>
      <c r="M952" s="4"/>
      <c r="N952" s="4"/>
      <c r="O952" s="4"/>
      <c r="P952" s="4"/>
      <c r="Q952" s="4"/>
      <c r="R952" s="4"/>
      <c r="S952" s="7"/>
      <c r="T952" s="7"/>
      <c r="U952" s="7"/>
      <c r="V952" s="7"/>
      <c r="W952" s="7"/>
      <c r="X952" s="7"/>
      <c r="Y952" s="7"/>
      <c r="Z952" s="7"/>
    </row>
    <row r="953" ht="15.75" customHeight="1">
      <c r="A953" s="4"/>
      <c r="B953" s="4"/>
      <c r="C953" s="4"/>
      <c r="D953" s="4"/>
      <c r="E953" s="19"/>
      <c r="F953" s="4"/>
      <c r="G953" s="4"/>
      <c r="H953" s="7"/>
      <c r="I953" s="4"/>
      <c r="J953" s="4"/>
      <c r="K953" s="22"/>
      <c r="L953" s="4"/>
      <c r="M953" s="4"/>
      <c r="N953" s="4"/>
      <c r="O953" s="4"/>
      <c r="P953" s="4"/>
      <c r="Q953" s="4"/>
      <c r="R953" s="4"/>
      <c r="S953" s="7"/>
      <c r="T953" s="7"/>
      <c r="U953" s="7"/>
      <c r="V953" s="7"/>
      <c r="W953" s="7"/>
      <c r="X953" s="7"/>
      <c r="Y953" s="7"/>
      <c r="Z953" s="7"/>
    </row>
    <row r="954" ht="15.75" customHeight="1">
      <c r="A954" s="4"/>
      <c r="B954" s="4"/>
      <c r="C954" s="4"/>
      <c r="D954" s="4"/>
      <c r="E954" s="19"/>
      <c r="F954" s="4"/>
      <c r="G954" s="4"/>
      <c r="H954" s="7"/>
      <c r="I954" s="4"/>
      <c r="J954" s="4"/>
      <c r="K954" s="22"/>
      <c r="L954" s="4"/>
      <c r="M954" s="4"/>
      <c r="N954" s="4"/>
      <c r="O954" s="4"/>
      <c r="P954" s="4"/>
      <c r="Q954" s="4"/>
      <c r="R954" s="4"/>
      <c r="S954" s="7"/>
      <c r="T954" s="7"/>
      <c r="U954" s="7"/>
      <c r="V954" s="7"/>
      <c r="W954" s="7"/>
      <c r="X954" s="7"/>
      <c r="Y954" s="7"/>
      <c r="Z954" s="7"/>
    </row>
    <row r="955" ht="15.75" customHeight="1">
      <c r="A955" s="4"/>
      <c r="B955" s="4"/>
      <c r="C955" s="4"/>
      <c r="D955" s="4"/>
      <c r="E955" s="19"/>
      <c r="F955" s="4"/>
      <c r="G955" s="4"/>
      <c r="H955" s="7"/>
      <c r="I955" s="4"/>
      <c r="J955" s="4"/>
      <c r="K955" s="22"/>
      <c r="L955" s="4"/>
      <c r="M955" s="4"/>
      <c r="N955" s="4"/>
      <c r="O955" s="4"/>
      <c r="P955" s="4"/>
      <c r="Q955" s="4"/>
      <c r="R955" s="4"/>
      <c r="S955" s="7"/>
      <c r="T955" s="7"/>
      <c r="U955" s="7"/>
      <c r="V955" s="7"/>
      <c r="W955" s="7"/>
      <c r="X955" s="7"/>
      <c r="Y955" s="7"/>
      <c r="Z955" s="7"/>
    </row>
    <row r="956" ht="15.75" customHeight="1">
      <c r="A956" s="4"/>
      <c r="B956" s="4"/>
      <c r="C956" s="4"/>
      <c r="D956" s="4"/>
      <c r="E956" s="19"/>
      <c r="F956" s="4"/>
      <c r="G956" s="4"/>
      <c r="H956" s="7"/>
      <c r="I956" s="4"/>
      <c r="J956" s="4"/>
      <c r="K956" s="22"/>
      <c r="L956" s="4"/>
      <c r="M956" s="4"/>
      <c r="N956" s="4"/>
      <c r="O956" s="4"/>
      <c r="P956" s="4"/>
      <c r="Q956" s="4"/>
      <c r="R956" s="4"/>
      <c r="S956" s="7"/>
      <c r="T956" s="7"/>
      <c r="U956" s="7"/>
      <c r="V956" s="7"/>
      <c r="W956" s="7"/>
      <c r="X956" s="7"/>
      <c r="Y956" s="7"/>
      <c r="Z956" s="7"/>
    </row>
    <row r="957" ht="15.75" customHeight="1">
      <c r="A957" s="4"/>
      <c r="B957" s="4"/>
      <c r="C957" s="4"/>
      <c r="D957" s="4"/>
      <c r="E957" s="19"/>
      <c r="F957" s="4"/>
      <c r="G957" s="4"/>
      <c r="H957" s="7"/>
      <c r="I957" s="4"/>
      <c r="J957" s="4"/>
      <c r="K957" s="22"/>
      <c r="L957" s="4"/>
      <c r="M957" s="4"/>
      <c r="N957" s="4"/>
      <c r="O957" s="4"/>
      <c r="P957" s="4"/>
      <c r="Q957" s="4"/>
      <c r="R957" s="4"/>
      <c r="S957" s="7"/>
      <c r="T957" s="7"/>
      <c r="U957" s="7"/>
      <c r="V957" s="7"/>
      <c r="W957" s="7"/>
      <c r="X957" s="7"/>
      <c r="Y957" s="7"/>
      <c r="Z957" s="7"/>
    </row>
    <row r="958" ht="15.75" customHeight="1">
      <c r="A958" s="4"/>
      <c r="B958" s="4"/>
      <c r="C958" s="4"/>
      <c r="D958" s="4"/>
      <c r="E958" s="19"/>
      <c r="F958" s="4"/>
      <c r="G958" s="4"/>
      <c r="H958" s="7"/>
      <c r="I958" s="4"/>
      <c r="J958" s="4"/>
      <c r="K958" s="22"/>
      <c r="L958" s="4"/>
      <c r="M958" s="4"/>
      <c r="N958" s="4"/>
      <c r="O958" s="4"/>
      <c r="P958" s="4"/>
      <c r="Q958" s="4"/>
      <c r="R958" s="4"/>
      <c r="S958" s="7"/>
      <c r="T958" s="7"/>
      <c r="U958" s="7"/>
      <c r="V958" s="7"/>
      <c r="W958" s="7"/>
      <c r="X958" s="7"/>
      <c r="Y958" s="7"/>
      <c r="Z958" s="7"/>
    </row>
    <row r="959" ht="15.75" customHeight="1">
      <c r="A959" s="4"/>
      <c r="B959" s="4"/>
      <c r="C959" s="4"/>
      <c r="D959" s="4"/>
      <c r="E959" s="19"/>
      <c r="F959" s="4"/>
      <c r="G959" s="4"/>
      <c r="H959" s="7"/>
      <c r="I959" s="4"/>
      <c r="J959" s="4"/>
      <c r="K959" s="22"/>
      <c r="L959" s="4"/>
      <c r="M959" s="4"/>
      <c r="N959" s="4"/>
      <c r="O959" s="4"/>
      <c r="P959" s="4"/>
      <c r="Q959" s="4"/>
      <c r="R959" s="4"/>
      <c r="S959" s="7"/>
      <c r="T959" s="7"/>
      <c r="U959" s="7"/>
      <c r="V959" s="7"/>
      <c r="W959" s="7"/>
      <c r="X959" s="7"/>
      <c r="Y959" s="7"/>
      <c r="Z959" s="7"/>
    </row>
    <row r="960" ht="15.75" customHeight="1">
      <c r="A960" s="4"/>
      <c r="B960" s="4"/>
      <c r="C960" s="4"/>
      <c r="D960" s="4"/>
      <c r="E960" s="19"/>
      <c r="F960" s="4"/>
      <c r="G960" s="4"/>
      <c r="H960" s="7"/>
      <c r="I960" s="4"/>
      <c r="J960" s="4"/>
      <c r="K960" s="22"/>
      <c r="L960" s="4"/>
      <c r="M960" s="4"/>
      <c r="N960" s="4"/>
      <c r="O960" s="4"/>
      <c r="P960" s="4"/>
      <c r="Q960" s="4"/>
      <c r="R960" s="4"/>
      <c r="S960" s="7"/>
      <c r="T960" s="7"/>
      <c r="U960" s="7"/>
      <c r="V960" s="7"/>
      <c r="W960" s="7"/>
      <c r="X960" s="7"/>
      <c r="Y960" s="7"/>
      <c r="Z960" s="7"/>
    </row>
    <row r="961" ht="15.75" customHeight="1">
      <c r="A961" s="4"/>
      <c r="B961" s="4"/>
      <c r="C961" s="4"/>
      <c r="D961" s="4"/>
      <c r="E961" s="19"/>
      <c r="F961" s="4"/>
      <c r="G961" s="4"/>
      <c r="H961" s="7"/>
      <c r="I961" s="4"/>
      <c r="J961" s="4"/>
      <c r="K961" s="22"/>
      <c r="L961" s="4"/>
      <c r="M961" s="4"/>
      <c r="N961" s="4"/>
      <c r="O961" s="4"/>
      <c r="P961" s="4"/>
      <c r="Q961" s="4"/>
      <c r="R961" s="4"/>
      <c r="S961" s="7"/>
      <c r="T961" s="7"/>
      <c r="U961" s="7"/>
      <c r="V961" s="7"/>
      <c r="W961" s="7"/>
      <c r="X961" s="7"/>
      <c r="Y961" s="7"/>
      <c r="Z961" s="7"/>
    </row>
    <row r="962" ht="15.75" customHeight="1">
      <c r="A962" s="4"/>
      <c r="B962" s="4"/>
      <c r="C962" s="4"/>
      <c r="D962" s="4"/>
      <c r="E962" s="19"/>
      <c r="F962" s="4"/>
      <c r="G962" s="4"/>
      <c r="H962" s="7"/>
      <c r="I962" s="4"/>
      <c r="J962" s="4"/>
      <c r="K962" s="22"/>
      <c r="L962" s="4"/>
      <c r="M962" s="4"/>
      <c r="N962" s="4"/>
      <c r="O962" s="4"/>
      <c r="P962" s="4"/>
      <c r="Q962" s="4"/>
      <c r="R962" s="4"/>
      <c r="S962" s="7"/>
      <c r="T962" s="7"/>
      <c r="U962" s="7"/>
      <c r="V962" s="7"/>
      <c r="W962" s="7"/>
      <c r="X962" s="7"/>
      <c r="Y962" s="7"/>
      <c r="Z962" s="7"/>
    </row>
    <row r="963" ht="15.75" customHeight="1">
      <c r="A963" s="4"/>
      <c r="B963" s="4"/>
      <c r="C963" s="4"/>
      <c r="D963" s="4"/>
      <c r="E963" s="19"/>
      <c r="F963" s="4"/>
      <c r="G963" s="4"/>
      <c r="H963" s="7"/>
      <c r="I963" s="4"/>
      <c r="J963" s="4"/>
      <c r="K963" s="22"/>
      <c r="L963" s="4"/>
      <c r="M963" s="4"/>
      <c r="N963" s="4"/>
      <c r="O963" s="4"/>
      <c r="P963" s="4"/>
      <c r="Q963" s="4"/>
      <c r="R963" s="4"/>
      <c r="S963" s="7"/>
      <c r="T963" s="7"/>
      <c r="U963" s="7"/>
      <c r="V963" s="7"/>
      <c r="W963" s="7"/>
      <c r="X963" s="7"/>
      <c r="Y963" s="7"/>
      <c r="Z963" s="7"/>
    </row>
    <row r="964" ht="15.75" customHeight="1">
      <c r="A964" s="4"/>
      <c r="B964" s="4"/>
      <c r="C964" s="4"/>
      <c r="D964" s="4"/>
      <c r="E964" s="19"/>
      <c r="F964" s="4"/>
      <c r="G964" s="4"/>
      <c r="H964" s="7"/>
      <c r="I964" s="4"/>
      <c r="J964" s="4"/>
      <c r="K964" s="22"/>
      <c r="L964" s="4"/>
      <c r="M964" s="4"/>
      <c r="N964" s="4"/>
      <c r="O964" s="4"/>
      <c r="P964" s="4"/>
      <c r="Q964" s="4"/>
      <c r="R964" s="4"/>
      <c r="S964" s="7"/>
      <c r="T964" s="7"/>
      <c r="U964" s="7"/>
      <c r="V964" s="7"/>
      <c r="W964" s="7"/>
      <c r="X964" s="7"/>
      <c r="Y964" s="7"/>
      <c r="Z964" s="7"/>
    </row>
    <row r="965" ht="15.75" customHeight="1">
      <c r="A965" s="4"/>
      <c r="B965" s="4"/>
      <c r="C965" s="4"/>
      <c r="D965" s="4"/>
      <c r="E965" s="19"/>
      <c r="F965" s="4"/>
      <c r="G965" s="4"/>
      <c r="H965" s="7"/>
      <c r="I965" s="4"/>
      <c r="J965" s="4"/>
      <c r="K965" s="22"/>
      <c r="L965" s="4"/>
      <c r="M965" s="4"/>
      <c r="N965" s="4"/>
      <c r="O965" s="4"/>
      <c r="P965" s="4"/>
      <c r="Q965" s="4"/>
      <c r="R965" s="4"/>
      <c r="S965" s="7"/>
      <c r="T965" s="7"/>
      <c r="U965" s="7"/>
      <c r="V965" s="7"/>
      <c r="W965" s="7"/>
      <c r="X965" s="7"/>
      <c r="Y965" s="7"/>
      <c r="Z965" s="7"/>
    </row>
    <row r="966" ht="15.75" customHeight="1">
      <c r="A966" s="4"/>
      <c r="B966" s="4"/>
      <c r="C966" s="4"/>
      <c r="D966" s="4"/>
      <c r="E966" s="19"/>
      <c r="F966" s="4"/>
      <c r="G966" s="4"/>
      <c r="H966" s="7"/>
      <c r="I966" s="4"/>
      <c r="J966" s="4"/>
      <c r="K966" s="22"/>
      <c r="L966" s="4"/>
      <c r="M966" s="4"/>
      <c r="N966" s="4"/>
      <c r="O966" s="4"/>
      <c r="P966" s="4"/>
      <c r="Q966" s="4"/>
      <c r="R966" s="4"/>
      <c r="S966" s="7"/>
      <c r="T966" s="7"/>
      <c r="U966" s="7"/>
      <c r="V966" s="7"/>
      <c r="W966" s="7"/>
      <c r="X966" s="7"/>
      <c r="Y966" s="7"/>
      <c r="Z966" s="7"/>
    </row>
    <row r="967" ht="15.75" customHeight="1">
      <c r="A967" s="4"/>
      <c r="B967" s="4"/>
      <c r="C967" s="4"/>
      <c r="D967" s="4"/>
      <c r="E967" s="19"/>
      <c r="F967" s="4"/>
      <c r="G967" s="4"/>
      <c r="H967" s="7"/>
      <c r="I967" s="4"/>
      <c r="J967" s="4"/>
      <c r="K967" s="22"/>
      <c r="L967" s="4"/>
      <c r="M967" s="4"/>
      <c r="N967" s="4"/>
      <c r="O967" s="4"/>
      <c r="P967" s="4"/>
      <c r="Q967" s="4"/>
      <c r="R967" s="4"/>
      <c r="S967" s="7"/>
      <c r="T967" s="7"/>
      <c r="U967" s="7"/>
      <c r="V967" s="7"/>
      <c r="W967" s="7"/>
      <c r="X967" s="7"/>
      <c r="Y967" s="7"/>
      <c r="Z967" s="7"/>
    </row>
    <row r="968" ht="15.75" customHeight="1">
      <c r="A968" s="4"/>
      <c r="B968" s="4"/>
      <c r="C968" s="4"/>
      <c r="D968" s="4"/>
      <c r="E968" s="19"/>
      <c r="F968" s="4"/>
      <c r="G968" s="4"/>
      <c r="H968" s="7"/>
      <c r="I968" s="4"/>
      <c r="J968" s="4"/>
      <c r="K968" s="22"/>
      <c r="L968" s="4"/>
      <c r="M968" s="4"/>
      <c r="N968" s="4"/>
      <c r="O968" s="4"/>
      <c r="P968" s="4"/>
      <c r="Q968" s="4"/>
      <c r="R968" s="4"/>
      <c r="S968" s="7"/>
      <c r="T968" s="7"/>
      <c r="U968" s="7"/>
      <c r="V968" s="7"/>
      <c r="W968" s="7"/>
      <c r="X968" s="7"/>
      <c r="Y968" s="7"/>
      <c r="Z968" s="7"/>
    </row>
    <row r="969" ht="15.75" customHeight="1">
      <c r="A969" s="4"/>
      <c r="B969" s="4"/>
      <c r="C969" s="4"/>
      <c r="D969" s="4"/>
      <c r="E969" s="19"/>
      <c r="F969" s="4"/>
      <c r="G969" s="4"/>
      <c r="H969" s="7"/>
      <c r="I969" s="4"/>
      <c r="J969" s="4"/>
      <c r="K969" s="22"/>
      <c r="L969" s="4"/>
      <c r="M969" s="4"/>
      <c r="N969" s="4"/>
      <c r="O969" s="4"/>
      <c r="P969" s="4"/>
      <c r="Q969" s="4"/>
      <c r="R969" s="4"/>
      <c r="S969" s="7"/>
      <c r="T969" s="7"/>
      <c r="U969" s="7"/>
      <c r="V969" s="7"/>
      <c r="W969" s="7"/>
      <c r="X969" s="7"/>
      <c r="Y969" s="7"/>
      <c r="Z969" s="7"/>
    </row>
    <row r="970" ht="15.75" customHeight="1">
      <c r="A970" s="4"/>
      <c r="B970" s="4"/>
      <c r="C970" s="4"/>
      <c r="D970" s="4"/>
      <c r="E970" s="19"/>
      <c r="F970" s="4"/>
      <c r="G970" s="4"/>
      <c r="H970" s="7"/>
      <c r="I970" s="4"/>
      <c r="J970" s="4"/>
      <c r="K970" s="22"/>
      <c r="L970" s="4"/>
      <c r="M970" s="4"/>
      <c r="N970" s="4"/>
      <c r="O970" s="4"/>
      <c r="P970" s="4"/>
      <c r="Q970" s="4"/>
      <c r="R970" s="4"/>
      <c r="S970" s="7"/>
      <c r="T970" s="7"/>
      <c r="U970" s="7"/>
      <c r="V970" s="7"/>
      <c r="W970" s="7"/>
      <c r="X970" s="7"/>
      <c r="Y970" s="7"/>
      <c r="Z970" s="7"/>
    </row>
    <row r="971" ht="15.75" customHeight="1">
      <c r="A971" s="4"/>
      <c r="B971" s="4"/>
      <c r="C971" s="4"/>
      <c r="D971" s="4"/>
      <c r="E971" s="19"/>
      <c r="F971" s="4"/>
      <c r="G971" s="4"/>
      <c r="H971" s="7"/>
      <c r="I971" s="4"/>
      <c r="J971" s="4"/>
      <c r="K971" s="22"/>
      <c r="L971" s="4"/>
      <c r="M971" s="4"/>
      <c r="N971" s="4"/>
      <c r="O971" s="4"/>
      <c r="P971" s="4"/>
      <c r="Q971" s="4"/>
      <c r="R971" s="4"/>
      <c r="S971" s="7"/>
      <c r="T971" s="7"/>
      <c r="U971" s="7"/>
      <c r="V971" s="7"/>
      <c r="W971" s="7"/>
      <c r="X971" s="7"/>
      <c r="Y971" s="7"/>
      <c r="Z971" s="7"/>
    </row>
    <row r="972" ht="15.75" customHeight="1">
      <c r="A972" s="4"/>
      <c r="B972" s="4"/>
      <c r="C972" s="4"/>
      <c r="D972" s="4"/>
      <c r="E972" s="19"/>
      <c r="F972" s="4"/>
      <c r="G972" s="4"/>
      <c r="H972" s="7"/>
      <c r="I972" s="4"/>
      <c r="J972" s="4"/>
      <c r="K972" s="22"/>
      <c r="L972" s="4"/>
      <c r="M972" s="4"/>
      <c r="N972" s="4"/>
      <c r="O972" s="4"/>
      <c r="P972" s="4"/>
      <c r="Q972" s="4"/>
      <c r="R972" s="4"/>
      <c r="S972" s="7"/>
      <c r="T972" s="7"/>
      <c r="U972" s="7"/>
      <c r="V972" s="7"/>
      <c r="W972" s="7"/>
      <c r="X972" s="7"/>
      <c r="Y972" s="7"/>
      <c r="Z972" s="7"/>
    </row>
    <row r="973" ht="15.75" customHeight="1">
      <c r="A973" s="4"/>
      <c r="B973" s="4"/>
      <c r="C973" s="4"/>
      <c r="D973" s="4"/>
      <c r="E973" s="19"/>
      <c r="F973" s="4"/>
      <c r="G973" s="4"/>
      <c r="H973" s="7"/>
      <c r="I973" s="4"/>
      <c r="J973" s="4"/>
      <c r="K973" s="22"/>
      <c r="L973" s="4"/>
      <c r="M973" s="4"/>
      <c r="N973" s="4"/>
      <c r="O973" s="4"/>
      <c r="P973" s="4"/>
      <c r="Q973" s="4"/>
      <c r="R973" s="4"/>
      <c r="S973" s="7"/>
      <c r="T973" s="7"/>
      <c r="U973" s="7"/>
      <c r="V973" s="7"/>
      <c r="W973" s="7"/>
      <c r="X973" s="7"/>
      <c r="Y973" s="7"/>
      <c r="Z973" s="7"/>
    </row>
    <row r="974" ht="15.75" customHeight="1">
      <c r="A974" s="4"/>
      <c r="B974" s="4"/>
      <c r="C974" s="4"/>
      <c r="D974" s="4"/>
      <c r="E974" s="19"/>
      <c r="F974" s="4"/>
      <c r="G974" s="4"/>
      <c r="H974" s="7"/>
      <c r="I974" s="4"/>
      <c r="J974" s="4"/>
      <c r="K974" s="22"/>
      <c r="L974" s="4"/>
      <c r="M974" s="4"/>
      <c r="N974" s="4"/>
      <c r="O974" s="4"/>
      <c r="P974" s="4"/>
      <c r="Q974" s="4"/>
      <c r="R974" s="4"/>
      <c r="S974" s="7"/>
      <c r="T974" s="7"/>
      <c r="U974" s="7"/>
      <c r="V974" s="7"/>
      <c r="W974" s="7"/>
      <c r="X974" s="7"/>
      <c r="Y974" s="7"/>
      <c r="Z974" s="7"/>
    </row>
    <row r="975" ht="15.75" customHeight="1">
      <c r="A975" s="4"/>
      <c r="B975" s="4"/>
      <c r="C975" s="4"/>
      <c r="D975" s="4"/>
      <c r="E975" s="19"/>
      <c r="F975" s="4"/>
      <c r="G975" s="4"/>
      <c r="H975" s="7"/>
      <c r="I975" s="4"/>
      <c r="J975" s="4"/>
      <c r="K975" s="22"/>
      <c r="L975" s="4"/>
      <c r="M975" s="4"/>
      <c r="N975" s="4"/>
      <c r="O975" s="4"/>
      <c r="P975" s="4"/>
      <c r="Q975" s="4"/>
      <c r="R975" s="4"/>
      <c r="S975" s="7"/>
      <c r="T975" s="7"/>
      <c r="U975" s="7"/>
      <c r="V975" s="7"/>
      <c r="W975" s="7"/>
      <c r="X975" s="7"/>
      <c r="Y975" s="7"/>
      <c r="Z975" s="7"/>
    </row>
    <row r="976" ht="15.75" customHeight="1">
      <c r="A976" s="4"/>
      <c r="B976" s="4"/>
      <c r="C976" s="4"/>
      <c r="D976" s="4"/>
      <c r="E976" s="19"/>
      <c r="F976" s="4"/>
      <c r="G976" s="4"/>
      <c r="H976" s="7"/>
      <c r="I976" s="4"/>
      <c r="J976" s="4"/>
      <c r="K976" s="22"/>
      <c r="L976" s="4"/>
      <c r="M976" s="4"/>
      <c r="N976" s="4"/>
      <c r="O976" s="4"/>
      <c r="P976" s="4"/>
      <c r="Q976" s="4"/>
      <c r="R976" s="4"/>
      <c r="S976" s="7"/>
      <c r="T976" s="7"/>
      <c r="U976" s="7"/>
      <c r="V976" s="7"/>
      <c r="W976" s="7"/>
      <c r="X976" s="7"/>
      <c r="Y976" s="7"/>
      <c r="Z976" s="7"/>
    </row>
    <row r="977" ht="15.75" customHeight="1">
      <c r="A977" s="4"/>
      <c r="B977" s="4"/>
      <c r="C977" s="4"/>
      <c r="D977" s="4"/>
      <c r="E977" s="19"/>
      <c r="F977" s="4"/>
      <c r="G977" s="4"/>
      <c r="H977" s="7"/>
      <c r="I977" s="4"/>
      <c r="J977" s="4"/>
      <c r="K977" s="22"/>
      <c r="L977" s="4"/>
      <c r="M977" s="4"/>
      <c r="N977" s="4"/>
      <c r="O977" s="4"/>
      <c r="P977" s="4"/>
      <c r="Q977" s="4"/>
      <c r="R977" s="4"/>
      <c r="S977" s="7"/>
      <c r="T977" s="7"/>
      <c r="U977" s="7"/>
      <c r="V977" s="7"/>
      <c r="W977" s="7"/>
      <c r="X977" s="7"/>
      <c r="Y977" s="7"/>
      <c r="Z977" s="7"/>
    </row>
    <row r="978" ht="15.75" customHeight="1">
      <c r="A978" s="4"/>
      <c r="B978" s="4"/>
      <c r="C978" s="4"/>
      <c r="D978" s="4"/>
      <c r="E978" s="19"/>
      <c r="F978" s="4"/>
      <c r="G978" s="4"/>
      <c r="H978" s="7"/>
      <c r="I978" s="4"/>
      <c r="J978" s="4"/>
      <c r="K978" s="22"/>
      <c r="L978" s="4"/>
      <c r="M978" s="4"/>
      <c r="N978" s="4"/>
      <c r="O978" s="4"/>
      <c r="P978" s="4"/>
      <c r="Q978" s="4"/>
      <c r="R978" s="4"/>
      <c r="S978" s="7"/>
      <c r="T978" s="7"/>
      <c r="U978" s="7"/>
      <c r="V978" s="7"/>
      <c r="W978" s="7"/>
      <c r="X978" s="7"/>
      <c r="Y978" s="7"/>
      <c r="Z978" s="7"/>
    </row>
    <row r="979" ht="15.75" customHeight="1">
      <c r="A979" s="4"/>
      <c r="B979" s="4"/>
      <c r="C979" s="4"/>
      <c r="D979" s="4"/>
      <c r="E979" s="19"/>
      <c r="F979" s="4"/>
      <c r="G979" s="4"/>
      <c r="H979" s="7"/>
      <c r="I979" s="4"/>
      <c r="J979" s="4"/>
      <c r="K979" s="22"/>
      <c r="L979" s="4"/>
      <c r="M979" s="4"/>
      <c r="N979" s="4"/>
      <c r="O979" s="4"/>
      <c r="P979" s="4"/>
      <c r="Q979" s="4"/>
      <c r="R979" s="4"/>
      <c r="S979" s="7"/>
      <c r="T979" s="7"/>
      <c r="U979" s="7"/>
      <c r="V979" s="7"/>
      <c r="W979" s="7"/>
      <c r="X979" s="7"/>
      <c r="Y979" s="7"/>
      <c r="Z979" s="7"/>
    </row>
    <row r="980" ht="15.75" customHeight="1">
      <c r="A980" s="4"/>
      <c r="B980" s="4"/>
      <c r="C980" s="4"/>
      <c r="D980" s="4"/>
      <c r="E980" s="19"/>
      <c r="F980" s="4"/>
      <c r="G980" s="4"/>
      <c r="H980" s="7"/>
      <c r="I980" s="4"/>
      <c r="J980" s="4"/>
      <c r="K980" s="22"/>
      <c r="L980" s="4"/>
      <c r="M980" s="4"/>
      <c r="N980" s="4"/>
      <c r="O980" s="4"/>
      <c r="P980" s="4"/>
      <c r="Q980" s="4"/>
      <c r="R980" s="4"/>
      <c r="S980" s="7"/>
      <c r="T980" s="7"/>
      <c r="U980" s="7"/>
      <c r="V980" s="7"/>
      <c r="W980" s="7"/>
      <c r="X980" s="7"/>
      <c r="Y980" s="7"/>
      <c r="Z980" s="7"/>
    </row>
    <row r="981" ht="15.75" customHeight="1">
      <c r="A981" s="4"/>
      <c r="B981" s="4"/>
      <c r="C981" s="4"/>
      <c r="D981" s="4"/>
      <c r="E981" s="19"/>
      <c r="F981" s="4"/>
      <c r="G981" s="4"/>
      <c r="H981" s="7"/>
      <c r="I981" s="4"/>
      <c r="J981" s="4"/>
      <c r="K981" s="22"/>
      <c r="L981" s="4"/>
      <c r="M981" s="4"/>
      <c r="N981" s="4"/>
      <c r="O981" s="4"/>
      <c r="P981" s="4"/>
      <c r="Q981" s="4"/>
      <c r="R981" s="4"/>
      <c r="S981" s="7"/>
      <c r="T981" s="7"/>
      <c r="U981" s="7"/>
      <c r="V981" s="7"/>
      <c r="W981" s="7"/>
      <c r="X981" s="7"/>
      <c r="Y981" s="7"/>
      <c r="Z981" s="7"/>
    </row>
    <row r="982" ht="15.75" customHeight="1">
      <c r="A982" s="4"/>
      <c r="B982" s="4"/>
      <c r="C982" s="4"/>
      <c r="D982" s="4"/>
      <c r="E982" s="19"/>
      <c r="F982" s="4"/>
      <c r="G982" s="4"/>
      <c r="H982" s="7"/>
      <c r="I982" s="4"/>
      <c r="J982" s="4"/>
      <c r="K982" s="22"/>
      <c r="L982" s="4"/>
      <c r="M982" s="4"/>
      <c r="N982" s="4"/>
      <c r="O982" s="4"/>
      <c r="P982" s="4"/>
      <c r="Q982" s="4"/>
      <c r="R982" s="4"/>
      <c r="S982" s="7"/>
      <c r="T982" s="7"/>
      <c r="U982" s="7"/>
      <c r="V982" s="7"/>
      <c r="W982" s="7"/>
      <c r="X982" s="7"/>
      <c r="Y982" s="7"/>
      <c r="Z982" s="7"/>
    </row>
    <row r="983" ht="15.75" customHeight="1">
      <c r="A983" s="4"/>
      <c r="B983" s="4"/>
      <c r="C983" s="4"/>
      <c r="D983" s="4"/>
      <c r="E983" s="19"/>
      <c r="F983" s="4"/>
      <c r="G983" s="4"/>
      <c r="H983" s="7"/>
      <c r="I983" s="4"/>
      <c r="J983" s="4"/>
      <c r="K983" s="22"/>
      <c r="L983" s="4"/>
      <c r="M983" s="4"/>
      <c r="N983" s="4"/>
      <c r="O983" s="4"/>
      <c r="P983" s="4"/>
      <c r="Q983" s="4"/>
      <c r="R983" s="4"/>
      <c r="S983" s="7"/>
      <c r="T983" s="7"/>
      <c r="U983" s="7"/>
      <c r="V983" s="7"/>
      <c r="W983" s="7"/>
      <c r="X983" s="7"/>
      <c r="Y983" s="7"/>
      <c r="Z983" s="7"/>
    </row>
    <row r="984" ht="15.75" customHeight="1">
      <c r="A984" s="4"/>
      <c r="B984" s="4"/>
      <c r="C984" s="4"/>
      <c r="D984" s="4"/>
      <c r="E984" s="19"/>
      <c r="F984" s="4"/>
      <c r="G984" s="4"/>
      <c r="H984" s="7"/>
      <c r="I984" s="4"/>
      <c r="J984" s="4"/>
      <c r="K984" s="22"/>
      <c r="L984" s="4"/>
      <c r="M984" s="4"/>
      <c r="N984" s="4"/>
      <c r="O984" s="4"/>
      <c r="P984" s="4"/>
      <c r="Q984" s="4"/>
      <c r="R984" s="4"/>
      <c r="S984" s="7"/>
      <c r="T984" s="7"/>
      <c r="U984" s="7"/>
      <c r="V984" s="7"/>
      <c r="W984" s="7"/>
      <c r="X984" s="7"/>
      <c r="Y984" s="7"/>
      <c r="Z984" s="7"/>
    </row>
    <row r="985" ht="15.75" customHeight="1">
      <c r="A985" s="4"/>
      <c r="B985" s="4"/>
      <c r="C985" s="4"/>
      <c r="D985" s="4"/>
      <c r="E985" s="19"/>
      <c r="F985" s="4"/>
      <c r="G985" s="4"/>
      <c r="H985" s="7"/>
      <c r="I985" s="4"/>
      <c r="J985" s="4"/>
      <c r="K985" s="22"/>
      <c r="L985" s="4"/>
      <c r="M985" s="4"/>
      <c r="N985" s="4"/>
      <c r="O985" s="4"/>
      <c r="P985" s="4"/>
      <c r="Q985" s="4"/>
      <c r="R985" s="4"/>
      <c r="S985" s="7"/>
      <c r="T985" s="7"/>
      <c r="U985" s="7"/>
      <c r="V985" s="7"/>
      <c r="W985" s="7"/>
      <c r="X985" s="7"/>
      <c r="Y985" s="7"/>
      <c r="Z985" s="7"/>
    </row>
    <row r="986" ht="15.75" customHeight="1">
      <c r="A986" s="4"/>
      <c r="B986" s="4"/>
      <c r="C986" s="4"/>
      <c r="D986" s="4"/>
      <c r="E986" s="19"/>
      <c r="F986" s="4"/>
      <c r="G986" s="4"/>
      <c r="H986" s="7"/>
      <c r="I986" s="4"/>
      <c r="J986" s="4"/>
      <c r="K986" s="22"/>
      <c r="L986" s="4"/>
      <c r="M986" s="4"/>
      <c r="N986" s="4"/>
      <c r="O986" s="4"/>
      <c r="P986" s="4"/>
      <c r="Q986" s="4"/>
      <c r="R986" s="4"/>
      <c r="S986" s="7"/>
      <c r="T986" s="7"/>
      <c r="U986" s="7"/>
      <c r="V986" s="7"/>
      <c r="W986" s="7"/>
      <c r="X986" s="7"/>
      <c r="Y986" s="7"/>
      <c r="Z986" s="7"/>
    </row>
    <row r="987" ht="15.75" customHeight="1">
      <c r="A987" s="4"/>
      <c r="B987" s="4"/>
      <c r="C987" s="4"/>
      <c r="D987" s="4"/>
      <c r="E987" s="19"/>
      <c r="F987" s="4"/>
      <c r="G987" s="4"/>
      <c r="H987" s="7"/>
      <c r="I987" s="4"/>
      <c r="J987" s="4"/>
      <c r="K987" s="22"/>
      <c r="L987" s="4"/>
      <c r="M987" s="4"/>
      <c r="N987" s="4"/>
      <c r="O987" s="4"/>
      <c r="P987" s="4"/>
      <c r="Q987" s="4"/>
      <c r="R987" s="4"/>
      <c r="S987" s="7"/>
      <c r="T987" s="7"/>
      <c r="U987" s="7"/>
      <c r="V987" s="7"/>
      <c r="W987" s="7"/>
      <c r="X987" s="7"/>
      <c r="Y987" s="7"/>
      <c r="Z987" s="7"/>
    </row>
    <row r="988" ht="15.75" customHeight="1">
      <c r="A988" s="4"/>
      <c r="B988" s="4"/>
      <c r="C988" s="4"/>
      <c r="D988" s="4"/>
      <c r="E988" s="19"/>
      <c r="F988" s="4"/>
      <c r="G988" s="4"/>
      <c r="H988" s="7"/>
      <c r="I988" s="4"/>
      <c r="J988" s="4"/>
      <c r="K988" s="22"/>
      <c r="L988" s="4"/>
      <c r="M988" s="4"/>
      <c r="N988" s="4"/>
      <c r="O988" s="4"/>
      <c r="P988" s="4"/>
      <c r="Q988" s="4"/>
      <c r="R988" s="4"/>
      <c r="S988" s="7"/>
      <c r="T988" s="7"/>
      <c r="U988" s="7"/>
      <c r="V988" s="7"/>
      <c r="W988" s="7"/>
      <c r="X988" s="7"/>
      <c r="Y988" s="7"/>
      <c r="Z988" s="7"/>
    </row>
    <row r="989" ht="15.75" customHeight="1">
      <c r="A989" s="4"/>
      <c r="B989" s="4"/>
      <c r="C989" s="4"/>
      <c r="D989" s="4"/>
      <c r="E989" s="19"/>
      <c r="F989" s="4"/>
      <c r="G989" s="4"/>
      <c r="H989" s="7"/>
      <c r="I989" s="4"/>
      <c r="J989" s="4"/>
      <c r="K989" s="22"/>
      <c r="L989" s="4"/>
      <c r="M989" s="4"/>
      <c r="N989" s="4"/>
      <c r="O989" s="4"/>
      <c r="P989" s="4"/>
      <c r="Q989" s="4"/>
      <c r="R989" s="4"/>
      <c r="S989" s="7"/>
      <c r="T989" s="7"/>
      <c r="U989" s="7"/>
      <c r="V989" s="7"/>
      <c r="W989" s="7"/>
      <c r="X989" s="7"/>
      <c r="Y989" s="7"/>
      <c r="Z989" s="7"/>
    </row>
    <row r="990" ht="15.75" customHeight="1">
      <c r="A990" s="4"/>
      <c r="B990" s="4"/>
      <c r="C990" s="4"/>
      <c r="D990" s="4"/>
      <c r="E990" s="19"/>
      <c r="F990" s="4"/>
      <c r="G990" s="4"/>
      <c r="H990" s="7"/>
      <c r="I990" s="4"/>
      <c r="J990" s="4"/>
      <c r="K990" s="22"/>
      <c r="L990" s="4"/>
      <c r="M990" s="4"/>
      <c r="N990" s="4"/>
      <c r="O990" s="4"/>
      <c r="P990" s="4"/>
      <c r="Q990" s="4"/>
      <c r="R990" s="4"/>
      <c r="S990" s="7"/>
      <c r="T990" s="7"/>
      <c r="U990" s="7"/>
      <c r="V990" s="7"/>
      <c r="W990" s="7"/>
      <c r="X990" s="7"/>
      <c r="Y990" s="7"/>
      <c r="Z990" s="7"/>
    </row>
    <row r="991" ht="15.75" customHeight="1">
      <c r="A991" s="4"/>
      <c r="B991" s="4"/>
      <c r="C991" s="4"/>
      <c r="D991" s="4"/>
      <c r="E991" s="19"/>
      <c r="F991" s="4"/>
      <c r="G991" s="4"/>
      <c r="H991" s="7"/>
      <c r="I991" s="4"/>
      <c r="J991" s="4"/>
      <c r="K991" s="22"/>
      <c r="L991" s="4"/>
      <c r="M991" s="4"/>
      <c r="N991" s="4"/>
      <c r="O991" s="4"/>
      <c r="P991" s="4"/>
      <c r="Q991" s="4"/>
      <c r="R991" s="4"/>
      <c r="S991" s="7"/>
      <c r="T991" s="7"/>
      <c r="U991" s="7"/>
      <c r="V991" s="7"/>
      <c r="W991" s="7"/>
      <c r="X991" s="7"/>
      <c r="Y991" s="7"/>
      <c r="Z991" s="7"/>
    </row>
    <row r="992" ht="15.75" customHeight="1">
      <c r="A992" s="4"/>
      <c r="B992" s="4"/>
      <c r="C992" s="4"/>
      <c r="D992" s="4"/>
      <c r="E992" s="19"/>
      <c r="F992" s="4"/>
      <c r="G992" s="4"/>
      <c r="H992" s="7"/>
      <c r="I992" s="4"/>
      <c r="J992" s="4"/>
      <c r="K992" s="22"/>
      <c r="L992" s="4"/>
      <c r="M992" s="4"/>
      <c r="N992" s="4"/>
      <c r="O992" s="4"/>
      <c r="P992" s="4"/>
      <c r="Q992" s="4"/>
      <c r="R992" s="4"/>
      <c r="S992" s="7"/>
      <c r="T992" s="7"/>
      <c r="U992" s="7"/>
      <c r="V992" s="7"/>
      <c r="W992" s="7"/>
      <c r="X992" s="7"/>
      <c r="Y992" s="7"/>
      <c r="Z992" s="7"/>
    </row>
    <row r="993" ht="15.75" customHeight="1">
      <c r="A993" s="4"/>
      <c r="B993" s="4"/>
      <c r="C993" s="4"/>
      <c r="D993" s="4"/>
      <c r="E993" s="19"/>
      <c r="F993" s="4"/>
      <c r="G993" s="4"/>
      <c r="H993" s="7"/>
      <c r="I993" s="4"/>
      <c r="J993" s="4"/>
      <c r="K993" s="22"/>
      <c r="L993" s="4"/>
      <c r="M993" s="4"/>
      <c r="N993" s="4"/>
      <c r="O993" s="4"/>
      <c r="P993" s="4"/>
      <c r="Q993" s="4"/>
      <c r="R993" s="4"/>
      <c r="S993" s="7"/>
      <c r="T993" s="7"/>
      <c r="U993" s="7"/>
      <c r="V993" s="7"/>
      <c r="W993" s="7"/>
      <c r="X993" s="7"/>
      <c r="Y993" s="7"/>
      <c r="Z993" s="7"/>
    </row>
    <row r="994" ht="15.75" customHeight="1">
      <c r="A994" s="4"/>
      <c r="B994" s="4"/>
      <c r="C994" s="4"/>
      <c r="D994" s="4"/>
      <c r="E994" s="19"/>
      <c r="F994" s="4"/>
      <c r="G994" s="4"/>
      <c r="H994" s="7"/>
      <c r="I994" s="4"/>
      <c r="J994" s="4"/>
      <c r="K994" s="22"/>
      <c r="L994" s="4"/>
      <c r="M994" s="4"/>
      <c r="N994" s="4"/>
      <c r="O994" s="4"/>
      <c r="P994" s="4"/>
      <c r="Q994" s="4"/>
      <c r="R994" s="4"/>
      <c r="S994" s="7"/>
      <c r="T994" s="7"/>
      <c r="U994" s="7"/>
      <c r="V994" s="7"/>
      <c r="W994" s="7"/>
      <c r="X994" s="7"/>
      <c r="Y994" s="7"/>
      <c r="Z994" s="7"/>
    </row>
    <row r="995" ht="15.75" customHeight="1">
      <c r="A995" s="4"/>
      <c r="B995" s="4"/>
      <c r="C995" s="4"/>
      <c r="D995" s="4"/>
      <c r="E995" s="19"/>
      <c r="F995" s="4"/>
      <c r="G995" s="4"/>
      <c r="H995" s="7"/>
      <c r="I995" s="4"/>
      <c r="J995" s="4"/>
      <c r="K995" s="22"/>
      <c r="L995" s="4"/>
      <c r="M995" s="4"/>
      <c r="N995" s="4"/>
      <c r="O995" s="4"/>
      <c r="P995" s="4"/>
      <c r="Q995" s="4"/>
      <c r="R995" s="4"/>
      <c r="S995" s="7"/>
      <c r="T995" s="7"/>
      <c r="U995" s="7"/>
      <c r="V995" s="7"/>
      <c r="W995" s="7"/>
      <c r="X995" s="7"/>
      <c r="Y995" s="7"/>
      <c r="Z995" s="7"/>
    </row>
    <row r="996" ht="15.75" customHeight="1">
      <c r="A996" s="4"/>
      <c r="B996" s="4"/>
      <c r="C996" s="4"/>
      <c r="D996" s="4"/>
      <c r="E996" s="19"/>
      <c r="F996" s="4"/>
      <c r="G996" s="4"/>
      <c r="H996" s="7"/>
      <c r="I996" s="4"/>
      <c r="J996" s="4"/>
      <c r="K996" s="22"/>
      <c r="L996" s="4"/>
      <c r="M996" s="4"/>
      <c r="N996" s="4"/>
      <c r="O996" s="4"/>
      <c r="P996" s="4"/>
      <c r="Q996" s="4"/>
      <c r="R996" s="4"/>
      <c r="S996" s="7"/>
      <c r="T996" s="7"/>
      <c r="U996" s="7"/>
      <c r="V996" s="7"/>
      <c r="W996" s="7"/>
      <c r="X996" s="7"/>
      <c r="Y996" s="7"/>
      <c r="Z996" s="7"/>
    </row>
    <row r="997" ht="15.75" customHeight="1">
      <c r="A997" s="4"/>
      <c r="B997" s="4"/>
      <c r="C997" s="4"/>
      <c r="D997" s="4"/>
      <c r="E997" s="19"/>
      <c r="F997" s="4"/>
      <c r="G997" s="4"/>
      <c r="H997" s="7"/>
      <c r="I997" s="4"/>
      <c r="J997" s="4"/>
      <c r="K997" s="22"/>
      <c r="L997" s="4"/>
      <c r="M997" s="4"/>
      <c r="N997" s="4"/>
      <c r="O997" s="4"/>
      <c r="P997" s="4"/>
      <c r="Q997" s="4"/>
      <c r="R997" s="4"/>
      <c r="S997" s="7"/>
      <c r="T997" s="7"/>
      <c r="U997" s="7"/>
      <c r="V997" s="7"/>
      <c r="W997" s="7"/>
      <c r="X997" s="7"/>
      <c r="Y997" s="7"/>
      <c r="Z997" s="7"/>
    </row>
    <row r="998" ht="15.75" customHeight="1">
      <c r="A998" s="4"/>
      <c r="B998" s="4"/>
      <c r="C998" s="4"/>
      <c r="D998" s="4"/>
      <c r="E998" s="19"/>
      <c r="F998" s="4"/>
      <c r="G998" s="4"/>
      <c r="H998" s="7"/>
      <c r="I998" s="4"/>
      <c r="J998" s="4"/>
      <c r="K998" s="22"/>
      <c r="L998" s="4"/>
      <c r="M998" s="4"/>
      <c r="N998" s="4"/>
      <c r="O998" s="4"/>
      <c r="P998" s="4"/>
      <c r="Q998" s="4"/>
      <c r="R998" s="4"/>
      <c r="S998" s="7"/>
      <c r="T998" s="7"/>
      <c r="U998" s="7"/>
      <c r="V998" s="7"/>
      <c r="W998" s="7"/>
      <c r="X998" s="7"/>
      <c r="Y998" s="7"/>
      <c r="Z998" s="7"/>
    </row>
    <row r="999" ht="15.75" customHeight="1">
      <c r="A999" s="4"/>
      <c r="B999" s="4"/>
      <c r="C999" s="4"/>
      <c r="D999" s="4"/>
      <c r="E999" s="19"/>
      <c r="F999" s="4"/>
      <c r="G999" s="4"/>
      <c r="H999" s="7"/>
      <c r="I999" s="4"/>
      <c r="J999" s="4"/>
      <c r="K999" s="22"/>
      <c r="L999" s="4"/>
      <c r="M999" s="4"/>
      <c r="N999" s="4"/>
      <c r="O999" s="4"/>
      <c r="P999" s="4"/>
      <c r="Q999" s="4"/>
      <c r="R999" s="4"/>
      <c r="S999" s="7"/>
      <c r="T999" s="7"/>
      <c r="U999" s="7"/>
      <c r="V999" s="7"/>
      <c r="W999" s="7"/>
      <c r="X999" s="7"/>
      <c r="Y999" s="7"/>
      <c r="Z999" s="7"/>
    </row>
    <row r="1000" ht="15.75" customHeight="1">
      <c r="A1000" s="4"/>
      <c r="B1000" s="4"/>
      <c r="C1000" s="4"/>
      <c r="D1000" s="4"/>
      <c r="E1000" s="19"/>
      <c r="F1000" s="4"/>
      <c r="G1000" s="4"/>
      <c r="H1000" s="7"/>
      <c r="I1000" s="4"/>
      <c r="J1000" s="4"/>
      <c r="K1000" s="22"/>
      <c r="L1000" s="4"/>
      <c r="M1000" s="4"/>
      <c r="N1000" s="4"/>
      <c r="O1000" s="4"/>
      <c r="P1000" s="4"/>
      <c r="Q1000" s="4"/>
      <c r="R1000" s="4"/>
      <c r="S1000" s="7"/>
      <c r="T1000" s="7"/>
      <c r="U1000" s="7"/>
      <c r="V1000" s="7"/>
      <c r="W1000" s="7"/>
      <c r="X1000" s="7"/>
      <c r="Y1000" s="7"/>
      <c r="Z1000" s="7"/>
    </row>
  </sheetData>
  <autoFilter ref="$A$1:$R$131">
    <sortState ref="A1:R131">
      <sortCondition ref="E1:E131"/>
    </sortState>
  </autoFilter>
  <conditionalFormatting sqref="A1:Z1000">
    <cfRule type="cellIs" dxfId="0" priority="1" operator="equal">
      <formula>"Wyoming"</formula>
    </cfRule>
  </conditionalFormatting>
  <conditionalFormatting sqref="A1:Z1000">
    <cfRule type="cellIs" dxfId="1" priority="2" operator="equal">
      <formula>"Wisconsin"</formula>
    </cfRule>
  </conditionalFormatting>
  <conditionalFormatting sqref="A1:Z1000">
    <cfRule type="cellIs" dxfId="2" priority="3" operator="equal">
      <formula>"Western Michigan"</formula>
    </cfRule>
  </conditionalFormatting>
  <conditionalFormatting sqref="A1:Z1000">
    <cfRule type="cellIs" dxfId="3" priority="4" operator="equal">
      <formula>"Western Kentucky"</formula>
    </cfRule>
  </conditionalFormatting>
  <conditionalFormatting sqref="A1:Z1000">
    <cfRule type="cellIs" dxfId="4" priority="5" operator="equal">
      <formula>"West Virginia"</formula>
    </cfRule>
  </conditionalFormatting>
  <conditionalFormatting sqref="A1:Z1000">
    <cfRule type="cellIs" dxfId="5" priority="6" operator="equal">
      <formula>"Washington State"</formula>
    </cfRule>
  </conditionalFormatting>
  <conditionalFormatting sqref="A1:Z1000">
    <cfRule type="cellIs" dxfId="6" priority="7" operator="equal">
      <formula>"Washington"</formula>
    </cfRule>
  </conditionalFormatting>
  <conditionalFormatting sqref="A1:Z1000">
    <cfRule type="cellIs" dxfId="7" priority="8" operator="equal">
      <formula>"Wake Forest"</formula>
    </cfRule>
  </conditionalFormatting>
  <conditionalFormatting sqref="A1:Z1000">
    <cfRule type="cellIs" dxfId="8" priority="9" operator="equal">
      <formula>"Virginia Tech"</formula>
    </cfRule>
  </conditionalFormatting>
  <conditionalFormatting sqref="A1:Z1000">
    <cfRule type="cellIs" dxfId="9" priority="10" operator="equal">
      <formula>"Virginia"</formula>
    </cfRule>
  </conditionalFormatting>
  <conditionalFormatting sqref="A1:Z1000">
    <cfRule type="cellIs" dxfId="10" priority="11" operator="equal">
      <formula>"Vanderbilt"</formula>
    </cfRule>
  </conditionalFormatting>
  <conditionalFormatting sqref="A1:Z1000">
    <cfRule type="cellIs" dxfId="11" priority="12" operator="equal">
      <formula>"UTEP"</formula>
    </cfRule>
  </conditionalFormatting>
  <conditionalFormatting sqref="A1:Z1000">
    <cfRule type="cellIs" dxfId="12" priority="13" operator="equal">
      <formula>"Utah State"</formula>
    </cfRule>
  </conditionalFormatting>
  <conditionalFormatting sqref="A1:Z1000">
    <cfRule type="cellIs" dxfId="13" priority="14" operator="equal">
      <formula>"Utah"</formula>
    </cfRule>
  </conditionalFormatting>
  <conditionalFormatting sqref="A1:Z1000">
    <cfRule type="cellIs" dxfId="14" priority="15" operator="equal">
      <formula>"UNLV"</formula>
    </cfRule>
  </conditionalFormatting>
  <conditionalFormatting sqref="A1:Z1000">
    <cfRule type="cellIs" dxfId="15" priority="16" operator="equal">
      <formula>"UL-Monroe"</formula>
    </cfRule>
  </conditionalFormatting>
  <conditionalFormatting sqref="A1:Z1000">
    <cfRule type="cellIs" dxfId="16" priority="17" operator="equal">
      <formula>"UL-Lafayette"</formula>
    </cfRule>
  </conditionalFormatting>
  <conditionalFormatting sqref="A1:Z1000">
    <cfRule type="cellIs" dxfId="17" priority="18" operator="equal">
      <formula>"UCLA"</formula>
    </cfRule>
  </conditionalFormatting>
  <conditionalFormatting sqref="A1:Z1000">
    <cfRule type="cellIs" dxfId="18" priority="19" operator="equal">
      <formula>"UAB"</formula>
    </cfRule>
  </conditionalFormatting>
  <conditionalFormatting sqref="A1:Z1000">
    <cfRule type="cellIs" dxfId="19" priority="20" operator="equal">
      <formula>"Tulsa"</formula>
    </cfRule>
  </conditionalFormatting>
  <conditionalFormatting sqref="A1:Z1000">
    <cfRule type="cellIs" dxfId="20" priority="21" operator="equal">
      <formula>"Tulane"</formula>
    </cfRule>
  </conditionalFormatting>
  <conditionalFormatting sqref="A1:Z1000">
    <cfRule type="cellIs" dxfId="21" priority="22" operator="equal">
      <formula>"Troy"</formula>
    </cfRule>
  </conditionalFormatting>
  <conditionalFormatting sqref="A1:Z1000">
    <cfRule type="cellIs" dxfId="22" priority="23" operator="equal">
      <formula>"Toledo"</formula>
    </cfRule>
  </conditionalFormatting>
  <conditionalFormatting sqref="A1:Z1000">
    <cfRule type="cellIs" dxfId="23" priority="24" operator="equal">
      <formula>"Texas-San Antonio"</formula>
    </cfRule>
  </conditionalFormatting>
  <conditionalFormatting sqref="A1:Z1000">
    <cfRule type="cellIs" dxfId="24" priority="25" operator="equal">
      <formula>"Texas Tech"</formula>
    </cfRule>
  </conditionalFormatting>
  <conditionalFormatting sqref="A1:Z1000">
    <cfRule type="cellIs" dxfId="25" priority="26" operator="equal">
      <formula>"Texas State"</formula>
    </cfRule>
  </conditionalFormatting>
  <conditionalFormatting sqref="A1:Z1000">
    <cfRule type="cellIs" dxfId="26" priority="27" operator="equal">
      <formula>"Texas A&amp;M"</formula>
    </cfRule>
  </conditionalFormatting>
  <conditionalFormatting sqref="A1:Z1000">
    <cfRule type="cellIs" dxfId="27" priority="28" operator="equal">
      <formula>"Texas"</formula>
    </cfRule>
  </conditionalFormatting>
  <conditionalFormatting sqref="A1:Z1000">
    <cfRule type="cellIs" dxfId="28" priority="29" operator="equal">
      <formula>"Tennessee"</formula>
    </cfRule>
  </conditionalFormatting>
  <conditionalFormatting sqref="A1:Z1000">
    <cfRule type="cellIs" dxfId="29" priority="30" operator="equal">
      <formula>"Temple"</formula>
    </cfRule>
  </conditionalFormatting>
  <conditionalFormatting sqref="A1:Z1000">
    <cfRule type="cellIs" dxfId="30" priority="31" operator="equal">
      <formula>"TCU"</formula>
    </cfRule>
  </conditionalFormatting>
  <conditionalFormatting sqref="A1:Z1000">
    <cfRule type="cellIs" dxfId="31" priority="32" operator="equal">
      <formula>"Syracuse"</formula>
    </cfRule>
  </conditionalFormatting>
  <conditionalFormatting sqref="A1:Z1000">
    <cfRule type="cellIs" dxfId="32" priority="33" operator="equal">
      <formula>"Stanford"</formula>
    </cfRule>
  </conditionalFormatting>
  <conditionalFormatting sqref="A1:Z1000">
    <cfRule type="cellIs" dxfId="33" priority="34" operator="equal">
      <formula>"Southern Mississippi"</formula>
    </cfRule>
  </conditionalFormatting>
  <conditionalFormatting sqref="A1:Z1000">
    <cfRule type="cellIs" dxfId="34" priority="35" operator="equal">
      <formula>"Southern Methodist"</formula>
    </cfRule>
  </conditionalFormatting>
  <conditionalFormatting sqref="A1:Z1000">
    <cfRule type="cellIs" dxfId="35" priority="36" operator="equal">
      <formula>"Southern Cal"</formula>
    </cfRule>
  </conditionalFormatting>
  <conditionalFormatting sqref="A1:Z1000">
    <cfRule type="cellIs" dxfId="36" priority="37" operator="equal">
      <formula>"South Florida"</formula>
    </cfRule>
  </conditionalFormatting>
  <conditionalFormatting sqref="A1:Z1000">
    <cfRule type="cellIs" dxfId="37" priority="38" operator="equal">
      <formula>"South Carolina"</formula>
    </cfRule>
  </conditionalFormatting>
  <conditionalFormatting sqref="A1:Z1000">
    <cfRule type="cellIs" dxfId="38" priority="39" operator="equal">
      <formula>"South Alabama"</formula>
    </cfRule>
  </conditionalFormatting>
  <conditionalFormatting sqref="A1:Z1000">
    <cfRule type="cellIs" dxfId="39" priority="40" operator="equal">
      <formula>"San Jose State"</formula>
    </cfRule>
  </conditionalFormatting>
  <conditionalFormatting sqref="A1:Z1000">
    <cfRule type="cellIs" dxfId="40" priority="41" operator="equal">
      <formula>"San Diego State"</formula>
    </cfRule>
  </conditionalFormatting>
  <conditionalFormatting sqref="A1:Z1000">
    <cfRule type="cellIs" dxfId="41" priority="42" operator="equal">
      <formula>"Rutgers"</formula>
    </cfRule>
  </conditionalFormatting>
  <conditionalFormatting sqref="A1:Z1000">
    <cfRule type="cellIs" dxfId="42" priority="43" operator="equal">
      <formula>"Rice"</formula>
    </cfRule>
  </conditionalFormatting>
  <conditionalFormatting sqref="A1:Z1000">
    <cfRule type="cellIs" dxfId="43" priority="44" operator="equal">
      <formula>"Purdue"</formula>
    </cfRule>
  </conditionalFormatting>
  <conditionalFormatting sqref="A1:Z1000">
    <cfRule type="cellIs" dxfId="44" priority="45" operator="equal">
      <formula>"Pittsburgh"</formula>
    </cfRule>
  </conditionalFormatting>
  <conditionalFormatting sqref="A1:Z1000">
    <cfRule type="cellIs" dxfId="45" priority="46" operator="equal">
      <formula>"Penn State"</formula>
    </cfRule>
  </conditionalFormatting>
  <conditionalFormatting sqref="A1:Z1000">
    <cfRule type="cellIs" dxfId="46" priority="47" operator="equal">
      <formula>"Oregon State"</formula>
    </cfRule>
  </conditionalFormatting>
  <conditionalFormatting sqref="A1:Z1000">
    <cfRule type="cellIs" dxfId="47" priority="48" operator="equal">
      <formula>"Oregon"</formula>
    </cfRule>
  </conditionalFormatting>
  <conditionalFormatting sqref="A1:Z1000">
    <cfRule type="cellIs" dxfId="48" priority="49" operator="equal">
      <formula>"Old Dominion"</formula>
    </cfRule>
  </conditionalFormatting>
  <conditionalFormatting sqref="A1:Z1000">
    <cfRule type="cellIs" dxfId="49" priority="50" operator="equal">
      <formula>"Oklahoma State"</formula>
    </cfRule>
  </conditionalFormatting>
  <conditionalFormatting sqref="A1:Z1000">
    <cfRule type="cellIs" dxfId="50" priority="51" operator="equal">
      <formula>"Oklahoma"</formula>
    </cfRule>
  </conditionalFormatting>
  <conditionalFormatting sqref="A1:Z1000">
    <cfRule type="cellIs" dxfId="51" priority="52" operator="equal">
      <formula>"Ohio State"</formula>
    </cfRule>
  </conditionalFormatting>
  <conditionalFormatting sqref="A1:Z1000">
    <cfRule type="cellIs" dxfId="52" priority="53" operator="equal">
      <formula>"Ohio"</formula>
    </cfRule>
  </conditionalFormatting>
  <conditionalFormatting sqref="A1:Z1000">
    <cfRule type="cellIs" dxfId="53" priority="54" operator="equal">
      <formula>"Notre Dame"</formula>
    </cfRule>
  </conditionalFormatting>
  <conditionalFormatting sqref="A1:Z1000">
    <cfRule type="cellIs" dxfId="54" priority="55" operator="equal">
      <formula>"Northwestern"</formula>
    </cfRule>
  </conditionalFormatting>
  <conditionalFormatting sqref="A1:Z1000">
    <cfRule type="cellIs" dxfId="55" priority="56" operator="equal">
      <formula>"Northern Illinois"</formula>
    </cfRule>
  </conditionalFormatting>
  <conditionalFormatting sqref="A1:Z1000">
    <cfRule type="cellIs" dxfId="56" priority="57" operator="equal">
      <formula>"North Texas"</formula>
    </cfRule>
  </conditionalFormatting>
  <conditionalFormatting sqref="A1:Z1000">
    <cfRule type="cellIs" dxfId="57" priority="58" operator="equal">
      <formula>"North Carolina"</formula>
    </cfRule>
  </conditionalFormatting>
  <conditionalFormatting sqref="A1:Z1000">
    <cfRule type="cellIs" dxfId="58" priority="59" operator="equal">
      <formula>"New Mexico State"</formula>
    </cfRule>
  </conditionalFormatting>
  <conditionalFormatting sqref="A1:Z1000">
    <cfRule type="cellIs" dxfId="59" priority="60" operator="equal">
      <formula>"New Mexico"</formula>
    </cfRule>
  </conditionalFormatting>
  <conditionalFormatting sqref="A1:Z1000">
    <cfRule type="cellIs" dxfId="60" priority="61" operator="equal">
      <formula>"Nevada"</formula>
    </cfRule>
  </conditionalFormatting>
  <conditionalFormatting sqref="A1:Z1000">
    <cfRule type="cellIs" dxfId="61" priority="62" operator="equal">
      <formula>"Nebraska"</formula>
    </cfRule>
  </conditionalFormatting>
  <conditionalFormatting sqref="A1:Z1000">
    <cfRule type="cellIs" dxfId="62" priority="63" operator="equal">
      <formula>"North Carolina State"</formula>
    </cfRule>
  </conditionalFormatting>
  <conditionalFormatting sqref="A1:Z1000">
    <cfRule type="cellIs" dxfId="63" priority="64" operator="equal">
      <formula>"Navy"</formula>
    </cfRule>
  </conditionalFormatting>
  <conditionalFormatting sqref="A1:Z1000">
    <cfRule type="cellIs" dxfId="64" priority="65" operator="equal">
      <formula>"Missouri"</formula>
    </cfRule>
  </conditionalFormatting>
  <conditionalFormatting sqref="A1:Z1000">
    <cfRule type="cellIs" dxfId="65" priority="66" operator="equal">
      <formula>"Mississippi State"</formula>
    </cfRule>
  </conditionalFormatting>
  <conditionalFormatting sqref="A1:Z1000">
    <cfRule type="cellIs" dxfId="66" priority="67" operator="equal">
      <formula>"Mississippi"</formula>
    </cfRule>
  </conditionalFormatting>
  <conditionalFormatting sqref="A1:Z1000">
    <cfRule type="cellIs" dxfId="67" priority="68" operator="equal">
      <formula>"Minnesota"</formula>
    </cfRule>
  </conditionalFormatting>
  <conditionalFormatting sqref="A1:Z1000">
    <cfRule type="cellIs" dxfId="68" priority="69" operator="equal">
      <formula>"Middle Tennessee"</formula>
    </cfRule>
  </conditionalFormatting>
  <conditionalFormatting sqref="A1:Z1000">
    <cfRule type="cellIs" dxfId="69" priority="70" operator="equal">
      <formula>"Michigan State"</formula>
    </cfRule>
  </conditionalFormatting>
  <conditionalFormatting sqref="A1:Z1000">
    <cfRule type="cellIs" dxfId="70" priority="71" operator="equal">
      <formula>"Michigan"</formula>
    </cfRule>
  </conditionalFormatting>
  <conditionalFormatting sqref="A1:Z1000">
    <cfRule type="cellIs" dxfId="71" priority="72" operator="equal">
      <formula>"Miami (OH)"</formula>
    </cfRule>
  </conditionalFormatting>
  <conditionalFormatting sqref="A1:Z1000">
    <cfRule type="cellIs" dxfId="72" priority="73" operator="equal">
      <formula>"Miami"</formula>
    </cfRule>
  </conditionalFormatting>
  <conditionalFormatting sqref="A1:Z1000">
    <cfRule type="cellIs" dxfId="73" priority="74" operator="equal">
      <formula>"Memphis"</formula>
    </cfRule>
  </conditionalFormatting>
  <conditionalFormatting sqref="A1:Z1000">
    <cfRule type="cellIs" dxfId="74" priority="75" operator="equal">
      <formula>"Massachusetts"</formula>
    </cfRule>
  </conditionalFormatting>
  <conditionalFormatting sqref="A1:Z1000">
    <cfRule type="cellIs" dxfId="75" priority="76" operator="equal">
      <formula>"Maryland"</formula>
    </cfRule>
  </conditionalFormatting>
  <conditionalFormatting sqref="A1:Z1000">
    <cfRule type="cellIs" dxfId="76" priority="77" operator="equal">
      <formula>"Marshall"</formula>
    </cfRule>
  </conditionalFormatting>
  <conditionalFormatting sqref="A1:Z1000">
    <cfRule type="cellIs" dxfId="77" priority="78" operator="equal">
      <formula>"LSU"</formula>
    </cfRule>
  </conditionalFormatting>
  <conditionalFormatting sqref="A1:Z1000">
    <cfRule type="cellIs" dxfId="78" priority="79" operator="equal">
      <formula>"Louisville"</formula>
    </cfRule>
  </conditionalFormatting>
  <conditionalFormatting sqref="A1:Z1000">
    <cfRule type="cellIs" dxfId="79" priority="80" operator="equal">
      <formula>"Louisiana Tech"</formula>
    </cfRule>
  </conditionalFormatting>
  <conditionalFormatting sqref="A1:Z1000">
    <cfRule type="cellIs" dxfId="80" priority="81" operator="equal">
      <formula>"Liberty"</formula>
    </cfRule>
  </conditionalFormatting>
  <conditionalFormatting sqref="A1:Z1000">
    <cfRule type="cellIs" dxfId="81" priority="82" operator="equal">
      <formula>"Kentucky"</formula>
    </cfRule>
  </conditionalFormatting>
  <conditionalFormatting sqref="A1:Z1000">
    <cfRule type="cellIs" dxfId="82" priority="83" operator="equal">
      <formula>"Kent State"</formula>
    </cfRule>
  </conditionalFormatting>
  <conditionalFormatting sqref="A1:Z1000">
    <cfRule type="cellIs" dxfId="83" priority="84" operator="equal">
      <formula>"Kansas State"</formula>
    </cfRule>
  </conditionalFormatting>
  <conditionalFormatting sqref="A1:Z1000">
    <cfRule type="cellIs" dxfId="84" priority="85" operator="equal">
      <formula>"Kansas"</formula>
    </cfRule>
  </conditionalFormatting>
  <conditionalFormatting sqref="A1:Z1000">
    <cfRule type="cellIs" dxfId="85" priority="86" operator="equal">
      <formula>"Iowa State"</formula>
    </cfRule>
  </conditionalFormatting>
  <conditionalFormatting sqref="A1:Z1000">
    <cfRule type="cellIs" dxfId="86" priority="87" operator="equal">
      <formula>"Iowa"</formula>
    </cfRule>
  </conditionalFormatting>
  <conditionalFormatting sqref="A1:Z1000">
    <cfRule type="cellIs" dxfId="87" priority="88" operator="equal">
      <formula>"Indiana"</formula>
    </cfRule>
  </conditionalFormatting>
  <conditionalFormatting sqref="A1:Z1000">
    <cfRule type="cellIs" dxfId="88" priority="89" operator="equal">
      <formula>"Illinois"</formula>
    </cfRule>
  </conditionalFormatting>
  <conditionalFormatting sqref="A1:Z1000">
    <cfRule type="cellIs" dxfId="89" priority="90" operator="equal">
      <formula>"Idaho"</formula>
    </cfRule>
  </conditionalFormatting>
  <conditionalFormatting sqref="A1:Z1000">
    <cfRule type="cellIs" dxfId="90" priority="91" operator="equal">
      <formula>"Houston"</formula>
    </cfRule>
  </conditionalFormatting>
  <conditionalFormatting sqref="A1:Z1000">
    <cfRule type="cellIs" dxfId="91" priority="92" operator="equal">
      <formula>"Hawaii"</formula>
    </cfRule>
  </conditionalFormatting>
  <conditionalFormatting sqref="A1:Z1000">
    <cfRule type="cellIs" dxfId="92" priority="93" operator="equal">
      <formula>"Georgia Tech"</formula>
    </cfRule>
  </conditionalFormatting>
  <conditionalFormatting sqref="A1:Z1000">
    <cfRule type="cellIs" dxfId="93" priority="94" operator="equal">
      <formula>"Georgia State"</formula>
    </cfRule>
  </conditionalFormatting>
  <conditionalFormatting sqref="A1:Z1000">
    <cfRule type="cellIs" dxfId="94" priority="95" operator="equal">
      <formula>"Georgia Southern"</formula>
    </cfRule>
  </conditionalFormatting>
  <conditionalFormatting sqref="A1:Z1000">
    <cfRule type="cellIs" dxfId="95" priority="96" operator="equal">
      <formula>"Georgia"</formula>
    </cfRule>
  </conditionalFormatting>
  <conditionalFormatting sqref="A1:Z1000">
    <cfRule type="cellIs" dxfId="96" priority="97" operator="equal">
      <formula>"Fresno State"</formula>
    </cfRule>
  </conditionalFormatting>
  <conditionalFormatting sqref="A1:Z1000">
    <cfRule type="cellIs" dxfId="97" priority="98" operator="equal">
      <formula>"Florida State"</formula>
    </cfRule>
  </conditionalFormatting>
  <conditionalFormatting sqref="A1:Z1000">
    <cfRule type="cellIs" dxfId="98" priority="99" operator="equal">
      <formula>"Florida International"</formula>
    </cfRule>
  </conditionalFormatting>
  <conditionalFormatting sqref="A1:Z1000">
    <cfRule type="cellIs" dxfId="99" priority="100" operator="equal">
      <formula>"Florida Atlantic"</formula>
    </cfRule>
  </conditionalFormatting>
  <conditionalFormatting sqref="A1:Z1000">
    <cfRule type="cellIs" dxfId="100" priority="101" operator="equal">
      <formula>"Florida"</formula>
    </cfRule>
  </conditionalFormatting>
  <conditionalFormatting sqref="A1:Z1000">
    <cfRule type="cellIs" dxfId="101" priority="102" operator="equal">
      <formula>"Eastern Michigan"</formula>
    </cfRule>
  </conditionalFormatting>
  <conditionalFormatting sqref="A1:Z1000">
    <cfRule type="cellIs" dxfId="102" priority="103" operator="equal">
      <formula>"East Carolina"</formula>
    </cfRule>
  </conditionalFormatting>
  <conditionalFormatting sqref="A1:Z1000">
    <cfRule type="cellIs" dxfId="103" priority="104" operator="equal">
      <formula>"Duke"</formula>
    </cfRule>
  </conditionalFormatting>
  <conditionalFormatting sqref="A1:Z1000">
    <cfRule type="cellIs" dxfId="104" priority="105" operator="equal">
      <formula>"Connecticut"</formula>
    </cfRule>
  </conditionalFormatting>
  <conditionalFormatting sqref="A1:Z1000">
    <cfRule type="cellIs" dxfId="105" priority="106" operator="equal">
      <formula>"Colorado State"</formula>
    </cfRule>
  </conditionalFormatting>
  <conditionalFormatting sqref="A1:Z1000">
    <cfRule type="cellIs" dxfId="106" priority="107" operator="equal">
      <formula>"Colorado"</formula>
    </cfRule>
  </conditionalFormatting>
  <conditionalFormatting sqref="A1:Z1000">
    <cfRule type="cellIs" dxfId="107" priority="108" operator="equal">
      <formula>"Coastal Carolina"</formula>
    </cfRule>
  </conditionalFormatting>
  <conditionalFormatting sqref="A1:Z1000">
    <cfRule type="cellIs" dxfId="108" priority="109" operator="equal">
      <formula>"Clemson"</formula>
    </cfRule>
  </conditionalFormatting>
  <conditionalFormatting sqref="A1:Z1000">
    <cfRule type="cellIs" dxfId="109" priority="110" operator="equal">
      <formula>"Cincinnati"</formula>
    </cfRule>
  </conditionalFormatting>
  <conditionalFormatting sqref="A1:Z1000">
    <cfRule type="cellIs" dxfId="110" priority="111" operator="equal">
      <formula>"Charlotte"</formula>
    </cfRule>
  </conditionalFormatting>
  <conditionalFormatting sqref="A1:Z1000">
    <cfRule type="cellIs" dxfId="111" priority="112" operator="equal">
      <formula>"Central Michigan"</formula>
    </cfRule>
  </conditionalFormatting>
  <conditionalFormatting sqref="A1:Z1000">
    <cfRule type="cellIs" dxfId="112" priority="113" operator="equal">
      <formula>"Central Florida"</formula>
    </cfRule>
  </conditionalFormatting>
  <conditionalFormatting sqref="A1:Z1000">
    <cfRule type="cellIs" dxfId="113" priority="114" operator="equal">
      <formula>"California"</formula>
    </cfRule>
  </conditionalFormatting>
  <conditionalFormatting sqref="A1:Z1000">
    <cfRule type="cellIs" dxfId="114" priority="115" operator="equal">
      <formula>"BYU"</formula>
    </cfRule>
  </conditionalFormatting>
  <conditionalFormatting sqref="A1:Z1000">
    <cfRule type="cellIs" dxfId="115" priority="116" operator="equal">
      <formula>"Buffalo"</formula>
    </cfRule>
  </conditionalFormatting>
  <conditionalFormatting sqref="A1:Z1000">
    <cfRule type="cellIs" dxfId="116" priority="117" operator="equal">
      <formula>"Bowling Green"</formula>
    </cfRule>
  </conditionalFormatting>
  <conditionalFormatting sqref="A1:Z1000">
    <cfRule type="cellIs" dxfId="117" priority="118" operator="equal">
      <formula>"Boston College"</formula>
    </cfRule>
  </conditionalFormatting>
  <conditionalFormatting sqref="A1:Z1000">
    <cfRule type="cellIs" dxfId="118" priority="119" operator="equal">
      <formula>"Boise State"</formula>
    </cfRule>
  </conditionalFormatting>
  <conditionalFormatting sqref="A1:Z1000">
    <cfRule type="cellIs" dxfId="119" priority="120" operator="equal">
      <formula>"Baylor"</formula>
    </cfRule>
  </conditionalFormatting>
  <conditionalFormatting sqref="A1:Z1000">
    <cfRule type="cellIs" dxfId="120" priority="121" operator="equal">
      <formula>"Ball State"</formula>
    </cfRule>
  </conditionalFormatting>
  <conditionalFormatting sqref="A1:Z1000">
    <cfRule type="cellIs" dxfId="121" priority="122" operator="equal">
      <formula>"Auburn"</formula>
    </cfRule>
  </conditionalFormatting>
  <conditionalFormatting sqref="A1:Z1000">
    <cfRule type="cellIs" dxfId="122" priority="123" operator="equal">
      <formula>"Army"</formula>
    </cfRule>
  </conditionalFormatting>
  <conditionalFormatting sqref="A1:Z1000">
    <cfRule type="cellIs" dxfId="123" priority="124" operator="equal">
      <formula>"Arkansas State"</formula>
    </cfRule>
  </conditionalFormatting>
  <conditionalFormatting sqref="A1:Z1000">
    <cfRule type="cellIs" dxfId="124" priority="125" operator="equal">
      <formula>"Arkansas"</formula>
    </cfRule>
  </conditionalFormatting>
  <conditionalFormatting sqref="A1:Z1000">
    <cfRule type="cellIs" dxfId="125" priority="126" operator="equal">
      <formula>"Arizona State"</formula>
    </cfRule>
  </conditionalFormatting>
  <conditionalFormatting sqref="A1:Z1000">
    <cfRule type="cellIs" dxfId="126" priority="127" operator="equal">
      <formula>"Arizona"</formula>
    </cfRule>
  </conditionalFormatting>
  <conditionalFormatting sqref="A1:Z1000">
    <cfRule type="cellIs" dxfId="127" priority="128" operator="equal">
      <formula>"Appalachian State"</formula>
    </cfRule>
  </conditionalFormatting>
  <conditionalFormatting sqref="A1:Z1000">
    <cfRule type="cellIs" dxfId="128" priority="129" operator="equal">
      <formula>"Alabama"</formula>
    </cfRule>
  </conditionalFormatting>
  <conditionalFormatting sqref="A1:Z1000">
    <cfRule type="cellIs" dxfId="129" priority="130" operator="equal">
      <formula>"Akron"</formula>
    </cfRule>
  </conditionalFormatting>
  <conditionalFormatting sqref="A1:Z1000">
    <cfRule type="cellIs" dxfId="130" priority="131" operator="equal">
      <formula>"Air Force"</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20.14"/>
  </cols>
  <sheetData>
    <row r="1">
      <c r="A1" s="33" t="s">
        <v>135</v>
      </c>
      <c r="I1" s="34"/>
      <c r="J1" s="33" t="s">
        <v>44</v>
      </c>
      <c r="R1" s="34"/>
      <c r="S1" s="34"/>
      <c r="T1" s="34"/>
      <c r="U1" s="34"/>
      <c r="V1" s="34"/>
      <c r="W1" s="34"/>
      <c r="X1" s="34"/>
      <c r="Y1" s="34"/>
      <c r="Z1" s="34"/>
      <c r="AA1" s="34"/>
    </row>
    <row r="2">
      <c r="A2" s="35" t="str">
        <f>IFERROR(__xludf.DUMMYFUNCTION("QUERY(standings,""SELECT A, D, E, F, G, J, K, R WHERE G = 'AAC-East' ORDER BY K DESC, E DESC, J DESC "",1)"),"Team")</f>
        <v>Team</v>
      </c>
      <c r="B2" s="34" t="str">
        <f>IFERROR(__xludf.DUMMYFUNCTION("""COMPUTED_VALUE"""),"Record")</f>
        <v>Record</v>
      </c>
      <c r="C2" s="34" t="str">
        <f>IFERROR(__xludf.DUMMYFUNCTION("""COMPUTED_VALUE"""),"Ovr Win %")</f>
        <v>Ovr Win %</v>
      </c>
      <c r="D2" s="34" t="str">
        <f>IFERROR(__xludf.DUMMYFUNCTION("""COMPUTED_VALUE"""),"Conf")</f>
        <v>Conf</v>
      </c>
      <c r="E2" s="34" t="str">
        <f>IFERROR(__xludf.DUMMYFUNCTION("""COMPUTED_VALUE"""),"Conf-Div")</f>
        <v>Conf-Div</v>
      </c>
      <c r="F2" s="34" t="str">
        <f>IFERROR(__xludf.DUMMYFUNCTION("""COMPUTED_VALUE"""),"Conf Record")</f>
        <v>Conf Record</v>
      </c>
      <c r="G2" s="34" t="str">
        <f>IFERROR(__xludf.DUMMYFUNCTION("""COMPUTED_VALUE"""),"Conf W %")</f>
        <v>Conf W %</v>
      </c>
      <c r="H2" s="34" t="str">
        <f>IFERROR(__xludf.DUMMYFUNCTION("""COMPUTED_VALUE"""),"# Games")</f>
        <v># Games</v>
      </c>
      <c r="I2" s="34"/>
      <c r="J2" s="35" t="str">
        <f>IFERROR(__xludf.DUMMYFUNCTION("QUERY(standings,""SELECT A, D, E, F, G, J, K, R WHERE F = 'AAC' ORDER BY K DESC, E DESC, J DESC "",1)"),"Team")</f>
        <v>Team</v>
      </c>
      <c r="K2" s="34" t="str">
        <f>IFERROR(__xludf.DUMMYFUNCTION("""COMPUTED_VALUE"""),"Record")</f>
        <v>Record</v>
      </c>
      <c r="L2" s="34" t="str">
        <f>IFERROR(__xludf.DUMMYFUNCTION("""COMPUTED_VALUE"""),"Ovr Win %")</f>
        <v>Ovr Win %</v>
      </c>
      <c r="M2" s="34" t="str">
        <f>IFERROR(__xludf.DUMMYFUNCTION("""COMPUTED_VALUE"""),"Conf")</f>
        <v>Conf</v>
      </c>
      <c r="N2" s="34" t="str">
        <f>IFERROR(__xludf.DUMMYFUNCTION("""COMPUTED_VALUE"""),"Conf-Div")</f>
        <v>Conf-Div</v>
      </c>
      <c r="O2" s="34" t="str">
        <f>IFERROR(__xludf.DUMMYFUNCTION("""COMPUTED_VALUE"""),"Conf Record")</f>
        <v>Conf Record</v>
      </c>
      <c r="P2" s="34" t="str">
        <f>IFERROR(__xludf.DUMMYFUNCTION("""COMPUTED_VALUE"""),"Conf W %")</f>
        <v>Conf W %</v>
      </c>
      <c r="Q2" s="34" t="str">
        <f>IFERROR(__xludf.DUMMYFUNCTION("""COMPUTED_VALUE"""),"# Games")</f>
        <v># Games</v>
      </c>
      <c r="R2" s="34"/>
      <c r="S2" s="34"/>
      <c r="T2" s="34"/>
      <c r="U2" s="34"/>
      <c r="V2" s="34"/>
      <c r="W2" s="34"/>
      <c r="X2" s="34"/>
      <c r="Y2" s="34"/>
      <c r="Z2" s="34"/>
      <c r="AA2" s="34"/>
    </row>
    <row r="3">
      <c r="A3" s="36" t="str">
        <f>IFERROR(__xludf.DUMMYFUNCTION("""COMPUTED_VALUE"""),"Cincinnati")</f>
        <v>Cincinnati</v>
      </c>
      <c r="B3" s="34" t="str">
        <f>IFERROR(__xludf.DUMMYFUNCTION("""COMPUTED_VALUE"""),"9-1")</f>
        <v>9-1</v>
      </c>
      <c r="C3" s="37">
        <f>IFERROR(__xludf.DUMMYFUNCTION("""COMPUTED_VALUE"""),0.9)</f>
        <v>0.9</v>
      </c>
      <c r="D3" s="34" t="str">
        <f>IFERROR(__xludf.DUMMYFUNCTION("""COMPUTED_VALUE"""),"AAC")</f>
        <v>AAC</v>
      </c>
      <c r="E3" s="34" t="str">
        <f>IFERROR(__xludf.DUMMYFUNCTION("""COMPUTED_VALUE"""),"AAC-East")</f>
        <v>AAC-East</v>
      </c>
      <c r="F3" s="34" t="str">
        <f>IFERROR(__xludf.DUMMYFUNCTION("""COMPUTED_VALUE"""),"7-0")</f>
        <v>7-0</v>
      </c>
      <c r="G3" s="38">
        <f>IFERROR(__xludf.DUMMYFUNCTION("""COMPUTED_VALUE"""),1.0)</f>
        <v>1</v>
      </c>
      <c r="H3" s="34">
        <f>IFERROR(__xludf.DUMMYFUNCTION("""COMPUTED_VALUE"""),10.0)</f>
        <v>10</v>
      </c>
      <c r="I3" s="34"/>
      <c r="J3" s="34" t="str">
        <f>IFERROR(__xludf.DUMMYFUNCTION("""COMPUTED_VALUE"""),"Cincinnati")</f>
        <v>Cincinnati</v>
      </c>
      <c r="K3" s="34" t="str">
        <f>IFERROR(__xludf.DUMMYFUNCTION("""COMPUTED_VALUE"""),"9-1")</f>
        <v>9-1</v>
      </c>
      <c r="L3" s="39">
        <f>IFERROR(__xludf.DUMMYFUNCTION("""COMPUTED_VALUE"""),0.9)</f>
        <v>0.9</v>
      </c>
      <c r="M3" s="34" t="str">
        <f>IFERROR(__xludf.DUMMYFUNCTION("""COMPUTED_VALUE"""),"AAC")</f>
        <v>AAC</v>
      </c>
      <c r="N3" s="34" t="str">
        <f>IFERROR(__xludf.DUMMYFUNCTION("""COMPUTED_VALUE"""),"AAC-East")</f>
        <v>AAC-East</v>
      </c>
      <c r="O3" s="34" t="str">
        <f>IFERROR(__xludf.DUMMYFUNCTION("""COMPUTED_VALUE"""),"7-0")</f>
        <v>7-0</v>
      </c>
      <c r="P3" s="38">
        <f>IFERROR(__xludf.DUMMYFUNCTION("""COMPUTED_VALUE"""),1.0)</f>
        <v>1</v>
      </c>
      <c r="Q3" s="34">
        <f>IFERROR(__xludf.DUMMYFUNCTION("""COMPUTED_VALUE"""),10.0)</f>
        <v>10</v>
      </c>
      <c r="R3" s="34"/>
      <c r="S3" s="34"/>
      <c r="T3" s="34"/>
      <c r="U3" s="34"/>
      <c r="V3" s="34"/>
      <c r="W3" s="34"/>
      <c r="X3" s="34"/>
      <c r="Y3" s="34"/>
      <c r="Z3" s="34"/>
      <c r="AA3" s="34"/>
    </row>
    <row r="4">
      <c r="A4" s="36" t="str">
        <f>IFERROR(__xludf.DUMMYFUNCTION("""COMPUTED_VALUE"""),"Central Florida")</f>
        <v>Central Florida</v>
      </c>
      <c r="B4" s="40" t="str">
        <f>IFERROR(__xludf.DUMMYFUNCTION("""COMPUTED_VALUE"""),"6-4")</f>
        <v>6-4</v>
      </c>
      <c r="C4" s="39">
        <f>IFERROR(__xludf.DUMMYFUNCTION("""COMPUTED_VALUE"""),0.6)</f>
        <v>0.6</v>
      </c>
      <c r="D4" s="34" t="str">
        <f>IFERROR(__xludf.DUMMYFUNCTION("""COMPUTED_VALUE"""),"AAC")</f>
        <v>AAC</v>
      </c>
      <c r="E4" s="34" t="str">
        <f>IFERROR(__xludf.DUMMYFUNCTION("""COMPUTED_VALUE"""),"AAC-East")</f>
        <v>AAC-East</v>
      </c>
      <c r="F4" s="34" t="str">
        <f>IFERROR(__xludf.DUMMYFUNCTION("""COMPUTED_VALUE"""),"5-3")</f>
        <v>5-3</v>
      </c>
      <c r="G4" s="38">
        <f>IFERROR(__xludf.DUMMYFUNCTION("""COMPUTED_VALUE"""),0.625)</f>
        <v>0.625</v>
      </c>
      <c r="H4" s="34">
        <f>IFERROR(__xludf.DUMMYFUNCTION("""COMPUTED_VALUE"""),10.0)</f>
        <v>10</v>
      </c>
      <c r="I4" s="34"/>
      <c r="J4" s="34" t="str">
        <f>IFERROR(__xludf.DUMMYFUNCTION("""COMPUTED_VALUE"""),"Tulsa")</f>
        <v>Tulsa</v>
      </c>
      <c r="K4" s="34" t="str">
        <f>IFERROR(__xludf.DUMMYFUNCTION("""COMPUTED_VALUE"""),"6-3")</f>
        <v>6-3</v>
      </c>
      <c r="L4" s="39">
        <f>IFERROR(__xludf.DUMMYFUNCTION("""COMPUTED_VALUE"""),0.6666666666666666)</f>
        <v>0.6666666667</v>
      </c>
      <c r="M4" s="34" t="str">
        <f>IFERROR(__xludf.DUMMYFUNCTION("""COMPUTED_VALUE"""),"AAC")</f>
        <v>AAC</v>
      </c>
      <c r="N4" s="34" t="str">
        <f>IFERROR(__xludf.DUMMYFUNCTION("""COMPUTED_VALUE"""),"AAC-West")</f>
        <v>AAC-West</v>
      </c>
      <c r="O4" s="34" t="str">
        <f>IFERROR(__xludf.DUMMYFUNCTION("""COMPUTED_VALUE"""),"6-1")</f>
        <v>6-1</v>
      </c>
      <c r="P4" s="38">
        <f>IFERROR(__xludf.DUMMYFUNCTION("""COMPUTED_VALUE"""),0.8571428571428571)</f>
        <v>0.8571428571</v>
      </c>
      <c r="Q4" s="34">
        <f>IFERROR(__xludf.DUMMYFUNCTION("""COMPUTED_VALUE"""),9.0)</f>
        <v>9</v>
      </c>
      <c r="R4" s="34"/>
      <c r="S4" s="34"/>
      <c r="T4" s="34"/>
      <c r="U4" s="34"/>
      <c r="V4" s="34"/>
      <c r="W4" s="34"/>
      <c r="X4" s="34"/>
      <c r="Y4" s="34"/>
      <c r="Z4" s="34"/>
      <c r="AA4" s="34"/>
    </row>
    <row r="5">
      <c r="A5" s="36" t="str">
        <f>IFERROR(__xludf.DUMMYFUNCTION("""COMPUTED_VALUE"""),"East Carolina")</f>
        <v>East Carolina</v>
      </c>
      <c r="B5" s="34" t="str">
        <f>IFERROR(__xludf.DUMMYFUNCTION("""COMPUTED_VALUE"""),"3-6")</f>
        <v>3-6</v>
      </c>
      <c r="C5" s="39">
        <f>IFERROR(__xludf.DUMMYFUNCTION("""COMPUTED_VALUE"""),0.3333333333333333)</f>
        <v>0.3333333333</v>
      </c>
      <c r="D5" s="34" t="str">
        <f>IFERROR(__xludf.DUMMYFUNCTION("""COMPUTED_VALUE"""),"AAC")</f>
        <v>AAC</v>
      </c>
      <c r="E5" s="34" t="str">
        <f>IFERROR(__xludf.DUMMYFUNCTION("""COMPUTED_VALUE"""),"AAC-East")</f>
        <v>AAC-East</v>
      </c>
      <c r="F5" s="34" t="str">
        <f>IFERROR(__xludf.DUMMYFUNCTION("""COMPUTED_VALUE"""),"3-5")</f>
        <v>3-5</v>
      </c>
      <c r="G5" s="38">
        <f>IFERROR(__xludf.DUMMYFUNCTION("""COMPUTED_VALUE"""),0.375)</f>
        <v>0.375</v>
      </c>
      <c r="H5" s="34">
        <f>IFERROR(__xludf.DUMMYFUNCTION("""COMPUTED_VALUE"""),9.0)</f>
        <v>9</v>
      </c>
      <c r="I5" s="34"/>
      <c r="J5" s="34" t="str">
        <f>IFERROR(__xludf.DUMMYFUNCTION("""COMPUTED_VALUE"""),"Memphis")</f>
        <v>Memphis</v>
      </c>
      <c r="K5" s="34" t="str">
        <f>IFERROR(__xludf.DUMMYFUNCTION("""COMPUTED_VALUE"""),"8-3")</f>
        <v>8-3</v>
      </c>
      <c r="L5" s="39">
        <f>IFERROR(__xludf.DUMMYFUNCTION("""COMPUTED_VALUE"""),0.7272727272727273)</f>
        <v>0.7272727273</v>
      </c>
      <c r="M5" s="34" t="str">
        <f>IFERROR(__xludf.DUMMYFUNCTION("""COMPUTED_VALUE"""),"AAC")</f>
        <v>AAC</v>
      </c>
      <c r="N5" s="34" t="str">
        <f>IFERROR(__xludf.DUMMYFUNCTION("""COMPUTED_VALUE"""),"AAC-West")</f>
        <v>AAC-West</v>
      </c>
      <c r="O5" s="34" t="str">
        <f>IFERROR(__xludf.DUMMYFUNCTION("""COMPUTED_VALUE"""),"5-3")</f>
        <v>5-3</v>
      </c>
      <c r="P5" s="38">
        <f>IFERROR(__xludf.DUMMYFUNCTION("""COMPUTED_VALUE"""),0.625)</f>
        <v>0.625</v>
      </c>
      <c r="Q5" s="34">
        <f>IFERROR(__xludf.DUMMYFUNCTION("""COMPUTED_VALUE"""),11.0)</f>
        <v>11</v>
      </c>
      <c r="R5" s="34"/>
      <c r="S5" s="34"/>
      <c r="T5" s="34"/>
      <c r="U5" s="34"/>
      <c r="V5" s="34"/>
      <c r="W5" s="34"/>
      <c r="X5" s="34"/>
      <c r="Y5" s="34"/>
      <c r="Z5" s="34"/>
      <c r="AA5" s="34"/>
    </row>
    <row r="6">
      <c r="A6" s="36" t="str">
        <f>IFERROR(__xludf.DUMMYFUNCTION("""COMPUTED_VALUE"""),"Temple")</f>
        <v>Temple</v>
      </c>
      <c r="B6" s="34" t="str">
        <f>IFERROR(__xludf.DUMMYFUNCTION("""COMPUTED_VALUE"""),"1-6")</f>
        <v>1-6</v>
      </c>
      <c r="C6" s="39">
        <f>IFERROR(__xludf.DUMMYFUNCTION("""COMPUTED_VALUE"""),0.14285714285714285)</f>
        <v>0.1428571429</v>
      </c>
      <c r="D6" s="34" t="str">
        <f>IFERROR(__xludf.DUMMYFUNCTION("""COMPUTED_VALUE"""),"AAC")</f>
        <v>AAC</v>
      </c>
      <c r="E6" s="34" t="str">
        <f>IFERROR(__xludf.DUMMYFUNCTION("""COMPUTED_VALUE"""),"AAC-East")</f>
        <v>AAC-East</v>
      </c>
      <c r="F6" s="34" t="str">
        <f>IFERROR(__xludf.DUMMYFUNCTION("""COMPUTED_VALUE"""),"1-6")</f>
        <v>1-6</v>
      </c>
      <c r="G6" s="38">
        <f>IFERROR(__xludf.DUMMYFUNCTION("""COMPUTED_VALUE"""),0.14285714285714285)</f>
        <v>0.1428571429</v>
      </c>
      <c r="H6" s="34">
        <f>IFERROR(__xludf.DUMMYFUNCTION("""COMPUTED_VALUE"""),7.0)</f>
        <v>7</v>
      </c>
      <c r="I6" s="34"/>
      <c r="J6" s="34" t="str">
        <f>IFERROR(__xludf.DUMMYFUNCTION("""COMPUTED_VALUE"""),"Central Florida")</f>
        <v>Central Florida</v>
      </c>
      <c r="K6" s="34" t="str">
        <f>IFERROR(__xludf.DUMMYFUNCTION("""COMPUTED_VALUE"""),"6-4")</f>
        <v>6-4</v>
      </c>
      <c r="L6" s="39">
        <f>IFERROR(__xludf.DUMMYFUNCTION("""COMPUTED_VALUE"""),0.6)</f>
        <v>0.6</v>
      </c>
      <c r="M6" s="34" t="str">
        <f>IFERROR(__xludf.DUMMYFUNCTION("""COMPUTED_VALUE"""),"AAC")</f>
        <v>AAC</v>
      </c>
      <c r="N6" s="34" t="str">
        <f>IFERROR(__xludf.DUMMYFUNCTION("""COMPUTED_VALUE"""),"AAC-East")</f>
        <v>AAC-East</v>
      </c>
      <c r="O6" s="34" t="str">
        <f>IFERROR(__xludf.DUMMYFUNCTION("""COMPUTED_VALUE"""),"5-3")</f>
        <v>5-3</v>
      </c>
      <c r="P6" s="38">
        <f>IFERROR(__xludf.DUMMYFUNCTION("""COMPUTED_VALUE"""),0.625)</f>
        <v>0.625</v>
      </c>
      <c r="Q6" s="34">
        <f>IFERROR(__xludf.DUMMYFUNCTION("""COMPUTED_VALUE"""),10.0)</f>
        <v>10</v>
      </c>
      <c r="R6" s="34"/>
      <c r="S6" s="34"/>
      <c r="T6" s="34"/>
      <c r="U6" s="34"/>
      <c r="V6" s="34"/>
      <c r="W6" s="34"/>
      <c r="X6" s="34"/>
      <c r="Y6" s="34"/>
      <c r="Z6" s="34"/>
      <c r="AA6" s="34"/>
    </row>
    <row r="7">
      <c r="A7" s="36" t="str">
        <f>IFERROR(__xludf.DUMMYFUNCTION("""COMPUTED_VALUE"""),"South Florida")</f>
        <v>South Florida</v>
      </c>
      <c r="B7" s="34" t="str">
        <f>IFERROR(__xludf.DUMMYFUNCTION("""COMPUTED_VALUE"""),"1-8")</f>
        <v>1-8</v>
      </c>
      <c r="C7" s="39">
        <f>IFERROR(__xludf.DUMMYFUNCTION("""COMPUTED_VALUE"""),0.1111111111111111)</f>
        <v>0.1111111111</v>
      </c>
      <c r="D7" s="34" t="str">
        <f>IFERROR(__xludf.DUMMYFUNCTION("""COMPUTED_VALUE"""),"AAC")</f>
        <v>AAC</v>
      </c>
      <c r="E7" s="34" t="str">
        <f>IFERROR(__xludf.DUMMYFUNCTION("""COMPUTED_VALUE"""),"AAC-East")</f>
        <v>AAC-East</v>
      </c>
      <c r="F7" s="34" t="str">
        <f>IFERROR(__xludf.DUMMYFUNCTION("""COMPUTED_VALUE"""),"0-7")</f>
        <v>0-7</v>
      </c>
      <c r="G7" s="38">
        <f>IFERROR(__xludf.DUMMYFUNCTION("""COMPUTED_VALUE"""),0.0)</f>
        <v>0</v>
      </c>
      <c r="H7" s="34">
        <f>IFERROR(__xludf.DUMMYFUNCTION("""COMPUTED_VALUE"""),9.0)</f>
        <v>9</v>
      </c>
      <c r="I7" s="34"/>
      <c r="J7" s="34" t="str">
        <f>IFERROR(__xludf.DUMMYFUNCTION("""COMPUTED_VALUE"""),"Southern Methodist")</f>
        <v>Southern Methodist</v>
      </c>
      <c r="K7" s="34" t="str">
        <f>IFERROR(__xludf.DUMMYFUNCTION("""COMPUTED_VALUE"""),"7-3")</f>
        <v>7-3</v>
      </c>
      <c r="L7" s="39">
        <f>IFERROR(__xludf.DUMMYFUNCTION("""COMPUTED_VALUE"""),0.7)</f>
        <v>0.7</v>
      </c>
      <c r="M7" s="34" t="str">
        <f>IFERROR(__xludf.DUMMYFUNCTION("""COMPUTED_VALUE"""),"AAC")</f>
        <v>AAC</v>
      </c>
      <c r="N7" s="34" t="str">
        <f>IFERROR(__xludf.DUMMYFUNCTION("""COMPUTED_VALUE"""),"AAC-West")</f>
        <v>AAC-West</v>
      </c>
      <c r="O7" s="34" t="str">
        <f>IFERROR(__xludf.DUMMYFUNCTION("""COMPUTED_VALUE"""),"4-3")</f>
        <v>4-3</v>
      </c>
      <c r="P7" s="38">
        <f>IFERROR(__xludf.DUMMYFUNCTION("""COMPUTED_VALUE"""),0.5714285714285714)</f>
        <v>0.5714285714</v>
      </c>
      <c r="Q7" s="34">
        <f>IFERROR(__xludf.DUMMYFUNCTION("""COMPUTED_VALUE"""),10.0)</f>
        <v>10</v>
      </c>
      <c r="R7" s="34"/>
      <c r="S7" s="34"/>
      <c r="T7" s="34"/>
      <c r="U7" s="34"/>
      <c r="V7" s="34"/>
      <c r="W7" s="34"/>
      <c r="X7" s="34"/>
      <c r="Y7" s="34"/>
      <c r="Z7" s="34"/>
      <c r="AA7" s="34"/>
    </row>
    <row r="8">
      <c r="A8" s="36" t="str">
        <f>IFERROR(__xludf.DUMMYFUNCTION("""COMPUTED_VALUE"""),"Connecticut")</f>
        <v>Connecticut</v>
      </c>
      <c r="B8" s="40" t="str">
        <f>IFERROR(__xludf.DUMMYFUNCTION("""COMPUTED_VALUE"""),"0-0")</f>
        <v>0-0</v>
      </c>
      <c r="C8" s="39"/>
      <c r="D8" s="34" t="str">
        <f>IFERROR(__xludf.DUMMYFUNCTION("""COMPUTED_VALUE"""),"AAC")</f>
        <v>AAC</v>
      </c>
      <c r="E8" s="34" t="str">
        <f>IFERROR(__xludf.DUMMYFUNCTION("""COMPUTED_VALUE"""),"AAC-East")</f>
        <v>AAC-East</v>
      </c>
      <c r="F8" s="34" t="str">
        <f>IFERROR(__xludf.DUMMYFUNCTION("""COMPUTED_VALUE"""),"0-0")</f>
        <v>0-0</v>
      </c>
      <c r="G8" s="38"/>
      <c r="H8" s="34">
        <f>IFERROR(__xludf.DUMMYFUNCTION("""COMPUTED_VALUE"""),0.0)</f>
        <v>0</v>
      </c>
      <c r="I8" s="34"/>
      <c r="J8" s="34" t="str">
        <f>IFERROR(__xludf.DUMMYFUNCTION("""COMPUTED_VALUE"""),"Houston")</f>
        <v>Houston</v>
      </c>
      <c r="K8" s="34" t="str">
        <f>IFERROR(__xludf.DUMMYFUNCTION("""COMPUTED_VALUE"""),"3-5")</f>
        <v>3-5</v>
      </c>
      <c r="L8" s="39">
        <f>IFERROR(__xludf.DUMMYFUNCTION("""COMPUTED_VALUE"""),0.375)</f>
        <v>0.375</v>
      </c>
      <c r="M8" s="34" t="str">
        <f>IFERROR(__xludf.DUMMYFUNCTION("""COMPUTED_VALUE"""),"AAC")</f>
        <v>AAC</v>
      </c>
      <c r="N8" s="34" t="str">
        <f>IFERROR(__xludf.DUMMYFUNCTION("""COMPUTED_VALUE"""),"AAC-West")</f>
        <v>AAC-West</v>
      </c>
      <c r="O8" s="34" t="str">
        <f>IFERROR(__xludf.DUMMYFUNCTION("""COMPUTED_VALUE"""),"3-3")</f>
        <v>3-3</v>
      </c>
      <c r="P8" s="38">
        <f>IFERROR(__xludf.DUMMYFUNCTION("""COMPUTED_VALUE"""),0.5)</f>
        <v>0.5</v>
      </c>
      <c r="Q8" s="34">
        <f>IFERROR(__xludf.DUMMYFUNCTION("""COMPUTED_VALUE"""),8.0)</f>
        <v>8</v>
      </c>
      <c r="R8" s="34"/>
      <c r="S8" s="34"/>
      <c r="T8" s="34"/>
      <c r="U8" s="34"/>
      <c r="V8" s="34"/>
      <c r="W8" s="34"/>
      <c r="X8" s="34"/>
      <c r="Y8" s="34"/>
      <c r="Z8" s="34"/>
      <c r="AA8" s="34"/>
    </row>
    <row r="9">
      <c r="A9" s="33" t="s">
        <v>225</v>
      </c>
      <c r="I9" s="34"/>
      <c r="J9" s="34" t="str">
        <f>IFERROR(__xludf.DUMMYFUNCTION("""COMPUTED_VALUE"""),"Navy")</f>
        <v>Navy</v>
      </c>
      <c r="K9" s="34" t="str">
        <f>IFERROR(__xludf.DUMMYFUNCTION("""COMPUTED_VALUE"""),"3-7")</f>
        <v>3-7</v>
      </c>
      <c r="L9" s="39">
        <f>IFERROR(__xludf.DUMMYFUNCTION("""COMPUTED_VALUE"""),0.3)</f>
        <v>0.3</v>
      </c>
      <c r="M9" s="34" t="str">
        <f>IFERROR(__xludf.DUMMYFUNCTION("""COMPUTED_VALUE"""),"AAC")</f>
        <v>AAC</v>
      </c>
      <c r="N9" s="34" t="str">
        <f>IFERROR(__xludf.DUMMYFUNCTION("""COMPUTED_VALUE"""),"AAC-West")</f>
        <v>AAC-West</v>
      </c>
      <c r="O9" s="34" t="str">
        <f>IFERROR(__xludf.DUMMYFUNCTION("""COMPUTED_VALUE"""),"3-4")</f>
        <v>3-4</v>
      </c>
      <c r="P9" s="38">
        <f>IFERROR(__xludf.DUMMYFUNCTION("""COMPUTED_VALUE"""),0.42857142857142855)</f>
        <v>0.4285714286</v>
      </c>
      <c r="Q9" s="34">
        <f>IFERROR(__xludf.DUMMYFUNCTION("""COMPUTED_VALUE"""),10.0)</f>
        <v>10</v>
      </c>
      <c r="R9" s="34"/>
      <c r="S9" s="34"/>
      <c r="T9" s="34"/>
      <c r="U9" s="34"/>
      <c r="V9" s="34"/>
      <c r="W9" s="34"/>
      <c r="X9" s="34"/>
      <c r="Y9" s="34"/>
      <c r="Z9" s="34"/>
      <c r="AA9" s="34"/>
    </row>
    <row r="10">
      <c r="A10" s="35" t="str">
        <f>IFERROR(__xludf.DUMMYFUNCTION("QUERY(standings,""SELECT A, D, E, F, G, J, K, R WHERE G = 'AAC-West' ORDER BY K DESC, E DESC, J DESC"",1)"),"Team")</f>
        <v>Team</v>
      </c>
      <c r="B10" s="34" t="str">
        <f>IFERROR(__xludf.DUMMYFUNCTION("""COMPUTED_VALUE"""),"Record")</f>
        <v>Record</v>
      </c>
      <c r="C10" s="34" t="str">
        <f>IFERROR(__xludf.DUMMYFUNCTION("""COMPUTED_VALUE"""),"Ovr Win %")</f>
        <v>Ovr Win %</v>
      </c>
      <c r="D10" s="34" t="str">
        <f>IFERROR(__xludf.DUMMYFUNCTION("""COMPUTED_VALUE"""),"Conf")</f>
        <v>Conf</v>
      </c>
      <c r="E10" s="34" t="str">
        <f>IFERROR(__xludf.DUMMYFUNCTION("""COMPUTED_VALUE"""),"Conf-Div")</f>
        <v>Conf-Div</v>
      </c>
      <c r="F10" s="34" t="str">
        <f>IFERROR(__xludf.DUMMYFUNCTION("""COMPUTED_VALUE"""),"Conf Record")</f>
        <v>Conf Record</v>
      </c>
      <c r="G10" s="34" t="str">
        <f>IFERROR(__xludf.DUMMYFUNCTION("""COMPUTED_VALUE"""),"Conf W %")</f>
        <v>Conf W %</v>
      </c>
      <c r="H10" s="34" t="str">
        <f>IFERROR(__xludf.DUMMYFUNCTION("""COMPUTED_VALUE"""),"# Games")</f>
        <v># Games</v>
      </c>
      <c r="I10" s="34"/>
      <c r="J10" s="34" t="str">
        <f>IFERROR(__xludf.DUMMYFUNCTION("""COMPUTED_VALUE"""),"Tulane")</f>
        <v>Tulane</v>
      </c>
      <c r="K10" s="34" t="str">
        <f>IFERROR(__xludf.DUMMYFUNCTION("""COMPUTED_VALUE"""),"6-6")</f>
        <v>6-6</v>
      </c>
      <c r="L10" s="39">
        <f>IFERROR(__xludf.DUMMYFUNCTION("""COMPUTED_VALUE"""),0.5)</f>
        <v>0.5</v>
      </c>
      <c r="M10" s="34" t="str">
        <f>IFERROR(__xludf.DUMMYFUNCTION("""COMPUTED_VALUE"""),"AAC")</f>
        <v>AAC</v>
      </c>
      <c r="N10" s="34" t="str">
        <f>IFERROR(__xludf.DUMMYFUNCTION("""COMPUTED_VALUE"""),"AAC-West")</f>
        <v>AAC-West</v>
      </c>
      <c r="O10" s="34" t="str">
        <f>IFERROR(__xludf.DUMMYFUNCTION("""COMPUTED_VALUE"""),"3-5")</f>
        <v>3-5</v>
      </c>
      <c r="P10" s="38">
        <f>IFERROR(__xludf.DUMMYFUNCTION("""COMPUTED_VALUE"""),0.375)</f>
        <v>0.375</v>
      </c>
      <c r="Q10" s="34">
        <f>IFERROR(__xludf.DUMMYFUNCTION("""COMPUTED_VALUE"""),12.0)</f>
        <v>12</v>
      </c>
      <c r="R10" s="34"/>
      <c r="S10" s="34"/>
      <c r="T10" s="34"/>
      <c r="U10" s="34"/>
      <c r="V10" s="34"/>
      <c r="W10" s="34"/>
      <c r="X10" s="34"/>
      <c r="Y10" s="34"/>
      <c r="Z10" s="34"/>
      <c r="AA10" s="34"/>
    </row>
    <row r="11">
      <c r="A11" s="20" t="str">
        <f>IFERROR(__xludf.DUMMYFUNCTION("""COMPUTED_VALUE"""),"Tulsa")</f>
        <v>Tulsa</v>
      </c>
      <c r="B11" s="34" t="str">
        <f>IFERROR(__xludf.DUMMYFUNCTION("""COMPUTED_VALUE"""),"6-3")</f>
        <v>6-3</v>
      </c>
      <c r="C11" s="39">
        <f>IFERROR(__xludf.DUMMYFUNCTION("""COMPUTED_VALUE"""),0.6666666666666666)</f>
        <v>0.6666666667</v>
      </c>
      <c r="D11" s="34" t="str">
        <f>IFERROR(__xludf.DUMMYFUNCTION("""COMPUTED_VALUE"""),"AAC")</f>
        <v>AAC</v>
      </c>
      <c r="E11" s="34" t="str">
        <f>IFERROR(__xludf.DUMMYFUNCTION("""COMPUTED_VALUE"""),"AAC-West")</f>
        <v>AAC-West</v>
      </c>
      <c r="F11" s="34" t="str">
        <f>IFERROR(__xludf.DUMMYFUNCTION("""COMPUTED_VALUE"""),"6-1")</f>
        <v>6-1</v>
      </c>
      <c r="G11" s="38">
        <f>IFERROR(__xludf.DUMMYFUNCTION("""COMPUTED_VALUE"""),0.8571428571428571)</f>
        <v>0.8571428571</v>
      </c>
      <c r="H11" s="34">
        <f>IFERROR(__xludf.DUMMYFUNCTION("""COMPUTED_VALUE"""),9.0)</f>
        <v>9</v>
      </c>
      <c r="I11" s="34"/>
      <c r="J11" s="34" t="str">
        <f>IFERROR(__xludf.DUMMYFUNCTION("""COMPUTED_VALUE"""),"East Carolina")</f>
        <v>East Carolina</v>
      </c>
      <c r="K11" s="34" t="str">
        <f>IFERROR(__xludf.DUMMYFUNCTION("""COMPUTED_VALUE"""),"3-6")</f>
        <v>3-6</v>
      </c>
      <c r="L11" s="39">
        <f>IFERROR(__xludf.DUMMYFUNCTION("""COMPUTED_VALUE"""),0.3333333333333333)</f>
        <v>0.3333333333</v>
      </c>
      <c r="M11" s="34" t="str">
        <f>IFERROR(__xludf.DUMMYFUNCTION("""COMPUTED_VALUE"""),"AAC")</f>
        <v>AAC</v>
      </c>
      <c r="N11" s="34" t="str">
        <f>IFERROR(__xludf.DUMMYFUNCTION("""COMPUTED_VALUE"""),"AAC-East")</f>
        <v>AAC-East</v>
      </c>
      <c r="O11" s="34" t="str">
        <f>IFERROR(__xludf.DUMMYFUNCTION("""COMPUTED_VALUE"""),"3-5")</f>
        <v>3-5</v>
      </c>
      <c r="P11" s="38">
        <f>IFERROR(__xludf.DUMMYFUNCTION("""COMPUTED_VALUE"""),0.375)</f>
        <v>0.375</v>
      </c>
      <c r="Q11" s="34">
        <f>IFERROR(__xludf.DUMMYFUNCTION("""COMPUTED_VALUE"""),9.0)</f>
        <v>9</v>
      </c>
      <c r="R11" s="34"/>
      <c r="S11" s="34"/>
      <c r="T11" s="34"/>
      <c r="U11" s="34"/>
      <c r="V11" s="34"/>
      <c r="W11" s="34"/>
      <c r="X11" s="34"/>
      <c r="Y11" s="34"/>
      <c r="Z11" s="34"/>
      <c r="AA11" s="34"/>
    </row>
    <row r="12">
      <c r="A12" s="20" t="str">
        <f>IFERROR(__xludf.DUMMYFUNCTION("""COMPUTED_VALUE"""),"Memphis")</f>
        <v>Memphis</v>
      </c>
      <c r="B12" s="34" t="str">
        <f>IFERROR(__xludf.DUMMYFUNCTION("""COMPUTED_VALUE"""),"8-3")</f>
        <v>8-3</v>
      </c>
      <c r="C12" s="39">
        <f>IFERROR(__xludf.DUMMYFUNCTION("""COMPUTED_VALUE"""),0.7272727272727273)</f>
        <v>0.7272727273</v>
      </c>
      <c r="D12" s="34" t="str">
        <f>IFERROR(__xludf.DUMMYFUNCTION("""COMPUTED_VALUE"""),"AAC")</f>
        <v>AAC</v>
      </c>
      <c r="E12" s="34" t="str">
        <f>IFERROR(__xludf.DUMMYFUNCTION("""COMPUTED_VALUE"""),"AAC-West")</f>
        <v>AAC-West</v>
      </c>
      <c r="F12" s="34" t="str">
        <f>IFERROR(__xludf.DUMMYFUNCTION("""COMPUTED_VALUE"""),"5-3")</f>
        <v>5-3</v>
      </c>
      <c r="G12" s="38">
        <f>IFERROR(__xludf.DUMMYFUNCTION("""COMPUTED_VALUE"""),0.625)</f>
        <v>0.625</v>
      </c>
      <c r="H12" s="34">
        <f>IFERROR(__xludf.DUMMYFUNCTION("""COMPUTED_VALUE"""),11.0)</f>
        <v>11</v>
      </c>
      <c r="I12" s="34"/>
      <c r="J12" s="34" t="str">
        <f>IFERROR(__xludf.DUMMYFUNCTION("""COMPUTED_VALUE"""),"Temple")</f>
        <v>Temple</v>
      </c>
      <c r="K12" s="34" t="str">
        <f>IFERROR(__xludf.DUMMYFUNCTION("""COMPUTED_VALUE"""),"1-6")</f>
        <v>1-6</v>
      </c>
      <c r="L12" s="39">
        <f>IFERROR(__xludf.DUMMYFUNCTION("""COMPUTED_VALUE"""),0.14285714285714285)</f>
        <v>0.1428571429</v>
      </c>
      <c r="M12" s="34" t="str">
        <f>IFERROR(__xludf.DUMMYFUNCTION("""COMPUTED_VALUE"""),"AAC")</f>
        <v>AAC</v>
      </c>
      <c r="N12" s="34" t="str">
        <f>IFERROR(__xludf.DUMMYFUNCTION("""COMPUTED_VALUE"""),"AAC-East")</f>
        <v>AAC-East</v>
      </c>
      <c r="O12" s="34" t="str">
        <f>IFERROR(__xludf.DUMMYFUNCTION("""COMPUTED_VALUE"""),"1-6")</f>
        <v>1-6</v>
      </c>
      <c r="P12" s="38">
        <f>IFERROR(__xludf.DUMMYFUNCTION("""COMPUTED_VALUE"""),0.14285714285714285)</f>
        <v>0.1428571429</v>
      </c>
      <c r="Q12" s="34">
        <f>IFERROR(__xludf.DUMMYFUNCTION("""COMPUTED_VALUE"""),7.0)</f>
        <v>7</v>
      </c>
      <c r="R12" s="34"/>
      <c r="S12" s="34"/>
      <c r="T12" s="34"/>
      <c r="U12" s="34"/>
      <c r="V12" s="34"/>
      <c r="W12" s="34"/>
      <c r="X12" s="34"/>
      <c r="Y12" s="34"/>
      <c r="Z12" s="34"/>
      <c r="AA12" s="34"/>
    </row>
    <row r="13">
      <c r="A13" s="20" t="str">
        <f>IFERROR(__xludf.DUMMYFUNCTION("""COMPUTED_VALUE"""),"Southern Methodist")</f>
        <v>Southern Methodist</v>
      </c>
      <c r="B13" s="34" t="str">
        <f>IFERROR(__xludf.DUMMYFUNCTION("""COMPUTED_VALUE"""),"7-3")</f>
        <v>7-3</v>
      </c>
      <c r="C13" s="39">
        <f>IFERROR(__xludf.DUMMYFUNCTION("""COMPUTED_VALUE"""),0.7)</f>
        <v>0.7</v>
      </c>
      <c r="D13" s="34" t="str">
        <f>IFERROR(__xludf.DUMMYFUNCTION("""COMPUTED_VALUE"""),"AAC")</f>
        <v>AAC</v>
      </c>
      <c r="E13" s="34" t="str">
        <f>IFERROR(__xludf.DUMMYFUNCTION("""COMPUTED_VALUE"""),"AAC-West")</f>
        <v>AAC-West</v>
      </c>
      <c r="F13" s="34" t="str">
        <f>IFERROR(__xludf.DUMMYFUNCTION("""COMPUTED_VALUE"""),"4-3")</f>
        <v>4-3</v>
      </c>
      <c r="G13" s="38">
        <f>IFERROR(__xludf.DUMMYFUNCTION("""COMPUTED_VALUE"""),0.5714285714285714)</f>
        <v>0.5714285714</v>
      </c>
      <c r="H13" s="34">
        <f>IFERROR(__xludf.DUMMYFUNCTION("""COMPUTED_VALUE"""),10.0)</f>
        <v>10</v>
      </c>
      <c r="I13" s="34"/>
      <c r="J13" s="34" t="str">
        <f>IFERROR(__xludf.DUMMYFUNCTION("""COMPUTED_VALUE"""),"South Florida")</f>
        <v>South Florida</v>
      </c>
      <c r="K13" s="34" t="str">
        <f>IFERROR(__xludf.DUMMYFUNCTION("""COMPUTED_VALUE"""),"1-8")</f>
        <v>1-8</v>
      </c>
      <c r="L13" s="39">
        <f>IFERROR(__xludf.DUMMYFUNCTION("""COMPUTED_VALUE"""),0.1111111111111111)</f>
        <v>0.1111111111</v>
      </c>
      <c r="M13" s="34" t="str">
        <f>IFERROR(__xludf.DUMMYFUNCTION("""COMPUTED_VALUE"""),"AAC")</f>
        <v>AAC</v>
      </c>
      <c r="N13" s="34" t="str">
        <f>IFERROR(__xludf.DUMMYFUNCTION("""COMPUTED_VALUE"""),"AAC-East")</f>
        <v>AAC-East</v>
      </c>
      <c r="O13" s="34" t="str">
        <f>IFERROR(__xludf.DUMMYFUNCTION("""COMPUTED_VALUE"""),"0-7")</f>
        <v>0-7</v>
      </c>
      <c r="P13" s="38">
        <f>IFERROR(__xludf.DUMMYFUNCTION("""COMPUTED_VALUE"""),0.0)</f>
        <v>0</v>
      </c>
      <c r="Q13" s="34">
        <f>IFERROR(__xludf.DUMMYFUNCTION("""COMPUTED_VALUE"""),9.0)</f>
        <v>9</v>
      </c>
      <c r="R13" s="34"/>
      <c r="S13" s="34"/>
      <c r="T13" s="34"/>
      <c r="U13" s="34"/>
      <c r="V13" s="34"/>
      <c r="W13" s="34"/>
      <c r="X13" s="34"/>
      <c r="Y13" s="34"/>
      <c r="Z13" s="34"/>
      <c r="AA13" s="34"/>
    </row>
    <row r="14">
      <c r="A14" s="20" t="str">
        <f>IFERROR(__xludf.DUMMYFUNCTION("""COMPUTED_VALUE"""),"Houston")</f>
        <v>Houston</v>
      </c>
      <c r="B14" s="34" t="str">
        <f>IFERROR(__xludf.DUMMYFUNCTION("""COMPUTED_VALUE"""),"3-5")</f>
        <v>3-5</v>
      </c>
      <c r="C14" s="39">
        <f>IFERROR(__xludf.DUMMYFUNCTION("""COMPUTED_VALUE"""),0.375)</f>
        <v>0.375</v>
      </c>
      <c r="D14" s="34" t="str">
        <f>IFERROR(__xludf.DUMMYFUNCTION("""COMPUTED_VALUE"""),"AAC")</f>
        <v>AAC</v>
      </c>
      <c r="E14" s="34" t="str">
        <f>IFERROR(__xludf.DUMMYFUNCTION("""COMPUTED_VALUE"""),"AAC-West")</f>
        <v>AAC-West</v>
      </c>
      <c r="F14" s="34" t="str">
        <f>IFERROR(__xludf.DUMMYFUNCTION("""COMPUTED_VALUE"""),"3-3")</f>
        <v>3-3</v>
      </c>
      <c r="G14" s="38">
        <f>IFERROR(__xludf.DUMMYFUNCTION("""COMPUTED_VALUE"""),0.5)</f>
        <v>0.5</v>
      </c>
      <c r="H14" s="34">
        <f>IFERROR(__xludf.DUMMYFUNCTION("""COMPUTED_VALUE"""),8.0)</f>
        <v>8</v>
      </c>
      <c r="I14" s="34"/>
      <c r="J14" s="34" t="str">
        <f>IFERROR(__xludf.DUMMYFUNCTION("""COMPUTED_VALUE"""),"Connecticut")</f>
        <v>Connecticut</v>
      </c>
      <c r="K14" s="34" t="str">
        <f>IFERROR(__xludf.DUMMYFUNCTION("""COMPUTED_VALUE"""),"0-0")</f>
        <v>0-0</v>
      </c>
      <c r="L14" s="39"/>
      <c r="M14" s="34" t="str">
        <f>IFERROR(__xludf.DUMMYFUNCTION("""COMPUTED_VALUE"""),"AAC")</f>
        <v>AAC</v>
      </c>
      <c r="N14" s="34" t="str">
        <f>IFERROR(__xludf.DUMMYFUNCTION("""COMPUTED_VALUE"""),"AAC-East")</f>
        <v>AAC-East</v>
      </c>
      <c r="O14" s="34" t="str">
        <f>IFERROR(__xludf.DUMMYFUNCTION("""COMPUTED_VALUE"""),"0-0")</f>
        <v>0-0</v>
      </c>
      <c r="P14" s="38"/>
      <c r="Q14" s="34">
        <f>IFERROR(__xludf.DUMMYFUNCTION("""COMPUTED_VALUE"""),0.0)</f>
        <v>0</v>
      </c>
      <c r="R14" s="34"/>
      <c r="S14" s="34"/>
      <c r="T14" s="34"/>
      <c r="U14" s="34"/>
      <c r="V14" s="34"/>
      <c r="W14" s="34"/>
      <c r="X14" s="34"/>
      <c r="Y14" s="34"/>
      <c r="Z14" s="34"/>
      <c r="AA14" s="34"/>
    </row>
    <row r="15">
      <c r="A15" s="20" t="str">
        <f>IFERROR(__xludf.DUMMYFUNCTION("""COMPUTED_VALUE"""),"Navy")</f>
        <v>Navy</v>
      </c>
      <c r="B15" s="34" t="str">
        <f>IFERROR(__xludf.DUMMYFUNCTION("""COMPUTED_VALUE"""),"3-7")</f>
        <v>3-7</v>
      </c>
      <c r="C15" s="39">
        <f>IFERROR(__xludf.DUMMYFUNCTION("""COMPUTED_VALUE"""),0.3)</f>
        <v>0.3</v>
      </c>
      <c r="D15" s="34" t="str">
        <f>IFERROR(__xludf.DUMMYFUNCTION("""COMPUTED_VALUE"""),"AAC")</f>
        <v>AAC</v>
      </c>
      <c r="E15" s="34" t="str">
        <f>IFERROR(__xludf.DUMMYFUNCTION("""COMPUTED_VALUE"""),"AAC-West")</f>
        <v>AAC-West</v>
      </c>
      <c r="F15" s="34" t="str">
        <f>IFERROR(__xludf.DUMMYFUNCTION("""COMPUTED_VALUE"""),"3-4")</f>
        <v>3-4</v>
      </c>
      <c r="G15" s="38">
        <f>IFERROR(__xludf.DUMMYFUNCTION("""COMPUTED_VALUE"""),0.42857142857142855)</f>
        <v>0.4285714286</v>
      </c>
      <c r="H15" s="34">
        <f>IFERROR(__xludf.DUMMYFUNCTION("""COMPUTED_VALUE"""),10.0)</f>
        <v>10</v>
      </c>
      <c r="I15" s="34"/>
      <c r="J15" s="3" t="s">
        <v>229</v>
      </c>
      <c r="L15" s="34">
        <f>COUNTIF(L3:L14,"&gt;=.5")</f>
        <v>6</v>
      </c>
      <c r="M15" s="41">
        <f>COUNTIF(M3:M14,"AAC")</f>
        <v>12</v>
      </c>
      <c r="N15" s="34">
        <f>L15/M15</f>
        <v>0.5</v>
      </c>
      <c r="O15" s="34"/>
      <c r="P15" s="34"/>
      <c r="Q15" s="34"/>
      <c r="R15" s="34"/>
      <c r="S15" s="34"/>
      <c r="T15" s="34"/>
      <c r="U15" s="34"/>
      <c r="V15" s="34"/>
      <c r="W15" s="34"/>
      <c r="X15" s="34"/>
      <c r="Y15" s="34"/>
      <c r="Z15" s="34"/>
      <c r="AA15" s="34"/>
    </row>
    <row r="16">
      <c r="A16" s="20" t="str">
        <f>IFERROR(__xludf.DUMMYFUNCTION("""COMPUTED_VALUE"""),"Tulane")</f>
        <v>Tulane</v>
      </c>
      <c r="B16" s="34" t="str">
        <f>IFERROR(__xludf.DUMMYFUNCTION("""COMPUTED_VALUE"""),"6-6")</f>
        <v>6-6</v>
      </c>
      <c r="C16" s="39">
        <f>IFERROR(__xludf.DUMMYFUNCTION("""COMPUTED_VALUE"""),0.5)</f>
        <v>0.5</v>
      </c>
      <c r="D16" s="34" t="str">
        <f>IFERROR(__xludf.DUMMYFUNCTION("""COMPUTED_VALUE"""),"AAC")</f>
        <v>AAC</v>
      </c>
      <c r="E16" s="34" t="str">
        <f>IFERROR(__xludf.DUMMYFUNCTION("""COMPUTED_VALUE"""),"AAC-West")</f>
        <v>AAC-West</v>
      </c>
      <c r="F16" s="34" t="str">
        <f>IFERROR(__xludf.DUMMYFUNCTION("""COMPUTED_VALUE"""),"3-5")</f>
        <v>3-5</v>
      </c>
      <c r="G16" s="38">
        <f>IFERROR(__xludf.DUMMYFUNCTION("""COMPUTED_VALUE"""),0.375)</f>
        <v>0.375</v>
      </c>
      <c r="H16" s="34">
        <f>IFERROR(__xludf.DUMMYFUNCTION("""COMPUTED_VALUE"""),12.0)</f>
        <v>12</v>
      </c>
      <c r="I16" s="34"/>
      <c r="J16" s="34"/>
      <c r="K16" s="34"/>
      <c r="L16" s="34"/>
      <c r="M16" s="34"/>
      <c r="N16" s="34"/>
      <c r="O16" s="34"/>
      <c r="P16" s="34"/>
      <c r="Q16" s="34"/>
      <c r="R16" s="34"/>
      <c r="S16" s="34"/>
      <c r="T16" s="34"/>
      <c r="U16" s="34"/>
      <c r="V16" s="34"/>
      <c r="W16" s="34"/>
      <c r="X16" s="34"/>
      <c r="Y16" s="34"/>
      <c r="Z16" s="34"/>
      <c r="AA16" s="34"/>
    </row>
    <row r="17">
      <c r="A17" s="33" t="s">
        <v>216</v>
      </c>
      <c r="I17" s="34"/>
      <c r="J17" s="33" t="s">
        <v>120</v>
      </c>
      <c r="R17" s="34"/>
      <c r="S17" s="34"/>
      <c r="T17" s="34"/>
      <c r="U17" s="34"/>
      <c r="V17" s="34"/>
      <c r="W17" s="34"/>
      <c r="X17" s="34"/>
      <c r="Y17" s="34"/>
      <c r="Z17" s="34"/>
      <c r="AA17" s="34"/>
    </row>
    <row r="18">
      <c r="A18" s="35" t="str">
        <f>IFERROR(__xludf.DUMMYFUNCTION("QUERY(standings,""SELECT A, D, E, F, G, J, K, R WHERE G = 'ACC-Atlantic' ORDER BY K DESC, E DESC, J DESC "",1)"),"Team")</f>
        <v>Team</v>
      </c>
      <c r="B18" s="34" t="str">
        <f>IFERROR(__xludf.DUMMYFUNCTION("""COMPUTED_VALUE"""),"Record")</f>
        <v>Record</v>
      </c>
      <c r="C18" s="34" t="str">
        <f>IFERROR(__xludf.DUMMYFUNCTION("""COMPUTED_VALUE"""),"Ovr Win %")</f>
        <v>Ovr Win %</v>
      </c>
      <c r="D18" s="34" t="str">
        <f>IFERROR(__xludf.DUMMYFUNCTION("""COMPUTED_VALUE"""),"Conf")</f>
        <v>Conf</v>
      </c>
      <c r="E18" s="34" t="str">
        <f>IFERROR(__xludf.DUMMYFUNCTION("""COMPUTED_VALUE"""),"Conf-Div")</f>
        <v>Conf-Div</v>
      </c>
      <c r="F18" s="34" t="str">
        <f>IFERROR(__xludf.DUMMYFUNCTION("""COMPUTED_VALUE"""),"Conf Record")</f>
        <v>Conf Record</v>
      </c>
      <c r="G18" s="34" t="str">
        <f>IFERROR(__xludf.DUMMYFUNCTION("""COMPUTED_VALUE"""),"Conf W %")</f>
        <v>Conf W %</v>
      </c>
      <c r="H18" s="34" t="str">
        <f>IFERROR(__xludf.DUMMYFUNCTION("""COMPUTED_VALUE"""),"# Games")</f>
        <v># Games</v>
      </c>
      <c r="I18" s="34"/>
      <c r="J18" s="40" t="str">
        <f>IFERROR(__xludf.DUMMYFUNCTION("QUERY(standings,""SELECT A, D, E, F, G, J, K, R WHERE F = 'ACC' ORDER BY K DESC, E DESC, J DESC "",1)"),"Team")</f>
        <v>Team</v>
      </c>
      <c r="K18" s="34" t="str">
        <f>IFERROR(__xludf.DUMMYFUNCTION("""COMPUTED_VALUE"""),"Record")</f>
        <v>Record</v>
      </c>
      <c r="L18" s="34" t="str">
        <f>IFERROR(__xludf.DUMMYFUNCTION("""COMPUTED_VALUE"""),"Ovr Win %")</f>
        <v>Ovr Win %</v>
      </c>
      <c r="M18" s="34" t="str">
        <f>IFERROR(__xludf.DUMMYFUNCTION("""COMPUTED_VALUE"""),"Conf")</f>
        <v>Conf</v>
      </c>
      <c r="N18" s="34" t="str">
        <f>IFERROR(__xludf.DUMMYFUNCTION("""COMPUTED_VALUE"""),"Conf-Div")</f>
        <v>Conf-Div</v>
      </c>
      <c r="O18" s="34" t="str">
        <f>IFERROR(__xludf.DUMMYFUNCTION("""COMPUTED_VALUE"""),"Conf Record")</f>
        <v>Conf Record</v>
      </c>
      <c r="P18" s="34" t="str">
        <f>IFERROR(__xludf.DUMMYFUNCTION("""COMPUTED_VALUE"""),"Conf W %")</f>
        <v>Conf W %</v>
      </c>
      <c r="Q18" s="34" t="str">
        <f>IFERROR(__xludf.DUMMYFUNCTION("""COMPUTED_VALUE"""),"# Games")</f>
        <v># Games</v>
      </c>
      <c r="R18" s="34"/>
      <c r="S18" s="34"/>
      <c r="T18" s="34"/>
      <c r="U18" s="34"/>
      <c r="V18" s="34"/>
      <c r="W18" s="34"/>
      <c r="X18" s="34"/>
      <c r="Y18" s="34"/>
      <c r="Z18" s="34"/>
      <c r="AA18" s="34"/>
    </row>
    <row r="19">
      <c r="A19" s="20" t="str">
        <f>IFERROR(__xludf.DUMMYFUNCTION("""COMPUTED_VALUE"""),"Clemson")</f>
        <v>Clemson</v>
      </c>
      <c r="B19" s="34" t="str">
        <f>IFERROR(__xludf.DUMMYFUNCTION("""COMPUTED_VALUE"""),"10-2")</f>
        <v>10-2</v>
      </c>
      <c r="C19" s="39">
        <f>IFERROR(__xludf.DUMMYFUNCTION("""COMPUTED_VALUE"""),0.8333333333333334)</f>
        <v>0.8333333333</v>
      </c>
      <c r="D19" s="34" t="str">
        <f>IFERROR(__xludf.DUMMYFUNCTION("""COMPUTED_VALUE"""),"ACC")</f>
        <v>ACC</v>
      </c>
      <c r="E19" s="34" t="str">
        <f>IFERROR(__xludf.DUMMYFUNCTION("""COMPUTED_VALUE"""),"ACC-Atlantic")</f>
        <v>ACC-Atlantic</v>
      </c>
      <c r="F19" s="34" t="str">
        <f>IFERROR(__xludf.DUMMYFUNCTION("""COMPUTED_VALUE"""),"9-1")</f>
        <v>9-1</v>
      </c>
      <c r="G19" s="38">
        <f>IFERROR(__xludf.DUMMYFUNCTION("""COMPUTED_VALUE"""),0.9)</f>
        <v>0.9</v>
      </c>
      <c r="H19" s="34">
        <f>IFERROR(__xludf.DUMMYFUNCTION("""COMPUTED_VALUE"""),12.0)</f>
        <v>12</v>
      </c>
      <c r="I19" s="34"/>
      <c r="J19" s="34" t="str">
        <f>IFERROR(__xludf.DUMMYFUNCTION("""COMPUTED_VALUE"""),"Clemson")</f>
        <v>Clemson</v>
      </c>
      <c r="K19" s="34" t="str">
        <f>IFERROR(__xludf.DUMMYFUNCTION("""COMPUTED_VALUE"""),"10-2")</f>
        <v>10-2</v>
      </c>
      <c r="L19" s="39">
        <f>IFERROR(__xludf.DUMMYFUNCTION("""COMPUTED_VALUE"""),0.8333333333333334)</f>
        <v>0.8333333333</v>
      </c>
      <c r="M19" s="34" t="str">
        <f>IFERROR(__xludf.DUMMYFUNCTION("""COMPUTED_VALUE"""),"ACC")</f>
        <v>ACC</v>
      </c>
      <c r="N19" s="34" t="str">
        <f>IFERROR(__xludf.DUMMYFUNCTION("""COMPUTED_VALUE"""),"ACC-Atlantic")</f>
        <v>ACC-Atlantic</v>
      </c>
      <c r="O19" s="34" t="str">
        <f>IFERROR(__xludf.DUMMYFUNCTION("""COMPUTED_VALUE"""),"9-1")</f>
        <v>9-1</v>
      </c>
      <c r="P19" s="38">
        <f>IFERROR(__xludf.DUMMYFUNCTION("""COMPUTED_VALUE"""),0.9)</f>
        <v>0.9</v>
      </c>
      <c r="Q19" s="34">
        <f>IFERROR(__xludf.DUMMYFUNCTION("""COMPUTED_VALUE"""),12.0)</f>
        <v>12</v>
      </c>
      <c r="R19" s="34"/>
      <c r="S19" s="34"/>
      <c r="T19" s="34"/>
      <c r="U19" s="34"/>
      <c r="V19" s="34"/>
      <c r="W19" s="34"/>
      <c r="X19" s="34"/>
      <c r="Y19" s="34"/>
      <c r="Z19" s="34"/>
      <c r="AA19" s="34"/>
    </row>
    <row r="20">
      <c r="A20" s="20" t="str">
        <f>IFERROR(__xludf.DUMMYFUNCTION("""COMPUTED_VALUE"""),"North Carolina State")</f>
        <v>North Carolina State</v>
      </c>
      <c r="B20" s="34" t="str">
        <f>IFERROR(__xludf.DUMMYFUNCTION("""COMPUTED_VALUE"""),"8-4")</f>
        <v>8-4</v>
      </c>
      <c r="C20" s="39">
        <f>IFERROR(__xludf.DUMMYFUNCTION("""COMPUTED_VALUE"""),0.6666666666666666)</f>
        <v>0.6666666667</v>
      </c>
      <c r="D20" s="34" t="str">
        <f>IFERROR(__xludf.DUMMYFUNCTION("""COMPUTED_VALUE"""),"ACC")</f>
        <v>ACC</v>
      </c>
      <c r="E20" s="34" t="str">
        <f>IFERROR(__xludf.DUMMYFUNCTION("""COMPUTED_VALUE"""),"ACC-Atlantic")</f>
        <v>ACC-Atlantic</v>
      </c>
      <c r="F20" s="34" t="str">
        <f>IFERROR(__xludf.DUMMYFUNCTION("""COMPUTED_VALUE"""),"7-3")</f>
        <v>7-3</v>
      </c>
      <c r="G20" s="38">
        <f>IFERROR(__xludf.DUMMYFUNCTION("""COMPUTED_VALUE"""),0.7)</f>
        <v>0.7</v>
      </c>
      <c r="H20" s="34">
        <f>IFERROR(__xludf.DUMMYFUNCTION("""COMPUTED_VALUE"""),12.0)</f>
        <v>12</v>
      </c>
      <c r="I20" s="34"/>
      <c r="J20" s="34" t="str">
        <f>IFERROR(__xludf.DUMMYFUNCTION("""COMPUTED_VALUE"""),"Notre Dame")</f>
        <v>Notre Dame</v>
      </c>
      <c r="K20" s="34" t="str">
        <f>IFERROR(__xludf.DUMMYFUNCTION("""COMPUTED_VALUE"""),"10-2")</f>
        <v>10-2</v>
      </c>
      <c r="L20" s="39">
        <f>IFERROR(__xludf.DUMMYFUNCTION("""COMPUTED_VALUE"""),0.8333333333333334)</f>
        <v>0.8333333333</v>
      </c>
      <c r="M20" s="34" t="str">
        <f>IFERROR(__xludf.DUMMYFUNCTION("""COMPUTED_VALUE"""),"ACC")</f>
        <v>ACC</v>
      </c>
      <c r="N20" s="34" t="str">
        <f>IFERROR(__xludf.DUMMYFUNCTION("""COMPUTED_VALUE"""),"IND")</f>
        <v>IND</v>
      </c>
      <c r="O20" s="34" t="str">
        <f>IFERROR(__xludf.DUMMYFUNCTION("""COMPUTED_VALUE"""),"9-1")</f>
        <v>9-1</v>
      </c>
      <c r="P20" s="38">
        <f>IFERROR(__xludf.DUMMYFUNCTION("""COMPUTED_VALUE"""),0.9)</f>
        <v>0.9</v>
      </c>
      <c r="Q20" s="34">
        <f>IFERROR(__xludf.DUMMYFUNCTION("""COMPUTED_VALUE"""),12.0)</f>
        <v>12</v>
      </c>
      <c r="R20" s="34"/>
      <c r="S20" s="34"/>
      <c r="T20" s="34"/>
      <c r="U20" s="34"/>
      <c r="V20" s="34"/>
      <c r="W20" s="34"/>
      <c r="X20" s="34"/>
      <c r="Y20" s="34"/>
      <c r="Z20" s="34"/>
      <c r="AA20" s="34"/>
    </row>
    <row r="21">
      <c r="A21" s="20" t="str">
        <f>IFERROR(__xludf.DUMMYFUNCTION("""COMPUTED_VALUE"""),"Boston College")</f>
        <v>Boston College</v>
      </c>
      <c r="B21" s="34" t="str">
        <f>IFERROR(__xludf.DUMMYFUNCTION("""COMPUTED_VALUE"""),"6-5")</f>
        <v>6-5</v>
      </c>
      <c r="C21" s="39">
        <f>IFERROR(__xludf.DUMMYFUNCTION("""COMPUTED_VALUE"""),0.5454545454545454)</f>
        <v>0.5454545455</v>
      </c>
      <c r="D21" s="34" t="str">
        <f>IFERROR(__xludf.DUMMYFUNCTION("""COMPUTED_VALUE"""),"ACC")</f>
        <v>ACC</v>
      </c>
      <c r="E21" s="34" t="str">
        <f>IFERROR(__xludf.DUMMYFUNCTION("""COMPUTED_VALUE"""),"ACC-Atlantic")</f>
        <v>ACC-Atlantic</v>
      </c>
      <c r="F21" s="34" t="str">
        <f>IFERROR(__xludf.DUMMYFUNCTION("""COMPUTED_VALUE"""),"5-5")</f>
        <v>5-5</v>
      </c>
      <c r="G21" s="38">
        <f>IFERROR(__xludf.DUMMYFUNCTION("""COMPUTED_VALUE"""),0.5)</f>
        <v>0.5</v>
      </c>
      <c r="H21" s="34">
        <f>IFERROR(__xludf.DUMMYFUNCTION("""COMPUTED_VALUE"""),11.0)</f>
        <v>11</v>
      </c>
      <c r="I21" s="34"/>
      <c r="J21" s="34" t="str">
        <f>IFERROR(__xludf.DUMMYFUNCTION("""COMPUTED_VALUE"""),"Miami")</f>
        <v>Miami</v>
      </c>
      <c r="K21" s="34" t="str">
        <f>IFERROR(__xludf.DUMMYFUNCTION("""COMPUTED_VALUE"""),"8-3")</f>
        <v>8-3</v>
      </c>
      <c r="L21" s="39">
        <f>IFERROR(__xludf.DUMMYFUNCTION("""COMPUTED_VALUE"""),0.7272727272727273)</f>
        <v>0.7272727273</v>
      </c>
      <c r="M21" s="34" t="str">
        <f>IFERROR(__xludf.DUMMYFUNCTION("""COMPUTED_VALUE"""),"ACC")</f>
        <v>ACC</v>
      </c>
      <c r="N21" s="34" t="str">
        <f>IFERROR(__xludf.DUMMYFUNCTION("""COMPUTED_VALUE"""),"ACC-Coastal")</f>
        <v>ACC-Coastal</v>
      </c>
      <c r="O21" s="34" t="str">
        <f>IFERROR(__xludf.DUMMYFUNCTION("""COMPUTED_VALUE"""),"7-2")</f>
        <v>7-2</v>
      </c>
      <c r="P21" s="38">
        <f>IFERROR(__xludf.DUMMYFUNCTION("""COMPUTED_VALUE"""),0.7777777777777778)</f>
        <v>0.7777777778</v>
      </c>
      <c r="Q21" s="34">
        <f>IFERROR(__xludf.DUMMYFUNCTION("""COMPUTED_VALUE"""),11.0)</f>
        <v>11</v>
      </c>
      <c r="R21" s="34"/>
      <c r="S21" s="34"/>
      <c r="T21" s="34"/>
      <c r="U21" s="34"/>
      <c r="V21" s="34"/>
      <c r="W21" s="34"/>
      <c r="X21" s="34"/>
      <c r="Y21" s="34"/>
      <c r="Z21" s="34"/>
      <c r="AA21" s="34"/>
    </row>
    <row r="22">
      <c r="A22" s="20" t="str">
        <f>IFERROR(__xludf.DUMMYFUNCTION("""COMPUTED_VALUE"""),"Wake Forest")</f>
        <v>Wake Forest</v>
      </c>
      <c r="B22" s="34" t="str">
        <f>IFERROR(__xludf.DUMMYFUNCTION("""COMPUTED_VALUE"""),"4-5")</f>
        <v>4-5</v>
      </c>
      <c r="C22" s="39">
        <f>IFERROR(__xludf.DUMMYFUNCTION("""COMPUTED_VALUE"""),0.4444444444444444)</f>
        <v>0.4444444444</v>
      </c>
      <c r="D22" s="34" t="str">
        <f>IFERROR(__xludf.DUMMYFUNCTION("""COMPUTED_VALUE"""),"ACC")</f>
        <v>ACC</v>
      </c>
      <c r="E22" s="34" t="str">
        <f>IFERROR(__xludf.DUMMYFUNCTION("""COMPUTED_VALUE"""),"ACC-Atlantic")</f>
        <v>ACC-Atlantic</v>
      </c>
      <c r="F22" s="34" t="str">
        <f>IFERROR(__xludf.DUMMYFUNCTION("""COMPUTED_VALUE"""),"3-4")</f>
        <v>3-4</v>
      </c>
      <c r="G22" s="38">
        <f>IFERROR(__xludf.DUMMYFUNCTION("""COMPUTED_VALUE"""),0.42857142857142855)</f>
        <v>0.4285714286</v>
      </c>
      <c r="H22" s="34">
        <f>IFERROR(__xludf.DUMMYFUNCTION("""COMPUTED_VALUE"""),9.0)</f>
        <v>9</v>
      </c>
      <c r="I22" s="34"/>
      <c r="J22" s="34" t="str">
        <f>IFERROR(__xludf.DUMMYFUNCTION("""COMPUTED_VALUE"""),"North Carolina")</f>
        <v>North Carolina</v>
      </c>
      <c r="K22" s="34" t="str">
        <f>IFERROR(__xludf.DUMMYFUNCTION("""COMPUTED_VALUE"""),"8-4")</f>
        <v>8-4</v>
      </c>
      <c r="L22" s="39">
        <f>IFERROR(__xludf.DUMMYFUNCTION("""COMPUTED_VALUE"""),0.6666666666666666)</f>
        <v>0.6666666667</v>
      </c>
      <c r="M22" s="34" t="str">
        <f>IFERROR(__xludf.DUMMYFUNCTION("""COMPUTED_VALUE"""),"ACC")</f>
        <v>ACC</v>
      </c>
      <c r="N22" s="34" t="str">
        <f>IFERROR(__xludf.DUMMYFUNCTION("""COMPUTED_VALUE"""),"ACC-Coastal")</f>
        <v>ACC-Coastal</v>
      </c>
      <c r="O22" s="34" t="str">
        <f>IFERROR(__xludf.DUMMYFUNCTION("""COMPUTED_VALUE"""),"7-3")</f>
        <v>7-3</v>
      </c>
      <c r="P22" s="38">
        <f>IFERROR(__xludf.DUMMYFUNCTION("""COMPUTED_VALUE"""),0.7)</f>
        <v>0.7</v>
      </c>
      <c r="Q22" s="34">
        <f>IFERROR(__xludf.DUMMYFUNCTION("""COMPUTED_VALUE"""),12.0)</f>
        <v>12</v>
      </c>
      <c r="R22" s="34"/>
      <c r="S22" s="34"/>
      <c r="T22" s="34"/>
      <c r="U22" s="34"/>
      <c r="V22" s="34"/>
      <c r="W22" s="34"/>
      <c r="X22" s="34"/>
      <c r="Y22" s="34"/>
      <c r="Z22" s="34"/>
      <c r="AA22" s="34"/>
    </row>
    <row r="23">
      <c r="A23" s="20" t="str">
        <f>IFERROR(__xludf.DUMMYFUNCTION("""COMPUTED_VALUE"""),"Louisville")</f>
        <v>Louisville</v>
      </c>
      <c r="B23" s="34" t="str">
        <f>IFERROR(__xludf.DUMMYFUNCTION("""COMPUTED_VALUE"""),"4-7")</f>
        <v>4-7</v>
      </c>
      <c r="C23" s="39">
        <f>IFERROR(__xludf.DUMMYFUNCTION("""COMPUTED_VALUE"""),0.36363636363636365)</f>
        <v>0.3636363636</v>
      </c>
      <c r="D23" s="34" t="str">
        <f>IFERROR(__xludf.DUMMYFUNCTION("""COMPUTED_VALUE"""),"ACC")</f>
        <v>ACC</v>
      </c>
      <c r="E23" s="34" t="str">
        <f>IFERROR(__xludf.DUMMYFUNCTION("""COMPUTED_VALUE"""),"ACC-Atlantic")</f>
        <v>ACC-Atlantic</v>
      </c>
      <c r="F23" s="34" t="str">
        <f>IFERROR(__xludf.DUMMYFUNCTION("""COMPUTED_VALUE"""),"3-7")</f>
        <v>3-7</v>
      </c>
      <c r="G23" s="38">
        <f>IFERROR(__xludf.DUMMYFUNCTION("""COMPUTED_VALUE"""),0.3)</f>
        <v>0.3</v>
      </c>
      <c r="H23" s="34">
        <f>IFERROR(__xludf.DUMMYFUNCTION("""COMPUTED_VALUE"""),11.0)</f>
        <v>11</v>
      </c>
      <c r="I23" s="34"/>
      <c r="J23" s="34" t="str">
        <f>IFERROR(__xludf.DUMMYFUNCTION("""COMPUTED_VALUE"""),"North Carolina State")</f>
        <v>North Carolina State</v>
      </c>
      <c r="K23" s="34" t="str">
        <f>IFERROR(__xludf.DUMMYFUNCTION("""COMPUTED_VALUE"""),"8-4")</f>
        <v>8-4</v>
      </c>
      <c r="L23" s="39">
        <f>IFERROR(__xludf.DUMMYFUNCTION("""COMPUTED_VALUE"""),0.6666666666666666)</f>
        <v>0.6666666667</v>
      </c>
      <c r="M23" s="34" t="str">
        <f>IFERROR(__xludf.DUMMYFUNCTION("""COMPUTED_VALUE"""),"ACC")</f>
        <v>ACC</v>
      </c>
      <c r="N23" s="34" t="str">
        <f>IFERROR(__xludf.DUMMYFUNCTION("""COMPUTED_VALUE"""),"ACC-Atlantic")</f>
        <v>ACC-Atlantic</v>
      </c>
      <c r="O23" s="34" t="str">
        <f>IFERROR(__xludf.DUMMYFUNCTION("""COMPUTED_VALUE"""),"7-3")</f>
        <v>7-3</v>
      </c>
      <c r="P23" s="38">
        <f>IFERROR(__xludf.DUMMYFUNCTION("""COMPUTED_VALUE"""),0.7)</f>
        <v>0.7</v>
      </c>
      <c r="Q23" s="34">
        <f>IFERROR(__xludf.DUMMYFUNCTION("""COMPUTED_VALUE"""),12.0)</f>
        <v>12</v>
      </c>
      <c r="R23" s="34"/>
      <c r="S23" s="34"/>
      <c r="T23" s="34"/>
      <c r="U23" s="34"/>
      <c r="V23" s="34"/>
      <c r="W23" s="34"/>
      <c r="X23" s="34"/>
      <c r="Y23" s="34"/>
      <c r="Z23" s="34"/>
      <c r="AA23" s="34"/>
    </row>
    <row r="24">
      <c r="A24" s="20" t="str">
        <f>IFERROR(__xludf.DUMMYFUNCTION("""COMPUTED_VALUE"""),"Florida State")</f>
        <v>Florida State</v>
      </c>
      <c r="B24" s="34" t="str">
        <f>IFERROR(__xludf.DUMMYFUNCTION("""COMPUTED_VALUE"""),"3-6")</f>
        <v>3-6</v>
      </c>
      <c r="C24" s="39">
        <f>IFERROR(__xludf.DUMMYFUNCTION("""COMPUTED_VALUE"""),0.3333333333333333)</f>
        <v>0.3333333333</v>
      </c>
      <c r="D24" s="34" t="str">
        <f>IFERROR(__xludf.DUMMYFUNCTION("""COMPUTED_VALUE"""),"ACC")</f>
        <v>ACC</v>
      </c>
      <c r="E24" s="34" t="str">
        <f>IFERROR(__xludf.DUMMYFUNCTION("""COMPUTED_VALUE"""),"ACC-Atlantic")</f>
        <v>ACC-Atlantic</v>
      </c>
      <c r="F24" s="34" t="str">
        <f>IFERROR(__xludf.DUMMYFUNCTION("""COMPUTED_VALUE"""),"2-6")</f>
        <v>2-6</v>
      </c>
      <c r="G24" s="38">
        <f>IFERROR(__xludf.DUMMYFUNCTION("""COMPUTED_VALUE"""),0.25)</f>
        <v>0.25</v>
      </c>
      <c r="H24" s="34">
        <f>IFERROR(__xludf.DUMMYFUNCTION("""COMPUTED_VALUE"""),9.0)</f>
        <v>9</v>
      </c>
      <c r="I24" s="34"/>
      <c r="J24" s="34" t="str">
        <f>IFERROR(__xludf.DUMMYFUNCTION("""COMPUTED_VALUE"""),"Pittsburgh")</f>
        <v>Pittsburgh</v>
      </c>
      <c r="K24" s="34" t="str">
        <f>IFERROR(__xludf.DUMMYFUNCTION("""COMPUTED_VALUE"""),"6-5")</f>
        <v>6-5</v>
      </c>
      <c r="L24" s="39">
        <f>IFERROR(__xludf.DUMMYFUNCTION("""COMPUTED_VALUE"""),0.5454545454545454)</f>
        <v>0.5454545455</v>
      </c>
      <c r="M24" s="34" t="str">
        <f>IFERROR(__xludf.DUMMYFUNCTION("""COMPUTED_VALUE"""),"ACC")</f>
        <v>ACC</v>
      </c>
      <c r="N24" s="34" t="str">
        <f>IFERROR(__xludf.DUMMYFUNCTION("""COMPUTED_VALUE"""),"ACC-Coastal")</f>
        <v>ACC-Coastal</v>
      </c>
      <c r="O24" s="34" t="str">
        <f>IFERROR(__xludf.DUMMYFUNCTION("""COMPUTED_VALUE"""),"5-5")</f>
        <v>5-5</v>
      </c>
      <c r="P24" s="38">
        <f>IFERROR(__xludf.DUMMYFUNCTION("""COMPUTED_VALUE"""),0.5)</f>
        <v>0.5</v>
      </c>
      <c r="Q24" s="34">
        <f>IFERROR(__xludf.DUMMYFUNCTION("""COMPUTED_VALUE"""),11.0)</f>
        <v>11</v>
      </c>
      <c r="R24" s="34"/>
      <c r="S24" s="34"/>
      <c r="T24" s="34"/>
      <c r="U24" s="34"/>
      <c r="V24" s="34"/>
      <c r="W24" s="34"/>
      <c r="X24" s="34"/>
      <c r="Y24" s="34"/>
      <c r="Z24" s="34"/>
      <c r="AA24" s="34"/>
    </row>
    <row r="25">
      <c r="A25" s="20" t="str">
        <f>IFERROR(__xludf.DUMMYFUNCTION("""COMPUTED_VALUE"""),"Syracuse")</f>
        <v>Syracuse</v>
      </c>
      <c r="B25" s="34" t="str">
        <f>IFERROR(__xludf.DUMMYFUNCTION("""COMPUTED_VALUE"""),"1-10")</f>
        <v>1-10</v>
      </c>
      <c r="C25" s="39">
        <f>IFERROR(__xludf.DUMMYFUNCTION("""COMPUTED_VALUE"""),0.09090909090909091)</f>
        <v>0.09090909091</v>
      </c>
      <c r="D25" s="34" t="str">
        <f>IFERROR(__xludf.DUMMYFUNCTION("""COMPUTED_VALUE"""),"ACC")</f>
        <v>ACC</v>
      </c>
      <c r="E25" s="34" t="str">
        <f>IFERROR(__xludf.DUMMYFUNCTION("""COMPUTED_VALUE"""),"ACC-Atlantic")</f>
        <v>ACC-Atlantic</v>
      </c>
      <c r="F25" s="34" t="str">
        <f>IFERROR(__xludf.DUMMYFUNCTION("""COMPUTED_VALUE"""),"1-9")</f>
        <v>1-9</v>
      </c>
      <c r="G25" s="38">
        <f>IFERROR(__xludf.DUMMYFUNCTION("""COMPUTED_VALUE"""),0.1)</f>
        <v>0.1</v>
      </c>
      <c r="H25" s="34">
        <f>IFERROR(__xludf.DUMMYFUNCTION("""COMPUTED_VALUE"""),11.0)</f>
        <v>11</v>
      </c>
      <c r="I25" s="34"/>
      <c r="J25" s="34" t="str">
        <f>IFERROR(__xludf.DUMMYFUNCTION("""COMPUTED_VALUE"""),"Boston College")</f>
        <v>Boston College</v>
      </c>
      <c r="K25" s="34" t="str">
        <f>IFERROR(__xludf.DUMMYFUNCTION("""COMPUTED_VALUE"""),"6-5")</f>
        <v>6-5</v>
      </c>
      <c r="L25" s="39">
        <f>IFERROR(__xludf.DUMMYFUNCTION("""COMPUTED_VALUE"""),0.5454545454545454)</f>
        <v>0.5454545455</v>
      </c>
      <c r="M25" s="34" t="str">
        <f>IFERROR(__xludf.DUMMYFUNCTION("""COMPUTED_VALUE"""),"ACC")</f>
        <v>ACC</v>
      </c>
      <c r="N25" s="34" t="str">
        <f>IFERROR(__xludf.DUMMYFUNCTION("""COMPUTED_VALUE"""),"ACC-Atlantic")</f>
        <v>ACC-Atlantic</v>
      </c>
      <c r="O25" s="34" t="str">
        <f>IFERROR(__xludf.DUMMYFUNCTION("""COMPUTED_VALUE"""),"5-5")</f>
        <v>5-5</v>
      </c>
      <c r="P25" s="38">
        <f>IFERROR(__xludf.DUMMYFUNCTION("""COMPUTED_VALUE"""),0.5)</f>
        <v>0.5</v>
      </c>
      <c r="Q25" s="34">
        <f>IFERROR(__xludf.DUMMYFUNCTION("""COMPUTED_VALUE"""),11.0)</f>
        <v>11</v>
      </c>
      <c r="R25" s="34"/>
      <c r="S25" s="34"/>
      <c r="T25" s="34"/>
      <c r="U25" s="34"/>
      <c r="V25" s="34"/>
      <c r="W25" s="34"/>
      <c r="X25" s="34"/>
      <c r="Y25" s="34"/>
      <c r="Z25" s="34"/>
      <c r="AA25" s="34"/>
    </row>
    <row r="26">
      <c r="A26" s="33" t="s">
        <v>218</v>
      </c>
      <c r="I26" s="34"/>
      <c r="J26" s="34" t="str">
        <f>IFERROR(__xludf.DUMMYFUNCTION("""COMPUTED_VALUE"""),"Virginia Tech")</f>
        <v>Virginia Tech</v>
      </c>
      <c r="K26" s="34" t="str">
        <f>IFERROR(__xludf.DUMMYFUNCTION("""COMPUTED_VALUE"""),"5-6")</f>
        <v>5-6</v>
      </c>
      <c r="L26" s="39">
        <f>IFERROR(__xludf.DUMMYFUNCTION("""COMPUTED_VALUE"""),0.45454545454545453)</f>
        <v>0.4545454545</v>
      </c>
      <c r="M26" s="34" t="str">
        <f>IFERROR(__xludf.DUMMYFUNCTION("""COMPUTED_VALUE"""),"ACC")</f>
        <v>ACC</v>
      </c>
      <c r="N26" s="34" t="str">
        <f>IFERROR(__xludf.DUMMYFUNCTION("""COMPUTED_VALUE"""),"ACC-Coastal")</f>
        <v>ACC-Coastal</v>
      </c>
      <c r="O26" s="34" t="str">
        <f>IFERROR(__xludf.DUMMYFUNCTION("""COMPUTED_VALUE"""),"5-5")</f>
        <v>5-5</v>
      </c>
      <c r="P26" s="38">
        <f>IFERROR(__xludf.DUMMYFUNCTION("""COMPUTED_VALUE"""),0.5)</f>
        <v>0.5</v>
      </c>
      <c r="Q26" s="34">
        <f>IFERROR(__xludf.DUMMYFUNCTION("""COMPUTED_VALUE"""),11.0)</f>
        <v>11</v>
      </c>
      <c r="R26" s="34"/>
      <c r="S26" s="34"/>
      <c r="T26" s="34"/>
      <c r="U26" s="34"/>
      <c r="V26" s="34"/>
      <c r="W26" s="34"/>
      <c r="X26" s="34"/>
      <c r="Y26" s="34"/>
      <c r="Z26" s="34"/>
      <c r="AA26" s="34"/>
    </row>
    <row r="27">
      <c r="A27" s="35" t="str">
        <f>IFERROR(__xludf.DUMMYFUNCTION("QUERY(standings,""SELECT A, D, E, F, G, J, K, R WHERE G = 'ACC-Coastal' ORDER BY K DESC, E DESC, J DESC "",1)"),"Team")</f>
        <v>Team</v>
      </c>
      <c r="B27" s="34" t="str">
        <f>IFERROR(__xludf.DUMMYFUNCTION("""COMPUTED_VALUE"""),"Record")</f>
        <v>Record</v>
      </c>
      <c r="C27" s="34" t="str">
        <f>IFERROR(__xludf.DUMMYFUNCTION("""COMPUTED_VALUE"""),"Ovr Win %")</f>
        <v>Ovr Win %</v>
      </c>
      <c r="D27" s="34" t="str">
        <f>IFERROR(__xludf.DUMMYFUNCTION("""COMPUTED_VALUE"""),"Conf")</f>
        <v>Conf</v>
      </c>
      <c r="E27" s="34" t="str">
        <f>IFERROR(__xludf.DUMMYFUNCTION("""COMPUTED_VALUE"""),"Conf-Div")</f>
        <v>Conf-Div</v>
      </c>
      <c r="F27" s="34" t="str">
        <f>IFERROR(__xludf.DUMMYFUNCTION("""COMPUTED_VALUE"""),"Conf Record")</f>
        <v>Conf Record</v>
      </c>
      <c r="G27" s="34" t="str">
        <f>IFERROR(__xludf.DUMMYFUNCTION("""COMPUTED_VALUE"""),"Conf W %")</f>
        <v>Conf W %</v>
      </c>
      <c r="H27" s="34" t="str">
        <f>IFERROR(__xludf.DUMMYFUNCTION("""COMPUTED_VALUE"""),"# Games")</f>
        <v># Games</v>
      </c>
      <c r="I27" s="34"/>
      <c r="J27" s="34" t="str">
        <f>IFERROR(__xludf.DUMMYFUNCTION("""COMPUTED_VALUE"""),"Virginia")</f>
        <v>Virginia</v>
      </c>
      <c r="K27" s="34" t="str">
        <f>IFERROR(__xludf.DUMMYFUNCTION("""COMPUTED_VALUE"""),"5-5")</f>
        <v>5-5</v>
      </c>
      <c r="L27" s="39">
        <f>IFERROR(__xludf.DUMMYFUNCTION("""COMPUTED_VALUE"""),0.5)</f>
        <v>0.5</v>
      </c>
      <c r="M27" s="34" t="str">
        <f>IFERROR(__xludf.DUMMYFUNCTION("""COMPUTED_VALUE"""),"ACC")</f>
        <v>ACC</v>
      </c>
      <c r="N27" s="34" t="str">
        <f>IFERROR(__xludf.DUMMYFUNCTION("""COMPUTED_VALUE"""),"ACC-Coastal")</f>
        <v>ACC-Coastal</v>
      </c>
      <c r="O27" s="34" t="str">
        <f>IFERROR(__xludf.DUMMYFUNCTION("""COMPUTED_VALUE"""),"4-5")</f>
        <v>4-5</v>
      </c>
      <c r="P27" s="38">
        <f>IFERROR(__xludf.DUMMYFUNCTION("""COMPUTED_VALUE"""),0.4444444444444444)</f>
        <v>0.4444444444</v>
      </c>
      <c r="Q27" s="34">
        <f>IFERROR(__xludf.DUMMYFUNCTION("""COMPUTED_VALUE"""),10.0)</f>
        <v>10</v>
      </c>
      <c r="R27" s="34"/>
      <c r="S27" s="34"/>
      <c r="T27" s="34"/>
      <c r="U27" s="34"/>
      <c r="V27" s="34"/>
      <c r="W27" s="34"/>
      <c r="X27" s="34"/>
      <c r="Y27" s="34"/>
      <c r="Z27" s="34"/>
      <c r="AA27" s="34"/>
    </row>
    <row r="28">
      <c r="A28" s="20" t="str">
        <f>IFERROR(__xludf.DUMMYFUNCTION("""COMPUTED_VALUE"""),"Miami")</f>
        <v>Miami</v>
      </c>
      <c r="B28" s="34" t="str">
        <f>IFERROR(__xludf.DUMMYFUNCTION("""COMPUTED_VALUE"""),"8-3")</f>
        <v>8-3</v>
      </c>
      <c r="C28" s="39">
        <f>IFERROR(__xludf.DUMMYFUNCTION("""COMPUTED_VALUE"""),0.7272727272727273)</f>
        <v>0.7272727273</v>
      </c>
      <c r="D28" s="34" t="str">
        <f>IFERROR(__xludf.DUMMYFUNCTION("""COMPUTED_VALUE"""),"ACC")</f>
        <v>ACC</v>
      </c>
      <c r="E28" s="34" t="str">
        <f>IFERROR(__xludf.DUMMYFUNCTION("""COMPUTED_VALUE"""),"ACC-Coastal")</f>
        <v>ACC-Coastal</v>
      </c>
      <c r="F28" s="34" t="str">
        <f>IFERROR(__xludf.DUMMYFUNCTION("""COMPUTED_VALUE"""),"7-2")</f>
        <v>7-2</v>
      </c>
      <c r="G28" s="38">
        <f>IFERROR(__xludf.DUMMYFUNCTION("""COMPUTED_VALUE"""),0.7777777777777778)</f>
        <v>0.7777777778</v>
      </c>
      <c r="H28" s="34">
        <f>IFERROR(__xludf.DUMMYFUNCTION("""COMPUTED_VALUE"""),11.0)</f>
        <v>11</v>
      </c>
      <c r="I28" s="34"/>
      <c r="J28" s="34" t="str">
        <f>IFERROR(__xludf.DUMMYFUNCTION("""COMPUTED_VALUE"""),"Wake Forest")</f>
        <v>Wake Forest</v>
      </c>
      <c r="K28" s="34" t="str">
        <f>IFERROR(__xludf.DUMMYFUNCTION("""COMPUTED_VALUE"""),"4-5")</f>
        <v>4-5</v>
      </c>
      <c r="L28" s="39">
        <f>IFERROR(__xludf.DUMMYFUNCTION("""COMPUTED_VALUE"""),0.4444444444444444)</f>
        <v>0.4444444444</v>
      </c>
      <c r="M28" s="34" t="str">
        <f>IFERROR(__xludf.DUMMYFUNCTION("""COMPUTED_VALUE"""),"ACC")</f>
        <v>ACC</v>
      </c>
      <c r="N28" s="34" t="str">
        <f>IFERROR(__xludf.DUMMYFUNCTION("""COMPUTED_VALUE"""),"ACC-Atlantic")</f>
        <v>ACC-Atlantic</v>
      </c>
      <c r="O28" s="34" t="str">
        <f>IFERROR(__xludf.DUMMYFUNCTION("""COMPUTED_VALUE"""),"3-4")</f>
        <v>3-4</v>
      </c>
      <c r="P28" s="38">
        <f>IFERROR(__xludf.DUMMYFUNCTION("""COMPUTED_VALUE"""),0.42857142857142855)</f>
        <v>0.4285714286</v>
      </c>
      <c r="Q28" s="34">
        <f>IFERROR(__xludf.DUMMYFUNCTION("""COMPUTED_VALUE"""),9.0)</f>
        <v>9</v>
      </c>
      <c r="R28" s="34"/>
      <c r="S28" s="34"/>
      <c r="T28" s="34"/>
      <c r="U28" s="34"/>
      <c r="V28" s="34"/>
      <c r="W28" s="34"/>
      <c r="X28" s="34"/>
      <c r="Y28" s="34"/>
      <c r="Z28" s="34"/>
      <c r="AA28" s="34"/>
    </row>
    <row r="29">
      <c r="A29" s="20" t="str">
        <f>IFERROR(__xludf.DUMMYFUNCTION("""COMPUTED_VALUE"""),"North Carolina")</f>
        <v>North Carolina</v>
      </c>
      <c r="B29" s="34" t="str">
        <f>IFERROR(__xludf.DUMMYFUNCTION("""COMPUTED_VALUE"""),"8-4")</f>
        <v>8-4</v>
      </c>
      <c r="C29" s="39">
        <f>IFERROR(__xludf.DUMMYFUNCTION("""COMPUTED_VALUE"""),0.6666666666666666)</f>
        <v>0.6666666667</v>
      </c>
      <c r="D29" s="34" t="str">
        <f>IFERROR(__xludf.DUMMYFUNCTION("""COMPUTED_VALUE"""),"ACC")</f>
        <v>ACC</v>
      </c>
      <c r="E29" s="34" t="str">
        <f>IFERROR(__xludf.DUMMYFUNCTION("""COMPUTED_VALUE"""),"ACC-Coastal")</f>
        <v>ACC-Coastal</v>
      </c>
      <c r="F29" s="34" t="str">
        <f>IFERROR(__xludf.DUMMYFUNCTION("""COMPUTED_VALUE"""),"7-3")</f>
        <v>7-3</v>
      </c>
      <c r="G29" s="38">
        <f>IFERROR(__xludf.DUMMYFUNCTION("""COMPUTED_VALUE"""),0.7)</f>
        <v>0.7</v>
      </c>
      <c r="H29" s="34">
        <f>IFERROR(__xludf.DUMMYFUNCTION("""COMPUTED_VALUE"""),12.0)</f>
        <v>12</v>
      </c>
      <c r="I29" s="34"/>
      <c r="J29" s="34" t="str">
        <f>IFERROR(__xludf.DUMMYFUNCTION("""COMPUTED_VALUE"""),"Georgia Tech")</f>
        <v>Georgia Tech</v>
      </c>
      <c r="K29" s="34" t="str">
        <f>IFERROR(__xludf.DUMMYFUNCTION("""COMPUTED_VALUE"""),"3-7")</f>
        <v>3-7</v>
      </c>
      <c r="L29" s="39">
        <f>IFERROR(__xludf.DUMMYFUNCTION("""COMPUTED_VALUE"""),0.3)</f>
        <v>0.3</v>
      </c>
      <c r="M29" s="34" t="str">
        <f>IFERROR(__xludf.DUMMYFUNCTION("""COMPUTED_VALUE"""),"ACC")</f>
        <v>ACC</v>
      </c>
      <c r="N29" s="34" t="str">
        <f>IFERROR(__xludf.DUMMYFUNCTION("""COMPUTED_VALUE"""),"ACC-Coastal")</f>
        <v>ACC-Coastal</v>
      </c>
      <c r="O29" s="34" t="str">
        <f>IFERROR(__xludf.DUMMYFUNCTION("""COMPUTED_VALUE"""),"3-6")</f>
        <v>3-6</v>
      </c>
      <c r="P29" s="38">
        <f>IFERROR(__xludf.DUMMYFUNCTION("""COMPUTED_VALUE"""),0.3333333333333333)</f>
        <v>0.3333333333</v>
      </c>
      <c r="Q29" s="34">
        <f>IFERROR(__xludf.DUMMYFUNCTION("""COMPUTED_VALUE"""),10.0)</f>
        <v>10</v>
      </c>
      <c r="R29" s="34"/>
      <c r="S29" s="34"/>
      <c r="T29" s="34"/>
      <c r="U29" s="34"/>
      <c r="V29" s="34"/>
      <c r="W29" s="34"/>
      <c r="X29" s="34"/>
      <c r="Y29" s="34"/>
      <c r="Z29" s="34"/>
      <c r="AA29" s="34"/>
    </row>
    <row r="30">
      <c r="A30" s="20" t="str">
        <f>IFERROR(__xludf.DUMMYFUNCTION("""COMPUTED_VALUE"""),"Pittsburgh")</f>
        <v>Pittsburgh</v>
      </c>
      <c r="B30" s="34" t="str">
        <f>IFERROR(__xludf.DUMMYFUNCTION("""COMPUTED_VALUE"""),"6-5")</f>
        <v>6-5</v>
      </c>
      <c r="C30" s="39">
        <f>IFERROR(__xludf.DUMMYFUNCTION("""COMPUTED_VALUE"""),0.5454545454545454)</f>
        <v>0.5454545455</v>
      </c>
      <c r="D30" s="34" t="str">
        <f>IFERROR(__xludf.DUMMYFUNCTION("""COMPUTED_VALUE"""),"ACC")</f>
        <v>ACC</v>
      </c>
      <c r="E30" s="34" t="str">
        <f>IFERROR(__xludf.DUMMYFUNCTION("""COMPUTED_VALUE"""),"ACC-Coastal")</f>
        <v>ACC-Coastal</v>
      </c>
      <c r="F30" s="34" t="str">
        <f>IFERROR(__xludf.DUMMYFUNCTION("""COMPUTED_VALUE"""),"5-5")</f>
        <v>5-5</v>
      </c>
      <c r="G30" s="38">
        <f>IFERROR(__xludf.DUMMYFUNCTION("""COMPUTED_VALUE"""),0.5)</f>
        <v>0.5</v>
      </c>
      <c r="H30" s="34">
        <f>IFERROR(__xludf.DUMMYFUNCTION("""COMPUTED_VALUE"""),11.0)</f>
        <v>11</v>
      </c>
      <c r="I30" s="34"/>
      <c r="J30" s="34" t="str">
        <f>IFERROR(__xludf.DUMMYFUNCTION("""COMPUTED_VALUE"""),"Louisville")</f>
        <v>Louisville</v>
      </c>
      <c r="K30" s="34" t="str">
        <f>IFERROR(__xludf.DUMMYFUNCTION("""COMPUTED_VALUE"""),"4-7")</f>
        <v>4-7</v>
      </c>
      <c r="L30" s="39">
        <f>IFERROR(__xludf.DUMMYFUNCTION("""COMPUTED_VALUE"""),0.36363636363636365)</f>
        <v>0.3636363636</v>
      </c>
      <c r="M30" s="34" t="str">
        <f>IFERROR(__xludf.DUMMYFUNCTION("""COMPUTED_VALUE"""),"ACC")</f>
        <v>ACC</v>
      </c>
      <c r="N30" s="34" t="str">
        <f>IFERROR(__xludf.DUMMYFUNCTION("""COMPUTED_VALUE"""),"ACC-Atlantic")</f>
        <v>ACC-Atlantic</v>
      </c>
      <c r="O30" s="34" t="str">
        <f>IFERROR(__xludf.DUMMYFUNCTION("""COMPUTED_VALUE"""),"3-7")</f>
        <v>3-7</v>
      </c>
      <c r="P30" s="38">
        <f>IFERROR(__xludf.DUMMYFUNCTION("""COMPUTED_VALUE"""),0.3)</f>
        <v>0.3</v>
      </c>
      <c r="Q30" s="34">
        <f>IFERROR(__xludf.DUMMYFUNCTION("""COMPUTED_VALUE"""),11.0)</f>
        <v>11</v>
      </c>
      <c r="R30" s="34"/>
      <c r="S30" s="34"/>
      <c r="T30" s="34"/>
      <c r="U30" s="34"/>
      <c r="V30" s="34"/>
      <c r="W30" s="34"/>
      <c r="X30" s="34"/>
      <c r="Y30" s="34"/>
      <c r="Z30" s="34"/>
      <c r="AA30" s="34"/>
    </row>
    <row r="31">
      <c r="A31" s="20" t="str">
        <f>IFERROR(__xludf.DUMMYFUNCTION("""COMPUTED_VALUE"""),"Virginia Tech")</f>
        <v>Virginia Tech</v>
      </c>
      <c r="B31" s="34" t="str">
        <f>IFERROR(__xludf.DUMMYFUNCTION("""COMPUTED_VALUE"""),"5-6")</f>
        <v>5-6</v>
      </c>
      <c r="C31" s="39">
        <f>IFERROR(__xludf.DUMMYFUNCTION("""COMPUTED_VALUE"""),0.45454545454545453)</f>
        <v>0.4545454545</v>
      </c>
      <c r="D31" s="34" t="str">
        <f>IFERROR(__xludf.DUMMYFUNCTION("""COMPUTED_VALUE"""),"ACC")</f>
        <v>ACC</v>
      </c>
      <c r="E31" s="34" t="str">
        <f>IFERROR(__xludf.DUMMYFUNCTION("""COMPUTED_VALUE"""),"ACC-Coastal")</f>
        <v>ACC-Coastal</v>
      </c>
      <c r="F31" s="34" t="str">
        <f>IFERROR(__xludf.DUMMYFUNCTION("""COMPUTED_VALUE"""),"5-5")</f>
        <v>5-5</v>
      </c>
      <c r="G31" s="38">
        <f>IFERROR(__xludf.DUMMYFUNCTION("""COMPUTED_VALUE"""),0.5)</f>
        <v>0.5</v>
      </c>
      <c r="H31" s="34">
        <f>IFERROR(__xludf.DUMMYFUNCTION("""COMPUTED_VALUE"""),11.0)</f>
        <v>11</v>
      </c>
      <c r="I31" s="34"/>
      <c r="J31" s="34" t="str">
        <f>IFERROR(__xludf.DUMMYFUNCTION("""COMPUTED_VALUE"""),"Florida State")</f>
        <v>Florida State</v>
      </c>
      <c r="K31" s="34" t="str">
        <f>IFERROR(__xludf.DUMMYFUNCTION("""COMPUTED_VALUE"""),"3-6")</f>
        <v>3-6</v>
      </c>
      <c r="L31" s="39">
        <f>IFERROR(__xludf.DUMMYFUNCTION("""COMPUTED_VALUE"""),0.3333333333333333)</f>
        <v>0.3333333333</v>
      </c>
      <c r="M31" s="34" t="str">
        <f>IFERROR(__xludf.DUMMYFUNCTION("""COMPUTED_VALUE"""),"ACC")</f>
        <v>ACC</v>
      </c>
      <c r="N31" s="34" t="str">
        <f>IFERROR(__xludf.DUMMYFUNCTION("""COMPUTED_VALUE"""),"ACC-Atlantic")</f>
        <v>ACC-Atlantic</v>
      </c>
      <c r="O31" s="34" t="str">
        <f>IFERROR(__xludf.DUMMYFUNCTION("""COMPUTED_VALUE"""),"2-6")</f>
        <v>2-6</v>
      </c>
      <c r="P31" s="38">
        <f>IFERROR(__xludf.DUMMYFUNCTION("""COMPUTED_VALUE"""),0.25)</f>
        <v>0.25</v>
      </c>
      <c r="Q31" s="34">
        <f>IFERROR(__xludf.DUMMYFUNCTION("""COMPUTED_VALUE"""),9.0)</f>
        <v>9</v>
      </c>
      <c r="R31" s="34"/>
      <c r="S31" s="34"/>
      <c r="T31" s="34"/>
      <c r="U31" s="34"/>
      <c r="V31" s="34"/>
      <c r="W31" s="34"/>
      <c r="X31" s="34"/>
      <c r="Y31" s="34"/>
      <c r="Z31" s="34"/>
      <c r="AA31" s="34"/>
    </row>
    <row r="32">
      <c r="A32" s="20" t="str">
        <f>IFERROR(__xludf.DUMMYFUNCTION("""COMPUTED_VALUE"""),"Virginia")</f>
        <v>Virginia</v>
      </c>
      <c r="B32" s="34" t="str">
        <f>IFERROR(__xludf.DUMMYFUNCTION("""COMPUTED_VALUE"""),"5-5")</f>
        <v>5-5</v>
      </c>
      <c r="C32" s="39">
        <f>IFERROR(__xludf.DUMMYFUNCTION("""COMPUTED_VALUE"""),0.5)</f>
        <v>0.5</v>
      </c>
      <c r="D32" s="34" t="str">
        <f>IFERROR(__xludf.DUMMYFUNCTION("""COMPUTED_VALUE"""),"ACC")</f>
        <v>ACC</v>
      </c>
      <c r="E32" s="34" t="str">
        <f>IFERROR(__xludf.DUMMYFUNCTION("""COMPUTED_VALUE"""),"ACC-Coastal")</f>
        <v>ACC-Coastal</v>
      </c>
      <c r="F32" s="34" t="str">
        <f>IFERROR(__xludf.DUMMYFUNCTION("""COMPUTED_VALUE"""),"4-5")</f>
        <v>4-5</v>
      </c>
      <c r="G32" s="38">
        <f>IFERROR(__xludf.DUMMYFUNCTION("""COMPUTED_VALUE"""),0.4444444444444444)</f>
        <v>0.4444444444</v>
      </c>
      <c r="H32" s="34">
        <f>IFERROR(__xludf.DUMMYFUNCTION("""COMPUTED_VALUE"""),10.0)</f>
        <v>10</v>
      </c>
      <c r="I32" s="34"/>
      <c r="J32" s="34" t="str">
        <f>IFERROR(__xludf.DUMMYFUNCTION("""COMPUTED_VALUE"""),"Duke")</f>
        <v>Duke</v>
      </c>
      <c r="K32" s="34" t="str">
        <f>IFERROR(__xludf.DUMMYFUNCTION("""COMPUTED_VALUE"""),"2-9")</f>
        <v>2-9</v>
      </c>
      <c r="L32" s="39">
        <f>IFERROR(__xludf.DUMMYFUNCTION("""COMPUTED_VALUE"""),0.18181818181818182)</f>
        <v>0.1818181818</v>
      </c>
      <c r="M32" s="34" t="str">
        <f>IFERROR(__xludf.DUMMYFUNCTION("""COMPUTED_VALUE"""),"ACC")</f>
        <v>ACC</v>
      </c>
      <c r="N32" s="34" t="str">
        <f>IFERROR(__xludf.DUMMYFUNCTION("""COMPUTED_VALUE"""),"ACC-Coastal")</f>
        <v>ACC-Coastal</v>
      </c>
      <c r="O32" s="34" t="str">
        <f>IFERROR(__xludf.DUMMYFUNCTION("""COMPUTED_VALUE"""),"1-9")</f>
        <v>1-9</v>
      </c>
      <c r="P32" s="38">
        <f>IFERROR(__xludf.DUMMYFUNCTION("""COMPUTED_VALUE"""),0.1)</f>
        <v>0.1</v>
      </c>
      <c r="Q32" s="34">
        <f>IFERROR(__xludf.DUMMYFUNCTION("""COMPUTED_VALUE"""),11.0)</f>
        <v>11</v>
      </c>
      <c r="R32" s="34"/>
      <c r="S32" s="34"/>
      <c r="T32" s="34"/>
      <c r="U32" s="34"/>
      <c r="V32" s="34"/>
      <c r="W32" s="34"/>
      <c r="X32" s="34"/>
      <c r="Y32" s="34"/>
      <c r="Z32" s="34"/>
      <c r="AA32" s="34"/>
    </row>
    <row r="33">
      <c r="A33" s="20" t="str">
        <f>IFERROR(__xludf.DUMMYFUNCTION("""COMPUTED_VALUE"""),"Georgia Tech")</f>
        <v>Georgia Tech</v>
      </c>
      <c r="B33" s="34" t="str">
        <f>IFERROR(__xludf.DUMMYFUNCTION("""COMPUTED_VALUE"""),"3-7")</f>
        <v>3-7</v>
      </c>
      <c r="C33" s="39">
        <f>IFERROR(__xludf.DUMMYFUNCTION("""COMPUTED_VALUE"""),0.3)</f>
        <v>0.3</v>
      </c>
      <c r="D33" s="34" t="str">
        <f>IFERROR(__xludf.DUMMYFUNCTION("""COMPUTED_VALUE"""),"ACC")</f>
        <v>ACC</v>
      </c>
      <c r="E33" s="34" t="str">
        <f>IFERROR(__xludf.DUMMYFUNCTION("""COMPUTED_VALUE"""),"ACC-Coastal")</f>
        <v>ACC-Coastal</v>
      </c>
      <c r="F33" s="34" t="str">
        <f>IFERROR(__xludf.DUMMYFUNCTION("""COMPUTED_VALUE"""),"3-6")</f>
        <v>3-6</v>
      </c>
      <c r="G33" s="38">
        <f>IFERROR(__xludf.DUMMYFUNCTION("""COMPUTED_VALUE"""),0.3333333333333333)</f>
        <v>0.3333333333</v>
      </c>
      <c r="H33" s="34">
        <f>IFERROR(__xludf.DUMMYFUNCTION("""COMPUTED_VALUE"""),10.0)</f>
        <v>10</v>
      </c>
      <c r="I33" s="34"/>
      <c r="J33" s="34" t="str">
        <f>IFERROR(__xludf.DUMMYFUNCTION("""COMPUTED_VALUE"""),"Syracuse")</f>
        <v>Syracuse</v>
      </c>
      <c r="K33" s="34" t="str">
        <f>IFERROR(__xludf.DUMMYFUNCTION("""COMPUTED_VALUE"""),"1-10")</f>
        <v>1-10</v>
      </c>
      <c r="L33" s="39">
        <f>IFERROR(__xludf.DUMMYFUNCTION("""COMPUTED_VALUE"""),0.09090909090909091)</f>
        <v>0.09090909091</v>
      </c>
      <c r="M33" s="34" t="str">
        <f>IFERROR(__xludf.DUMMYFUNCTION("""COMPUTED_VALUE"""),"ACC")</f>
        <v>ACC</v>
      </c>
      <c r="N33" s="34" t="str">
        <f>IFERROR(__xludf.DUMMYFUNCTION("""COMPUTED_VALUE"""),"ACC-Atlantic")</f>
        <v>ACC-Atlantic</v>
      </c>
      <c r="O33" s="34" t="str">
        <f>IFERROR(__xludf.DUMMYFUNCTION("""COMPUTED_VALUE"""),"1-9")</f>
        <v>1-9</v>
      </c>
      <c r="P33" s="38">
        <f>IFERROR(__xludf.DUMMYFUNCTION("""COMPUTED_VALUE"""),0.1)</f>
        <v>0.1</v>
      </c>
      <c r="Q33" s="34">
        <f>IFERROR(__xludf.DUMMYFUNCTION("""COMPUTED_VALUE"""),11.0)</f>
        <v>11</v>
      </c>
      <c r="R33" s="34"/>
      <c r="S33" s="34"/>
      <c r="T33" s="34"/>
      <c r="U33" s="34"/>
      <c r="V33" s="34"/>
      <c r="W33" s="34"/>
      <c r="X33" s="34"/>
      <c r="Y33" s="34"/>
      <c r="Z33" s="34"/>
      <c r="AA33" s="34"/>
    </row>
    <row r="34">
      <c r="A34" s="20" t="str">
        <f>IFERROR(__xludf.DUMMYFUNCTION("""COMPUTED_VALUE"""),"Duke")</f>
        <v>Duke</v>
      </c>
      <c r="B34" s="34" t="str">
        <f>IFERROR(__xludf.DUMMYFUNCTION("""COMPUTED_VALUE"""),"2-9")</f>
        <v>2-9</v>
      </c>
      <c r="C34" s="39">
        <f>IFERROR(__xludf.DUMMYFUNCTION("""COMPUTED_VALUE"""),0.18181818181818182)</f>
        <v>0.1818181818</v>
      </c>
      <c r="D34" s="34" t="str">
        <f>IFERROR(__xludf.DUMMYFUNCTION("""COMPUTED_VALUE"""),"ACC")</f>
        <v>ACC</v>
      </c>
      <c r="E34" s="34" t="str">
        <f>IFERROR(__xludf.DUMMYFUNCTION("""COMPUTED_VALUE"""),"ACC-Coastal")</f>
        <v>ACC-Coastal</v>
      </c>
      <c r="F34" s="34" t="str">
        <f>IFERROR(__xludf.DUMMYFUNCTION("""COMPUTED_VALUE"""),"1-9")</f>
        <v>1-9</v>
      </c>
      <c r="G34" s="38">
        <f>IFERROR(__xludf.DUMMYFUNCTION("""COMPUTED_VALUE"""),0.1)</f>
        <v>0.1</v>
      </c>
      <c r="H34" s="34">
        <f>IFERROR(__xludf.DUMMYFUNCTION("""COMPUTED_VALUE"""),11.0)</f>
        <v>11</v>
      </c>
      <c r="I34" s="34"/>
      <c r="J34" s="3" t="s">
        <v>229</v>
      </c>
      <c r="L34" s="34">
        <f>COUNTIF(L19:L32,"&gt;=.5")</f>
        <v>8</v>
      </c>
      <c r="M34" s="41">
        <f>COUNTIF(M19:M32,"ACC")</f>
        <v>14</v>
      </c>
      <c r="N34" s="34">
        <f>L34/M34</f>
        <v>0.5714285714</v>
      </c>
      <c r="O34" s="34"/>
      <c r="P34" s="34"/>
      <c r="Q34" s="34"/>
      <c r="R34" s="34"/>
      <c r="S34" s="34"/>
      <c r="T34" s="34"/>
      <c r="U34" s="34"/>
      <c r="V34" s="34"/>
      <c r="W34" s="34"/>
      <c r="X34" s="34"/>
      <c r="Y34" s="34"/>
      <c r="Z34" s="34"/>
      <c r="AA34" s="34"/>
    </row>
    <row r="35">
      <c r="A35" s="42" t="s">
        <v>221</v>
      </c>
      <c r="I35" s="34"/>
      <c r="J35" s="33" t="s">
        <v>163</v>
      </c>
      <c r="R35" s="34"/>
      <c r="S35" s="34"/>
      <c r="T35" s="34"/>
      <c r="U35" s="34"/>
      <c r="V35" s="34"/>
      <c r="W35" s="34"/>
      <c r="X35" s="34"/>
      <c r="Y35" s="34"/>
      <c r="Z35" s="34"/>
      <c r="AA35" s="34"/>
    </row>
    <row r="36">
      <c r="A36" s="35" t="str">
        <f>IFERROR(__xludf.DUMMYFUNCTION("QUERY(standings,""SELECT A, D, E, F, G, J, K, R WHERE G = 'B1G-East' ORDER BY K DESC, E DESC, J DESC "",1)"),"Team")</f>
        <v>Team</v>
      </c>
      <c r="B36" s="34" t="str">
        <f>IFERROR(__xludf.DUMMYFUNCTION("""COMPUTED_VALUE"""),"Record")</f>
        <v>Record</v>
      </c>
      <c r="C36" s="34" t="str">
        <f>IFERROR(__xludf.DUMMYFUNCTION("""COMPUTED_VALUE"""),"Ovr Win %")</f>
        <v>Ovr Win %</v>
      </c>
      <c r="D36" s="34" t="str">
        <f>IFERROR(__xludf.DUMMYFUNCTION("""COMPUTED_VALUE"""),"Conf")</f>
        <v>Conf</v>
      </c>
      <c r="E36" s="34" t="str">
        <f>IFERROR(__xludf.DUMMYFUNCTION("""COMPUTED_VALUE"""),"Conf-Div")</f>
        <v>Conf-Div</v>
      </c>
      <c r="F36" s="34" t="str">
        <f>IFERROR(__xludf.DUMMYFUNCTION("""COMPUTED_VALUE"""),"Conf Record")</f>
        <v>Conf Record</v>
      </c>
      <c r="G36" s="34" t="str">
        <f>IFERROR(__xludf.DUMMYFUNCTION("""COMPUTED_VALUE"""),"Conf W %")</f>
        <v>Conf W %</v>
      </c>
      <c r="H36" s="34" t="str">
        <f>IFERROR(__xludf.DUMMYFUNCTION("""COMPUTED_VALUE"""),"# Games")</f>
        <v># Games</v>
      </c>
      <c r="I36" s="34"/>
      <c r="J36" s="40" t="str">
        <f>IFERROR(__xludf.DUMMYFUNCTION("QUERY(standings,""SELECT A, D, E, F, G, J, K, R WHERE F = 'B1G' ORDER BY K DESC, E DESC, J DESC "",1)"),"Team")</f>
        <v>Team</v>
      </c>
      <c r="K36" s="34" t="str">
        <f>IFERROR(__xludf.DUMMYFUNCTION("""COMPUTED_VALUE"""),"Record")</f>
        <v>Record</v>
      </c>
      <c r="L36" s="34" t="str">
        <f>IFERROR(__xludf.DUMMYFUNCTION("""COMPUTED_VALUE"""),"Ovr Win %")</f>
        <v>Ovr Win %</v>
      </c>
      <c r="M36" s="34" t="str">
        <f>IFERROR(__xludf.DUMMYFUNCTION("""COMPUTED_VALUE"""),"Conf")</f>
        <v>Conf</v>
      </c>
      <c r="N36" s="34" t="str">
        <f>IFERROR(__xludf.DUMMYFUNCTION("""COMPUTED_VALUE"""),"Conf-Div")</f>
        <v>Conf-Div</v>
      </c>
      <c r="O36" s="34" t="str">
        <f>IFERROR(__xludf.DUMMYFUNCTION("""COMPUTED_VALUE"""),"Conf Record")</f>
        <v>Conf Record</v>
      </c>
      <c r="P36" s="34" t="str">
        <f>IFERROR(__xludf.DUMMYFUNCTION("""COMPUTED_VALUE"""),"Conf W %")</f>
        <v>Conf W %</v>
      </c>
      <c r="Q36" s="34" t="str">
        <f>IFERROR(__xludf.DUMMYFUNCTION("""COMPUTED_VALUE"""),"# Games")</f>
        <v># Games</v>
      </c>
      <c r="R36" s="34"/>
      <c r="S36" s="34"/>
      <c r="T36" s="34"/>
      <c r="U36" s="34"/>
      <c r="V36" s="34"/>
      <c r="W36" s="34"/>
      <c r="X36" s="34"/>
      <c r="Y36" s="34"/>
      <c r="Z36" s="34"/>
      <c r="AA36" s="34"/>
    </row>
    <row r="37">
      <c r="A37" s="20" t="str">
        <f>IFERROR(__xludf.DUMMYFUNCTION("""COMPUTED_VALUE"""),"Ohio State")</f>
        <v>Ohio State</v>
      </c>
      <c r="B37" s="34" t="str">
        <f>IFERROR(__xludf.DUMMYFUNCTION("""COMPUTED_VALUE"""),"7-1")</f>
        <v>7-1</v>
      </c>
      <c r="C37" s="39">
        <f>IFERROR(__xludf.DUMMYFUNCTION("""COMPUTED_VALUE"""),0.875)</f>
        <v>0.875</v>
      </c>
      <c r="D37" s="34" t="str">
        <f>IFERROR(__xludf.DUMMYFUNCTION("""COMPUTED_VALUE"""),"B1G")</f>
        <v>B1G</v>
      </c>
      <c r="E37" s="34" t="str">
        <f>IFERROR(__xludf.DUMMYFUNCTION("""COMPUTED_VALUE"""),"B1G-East")</f>
        <v>B1G-East</v>
      </c>
      <c r="F37" s="34" t="str">
        <f>IFERROR(__xludf.DUMMYFUNCTION("""COMPUTED_VALUE"""),"6-0")</f>
        <v>6-0</v>
      </c>
      <c r="G37" s="38">
        <f>IFERROR(__xludf.DUMMYFUNCTION("""COMPUTED_VALUE"""),1.0)</f>
        <v>1</v>
      </c>
      <c r="H37" s="34">
        <f>IFERROR(__xludf.DUMMYFUNCTION("""COMPUTED_VALUE"""),8.0)</f>
        <v>8</v>
      </c>
      <c r="I37" s="34"/>
      <c r="J37" s="34" t="str">
        <f>IFERROR(__xludf.DUMMYFUNCTION("""COMPUTED_VALUE"""),"Ohio State")</f>
        <v>Ohio State</v>
      </c>
      <c r="K37" s="34" t="str">
        <f>IFERROR(__xludf.DUMMYFUNCTION("""COMPUTED_VALUE"""),"7-1")</f>
        <v>7-1</v>
      </c>
      <c r="L37" s="39">
        <f>IFERROR(__xludf.DUMMYFUNCTION("""COMPUTED_VALUE"""),0.875)</f>
        <v>0.875</v>
      </c>
      <c r="M37" s="34" t="str">
        <f>IFERROR(__xludf.DUMMYFUNCTION("""COMPUTED_VALUE"""),"B1G")</f>
        <v>B1G</v>
      </c>
      <c r="N37" s="34" t="str">
        <f>IFERROR(__xludf.DUMMYFUNCTION("""COMPUTED_VALUE"""),"B1G-East")</f>
        <v>B1G-East</v>
      </c>
      <c r="O37" s="34" t="str">
        <f>IFERROR(__xludf.DUMMYFUNCTION("""COMPUTED_VALUE"""),"6-0")</f>
        <v>6-0</v>
      </c>
      <c r="P37" s="38">
        <f>IFERROR(__xludf.DUMMYFUNCTION("""COMPUTED_VALUE"""),1.0)</f>
        <v>1</v>
      </c>
      <c r="Q37" s="34">
        <f>IFERROR(__xludf.DUMMYFUNCTION("""COMPUTED_VALUE"""),8.0)</f>
        <v>8</v>
      </c>
      <c r="R37" s="34"/>
      <c r="S37" s="34"/>
      <c r="T37" s="34"/>
      <c r="U37" s="34"/>
      <c r="V37" s="34"/>
      <c r="W37" s="34"/>
      <c r="X37" s="34"/>
      <c r="Y37" s="34"/>
      <c r="Z37" s="34"/>
      <c r="AA37" s="34"/>
    </row>
    <row r="38">
      <c r="A38" s="20" t="str">
        <f>IFERROR(__xludf.DUMMYFUNCTION("""COMPUTED_VALUE"""),"Indiana")</f>
        <v>Indiana</v>
      </c>
      <c r="B38" s="34" t="str">
        <f>IFERROR(__xludf.DUMMYFUNCTION("""COMPUTED_VALUE"""),"6-2")</f>
        <v>6-2</v>
      </c>
      <c r="C38" s="39">
        <f>IFERROR(__xludf.DUMMYFUNCTION("""COMPUTED_VALUE"""),0.75)</f>
        <v>0.75</v>
      </c>
      <c r="D38" s="34" t="str">
        <f>IFERROR(__xludf.DUMMYFUNCTION("""COMPUTED_VALUE"""),"B1G")</f>
        <v>B1G</v>
      </c>
      <c r="E38" s="34" t="str">
        <f>IFERROR(__xludf.DUMMYFUNCTION("""COMPUTED_VALUE"""),"B1G-East")</f>
        <v>B1G-East</v>
      </c>
      <c r="F38" s="34" t="str">
        <f>IFERROR(__xludf.DUMMYFUNCTION("""COMPUTED_VALUE"""),"6-1")</f>
        <v>6-1</v>
      </c>
      <c r="G38" s="38">
        <f>IFERROR(__xludf.DUMMYFUNCTION("""COMPUTED_VALUE"""),0.8571428571428571)</f>
        <v>0.8571428571</v>
      </c>
      <c r="H38" s="34">
        <f>IFERROR(__xludf.DUMMYFUNCTION("""COMPUTED_VALUE"""),8.0)</f>
        <v>8</v>
      </c>
      <c r="I38" s="34"/>
      <c r="J38" s="34" t="str">
        <f>IFERROR(__xludf.DUMMYFUNCTION("""COMPUTED_VALUE"""),"Indiana")</f>
        <v>Indiana</v>
      </c>
      <c r="K38" s="34" t="str">
        <f>IFERROR(__xludf.DUMMYFUNCTION("""COMPUTED_VALUE"""),"6-2")</f>
        <v>6-2</v>
      </c>
      <c r="L38" s="39">
        <f>IFERROR(__xludf.DUMMYFUNCTION("""COMPUTED_VALUE"""),0.75)</f>
        <v>0.75</v>
      </c>
      <c r="M38" s="34" t="str">
        <f>IFERROR(__xludf.DUMMYFUNCTION("""COMPUTED_VALUE"""),"B1G")</f>
        <v>B1G</v>
      </c>
      <c r="N38" s="34" t="str">
        <f>IFERROR(__xludf.DUMMYFUNCTION("""COMPUTED_VALUE"""),"B1G-East")</f>
        <v>B1G-East</v>
      </c>
      <c r="O38" s="34" t="str">
        <f>IFERROR(__xludf.DUMMYFUNCTION("""COMPUTED_VALUE"""),"6-1")</f>
        <v>6-1</v>
      </c>
      <c r="P38" s="38">
        <f>IFERROR(__xludf.DUMMYFUNCTION("""COMPUTED_VALUE"""),0.8571428571428571)</f>
        <v>0.8571428571</v>
      </c>
      <c r="Q38" s="34">
        <f>IFERROR(__xludf.DUMMYFUNCTION("""COMPUTED_VALUE"""),8.0)</f>
        <v>8</v>
      </c>
      <c r="R38" s="34"/>
      <c r="S38" s="34"/>
      <c r="T38" s="34"/>
      <c r="U38" s="34"/>
      <c r="V38" s="34"/>
      <c r="W38" s="34"/>
      <c r="X38" s="34"/>
      <c r="Y38" s="34"/>
      <c r="Z38" s="34"/>
      <c r="AA38" s="34"/>
    </row>
    <row r="39">
      <c r="A39" s="20" t="str">
        <f>IFERROR(__xludf.DUMMYFUNCTION("""COMPUTED_VALUE"""),"Penn State")</f>
        <v>Penn State</v>
      </c>
      <c r="B39" s="34" t="str">
        <f>IFERROR(__xludf.DUMMYFUNCTION("""COMPUTED_VALUE"""),"4-5")</f>
        <v>4-5</v>
      </c>
      <c r="C39" s="39">
        <f>IFERROR(__xludf.DUMMYFUNCTION("""COMPUTED_VALUE"""),0.4444444444444444)</f>
        <v>0.4444444444</v>
      </c>
      <c r="D39" s="34" t="str">
        <f>IFERROR(__xludf.DUMMYFUNCTION("""COMPUTED_VALUE"""),"B1G")</f>
        <v>B1G</v>
      </c>
      <c r="E39" s="34" t="str">
        <f>IFERROR(__xludf.DUMMYFUNCTION("""COMPUTED_VALUE"""),"B1G-East")</f>
        <v>B1G-East</v>
      </c>
      <c r="F39" s="34" t="str">
        <f>IFERROR(__xludf.DUMMYFUNCTION("""COMPUTED_VALUE"""),"4-5")</f>
        <v>4-5</v>
      </c>
      <c r="G39" s="38">
        <f>IFERROR(__xludf.DUMMYFUNCTION("""COMPUTED_VALUE"""),0.4444444444444444)</f>
        <v>0.4444444444</v>
      </c>
      <c r="H39" s="34">
        <f>IFERROR(__xludf.DUMMYFUNCTION("""COMPUTED_VALUE"""),9.0)</f>
        <v>9</v>
      </c>
      <c r="I39" s="34"/>
      <c r="J39" s="34" t="str">
        <f>IFERROR(__xludf.DUMMYFUNCTION("""COMPUTED_VALUE"""),"Northwestern")</f>
        <v>Northwestern</v>
      </c>
      <c r="K39" s="34" t="str">
        <f>IFERROR(__xludf.DUMMYFUNCTION("""COMPUTED_VALUE"""),"7-2")</f>
        <v>7-2</v>
      </c>
      <c r="L39" s="39">
        <f>IFERROR(__xludf.DUMMYFUNCTION("""COMPUTED_VALUE"""),0.7777777777777778)</f>
        <v>0.7777777778</v>
      </c>
      <c r="M39" s="34" t="str">
        <f>IFERROR(__xludf.DUMMYFUNCTION("""COMPUTED_VALUE"""),"B1G")</f>
        <v>B1G</v>
      </c>
      <c r="N39" s="34" t="str">
        <f>IFERROR(__xludf.DUMMYFUNCTION("""COMPUTED_VALUE"""),"B1G-West")</f>
        <v>B1G-West</v>
      </c>
      <c r="O39" s="34" t="str">
        <f>IFERROR(__xludf.DUMMYFUNCTION("""COMPUTED_VALUE"""),"6-2")</f>
        <v>6-2</v>
      </c>
      <c r="P39" s="38">
        <f>IFERROR(__xludf.DUMMYFUNCTION("""COMPUTED_VALUE"""),0.75)</f>
        <v>0.75</v>
      </c>
      <c r="Q39" s="34">
        <f>IFERROR(__xludf.DUMMYFUNCTION("""COMPUTED_VALUE"""),9.0)</f>
        <v>9</v>
      </c>
      <c r="R39" s="34"/>
      <c r="S39" s="34"/>
      <c r="T39" s="34"/>
      <c r="U39" s="34"/>
      <c r="V39" s="34"/>
      <c r="W39" s="34"/>
      <c r="X39" s="34"/>
      <c r="Y39" s="34"/>
      <c r="Z39" s="34"/>
      <c r="AA39" s="34"/>
    </row>
    <row r="40">
      <c r="A40" s="20" t="str">
        <f>IFERROR(__xludf.DUMMYFUNCTION("""COMPUTED_VALUE"""),"Maryland")</f>
        <v>Maryland</v>
      </c>
      <c r="B40" s="34" t="str">
        <f>IFERROR(__xludf.DUMMYFUNCTION("""COMPUTED_VALUE"""),"2-3")</f>
        <v>2-3</v>
      </c>
      <c r="C40" s="39">
        <f>IFERROR(__xludf.DUMMYFUNCTION("""COMPUTED_VALUE"""),0.4)</f>
        <v>0.4</v>
      </c>
      <c r="D40" s="34" t="str">
        <f>IFERROR(__xludf.DUMMYFUNCTION("""COMPUTED_VALUE"""),"B1G")</f>
        <v>B1G</v>
      </c>
      <c r="E40" s="34" t="str">
        <f>IFERROR(__xludf.DUMMYFUNCTION("""COMPUTED_VALUE"""),"B1G-East")</f>
        <v>B1G-East</v>
      </c>
      <c r="F40" s="34" t="str">
        <f>IFERROR(__xludf.DUMMYFUNCTION("""COMPUTED_VALUE"""),"2-3")</f>
        <v>2-3</v>
      </c>
      <c r="G40" s="38">
        <f>IFERROR(__xludf.DUMMYFUNCTION("""COMPUTED_VALUE"""),0.4)</f>
        <v>0.4</v>
      </c>
      <c r="H40" s="34">
        <f>IFERROR(__xludf.DUMMYFUNCTION("""COMPUTED_VALUE"""),5.0)</f>
        <v>5</v>
      </c>
      <c r="I40" s="34"/>
      <c r="J40" s="34" t="str">
        <f>IFERROR(__xludf.DUMMYFUNCTION("""COMPUTED_VALUE"""),"Iowa")</f>
        <v>Iowa</v>
      </c>
      <c r="K40" s="34" t="str">
        <f>IFERROR(__xludf.DUMMYFUNCTION("""COMPUTED_VALUE"""),"6-2")</f>
        <v>6-2</v>
      </c>
      <c r="L40" s="39">
        <f>IFERROR(__xludf.DUMMYFUNCTION("""COMPUTED_VALUE"""),0.75)</f>
        <v>0.75</v>
      </c>
      <c r="M40" s="34" t="str">
        <f>IFERROR(__xludf.DUMMYFUNCTION("""COMPUTED_VALUE"""),"B1G")</f>
        <v>B1G</v>
      </c>
      <c r="N40" s="34" t="str">
        <f>IFERROR(__xludf.DUMMYFUNCTION("""COMPUTED_VALUE"""),"B1G-West")</f>
        <v>B1G-West</v>
      </c>
      <c r="O40" s="34" t="str">
        <f>IFERROR(__xludf.DUMMYFUNCTION("""COMPUTED_VALUE"""),"6-2")</f>
        <v>6-2</v>
      </c>
      <c r="P40" s="38">
        <f>IFERROR(__xludf.DUMMYFUNCTION("""COMPUTED_VALUE"""),0.75)</f>
        <v>0.75</v>
      </c>
      <c r="Q40" s="34">
        <f>IFERROR(__xludf.DUMMYFUNCTION("""COMPUTED_VALUE"""),8.0)</f>
        <v>8</v>
      </c>
      <c r="R40" s="34"/>
      <c r="S40" s="34"/>
      <c r="T40" s="34"/>
      <c r="U40" s="34"/>
      <c r="V40" s="34"/>
      <c r="W40" s="34"/>
      <c r="X40" s="34"/>
      <c r="Y40" s="34"/>
      <c r="Z40" s="34"/>
      <c r="AA40" s="34"/>
    </row>
    <row r="41">
      <c r="A41" s="20" t="str">
        <f>IFERROR(__xludf.DUMMYFUNCTION("""COMPUTED_VALUE"""),"Rutgers")</f>
        <v>Rutgers</v>
      </c>
      <c r="B41" s="34" t="str">
        <f>IFERROR(__xludf.DUMMYFUNCTION("""COMPUTED_VALUE"""),"3-6")</f>
        <v>3-6</v>
      </c>
      <c r="C41" s="39">
        <f>IFERROR(__xludf.DUMMYFUNCTION("""COMPUTED_VALUE"""),0.3333333333333333)</f>
        <v>0.3333333333</v>
      </c>
      <c r="D41" s="34" t="str">
        <f>IFERROR(__xludf.DUMMYFUNCTION("""COMPUTED_VALUE"""),"B1G")</f>
        <v>B1G</v>
      </c>
      <c r="E41" s="34" t="str">
        <f>IFERROR(__xludf.DUMMYFUNCTION("""COMPUTED_VALUE"""),"B1G-East")</f>
        <v>B1G-East</v>
      </c>
      <c r="F41" s="34" t="str">
        <f>IFERROR(__xludf.DUMMYFUNCTION("""COMPUTED_VALUE"""),"3-6")</f>
        <v>3-6</v>
      </c>
      <c r="G41" s="38">
        <f>IFERROR(__xludf.DUMMYFUNCTION("""COMPUTED_VALUE"""),0.3333333333333333)</f>
        <v>0.3333333333</v>
      </c>
      <c r="H41" s="34">
        <f>IFERROR(__xludf.DUMMYFUNCTION("""COMPUTED_VALUE"""),9.0)</f>
        <v>9</v>
      </c>
      <c r="I41" s="34"/>
      <c r="J41" s="34" t="str">
        <f>IFERROR(__xludf.DUMMYFUNCTION("""COMPUTED_VALUE"""),"Wisconsin")</f>
        <v>Wisconsin</v>
      </c>
      <c r="K41" s="34" t="str">
        <f>IFERROR(__xludf.DUMMYFUNCTION("""COMPUTED_VALUE"""),"4-3")</f>
        <v>4-3</v>
      </c>
      <c r="L41" s="39">
        <f>IFERROR(__xludf.DUMMYFUNCTION("""COMPUTED_VALUE"""),0.5714285714285714)</f>
        <v>0.5714285714</v>
      </c>
      <c r="M41" s="34" t="str">
        <f>IFERROR(__xludf.DUMMYFUNCTION("""COMPUTED_VALUE"""),"B1G")</f>
        <v>B1G</v>
      </c>
      <c r="N41" s="34" t="str">
        <f>IFERROR(__xludf.DUMMYFUNCTION("""COMPUTED_VALUE"""),"B1G-West")</f>
        <v>B1G-West</v>
      </c>
      <c r="O41" s="34" t="str">
        <f>IFERROR(__xludf.DUMMYFUNCTION("""COMPUTED_VALUE"""),"3-3")</f>
        <v>3-3</v>
      </c>
      <c r="P41" s="38">
        <f>IFERROR(__xludf.DUMMYFUNCTION("""COMPUTED_VALUE"""),0.5)</f>
        <v>0.5</v>
      </c>
      <c r="Q41" s="34">
        <f>IFERROR(__xludf.DUMMYFUNCTION("""COMPUTED_VALUE"""),7.0)</f>
        <v>7</v>
      </c>
      <c r="R41" s="34"/>
      <c r="S41" s="34"/>
      <c r="T41" s="34"/>
      <c r="U41" s="34"/>
      <c r="V41" s="34"/>
      <c r="W41" s="34"/>
      <c r="X41" s="34"/>
      <c r="Y41" s="34"/>
      <c r="Z41" s="34"/>
      <c r="AA41" s="34"/>
    </row>
    <row r="42">
      <c r="A42" s="20" t="str">
        <f>IFERROR(__xludf.DUMMYFUNCTION("""COMPUTED_VALUE"""),"Michigan")</f>
        <v>Michigan</v>
      </c>
      <c r="B42" s="34" t="str">
        <f>IFERROR(__xludf.DUMMYFUNCTION("""COMPUTED_VALUE"""),"2-4")</f>
        <v>2-4</v>
      </c>
      <c r="C42" s="39">
        <f>IFERROR(__xludf.DUMMYFUNCTION("""COMPUTED_VALUE"""),0.3333333333333333)</f>
        <v>0.3333333333</v>
      </c>
      <c r="D42" s="34" t="str">
        <f>IFERROR(__xludf.DUMMYFUNCTION("""COMPUTED_VALUE"""),"B1G")</f>
        <v>B1G</v>
      </c>
      <c r="E42" s="34" t="str">
        <f>IFERROR(__xludf.DUMMYFUNCTION("""COMPUTED_VALUE"""),"B1G-East")</f>
        <v>B1G-East</v>
      </c>
      <c r="F42" s="34" t="str">
        <f>IFERROR(__xludf.DUMMYFUNCTION("""COMPUTED_VALUE"""),"2-4")</f>
        <v>2-4</v>
      </c>
      <c r="G42" s="38">
        <f>IFERROR(__xludf.DUMMYFUNCTION("""COMPUTED_VALUE"""),0.3333333333333333)</f>
        <v>0.3333333333</v>
      </c>
      <c r="H42" s="34">
        <f>IFERROR(__xludf.DUMMYFUNCTION("""COMPUTED_VALUE"""),6.0)</f>
        <v>6</v>
      </c>
      <c r="I42" s="34"/>
      <c r="J42" s="34" t="str">
        <f>IFERROR(__xludf.DUMMYFUNCTION("""COMPUTED_VALUE"""),"Penn State")</f>
        <v>Penn State</v>
      </c>
      <c r="K42" s="34" t="str">
        <f>IFERROR(__xludf.DUMMYFUNCTION("""COMPUTED_VALUE"""),"4-5")</f>
        <v>4-5</v>
      </c>
      <c r="L42" s="39">
        <f>IFERROR(__xludf.DUMMYFUNCTION("""COMPUTED_VALUE"""),0.4444444444444444)</f>
        <v>0.4444444444</v>
      </c>
      <c r="M42" s="34" t="str">
        <f>IFERROR(__xludf.DUMMYFUNCTION("""COMPUTED_VALUE"""),"B1G")</f>
        <v>B1G</v>
      </c>
      <c r="N42" s="34" t="str">
        <f>IFERROR(__xludf.DUMMYFUNCTION("""COMPUTED_VALUE"""),"B1G-East")</f>
        <v>B1G-East</v>
      </c>
      <c r="O42" s="34" t="str">
        <f>IFERROR(__xludf.DUMMYFUNCTION("""COMPUTED_VALUE"""),"4-5")</f>
        <v>4-5</v>
      </c>
      <c r="P42" s="38">
        <f>IFERROR(__xludf.DUMMYFUNCTION("""COMPUTED_VALUE"""),0.4444444444444444)</f>
        <v>0.4444444444</v>
      </c>
      <c r="Q42" s="34">
        <f>IFERROR(__xludf.DUMMYFUNCTION("""COMPUTED_VALUE"""),9.0)</f>
        <v>9</v>
      </c>
      <c r="R42" s="34"/>
      <c r="S42" s="34"/>
      <c r="T42" s="34"/>
      <c r="U42" s="34"/>
      <c r="V42" s="34"/>
      <c r="W42" s="34"/>
      <c r="X42" s="34"/>
      <c r="Y42" s="34"/>
      <c r="Z42" s="34"/>
      <c r="AA42" s="34"/>
    </row>
    <row r="43">
      <c r="A43" s="36" t="str">
        <f>IFERROR(__xludf.DUMMYFUNCTION("""COMPUTED_VALUE"""),"Michigan State")</f>
        <v>Michigan State</v>
      </c>
      <c r="B43" s="34" t="str">
        <f>IFERROR(__xludf.DUMMYFUNCTION("""COMPUTED_VALUE"""),"2-5")</f>
        <v>2-5</v>
      </c>
      <c r="C43" s="39">
        <f>IFERROR(__xludf.DUMMYFUNCTION("""COMPUTED_VALUE"""),0.2857142857142857)</f>
        <v>0.2857142857</v>
      </c>
      <c r="D43" s="34" t="str">
        <f>IFERROR(__xludf.DUMMYFUNCTION("""COMPUTED_VALUE"""),"B1G")</f>
        <v>B1G</v>
      </c>
      <c r="E43" s="34" t="str">
        <f>IFERROR(__xludf.DUMMYFUNCTION("""COMPUTED_VALUE"""),"B1G-East")</f>
        <v>B1G-East</v>
      </c>
      <c r="F43" s="34" t="str">
        <f>IFERROR(__xludf.DUMMYFUNCTION("""COMPUTED_VALUE"""),"2-5")</f>
        <v>2-5</v>
      </c>
      <c r="G43" s="38">
        <f>IFERROR(__xludf.DUMMYFUNCTION("""COMPUTED_VALUE"""),0.2857142857142857)</f>
        <v>0.2857142857</v>
      </c>
      <c r="H43" s="34">
        <f>IFERROR(__xludf.DUMMYFUNCTION("""COMPUTED_VALUE"""),7.0)</f>
        <v>7</v>
      </c>
      <c r="I43" s="34"/>
      <c r="J43" s="34" t="str">
        <f>IFERROR(__xludf.DUMMYFUNCTION("""COMPUTED_VALUE"""),"Minnesota")</f>
        <v>Minnesota</v>
      </c>
      <c r="K43" s="34" t="str">
        <f>IFERROR(__xludf.DUMMYFUNCTION("""COMPUTED_VALUE"""),"3-4")</f>
        <v>3-4</v>
      </c>
      <c r="L43" s="39">
        <f>IFERROR(__xludf.DUMMYFUNCTION("""COMPUTED_VALUE"""),0.42857142857142855)</f>
        <v>0.4285714286</v>
      </c>
      <c r="M43" s="34" t="str">
        <f>IFERROR(__xludf.DUMMYFUNCTION("""COMPUTED_VALUE"""),"B1G")</f>
        <v>B1G</v>
      </c>
      <c r="N43" s="34" t="str">
        <f>IFERROR(__xludf.DUMMYFUNCTION("""COMPUTED_VALUE"""),"B1G-West")</f>
        <v>B1G-West</v>
      </c>
      <c r="O43" s="34" t="str">
        <f>IFERROR(__xludf.DUMMYFUNCTION("""COMPUTED_VALUE"""),"3-4")</f>
        <v>3-4</v>
      </c>
      <c r="P43" s="38">
        <f>IFERROR(__xludf.DUMMYFUNCTION("""COMPUTED_VALUE"""),0.42857142857142855)</f>
        <v>0.4285714286</v>
      </c>
      <c r="Q43" s="34">
        <f>IFERROR(__xludf.DUMMYFUNCTION("""COMPUTED_VALUE"""),7.0)</f>
        <v>7</v>
      </c>
      <c r="R43" s="34"/>
      <c r="S43" s="34"/>
      <c r="T43" s="34"/>
      <c r="U43" s="34"/>
      <c r="V43" s="34"/>
      <c r="W43" s="34"/>
      <c r="X43" s="34"/>
      <c r="Y43" s="34"/>
      <c r="Z43" s="34"/>
      <c r="AA43" s="34"/>
    </row>
    <row r="44">
      <c r="A44" s="42" t="s">
        <v>222</v>
      </c>
      <c r="I44" s="34"/>
      <c r="J44" s="34" t="str">
        <f>IFERROR(__xludf.DUMMYFUNCTION("""COMPUTED_VALUE"""),"Maryland")</f>
        <v>Maryland</v>
      </c>
      <c r="K44" s="34" t="str">
        <f>IFERROR(__xludf.DUMMYFUNCTION("""COMPUTED_VALUE"""),"2-3")</f>
        <v>2-3</v>
      </c>
      <c r="L44" s="39">
        <f>IFERROR(__xludf.DUMMYFUNCTION("""COMPUTED_VALUE"""),0.4)</f>
        <v>0.4</v>
      </c>
      <c r="M44" s="34" t="str">
        <f>IFERROR(__xludf.DUMMYFUNCTION("""COMPUTED_VALUE"""),"B1G")</f>
        <v>B1G</v>
      </c>
      <c r="N44" s="34" t="str">
        <f>IFERROR(__xludf.DUMMYFUNCTION("""COMPUTED_VALUE"""),"B1G-East")</f>
        <v>B1G-East</v>
      </c>
      <c r="O44" s="34" t="str">
        <f>IFERROR(__xludf.DUMMYFUNCTION("""COMPUTED_VALUE"""),"2-3")</f>
        <v>2-3</v>
      </c>
      <c r="P44" s="38">
        <f>IFERROR(__xludf.DUMMYFUNCTION("""COMPUTED_VALUE"""),0.4)</f>
        <v>0.4</v>
      </c>
      <c r="Q44" s="34">
        <f>IFERROR(__xludf.DUMMYFUNCTION("""COMPUTED_VALUE"""),5.0)</f>
        <v>5</v>
      </c>
      <c r="R44" s="34"/>
      <c r="S44" s="34"/>
      <c r="T44" s="34"/>
      <c r="U44" s="34"/>
      <c r="V44" s="34"/>
      <c r="W44" s="34"/>
      <c r="X44" s="34"/>
      <c r="Y44" s="34"/>
      <c r="Z44" s="34"/>
      <c r="AA44" s="34"/>
    </row>
    <row r="45">
      <c r="A45" s="35" t="str">
        <f>IFERROR(__xludf.DUMMYFUNCTION("QUERY(standings,""SELECT A, D, E, F, G, J, K, R WHERE G = 'B1G-West' ORDER BY K DESC, E DESC, J DESC "",1)"),"Team")</f>
        <v>Team</v>
      </c>
      <c r="B45" s="34" t="str">
        <f>IFERROR(__xludf.DUMMYFUNCTION("""COMPUTED_VALUE"""),"Record")</f>
        <v>Record</v>
      </c>
      <c r="C45" s="34" t="str">
        <f>IFERROR(__xludf.DUMMYFUNCTION("""COMPUTED_VALUE"""),"Ovr Win %")</f>
        <v>Ovr Win %</v>
      </c>
      <c r="D45" s="34" t="str">
        <f>IFERROR(__xludf.DUMMYFUNCTION("""COMPUTED_VALUE"""),"Conf")</f>
        <v>Conf</v>
      </c>
      <c r="E45" s="34" t="str">
        <f>IFERROR(__xludf.DUMMYFUNCTION("""COMPUTED_VALUE"""),"Conf-Div")</f>
        <v>Conf-Div</v>
      </c>
      <c r="F45" s="34" t="str">
        <f>IFERROR(__xludf.DUMMYFUNCTION("""COMPUTED_VALUE"""),"Conf Record")</f>
        <v>Conf Record</v>
      </c>
      <c r="G45" s="34" t="str">
        <f>IFERROR(__xludf.DUMMYFUNCTION("""COMPUTED_VALUE"""),"Conf W %")</f>
        <v>Conf W %</v>
      </c>
      <c r="H45" s="34" t="str">
        <f>IFERROR(__xludf.DUMMYFUNCTION("""COMPUTED_VALUE"""),"# Games")</f>
        <v># Games</v>
      </c>
      <c r="I45" s="34"/>
      <c r="J45" s="34" t="str">
        <f>IFERROR(__xludf.DUMMYFUNCTION("""COMPUTED_VALUE"""),"Nebraska")</f>
        <v>Nebraska</v>
      </c>
      <c r="K45" s="34" t="str">
        <f>IFERROR(__xludf.DUMMYFUNCTION("""COMPUTED_VALUE"""),"3-5")</f>
        <v>3-5</v>
      </c>
      <c r="L45" s="39">
        <f>IFERROR(__xludf.DUMMYFUNCTION("""COMPUTED_VALUE"""),0.375)</f>
        <v>0.375</v>
      </c>
      <c r="M45" s="34" t="str">
        <f>IFERROR(__xludf.DUMMYFUNCTION("""COMPUTED_VALUE"""),"B1G")</f>
        <v>B1G</v>
      </c>
      <c r="N45" s="34" t="str">
        <f>IFERROR(__xludf.DUMMYFUNCTION("""COMPUTED_VALUE"""),"B1G-West")</f>
        <v>B1G-West</v>
      </c>
      <c r="O45" s="34" t="str">
        <f>IFERROR(__xludf.DUMMYFUNCTION("""COMPUTED_VALUE"""),"3-5")</f>
        <v>3-5</v>
      </c>
      <c r="P45" s="38">
        <f>IFERROR(__xludf.DUMMYFUNCTION("""COMPUTED_VALUE"""),0.375)</f>
        <v>0.375</v>
      </c>
      <c r="Q45" s="34">
        <f>IFERROR(__xludf.DUMMYFUNCTION("""COMPUTED_VALUE"""),8.0)</f>
        <v>8</v>
      </c>
      <c r="R45" s="34"/>
      <c r="S45" s="34"/>
      <c r="T45" s="34"/>
      <c r="U45" s="34"/>
      <c r="V45" s="34"/>
      <c r="W45" s="34"/>
      <c r="X45" s="34"/>
      <c r="Y45" s="34"/>
      <c r="Z45" s="34"/>
      <c r="AA45" s="34"/>
    </row>
    <row r="46">
      <c r="A46" s="20" t="str">
        <f>IFERROR(__xludf.DUMMYFUNCTION("""COMPUTED_VALUE"""),"Northwestern")</f>
        <v>Northwestern</v>
      </c>
      <c r="B46" s="34" t="str">
        <f>IFERROR(__xludf.DUMMYFUNCTION("""COMPUTED_VALUE"""),"7-2")</f>
        <v>7-2</v>
      </c>
      <c r="C46" s="39">
        <f>IFERROR(__xludf.DUMMYFUNCTION("""COMPUTED_VALUE"""),0.7777777777777778)</f>
        <v>0.7777777778</v>
      </c>
      <c r="D46" s="34" t="str">
        <f>IFERROR(__xludf.DUMMYFUNCTION("""COMPUTED_VALUE"""),"B1G")</f>
        <v>B1G</v>
      </c>
      <c r="E46" s="34" t="str">
        <f>IFERROR(__xludf.DUMMYFUNCTION("""COMPUTED_VALUE"""),"B1G-West")</f>
        <v>B1G-West</v>
      </c>
      <c r="F46" s="34" t="str">
        <f>IFERROR(__xludf.DUMMYFUNCTION("""COMPUTED_VALUE"""),"6-2")</f>
        <v>6-2</v>
      </c>
      <c r="G46" s="38">
        <f>IFERROR(__xludf.DUMMYFUNCTION("""COMPUTED_VALUE"""),0.75)</f>
        <v>0.75</v>
      </c>
      <c r="H46" s="34">
        <f>IFERROR(__xludf.DUMMYFUNCTION("""COMPUTED_VALUE"""),9.0)</f>
        <v>9</v>
      </c>
      <c r="I46" s="34"/>
      <c r="J46" s="34" t="str">
        <f>IFERROR(__xludf.DUMMYFUNCTION("""COMPUTED_VALUE"""),"Rutgers")</f>
        <v>Rutgers</v>
      </c>
      <c r="K46" s="34" t="str">
        <f>IFERROR(__xludf.DUMMYFUNCTION("""COMPUTED_VALUE"""),"3-6")</f>
        <v>3-6</v>
      </c>
      <c r="L46" s="39">
        <f>IFERROR(__xludf.DUMMYFUNCTION("""COMPUTED_VALUE"""),0.3333333333333333)</f>
        <v>0.3333333333</v>
      </c>
      <c r="M46" s="34" t="str">
        <f>IFERROR(__xludf.DUMMYFUNCTION("""COMPUTED_VALUE"""),"B1G")</f>
        <v>B1G</v>
      </c>
      <c r="N46" s="34" t="str">
        <f>IFERROR(__xludf.DUMMYFUNCTION("""COMPUTED_VALUE"""),"B1G-East")</f>
        <v>B1G-East</v>
      </c>
      <c r="O46" s="34" t="str">
        <f>IFERROR(__xludf.DUMMYFUNCTION("""COMPUTED_VALUE"""),"3-6")</f>
        <v>3-6</v>
      </c>
      <c r="P46" s="38">
        <f>IFERROR(__xludf.DUMMYFUNCTION("""COMPUTED_VALUE"""),0.3333333333333333)</f>
        <v>0.3333333333</v>
      </c>
      <c r="Q46" s="34">
        <f>IFERROR(__xludf.DUMMYFUNCTION("""COMPUTED_VALUE"""),9.0)</f>
        <v>9</v>
      </c>
      <c r="R46" s="34"/>
      <c r="S46" s="34"/>
      <c r="T46" s="34"/>
      <c r="U46" s="34"/>
      <c r="V46" s="34"/>
      <c r="W46" s="34"/>
      <c r="X46" s="34"/>
      <c r="Y46" s="34"/>
      <c r="Z46" s="34"/>
      <c r="AA46" s="34"/>
    </row>
    <row r="47">
      <c r="A47" s="20" t="str">
        <f>IFERROR(__xludf.DUMMYFUNCTION("""COMPUTED_VALUE"""),"Iowa")</f>
        <v>Iowa</v>
      </c>
      <c r="B47" s="34" t="str">
        <f>IFERROR(__xludf.DUMMYFUNCTION("""COMPUTED_VALUE"""),"6-2")</f>
        <v>6-2</v>
      </c>
      <c r="C47" s="39">
        <f>IFERROR(__xludf.DUMMYFUNCTION("""COMPUTED_VALUE"""),0.75)</f>
        <v>0.75</v>
      </c>
      <c r="D47" s="34" t="str">
        <f>IFERROR(__xludf.DUMMYFUNCTION("""COMPUTED_VALUE"""),"B1G")</f>
        <v>B1G</v>
      </c>
      <c r="E47" s="34" t="str">
        <f>IFERROR(__xludf.DUMMYFUNCTION("""COMPUTED_VALUE"""),"B1G-West")</f>
        <v>B1G-West</v>
      </c>
      <c r="F47" s="34" t="str">
        <f>IFERROR(__xludf.DUMMYFUNCTION("""COMPUTED_VALUE"""),"6-2")</f>
        <v>6-2</v>
      </c>
      <c r="G47" s="38">
        <f>IFERROR(__xludf.DUMMYFUNCTION("""COMPUTED_VALUE"""),0.75)</f>
        <v>0.75</v>
      </c>
      <c r="H47" s="34">
        <f>IFERROR(__xludf.DUMMYFUNCTION("""COMPUTED_VALUE"""),8.0)</f>
        <v>8</v>
      </c>
      <c r="I47" s="34"/>
      <c r="J47" s="34" t="str">
        <f>IFERROR(__xludf.DUMMYFUNCTION("""COMPUTED_VALUE"""),"Purdue")</f>
        <v>Purdue</v>
      </c>
      <c r="K47" s="34" t="str">
        <f>IFERROR(__xludf.DUMMYFUNCTION("""COMPUTED_VALUE"""),"2-4")</f>
        <v>2-4</v>
      </c>
      <c r="L47" s="39">
        <f>IFERROR(__xludf.DUMMYFUNCTION("""COMPUTED_VALUE"""),0.3333333333333333)</f>
        <v>0.3333333333</v>
      </c>
      <c r="M47" s="34" t="str">
        <f>IFERROR(__xludf.DUMMYFUNCTION("""COMPUTED_VALUE"""),"B1G")</f>
        <v>B1G</v>
      </c>
      <c r="N47" s="34" t="str">
        <f>IFERROR(__xludf.DUMMYFUNCTION("""COMPUTED_VALUE"""),"B1G-West")</f>
        <v>B1G-West</v>
      </c>
      <c r="O47" s="34" t="str">
        <f>IFERROR(__xludf.DUMMYFUNCTION("""COMPUTED_VALUE"""),"2-4")</f>
        <v>2-4</v>
      </c>
      <c r="P47" s="38">
        <f>IFERROR(__xludf.DUMMYFUNCTION("""COMPUTED_VALUE"""),0.3333333333333333)</f>
        <v>0.3333333333</v>
      </c>
      <c r="Q47" s="34">
        <f>IFERROR(__xludf.DUMMYFUNCTION("""COMPUTED_VALUE"""),6.0)</f>
        <v>6</v>
      </c>
      <c r="R47" s="34"/>
      <c r="S47" s="34"/>
      <c r="T47" s="34"/>
      <c r="U47" s="34"/>
      <c r="V47" s="34"/>
      <c r="W47" s="34"/>
      <c r="X47" s="34"/>
      <c r="Y47" s="34"/>
      <c r="Z47" s="34"/>
      <c r="AA47" s="34"/>
    </row>
    <row r="48">
      <c r="A48" s="20" t="str">
        <f>IFERROR(__xludf.DUMMYFUNCTION("""COMPUTED_VALUE"""),"Wisconsin")</f>
        <v>Wisconsin</v>
      </c>
      <c r="B48" s="34" t="str">
        <f>IFERROR(__xludf.DUMMYFUNCTION("""COMPUTED_VALUE"""),"4-3")</f>
        <v>4-3</v>
      </c>
      <c r="C48" s="39">
        <f>IFERROR(__xludf.DUMMYFUNCTION("""COMPUTED_VALUE"""),0.5714285714285714)</f>
        <v>0.5714285714</v>
      </c>
      <c r="D48" s="34" t="str">
        <f>IFERROR(__xludf.DUMMYFUNCTION("""COMPUTED_VALUE"""),"B1G")</f>
        <v>B1G</v>
      </c>
      <c r="E48" s="34" t="str">
        <f>IFERROR(__xludf.DUMMYFUNCTION("""COMPUTED_VALUE"""),"B1G-West")</f>
        <v>B1G-West</v>
      </c>
      <c r="F48" s="34" t="str">
        <f>IFERROR(__xludf.DUMMYFUNCTION("""COMPUTED_VALUE"""),"3-3")</f>
        <v>3-3</v>
      </c>
      <c r="G48" s="38">
        <f>IFERROR(__xludf.DUMMYFUNCTION("""COMPUTED_VALUE"""),0.5)</f>
        <v>0.5</v>
      </c>
      <c r="H48" s="34">
        <f>IFERROR(__xludf.DUMMYFUNCTION("""COMPUTED_VALUE"""),7.0)</f>
        <v>7</v>
      </c>
      <c r="I48" s="34"/>
      <c r="J48" s="34" t="str">
        <f>IFERROR(__xludf.DUMMYFUNCTION("""COMPUTED_VALUE"""),"Michigan")</f>
        <v>Michigan</v>
      </c>
      <c r="K48" s="34" t="str">
        <f>IFERROR(__xludf.DUMMYFUNCTION("""COMPUTED_VALUE"""),"2-4")</f>
        <v>2-4</v>
      </c>
      <c r="L48" s="39">
        <f>IFERROR(__xludf.DUMMYFUNCTION("""COMPUTED_VALUE"""),0.3333333333333333)</f>
        <v>0.3333333333</v>
      </c>
      <c r="M48" s="34" t="str">
        <f>IFERROR(__xludf.DUMMYFUNCTION("""COMPUTED_VALUE"""),"B1G")</f>
        <v>B1G</v>
      </c>
      <c r="N48" s="34" t="str">
        <f>IFERROR(__xludf.DUMMYFUNCTION("""COMPUTED_VALUE"""),"B1G-East")</f>
        <v>B1G-East</v>
      </c>
      <c r="O48" s="34" t="str">
        <f>IFERROR(__xludf.DUMMYFUNCTION("""COMPUTED_VALUE"""),"2-4")</f>
        <v>2-4</v>
      </c>
      <c r="P48" s="38">
        <f>IFERROR(__xludf.DUMMYFUNCTION("""COMPUTED_VALUE"""),0.3333333333333333)</f>
        <v>0.3333333333</v>
      </c>
      <c r="Q48" s="34">
        <f>IFERROR(__xludf.DUMMYFUNCTION("""COMPUTED_VALUE"""),6.0)</f>
        <v>6</v>
      </c>
      <c r="R48" s="34"/>
      <c r="S48" s="34"/>
      <c r="T48" s="34"/>
      <c r="U48" s="34"/>
      <c r="V48" s="34"/>
      <c r="W48" s="34"/>
      <c r="X48" s="34"/>
      <c r="Y48" s="34"/>
      <c r="Z48" s="34"/>
      <c r="AA48" s="34"/>
    </row>
    <row r="49">
      <c r="A49" s="20" t="str">
        <f>IFERROR(__xludf.DUMMYFUNCTION("""COMPUTED_VALUE"""),"Minnesota")</f>
        <v>Minnesota</v>
      </c>
      <c r="B49" s="34" t="str">
        <f>IFERROR(__xludf.DUMMYFUNCTION("""COMPUTED_VALUE"""),"3-4")</f>
        <v>3-4</v>
      </c>
      <c r="C49" s="39">
        <f>IFERROR(__xludf.DUMMYFUNCTION("""COMPUTED_VALUE"""),0.42857142857142855)</f>
        <v>0.4285714286</v>
      </c>
      <c r="D49" s="34" t="str">
        <f>IFERROR(__xludf.DUMMYFUNCTION("""COMPUTED_VALUE"""),"B1G")</f>
        <v>B1G</v>
      </c>
      <c r="E49" s="34" t="str">
        <f>IFERROR(__xludf.DUMMYFUNCTION("""COMPUTED_VALUE"""),"B1G-West")</f>
        <v>B1G-West</v>
      </c>
      <c r="F49" s="34" t="str">
        <f>IFERROR(__xludf.DUMMYFUNCTION("""COMPUTED_VALUE"""),"3-4")</f>
        <v>3-4</v>
      </c>
      <c r="G49" s="38">
        <f>IFERROR(__xludf.DUMMYFUNCTION("""COMPUTED_VALUE"""),0.42857142857142855)</f>
        <v>0.4285714286</v>
      </c>
      <c r="H49" s="34">
        <f>IFERROR(__xludf.DUMMYFUNCTION("""COMPUTED_VALUE"""),7.0)</f>
        <v>7</v>
      </c>
      <c r="I49" s="34"/>
      <c r="J49" s="34" t="str">
        <f>IFERROR(__xludf.DUMMYFUNCTION("""COMPUTED_VALUE"""),"Michigan State")</f>
        <v>Michigan State</v>
      </c>
      <c r="K49" s="34" t="str">
        <f>IFERROR(__xludf.DUMMYFUNCTION("""COMPUTED_VALUE"""),"2-5")</f>
        <v>2-5</v>
      </c>
      <c r="L49" s="39">
        <f>IFERROR(__xludf.DUMMYFUNCTION("""COMPUTED_VALUE"""),0.2857142857142857)</f>
        <v>0.2857142857</v>
      </c>
      <c r="M49" s="34" t="str">
        <f>IFERROR(__xludf.DUMMYFUNCTION("""COMPUTED_VALUE"""),"B1G")</f>
        <v>B1G</v>
      </c>
      <c r="N49" s="34" t="str">
        <f>IFERROR(__xludf.DUMMYFUNCTION("""COMPUTED_VALUE"""),"B1G-East")</f>
        <v>B1G-East</v>
      </c>
      <c r="O49" s="34" t="str">
        <f>IFERROR(__xludf.DUMMYFUNCTION("""COMPUTED_VALUE"""),"2-5")</f>
        <v>2-5</v>
      </c>
      <c r="P49" s="38">
        <f>IFERROR(__xludf.DUMMYFUNCTION("""COMPUTED_VALUE"""),0.2857142857142857)</f>
        <v>0.2857142857</v>
      </c>
      <c r="Q49" s="34">
        <f>IFERROR(__xludf.DUMMYFUNCTION("""COMPUTED_VALUE"""),7.0)</f>
        <v>7</v>
      </c>
      <c r="R49" s="34"/>
      <c r="S49" s="34"/>
      <c r="T49" s="34"/>
      <c r="U49" s="34"/>
      <c r="V49" s="34"/>
      <c r="W49" s="34"/>
      <c r="X49" s="34"/>
      <c r="Y49" s="34"/>
      <c r="Z49" s="34"/>
      <c r="AA49" s="34"/>
    </row>
    <row r="50">
      <c r="A50" s="20" t="str">
        <f>IFERROR(__xludf.DUMMYFUNCTION("""COMPUTED_VALUE"""),"Nebraska")</f>
        <v>Nebraska</v>
      </c>
      <c r="B50" s="34" t="str">
        <f>IFERROR(__xludf.DUMMYFUNCTION("""COMPUTED_VALUE"""),"3-5")</f>
        <v>3-5</v>
      </c>
      <c r="C50" s="39">
        <f>IFERROR(__xludf.DUMMYFUNCTION("""COMPUTED_VALUE"""),0.375)</f>
        <v>0.375</v>
      </c>
      <c r="D50" s="34" t="str">
        <f>IFERROR(__xludf.DUMMYFUNCTION("""COMPUTED_VALUE"""),"B1G")</f>
        <v>B1G</v>
      </c>
      <c r="E50" s="34" t="str">
        <f>IFERROR(__xludf.DUMMYFUNCTION("""COMPUTED_VALUE"""),"B1G-West")</f>
        <v>B1G-West</v>
      </c>
      <c r="F50" s="34" t="str">
        <f>IFERROR(__xludf.DUMMYFUNCTION("""COMPUTED_VALUE"""),"3-5")</f>
        <v>3-5</v>
      </c>
      <c r="G50" s="38">
        <f>IFERROR(__xludf.DUMMYFUNCTION("""COMPUTED_VALUE"""),0.375)</f>
        <v>0.375</v>
      </c>
      <c r="H50" s="34">
        <f>IFERROR(__xludf.DUMMYFUNCTION("""COMPUTED_VALUE"""),8.0)</f>
        <v>8</v>
      </c>
      <c r="I50" s="34"/>
      <c r="J50" s="34" t="str">
        <f>IFERROR(__xludf.DUMMYFUNCTION("""COMPUTED_VALUE"""),"Illinois")</f>
        <v>Illinois</v>
      </c>
      <c r="K50" s="34" t="str">
        <f>IFERROR(__xludf.DUMMYFUNCTION("""COMPUTED_VALUE"""),"2-6")</f>
        <v>2-6</v>
      </c>
      <c r="L50" s="39">
        <f>IFERROR(__xludf.DUMMYFUNCTION("""COMPUTED_VALUE"""),0.25)</f>
        <v>0.25</v>
      </c>
      <c r="M50" s="34" t="str">
        <f>IFERROR(__xludf.DUMMYFUNCTION("""COMPUTED_VALUE"""),"B1G")</f>
        <v>B1G</v>
      </c>
      <c r="N50" s="34" t="str">
        <f>IFERROR(__xludf.DUMMYFUNCTION("""COMPUTED_VALUE"""),"B1G-West")</f>
        <v>B1G-West</v>
      </c>
      <c r="O50" s="34" t="str">
        <f>IFERROR(__xludf.DUMMYFUNCTION("""COMPUTED_VALUE"""),"2-6")</f>
        <v>2-6</v>
      </c>
      <c r="P50" s="38">
        <f>IFERROR(__xludf.DUMMYFUNCTION("""COMPUTED_VALUE"""),0.25)</f>
        <v>0.25</v>
      </c>
      <c r="Q50" s="34">
        <f>IFERROR(__xludf.DUMMYFUNCTION("""COMPUTED_VALUE"""),8.0)</f>
        <v>8</v>
      </c>
      <c r="R50" s="34"/>
      <c r="S50" s="34"/>
      <c r="T50" s="34"/>
      <c r="U50" s="34"/>
      <c r="V50" s="34"/>
      <c r="W50" s="34"/>
      <c r="X50" s="34"/>
      <c r="Y50" s="34"/>
      <c r="Z50" s="34"/>
      <c r="AA50" s="34"/>
    </row>
    <row r="51">
      <c r="A51" s="36" t="str">
        <f>IFERROR(__xludf.DUMMYFUNCTION("""COMPUTED_VALUE"""),"Purdue")</f>
        <v>Purdue</v>
      </c>
      <c r="B51" s="34" t="str">
        <f>IFERROR(__xludf.DUMMYFUNCTION("""COMPUTED_VALUE"""),"2-4")</f>
        <v>2-4</v>
      </c>
      <c r="C51" s="39">
        <f>IFERROR(__xludf.DUMMYFUNCTION("""COMPUTED_VALUE"""),0.3333333333333333)</f>
        <v>0.3333333333</v>
      </c>
      <c r="D51" s="34" t="str">
        <f>IFERROR(__xludf.DUMMYFUNCTION("""COMPUTED_VALUE"""),"B1G")</f>
        <v>B1G</v>
      </c>
      <c r="E51" s="34" t="str">
        <f>IFERROR(__xludf.DUMMYFUNCTION("""COMPUTED_VALUE"""),"B1G-West")</f>
        <v>B1G-West</v>
      </c>
      <c r="F51" s="34" t="str">
        <f>IFERROR(__xludf.DUMMYFUNCTION("""COMPUTED_VALUE"""),"2-4")</f>
        <v>2-4</v>
      </c>
      <c r="G51" s="38">
        <f>IFERROR(__xludf.DUMMYFUNCTION("""COMPUTED_VALUE"""),0.3333333333333333)</f>
        <v>0.3333333333</v>
      </c>
      <c r="H51" s="34">
        <f>IFERROR(__xludf.DUMMYFUNCTION("""COMPUTED_VALUE"""),6.0)</f>
        <v>6</v>
      </c>
      <c r="I51" s="34"/>
      <c r="J51" s="3" t="s">
        <v>229</v>
      </c>
      <c r="L51" s="34">
        <f>COUNTIF(L37:L50,"&gt;=.5")</f>
        <v>5</v>
      </c>
      <c r="M51" s="41">
        <f>COUNTIF(M37:M50,"B1G")</f>
        <v>14</v>
      </c>
      <c r="N51" s="34">
        <f>L51/M51</f>
        <v>0.3571428571</v>
      </c>
      <c r="O51" s="34"/>
      <c r="P51" s="34"/>
      <c r="Q51" s="34"/>
      <c r="R51" s="34"/>
      <c r="S51" s="34"/>
      <c r="T51" s="34"/>
      <c r="U51" s="34"/>
      <c r="V51" s="34"/>
      <c r="W51" s="34"/>
      <c r="X51" s="34"/>
      <c r="Y51" s="34"/>
      <c r="Z51" s="34"/>
      <c r="AA51" s="34"/>
    </row>
    <row r="52">
      <c r="A52" s="20" t="str">
        <f>IFERROR(__xludf.DUMMYFUNCTION("""COMPUTED_VALUE"""),"Illinois")</f>
        <v>Illinois</v>
      </c>
      <c r="B52" s="34" t="str">
        <f>IFERROR(__xludf.DUMMYFUNCTION("""COMPUTED_VALUE"""),"2-6")</f>
        <v>2-6</v>
      </c>
      <c r="C52" s="39">
        <f>IFERROR(__xludf.DUMMYFUNCTION("""COMPUTED_VALUE"""),0.25)</f>
        <v>0.25</v>
      </c>
      <c r="D52" s="34" t="str">
        <f>IFERROR(__xludf.DUMMYFUNCTION("""COMPUTED_VALUE"""),"B1G")</f>
        <v>B1G</v>
      </c>
      <c r="E52" s="34" t="str">
        <f>IFERROR(__xludf.DUMMYFUNCTION("""COMPUTED_VALUE"""),"B1G-West")</f>
        <v>B1G-West</v>
      </c>
      <c r="F52" s="34" t="str">
        <f>IFERROR(__xludf.DUMMYFUNCTION("""COMPUTED_VALUE"""),"2-6")</f>
        <v>2-6</v>
      </c>
      <c r="G52" s="38">
        <f>IFERROR(__xludf.DUMMYFUNCTION("""COMPUTED_VALUE"""),0.25)</f>
        <v>0.25</v>
      </c>
      <c r="H52" s="34">
        <f>IFERROR(__xludf.DUMMYFUNCTION("""COMPUTED_VALUE"""),8.0)</f>
        <v>8</v>
      </c>
      <c r="I52" s="34"/>
      <c r="J52" s="34"/>
      <c r="K52" s="34"/>
      <c r="L52" s="34"/>
      <c r="M52" s="34"/>
      <c r="N52" s="34"/>
      <c r="O52" s="34"/>
      <c r="P52" s="34"/>
      <c r="Q52" s="34"/>
      <c r="R52" s="34"/>
      <c r="S52" s="34"/>
      <c r="T52" s="34"/>
      <c r="U52" s="34"/>
      <c r="V52" s="34"/>
      <c r="W52" s="34"/>
      <c r="X52" s="34"/>
      <c r="Y52" s="34"/>
      <c r="Z52" s="34"/>
      <c r="AA52" s="34"/>
    </row>
    <row r="53">
      <c r="A53" s="42" t="s">
        <v>197</v>
      </c>
      <c r="I53" s="34"/>
      <c r="J53" s="42" t="s">
        <v>197</v>
      </c>
      <c r="R53" s="34"/>
      <c r="S53" s="34"/>
      <c r="T53" s="34"/>
      <c r="U53" s="34"/>
      <c r="V53" s="34"/>
      <c r="W53" s="34"/>
      <c r="X53" s="34"/>
      <c r="Y53" s="34"/>
      <c r="Z53" s="34"/>
      <c r="AA53" s="34"/>
    </row>
    <row r="54">
      <c r="A54" s="35" t="str">
        <f>IFERROR(__xludf.DUMMYFUNCTION("QUERY(standings,""SELECT A, D, E, F, G, J, K, R WHERE G = 'BIG12' ORDER BY K DESC, E DESC, J DESC"",1)"),"Team")</f>
        <v>Team</v>
      </c>
      <c r="B54" s="34" t="str">
        <f>IFERROR(__xludf.DUMMYFUNCTION("""COMPUTED_VALUE"""),"Record")</f>
        <v>Record</v>
      </c>
      <c r="C54" s="34" t="str">
        <f>IFERROR(__xludf.DUMMYFUNCTION("""COMPUTED_VALUE"""),"Ovr Win %")</f>
        <v>Ovr Win %</v>
      </c>
      <c r="D54" s="34" t="str">
        <f>IFERROR(__xludf.DUMMYFUNCTION("""COMPUTED_VALUE"""),"Conf")</f>
        <v>Conf</v>
      </c>
      <c r="E54" s="34" t="str">
        <f>IFERROR(__xludf.DUMMYFUNCTION("""COMPUTED_VALUE"""),"Conf-Div")</f>
        <v>Conf-Div</v>
      </c>
      <c r="F54" s="34" t="str">
        <f>IFERROR(__xludf.DUMMYFUNCTION("""COMPUTED_VALUE"""),"Conf Record")</f>
        <v>Conf Record</v>
      </c>
      <c r="G54" s="34" t="str">
        <f>IFERROR(__xludf.DUMMYFUNCTION("""COMPUTED_VALUE"""),"Conf W %")</f>
        <v>Conf W %</v>
      </c>
      <c r="H54" s="34" t="str">
        <f>IFERROR(__xludf.DUMMYFUNCTION("""COMPUTED_VALUE"""),"# Games")</f>
        <v># Games</v>
      </c>
      <c r="I54" s="34"/>
      <c r="J54" s="35" t="str">
        <f>IFERROR(__xludf.DUMMYFUNCTION("QUERY(standings,""SELECT A, D, E, F, G, J, K, R WHERE G = 'BIG12' ORDER BY K DESC, E DESC, J DESC "",1)"),"Team")</f>
        <v>Team</v>
      </c>
      <c r="K54" s="34" t="str">
        <f>IFERROR(__xludf.DUMMYFUNCTION("""COMPUTED_VALUE"""),"Record")</f>
        <v>Record</v>
      </c>
      <c r="L54" s="34" t="str">
        <f>IFERROR(__xludf.DUMMYFUNCTION("""COMPUTED_VALUE"""),"Ovr Win %")</f>
        <v>Ovr Win %</v>
      </c>
      <c r="M54" s="34" t="str">
        <f>IFERROR(__xludf.DUMMYFUNCTION("""COMPUTED_VALUE"""),"Conf")</f>
        <v>Conf</v>
      </c>
      <c r="N54" s="34" t="str">
        <f>IFERROR(__xludf.DUMMYFUNCTION("""COMPUTED_VALUE"""),"Conf-Div")</f>
        <v>Conf-Div</v>
      </c>
      <c r="O54" s="34" t="str">
        <f>IFERROR(__xludf.DUMMYFUNCTION("""COMPUTED_VALUE"""),"Conf Record")</f>
        <v>Conf Record</v>
      </c>
      <c r="P54" s="34" t="str">
        <f>IFERROR(__xludf.DUMMYFUNCTION("""COMPUTED_VALUE"""),"Conf W %")</f>
        <v>Conf W %</v>
      </c>
      <c r="Q54" s="34" t="str">
        <f>IFERROR(__xludf.DUMMYFUNCTION("""COMPUTED_VALUE"""),"# Games")</f>
        <v># Games</v>
      </c>
      <c r="R54" s="34"/>
      <c r="S54" s="34"/>
      <c r="T54" s="34"/>
      <c r="U54" s="34"/>
      <c r="V54" s="34"/>
      <c r="W54" s="34"/>
      <c r="X54" s="34"/>
      <c r="Y54" s="34"/>
      <c r="Z54" s="34"/>
      <c r="AA54" s="34"/>
    </row>
    <row r="55">
      <c r="A55" s="20" t="str">
        <f>IFERROR(__xludf.DUMMYFUNCTION("""COMPUTED_VALUE"""),"Iowa State")</f>
        <v>Iowa State</v>
      </c>
      <c r="B55" s="34" t="str">
        <f>IFERROR(__xludf.DUMMYFUNCTION("""COMPUTED_VALUE"""),"9-3")</f>
        <v>9-3</v>
      </c>
      <c r="C55" s="39">
        <f>IFERROR(__xludf.DUMMYFUNCTION("""COMPUTED_VALUE"""),0.75)</f>
        <v>0.75</v>
      </c>
      <c r="D55" s="34" t="str">
        <f>IFERROR(__xludf.DUMMYFUNCTION("""COMPUTED_VALUE"""),"BIG12")</f>
        <v>BIG12</v>
      </c>
      <c r="E55" s="34" t="str">
        <f>IFERROR(__xludf.DUMMYFUNCTION("""COMPUTED_VALUE"""),"BIG12")</f>
        <v>BIG12</v>
      </c>
      <c r="F55" s="34" t="str">
        <f>IFERROR(__xludf.DUMMYFUNCTION("""COMPUTED_VALUE"""),"8-2")</f>
        <v>8-2</v>
      </c>
      <c r="G55" s="38">
        <f>IFERROR(__xludf.DUMMYFUNCTION("""COMPUTED_VALUE"""),0.8)</f>
        <v>0.8</v>
      </c>
      <c r="H55" s="34">
        <f>IFERROR(__xludf.DUMMYFUNCTION("""COMPUTED_VALUE"""),12.0)</f>
        <v>12</v>
      </c>
      <c r="I55" s="34"/>
      <c r="J55" s="20" t="str">
        <f>IFERROR(__xludf.DUMMYFUNCTION("""COMPUTED_VALUE"""),"Iowa State")</f>
        <v>Iowa State</v>
      </c>
      <c r="K55" s="34" t="str">
        <f>IFERROR(__xludf.DUMMYFUNCTION("""COMPUTED_VALUE"""),"9-3")</f>
        <v>9-3</v>
      </c>
      <c r="L55" s="39">
        <f>IFERROR(__xludf.DUMMYFUNCTION("""COMPUTED_VALUE"""),0.75)</f>
        <v>0.75</v>
      </c>
      <c r="M55" s="34" t="str">
        <f>IFERROR(__xludf.DUMMYFUNCTION("""COMPUTED_VALUE"""),"BIG12")</f>
        <v>BIG12</v>
      </c>
      <c r="N55" s="34" t="str">
        <f>IFERROR(__xludf.DUMMYFUNCTION("""COMPUTED_VALUE"""),"BIG12")</f>
        <v>BIG12</v>
      </c>
      <c r="O55" s="34" t="str">
        <f>IFERROR(__xludf.DUMMYFUNCTION("""COMPUTED_VALUE"""),"8-2")</f>
        <v>8-2</v>
      </c>
      <c r="P55" s="38">
        <f>IFERROR(__xludf.DUMMYFUNCTION("""COMPUTED_VALUE"""),0.8)</f>
        <v>0.8</v>
      </c>
      <c r="Q55" s="34">
        <f>IFERROR(__xludf.DUMMYFUNCTION("""COMPUTED_VALUE"""),12.0)</f>
        <v>12</v>
      </c>
      <c r="R55" s="34"/>
      <c r="S55" s="34"/>
      <c r="T55" s="34"/>
      <c r="U55" s="34"/>
      <c r="V55" s="34"/>
      <c r="W55" s="34"/>
      <c r="X55" s="34"/>
      <c r="Y55" s="34"/>
      <c r="Z55" s="34"/>
      <c r="AA55" s="34"/>
    </row>
    <row r="56">
      <c r="A56" s="20" t="str">
        <f>IFERROR(__xludf.DUMMYFUNCTION("""COMPUTED_VALUE"""),"Oklahoma")</f>
        <v>Oklahoma</v>
      </c>
      <c r="B56" s="34" t="str">
        <f>IFERROR(__xludf.DUMMYFUNCTION("""COMPUTED_VALUE"""),"9-2")</f>
        <v>9-2</v>
      </c>
      <c r="C56" s="39">
        <f>IFERROR(__xludf.DUMMYFUNCTION("""COMPUTED_VALUE"""),0.8181818181818182)</f>
        <v>0.8181818182</v>
      </c>
      <c r="D56" s="34" t="str">
        <f>IFERROR(__xludf.DUMMYFUNCTION("""COMPUTED_VALUE"""),"BIG12")</f>
        <v>BIG12</v>
      </c>
      <c r="E56" s="34" t="str">
        <f>IFERROR(__xludf.DUMMYFUNCTION("""COMPUTED_VALUE"""),"BIG12")</f>
        <v>BIG12</v>
      </c>
      <c r="F56" s="34" t="str">
        <f>IFERROR(__xludf.DUMMYFUNCTION("""COMPUTED_VALUE"""),"7-2")</f>
        <v>7-2</v>
      </c>
      <c r="G56" s="38">
        <f>IFERROR(__xludf.DUMMYFUNCTION("""COMPUTED_VALUE"""),0.7777777777777778)</f>
        <v>0.7777777778</v>
      </c>
      <c r="H56" s="34">
        <f>IFERROR(__xludf.DUMMYFUNCTION("""COMPUTED_VALUE"""),11.0)</f>
        <v>11</v>
      </c>
      <c r="I56" s="34"/>
      <c r="J56" s="20" t="str">
        <f>IFERROR(__xludf.DUMMYFUNCTION("""COMPUTED_VALUE"""),"Oklahoma")</f>
        <v>Oklahoma</v>
      </c>
      <c r="K56" s="34" t="str">
        <f>IFERROR(__xludf.DUMMYFUNCTION("""COMPUTED_VALUE"""),"9-2")</f>
        <v>9-2</v>
      </c>
      <c r="L56" s="39">
        <f>IFERROR(__xludf.DUMMYFUNCTION("""COMPUTED_VALUE"""),0.8181818181818182)</f>
        <v>0.8181818182</v>
      </c>
      <c r="M56" s="34" t="str">
        <f>IFERROR(__xludf.DUMMYFUNCTION("""COMPUTED_VALUE"""),"BIG12")</f>
        <v>BIG12</v>
      </c>
      <c r="N56" s="34" t="str">
        <f>IFERROR(__xludf.DUMMYFUNCTION("""COMPUTED_VALUE"""),"BIG12")</f>
        <v>BIG12</v>
      </c>
      <c r="O56" s="34" t="str">
        <f>IFERROR(__xludf.DUMMYFUNCTION("""COMPUTED_VALUE"""),"7-2")</f>
        <v>7-2</v>
      </c>
      <c r="P56" s="38">
        <f>IFERROR(__xludf.DUMMYFUNCTION("""COMPUTED_VALUE"""),0.7777777777777778)</f>
        <v>0.7777777778</v>
      </c>
      <c r="Q56" s="34">
        <f>IFERROR(__xludf.DUMMYFUNCTION("""COMPUTED_VALUE"""),11.0)</f>
        <v>11</v>
      </c>
      <c r="R56" s="34"/>
      <c r="S56" s="34"/>
      <c r="T56" s="34"/>
      <c r="U56" s="34"/>
      <c r="V56" s="34"/>
      <c r="W56" s="34"/>
      <c r="X56" s="34"/>
      <c r="Y56" s="34"/>
      <c r="Z56" s="34"/>
      <c r="AA56" s="34"/>
    </row>
    <row r="57">
      <c r="A57" s="20" t="str">
        <f>IFERROR(__xludf.DUMMYFUNCTION("""COMPUTED_VALUE"""),"Oklahoma State")</f>
        <v>Oklahoma State</v>
      </c>
      <c r="B57" s="34" t="str">
        <f>IFERROR(__xludf.DUMMYFUNCTION("""COMPUTED_VALUE"""),"8-3")</f>
        <v>8-3</v>
      </c>
      <c r="C57" s="39">
        <f>IFERROR(__xludf.DUMMYFUNCTION("""COMPUTED_VALUE"""),0.7272727272727273)</f>
        <v>0.7272727273</v>
      </c>
      <c r="D57" s="34" t="str">
        <f>IFERROR(__xludf.DUMMYFUNCTION("""COMPUTED_VALUE"""),"BIG12")</f>
        <v>BIG12</v>
      </c>
      <c r="E57" s="34" t="str">
        <f>IFERROR(__xludf.DUMMYFUNCTION("""COMPUTED_VALUE"""),"BIG12")</f>
        <v>BIG12</v>
      </c>
      <c r="F57" s="34" t="str">
        <f>IFERROR(__xludf.DUMMYFUNCTION("""COMPUTED_VALUE"""),"6-3")</f>
        <v>6-3</v>
      </c>
      <c r="G57" s="38">
        <f>IFERROR(__xludf.DUMMYFUNCTION("""COMPUTED_VALUE"""),0.6666666666666666)</f>
        <v>0.6666666667</v>
      </c>
      <c r="H57" s="34">
        <f>IFERROR(__xludf.DUMMYFUNCTION("""COMPUTED_VALUE"""),11.0)</f>
        <v>11</v>
      </c>
      <c r="I57" s="34"/>
      <c r="J57" s="20" t="str">
        <f>IFERROR(__xludf.DUMMYFUNCTION("""COMPUTED_VALUE"""),"Oklahoma State")</f>
        <v>Oklahoma State</v>
      </c>
      <c r="K57" s="34" t="str">
        <f>IFERROR(__xludf.DUMMYFUNCTION("""COMPUTED_VALUE"""),"8-3")</f>
        <v>8-3</v>
      </c>
      <c r="L57" s="39">
        <f>IFERROR(__xludf.DUMMYFUNCTION("""COMPUTED_VALUE"""),0.7272727272727273)</f>
        <v>0.7272727273</v>
      </c>
      <c r="M57" s="34" t="str">
        <f>IFERROR(__xludf.DUMMYFUNCTION("""COMPUTED_VALUE"""),"BIG12")</f>
        <v>BIG12</v>
      </c>
      <c r="N57" s="34" t="str">
        <f>IFERROR(__xludf.DUMMYFUNCTION("""COMPUTED_VALUE"""),"BIG12")</f>
        <v>BIG12</v>
      </c>
      <c r="O57" s="34" t="str">
        <f>IFERROR(__xludf.DUMMYFUNCTION("""COMPUTED_VALUE"""),"6-3")</f>
        <v>6-3</v>
      </c>
      <c r="P57" s="38">
        <f>IFERROR(__xludf.DUMMYFUNCTION("""COMPUTED_VALUE"""),0.6666666666666666)</f>
        <v>0.6666666667</v>
      </c>
      <c r="Q57" s="34">
        <f>IFERROR(__xludf.DUMMYFUNCTION("""COMPUTED_VALUE"""),11.0)</f>
        <v>11</v>
      </c>
      <c r="R57" s="34"/>
      <c r="S57" s="34"/>
      <c r="T57" s="34"/>
      <c r="U57" s="34"/>
      <c r="V57" s="34"/>
      <c r="W57" s="34"/>
      <c r="X57" s="34"/>
      <c r="Y57" s="34"/>
      <c r="Z57" s="34"/>
      <c r="AA57" s="34"/>
    </row>
    <row r="58">
      <c r="A58" s="20" t="str">
        <f>IFERROR(__xludf.DUMMYFUNCTION("""COMPUTED_VALUE"""),"Texas")</f>
        <v>Texas</v>
      </c>
      <c r="B58" s="34" t="str">
        <f>IFERROR(__xludf.DUMMYFUNCTION("""COMPUTED_VALUE"""),"7-3")</f>
        <v>7-3</v>
      </c>
      <c r="C58" s="39">
        <f>IFERROR(__xludf.DUMMYFUNCTION("""COMPUTED_VALUE"""),0.7)</f>
        <v>0.7</v>
      </c>
      <c r="D58" s="34" t="str">
        <f>IFERROR(__xludf.DUMMYFUNCTION("""COMPUTED_VALUE"""),"BIG12")</f>
        <v>BIG12</v>
      </c>
      <c r="E58" s="34" t="str">
        <f>IFERROR(__xludf.DUMMYFUNCTION("""COMPUTED_VALUE"""),"BIG12")</f>
        <v>BIG12</v>
      </c>
      <c r="F58" s="34" t="str">
        <f>IFERROR(__xludf.DUMMYFUNCTION("""COMPUTED_VALUE"""),"5-3")</f>
        <v>5-3</v>
      </c>
      <c r="G58" s="38">
        <f>IFERROR(__xludf.DUMMYFUNCTION("""COMPUTED_VALUE"""),0.625)</f>
        <v>0.625</v>
      </c>
      <c r="H58" s="34">
        <f>IFERROR(__xludf.DUMMYFUNCTION("""COMPUTED_VALUE"""),10.0)</f>
        <v>10</v>
      </c>
      <c r="I58" s="34"/>
      <c r="J58" s="20" t="str">
        <f>IFERROR(__xludf.DUMMYFUNCTION("""COMPUTED_VALUE"""),"Texas")</f>
        <v>Texas</v>
      </c>
      <c r="K58" s="34" t="str">
        <f>IFERROR(__xludf.DUMMYFUNCTION("""COMPUTED_VALUE"""),"7-3")</f>
        <v>7-3</v>
      </c>
      <c r="L58" s="39">
        <f>IFERROR(__xludf.DUMMYFUNCTION("""COMPUTED_VALUE"""),0.7)</f>
        <v>0.7</v>
      </c>
      <c r="M58" s="34" t="str">
        <f>IFERROR(__xludf.DUMMYFUNCTION("""COMPUTED_VALUE"""),"BIG12")</f>
        <v>BIG12</v>
      </c>
      <c r="N58" s="34" t="str">
        <f>IFERROR(__xludf.DUMMYFUNCTION("""COMPUTED_VALUE"""),"BIG12")</f>
        <v>BIG12</v>
      </c>
      <c r="O58" s="34" t="str">
        <f>IFERROR(__xludf.DUMMYFUNCTION("""COMPUTED_VALUE"""),"5-3")</f>
        <v>5-3</v>
      </c>
      <c r="P58" s="38">
        <f>IFERROR(__xludf.DUMMYFUNCTION("""COMPUTED_VALUE"""),0.625)</f>
        <v>0.625</v>
      </c>
      <c r="Q58" s="34">
        <f>IFERROR(__xludf.DUMMYFUNCTION("""COMPUTED_VALUE"""),10.0)</f>
        <v>10</v>
      </c>
      <c r="R58" s="34"/>
      <c r="S58" s="34"/>
      <c r="T58" s="34"/>
      <c r="U58" s="34"/>
      <c r="V58" s="34"/>
      <c r="W58" s="34"/>
      <c r="X58" s="34"/>
      <c r="Y58" s="34"/>
      <c r="Z58" s="34"/>
      <c r="AA58" s="34"/>
    </row>
    <row r="59">
      <c r="A59" s="20" t="str">
        <f>IFERROR(__xludf.DUMMYFUNCTION("""COMPUTED_VALUE"""),"TCU")</f>
        <v>TCU</v>
      </c>
      <c r="B59" s="34" t="str">
        <f>IFERROR(__xludf.DUMMYFUNCTION("""COMPUTED_VALUE"""),"6-4")</f>
        <v>6-4</v>
      </c>
      <c r="C59" s="39">
        <f>IFERROR(__xludf.DUMMYFUNCTION("""COMPUTED_VALUE"""),0.6)</f>
        <v>0.6</v>
      </c>
      <c r="D59" s="34" t="str">
        <f>IFERROR(__xludf.DUMMYFUNCTION("""COMPUTED_VALUE"""),"BIG12")</f>
        <v>BIG12</v>
      </c>
      <c r="E59" s="34" t="str">
        <f>IFERROR(__xludf.DUMMYFUNCTION("""COMPUTED_VALUE"""),"BIG12")</f>
        <v>BIG12</v>
      </c>
      <c r="F59" s="34" t="str">
        <f>IFERROR(__xludf.DUMMYFUNCTION("""COMPUTED_VALUE"""),"5-4")</f>
        <v>5-4</v>
      </c>
      <c r="G59" s="38">
        <f>IFERROR(__xludf.DUMMYFUNCTION("""COMPUTED_VALUE"""),0.5555555555555556)</f>
        <v>0.5555555556</v>
      </c>
      <c r="H59" s="34">
        <f>IFERROR(__xludf.DUMMYFUNCTION("""COMPUTED_VALUE"""),10.0)</f>
        <v>10</v>
      </c>
      <c r="I59" s="34"/>
      <c r="J59" s="20" t="str">
        <f>IFERROR(__xludf.DUMMYFUNCTION("""COMPUTED_VALUE"""),"TCU")</f>
        <v>TCU</v>
      </c>
      <c r="K59" s="34" t="str">
        <f>IFERROR(__xludf.DUMMYFUNCTION("""COMPUTED_VALUE"""),"6-4")</f>
        <v>6-4</v>
      </c>
      <c r="L59" s="39">
        <f>IFERROR(__xludf.DUMMYFUNCTION("""COMPUTED_VALUE"""),0.6)</f>
        <v>0.6</v>
      </c>
      <c r="M59" s="34" t="str">
        <f>IFERROR(__xludf.DUMMYFUNCTION("""COMPUTED_VALUE"""),"BIG12")</f>
        <v>BIG12</v>
      </c>
      <c r="N59" s="34" t="str">
        <f>IFERROR(__xludf.DUMMYFUNCTION("""COMPUTED_VALUE"""),"BIG12")</f>
        <v>BIG12</v>
      </c>
      <c r="O59" s="34" t="str">
        <f>IFERROR(__xludf.DUMMYFUNCTION("""COMPUTED_VALUE"""),"5-4")</f>
        <v>5-4</v>
      </c>
      <c r="P59" s="38">
        <f>IFERROR(__xludf.DUMMYFUNCTION("""COMPUTED_VALUE"""),0.5555555555555556)</f>
        <v>0.5555555556</v>
      </c>
      <c r="Q59" s="34">
        <f>IFERROR(__xludf.DUMMYFUNCTION("""COMPUTED_VALUE"""),10.0)</f>
        <v>10</v>
      </c>
      <c r="R59" s="34"/>
      <c r="S59" s="34"/>
      <c r="T59" s="34"/>
      <c r="U59" s="34"/>
      <c r="V59" s="34"/>
      <c r="W59" s="34"/>
      <c r="X59" s="34"/>
      <c r="Y59" s="34"/>
      <c r="Z59" s="34"/>
      <c r="AA59" s="34"/>
    </row>
    <row r="60">
      <c r="A60" s="20" t="str">
        <f>IFERROR(__xludf.DUMMYFUNCTION("""COMPUTED_VALUE"""),"West Virginia")</f>
        <v>West Virginia</v>
      </c>
      <c r="B60" s="34" t="str">
        <f>IFERROR(__xludf.DUMMYFUNCTION("""COMPUTED_VALUE"""),"6-4")</f>
        <v>6-4</v>
      </c>
      <c r="C60" s="39">
        <f>IFERROR(__xludf.DUMMYFUNCTION("""COMPUTED_VALUE"""),0.6)</f>
        <v>0.6</v>
      </c>
      <c r="D60" s="34" t="str">
        <f>IFERROR(__xludf.DUMMYFUNCTION("""COMPUTED_VALUE"""),"BIG12")</f>
        <v>BIG12</v>
      </c>
      <c r="E60" s="34" t="str">
        <f>IFERROR(__xludf.DUMMYFUNCTION("""COMPUTED_VALUE"""),"BIG12")</f>
        <v>BIG12</v>
      </c>
      <c r="F60" s="34" t="str">
        <f>IFERROR(__xludf.DUMMYFUNCTION("""COMPUTED_VALUE"""),"4-4")</f>
        <v>4-4</v>
      </c>
      <c r="G60" s="38">
        <f>IFERROR(__xludf.DUMMYFUNCTION("""COMPUTED_VALUE"""),0.5)</f>
        <v>0.5</v>
      </c>
      <c r="H60" s="34">
        <f>IFERROR(__xludf.DUMMYFUNCTION("""COMPUTED_VALUE"""),10.0)</f>
        <v>10</v>
      </c>
      <c r="I60" s="34"/>
      <c r="J60" s="20" t="str">
        <f>IFERROR(__xludf.DUMMYFUNCTION("""COMPUTED_VALUE"""),"West Virginia")</f>
        <v>West Virginia</v>
      </c>
      <c r="K60" s="34" t="str">
        <f>IFERROR(__xludf.DUMMYFUNCTION("""COMPUTED_VALUE"""),"6-4")</f>
        <v>6-4</v>
      </c>
      <c r="L60" s="39">
        <f>IFERROR(__xludf.DUMMYFUNCTION("""COMPUTED_VALUE"""),0.6)</f>
        <v>0.6</v>
      </c>
      <c r="M60" s="34" t="str">
        <f>IFERROR(__xludf.DUMMYFUNCTION("""COMPUTED_VALUE"""),"BIG12")</f>
        <v>BIG12</v>
      </c>
      <c r="N60" s="34" t="str">
        <f>IFERROR(__xludf.DUMMYFUNCTION("""COMPUTED_VALUE"""),"BIG12")</f>
        <v>BIG12</v>
      </c>
      <c r="O60" s="34" t="str">
        <f>IFERROR(__xludf.DUMMYFUNCTION("""COMPUTED_VALUE"""),"4-4")</f>
        <v>4-4</v>
      </c>
      <c r="P60" s="38">
        <f>IFERROR(__xludf.DUMMYFUNCTION("""COMPUTED_VALUE"""),0.5)</f>
        <v>0.5</v>
      </c>
      <c r="Q60" s="34">
        <f>IFERROR(__xludf.DUMMYFUNCTION("""COMPUTED_VALUE"""),10.0)</f>
        <v>10</v>
      </c>
      <c r="R60" s="34"/>
      <c r="S60" s="34"/>
      <c r="T60" s="34"/>
      <c r="U60" s="34"/>
      <c r="V60" s="34"/>
      <c r="W60" s="34"/>
      <c r="X60" s="34"/>
      <c r="Y60" s="34"/>
      <c r="Z60" s="34"/>
      <c r="AA60" s="34"/>
    </row>
    <row r="61">
      <c r="A61" s="20" t="str">
        <f>IFERROR(__xludf.DUMMYFUNCTION("""COMPUTED_VALUE"""),"Kansas State")</f>
        <v>Kansas State</v>
      </c>
      <c r="B61" s="34" t="str">
        <f>IFERROR(__xludf.DUMMYFUNCTION("""COMPUTED_VALUE"""),"4-6")</f>
        <v>4-6</v>
      </c>
      <c r="C61" s="39">
        <f>IFERROR(__xludf.DUMMYFUNCTION("""COMPUTED_VALUE"""),0.4)</f>
        <v>0.4</v>
      </c>
      <c r="D61" s="34" t="str">
        <f>IFERROR(__xludf.DUMMYFUNCTION("""COMPUTED_VALUE"""),"BIG12")</f>
        <v>BIG12</v>
      </c>
      <c r="E61" s="34" t="str">
        <f>IFERROR(__xludf.DUMMYFUNCTION("""COMPUTED_VALUE"""),"BIG12")</f>
        <v>BIG12</v>
      </c>
      <c r="F61" s="34" t="str">
        <f>IFERROR(__xludf.DUMMYFUNCTION("""COMPUTED_VALUE"""),"4-5")</f>
        <v>4-5</v>
      </c>
      <c r="G61" s="38">
        <f>IFERROR(__xludf.DUMMYFUNCTION("""COMPUTED_VALUE"""),0.4444444444444444)</f>
        <v>0.4444444444</v>
      </c>
      <c r="H61" s="34">
        <f>IFERROR(__xludf.DUMMYFUNCTION("""COMPUTED_VALUE"""),10.0)</f>
        <v>10</v>
      </c>
      <c r="I61" s="34"/>
      <c r="J61" s="20" t="str">
        <f>IFERROR(__xludf.DUMMYFUNCTION("""COMPUTED_VALUE"""),"Kansas State")</f>
        <v>Kansas State</v>
      </c>
      <c r="K61" s="34" t="str">
        <f>IFERROR(__xludf.DUMMYFUNCTION("""COMPUTED_VALUE"""),"4-6")</f>
        <v>4-6</v>
      </c>
      <c r="L61" s="39">
        <f>IFERROR(__xludf.DUMMYFUNCTION("""COMPUTED_VALUE"""),0.4)</f>
        <v>0.4</v>
      </c>
      <c r="M61" s="34" t="str">
        <f>IFERROR(__xludf.DUMMYFUNCTION("""COMPUTED_VALUE"""),"BIG12")</f>
        <v>BIG12</v>
      </c>
      <c r="N61" s="34" t="str">
        <f>IFERROR(__xludf.DUMMYFUNCTION("""COMPUTED_VALUE"""),"BIG12")</f>
        <v>BIG12</v>
      </c>
      <c r="O61" s="34" t="str">
        <f>IFERROR(__xludf.DUMMYFUNCTION("""COMPUTED_VALUE"""),"4-5")</f>
        <v>4-5</v>
      </c>
      <c r="P61" s="38">
        <f>IFERROR(__xludf.DUMMYFUNCTION("""COMPUTED_VALUE"""),0.4444444444444444)</f>
        <v>0.4444444444</v>
      </c>
      <c r="Q61" s="34">
        <f>IFERROR(__xludf.DUMMYFUNCTION("""COMPUTED_VALUE"""),10.0)</f>
        <v>10</v>
      </c>
      <c r="R61" s="34"/>
      <c r="S61" s="34"/>
      <c r="T61" s="34"/>
      <c r="U61" s="34"/>
      <c r="V61" s="34"/>
      <c r="W61" s="34"/>
      <c r="X61" s="34"/>
      <c r="Y61" s="34"/>
      <c r="Z61" s="34"/>
      <c r="AA61" s="34"/>
    </row>
    <row r="62">
      <c r="A62" s="36" t="str">
        <f>IFERROR(__xludf.DUMMYFUNCTION("""COMPUTED_VALUE"""),"Texas Tech")</f>
        <v>Texas Tech</v>
      </c>
      <c r="B62" s="34" t="str">
        <f>IFERROR(__xludf.DUMMYFUNCTION("""COMPUTED_VALUE"""),"4-6")</f>
        <v>4-6</v>
      </c>
      <c r="C62" s="39">
        <f>IFERROR(__xludf.DUMMYFUNCTION("""COMPUTED_VALUE"""),0.4)</f>
        <v>0.4</v>
      </c>
      <c r="D62" s="34" t="str">
        <f>IFERROR(__xludf.DUMMYFUNCTION("""COMPUTED_VALUE"""),"BIG12")</f>
        <v>BIG12</v>
      </c>
      <c r="E62" s="34" t="str">
        <f>IFERROR(__xludf.DUMMYFUNCTION("""COMPUTED_VALUE"""),"BIG12")</f>
        <v>BIG12</v>
      </c>
      <c r="F62" s="34" t="str">
        <f>IFERROR(__xludf.DUMMYFUNCTION("""COMPUTED_VALUE"""),"3-6")</f>
        <v>3-6</v>
      </c>
      <c r="G62" s="38">
        <f>IFERROR(__xludf.DUMMYFUNCTION("""COMPUTED_VALUE"""),0.3333333333333333)</f>
        <v>0.3333333333</v>
      </c>
      <c r="H62" s="34">
        <f>IFERROR(__xludf.DUMMYFUNCTION("""COMPUTED_VALUE"""),10.0)</f>
        <v>10</v>
      </c>
      <c r="I62" s="34"/>
      <c r="J62" s="36" t="str">
        <f>IFERROR(__xludf.DUMMYFUNCTION("""COMPUTED_VALUE"""),"Texas Tech")</f>
        <v>Texas Tech</v>
      </c>
      <c r="K62" s="34" t="str">
        <f>IFERROR(__xludf.DUMMYFUNCTION("""COMPUTED_VALUE"""),"4-6")</f>
        <v>4-6</v>
      </c>
      <c r="L62" s="39">
        <f>IFERROR(__xludf.DUMMYFUNCTION("""COMPUTED_VALUE"""),0.4)</f>
        <v>0.4</v>
      </c>
      <c r="M62" s="34" t="str">
        <f>IFERROR(__xludf.DUMMYFUNCTION("""COMPUTED_VALUE"""),"BIG12")</f>
        <v>BIG12</v>
      </c>
      <c r="N62" s="34" t="str">
        <f>IFERROR(__xludf.DUMMYFUNCTION("""COMPUTED_VALUE"""),"BIG12")</f>
        <v>BIG12</v>
      </c>
      <c r="O62" s="34" t="str">
        <f>IFERROR(__xludf.DUMMYFUNCTION("""COMPUTED_VALUE"""),"3-6")</f>
        <v>3-6</v>
      </c>
      <c r="P62" s="38">
        <f>IFERROR(__xludf.DUMMYFUNCTION("""COMPUTED_VALUE"""),0.3333333333333333)</f>
        <v>0.3333333333</v>
      </c>
      <c r="Q62" s="34">
        <f>IFERROR(__xludf.DUMMYFUNCTION("""COMPUTED_VALUE"""),10.0)</f>
        <v>10</v>
      </c>
      <c r="R62" s="34"/>
      <c r="S62" s="34"/>
      <c r="T62" s="34"/>
      <c r="U62" s="34"/>
      <c r="V62" s="34"/>
      <c r="W62" s="34"/>
      <c r="X62" s="34"/>
      <c r="Y62" s="34"/>
      <c r="Z62" s="34"/>
      <c r="AA62" s="34"/>
    </row>
    <row r="63">
      <c r="A63" s="20" t="str">
        <f>IFERROR(__xludf.DUMMYFUNCTION("""COMPUTED_VALUE"""),"Baylor")</f>
        <v>Baylor</v>
      </c>
      <c r="B63" s="34" t="str">
        <f>IFERROR(__xludf.DUMMYFUNCTION("""COMPUTED_VALUE"""),"2-7")</f>
        <v>2-7</v>
      </c>
      <c r="C63" s="39">
        <f>IFERROR(__xludf.DUMMYFUNCTION("""COMPUTED_VALUE"""),0.2222222222222222)</f>
        <v>0.2222222222</v>
      </c>
      <c r="D63" s="34" t="str">
        <f>IFERROR(__xludf.DUMMYFUNCTION("""COMPUTED_VALUE"""),"BIG12")</f>
        <v>BIG12</v>
      </c>
      <c r="E63" s="34" t="str">
        <f>IFERROR(__xludf.DUMMYFUNCTION("""COMPUTED_VALUE"""),"BIG12")</f>
        <v>BIG12</v>
      </c>
      <c r="F63" s="34" t="str">
        <f>IFERROR(__xludf.DUMMYFUNCTION("""COMPUTED_VALUE"""),"2-7")</f>
        <v>2-7</v>
      </c>
      <c r="G63" s="38">
        <f>IFERROR(__xludf.DUMMYFUNCTION("""COMPUTED_VALUE"""),0.2222222222222222)</f>
        <v>0.2222222222</v>
      </c>
      <c r="H63" s="34">
        <f>IFERROR(__xludf.DUMMYFUNCTION("""COMPUTED_VALUE"""),9.0)</f>
        <v>9</v>
      </c>
      <c r="I63" s="34"/>
      <c r="J63" s="20" t="str">
        <f>IFERROR(__xludf.DUMMYFUNCTION("""COMPUTED_VALUE"""),"Baylor")</f>
        <v>Baylor</v>
      </c>
      <c r="K63" s="34" t="str">
        <f>IFERROR(__xludf.DUMMYFUNCTION("""COMPUTED_VALUE"""),"2-7")</f>
        <v>2-7</v>
      </c>
      <c r="L63" s="39">
        <f>IFERROR(__xludf.DUMMYFUNCTION("""COMPUTED_VALUE"""),0.2222222222222222)</f>
        <v>0.2222222222</v>
      </c>
      <c r="M63" s="34" t="str">
        <f>IFERROR(__xludf.DUMMYFUNCTION("""COMPUTED_VALUE"""),"BIG12")</f>
        <v>BIG12</v>
      </c>
      <c r="N63" s="34" t="str">
        <f>IFERROR(__xludf.DUMMYFUNCTION("""COMPUTED_VALUE"""),"BIG12")</f>
        <v>BIG12</v>
      </c>
      <c r="O63" s="34" t="str">
        <f>IFERROR(__xludf.DUMMYFUNCTION("""COMPUTED_VALUE"""),"2-7")</f>
        <v>2-7</v>
      </c>
      <c r="P63" s="38">
        <f>IFERROR(__xludf.DUMMYFUNCTION("""COMPUTED_VALUE"""),0.2222222222222222)</f>
        <v>0.2222222222</v>
      </c>
      <c r="Q63" s="34">
        <f>IFERROR(__xludf.DUMMYFUNCTION("""COMPUTED_VALUE"""),9.0)</f>
        <v>9</v>
      </c>
      <c r="R63" s="34"/>
      <c r="S63" s="34"/>
      <c r="T63" s="34"/>
      <c r="U63" s="34"/>
      <c r="V63" s="34"/>
      <c r="W63" s="34"/>
      <c r="X63" s="34"/>
      <c r="Y63" s="34"/>
      <c r="Z63" s="34"/>
      <c r="AA63" s="34"/>
    </row>
    <row r="64">
      <c r="A64" s="20" t="str">
        <f>IFERROR(__xludf.DUMMYFUNCTION("""COMPUTED_VALUE"""),"Kansas")</f>
        <v>Kansas</v>
      </c>
      <c r="B64" s="34" t="str">
        <f>IFERROR(__xludf.DUMMYFUNCTION("""COMPUTED_VALUE"""),"0-9")</f>
        <v>0-9</v>
      </c>
      <c r="C64" s="39">
        <f>IFERROR(__xludf.DUMMYFUNCTION("""COMPUTED_VALUE"""),0.0)</f>
        <v>0</v>
      </c>
      <c r="D64" s="34" t="str">
        <f>IFERROR(__xludf.DUMMYFUNCTION("""COMPUTED_VALUE"""),"BIG12")</f>
        <v>BIG12</v>
      </c>
      <c r="E64" s="34" t="str">
        <f>IFERROR(__xludf.DUMMYFUNCTION("""COMPUTED_VALUE"""),"BIG12")</f>
        <v>BIG12</v>
      </c>
      <c r="F64" s="34" t="str">
        <f>IFERROR(__xludf.DUMMYFUNCTION("""COMPUTED_VALUE"""),"0-8")</f>
        <v>0-8</v>
      </c>
      <c r="G64" s="38">
        <f>IFERROR(__xludf.DUMMYFUNCTION("""COMPUTED_VALUE"""),0.0)</f>
        <v>0</v>
      </c>
      <c r="H64" s="34">
        <f>IFERROR(__xludf.DUMMYFUNCTION("""COMPUTED_VALUE"""),9.0)</f>
        <v>9</v>
      </c>
      <c r="I64" s="34"/>
      <c r="J64" s="20" t="str">
        <f>IFERROR(__xludf.DUMMYFUNCTION("""COMPUTED_VALUE"""),"Kansas")</f>
        <v>Kansas</v>
      </c>
      <c r="K64" s="34" t="str">
        <f>IFERROR(__xludf.DUMMYFUNCTION("""COMPUTED_VALUE"""),"0-9")</f>
        <v>0-9</v>
      </c>
      <c r="L64" s="39">
        <f>IFERROR(__xludf.DUMMYFUNCTION("""COMPUTED_VALUE"""),0.0)</f>
        <v>0</v>
      </c>
      <c r="M64" s="34" t="str">
        <f>IFERROR(__xludf.DUMMYFUNCTION("""COMPUTED_VALUE"""),"BIG12")</f>
        <v>BIG12</v>
      </c>
      <c r="N64" s="34" t="str">
        <f>IFERROR(__xludf.DUMMYFUNCTION("""COMPUTED_VALUE"""),"BIG12")</f>
        <v>BIG12</v>
      </c>
      <c r="O64" s="34" t="str">
        <f>IFERROR(__xludf.DUMMYFUNCTION("""COMPUTED_VALUE"""),"0-8")</f>
        <v>0-8</v>
      </c>
      <c r="P64" s="38">
        <f>IFERROR(__xludf.DUMMYFUNCTION("""COMPUTED_VALUE"""),0.0)</f>
        <v>0</v>
      </c>
      <c r="Q64" s="34">
        <f>IFERROR(__xludf.DUMMYFUNCTION("""COMPUTED_VALUE"""),9.0)</f>
        <v>9</v>
      </c>
      <c r="R64" s="34"/>
      <c r="S64" s="34"/>
      <c r="T64" s="34"/>
      <c r="U64" s="34"/>
      <c r="V64" s="34"/>
      <c r="W64" s="34"/>
      <c r="X64" s="34"/>
      <c r="Y64" s="34"/>
      <c r="Z64" s="34"/>
      <c r="AA64" s="34"/>
    </row>
    <row r="65">
      <c r="A65" s="42" t="s">
        <v>159</v>
      </c>
      <c r="I65" s="34"/>
      <c r="J65" s="3" t="s">
        <v>229</v>
      </c>
      <c r="L65" s="34">
        <f>COUNTIF(L55:L64,"&gt;=.5")</f>
        <v>6</v>
      </c>
      <c r="M65" s="41">
        <f>COUNTIF(M55:M64,"BIG12")</f>
        <v>10</v>
      </c>
      <c r="N65" s="34">
        <f>L65/M65</f>
        <v>0.6</v>
      </c>
      <c r="O65" s="34"/>
      <c r="P65" s="34"/>
      <c r="Q65" s="34"/>
      <c r="R65" s="34"/>
      <c r="S65" s="34"/>
      <c r="T65" s="34"/>
      <c r="U65" s="34"/>
      <c r="V65" s="34"/>
      <c r="W65" s="34"/>
      <c r="X65" s="34"/>
      <c r="Y65" s="34"/>
      <c r="Z65" s="34"/>
      <c r="AA65" s="34"/>
    </row>
    <row r="66">
      <c r="A66" s="35" t="str">
        <f>IFERROR(__xludf.DUMMYFUNCTION("QUERY(standings,""SELECT A, D, E, F, G, J, K, R WHERE G = 'CUSA-East' ORDER BY K DESC, E DESC, J DESC "",1)"),"Team")</f>
        <v>Team</v>
      </c>
      <c r="B66" s="34" t="str">
        <f>IFERROR(__xludf.DUMMYFUNCTION("""COMPUTED_VALUE"""),"Record")</f>
        <v>Record</v>
      </c>
      <c r="C66" s="34" t="str">
        <f>IFERROR(__xludf.DUMMYFUNCTION("""COMPUTED_VALUE"""),"Ovr Win %")</f>
        <v>Ovr Win %</v>
      </c>
      <c r="D66" s="34" t="str">
        <f>IFERROR(__xludf.DUMMYFUNCTION("""COMPUTED_VALUE"""),"Conf")</f>
        <v>Conf</v>
      </c>
      <c r="E66" s="34" t="str">
        <f>IFERROR(__xludf.DUMMYFUNCTION("""COMPUTED_VALUE"""),"Conf-Div")</f>
        <v>Conf-Div</v>
      </c>
      <c r="F66" s="34" t="str">
        <f>IFERROR(__xludf.DUMMYFUNCTION("""COMPUTED_VALUE"""),"Conf Record")</f>
        <v>Conf Record</v>
      </c>
      <c r="G66" s="34" t="str">
        <f>IFERROR(__xludf.DUMMYFUNCTION("""COMPUTED_VALUE"""),"Conf W %")</f>
        <v>Conf W %</v>
      </c>
      <c r="H66" s="34" t="str">
        <f>IFERROR(__xludf.DUMMYFUNCTION("""COMPUTED_VALUE"""),"# Games")</f>
        <v># Games</v>
      </c>
      <c r="I66" s="34"/>
      <c r="J66" s="34"/>
      <c r="K66" s="34"/>
      <c r="L66" s="34"/>
      <c r="M66" s="34"/>
      <c r="N66" s="34"/>
      <c r="O66" s="34"/>
      <c r="P66" s="34"/>
      <c r="Q66" s="34"/>
      <c r="R66" s="34"/>
      <c r="S66" s="34"/>
      <c r="T66" s="34"/>
      <c r="U66" s="34"/>
      <c r="V66" s="34"/>
      <c r="W66" s="34"/>
      <c r="X66" s="34"/>
      <c r="Y66" s="34"/>
      <c r="Z66" s="34"/>
      <c r="AA66" s="34"/>
    </row>
    <row r="67">
      <c r="A67" s="20" t="str">
        <f>IFERROR(__xludf.DUMMYFUNCTION("""COMPUTED_VALUE"""),"Marshall")</f>
        <v>Marshall</v>
      </c>
      <c r="B67" s="34" t="str">
        <f>IFERROR(__xludf.DUMMYFUNCTION("""COMPUTED_VALUE"""),"7-3")</f>
        <v>7-3</v>
      </c>
      <c r="C67" s="39">
        <f>IFERROR(__xludf.DUMMYFUNCTION("""COMPUTED_VALUE"""),0.7)</f>
        <v>0.7</v>
      </c>
      <c r="D67" s="34" t="str">
        <f>IFERROR(__xludf.DUMMYFUNCTION("""COMPUTED_VALUE"""),"CUSA")</f>
        <v>CUSA</v>
      </c>
      <c r="E67" s="34" t="str">
        <f>IFERROR(__xludf.DUMMYFUNCTION("""COMPUTED_VALUE"""),"CUSA-East")</f>
        <v>CUSA-East</v>
      </c>
      <c r="F67" s="34" t="str">
        <f>IFERROR(__xludf.DUMMYFUNCTION("""COMPUTED_VALUE"""),"4-2")</f>
        <v>4-2</v>
      </c>
      <c r="G67" s="38">
        <f>IFERROR(__xludf.DUMMYFUNCTION("""COMPUTED_VALUE"""),0.6666666666666666)</f>
        <v>0.6666666667</v>
      </c>
      <c r="H67" s="34">
        <f>IFERROR(__xludf.DUMMYFUNCTION("""COMPUTED_VALUE"""),10.0)</f>
        <v>10</v>
      </c>
      <c r="I67" s="34"/>
      <c r="J67" s="33" t="s">
        <v>84</v>
      </c>
      <c r="R67" s="34"/>
      <c r="S67" s="34"/>
      <c r="T67" s="34"/>
      <c r="U67" s="34"/>
      <c r="V67" s="34"/>
      <c r="W67" s="34"/>
      <c r="X67" s="34"/>
      <c r="Y67" s="34"/>
      <c r="Z67" s="34"/>
      <c r="AA67" s="34"/>
    </row>
    <row r="68">
      <c r="A68" s="20" t="str">
        <f>IFERROR(__xludf.DUMMYFUNCTION("""COMPUTED_VALUE"""),"Florida Atlantic")</f>
        <v>Florida Atlantic</v>
      </c>
      <c r="B68" s="34" t="str">
        <f>IFERROR(__xludf.DUMMYFUNCTION("""COMPUTED_VALUE"""),"5-4")</f>
        <v>5-4</v>
      </c>
      <c r="C68" s="39">
        <f>IFERROR(__xludf.DUMMYFUNCTION("""COMPUTED_VALUE"""),0.5555555555555556)</f>
        <v>0.5555555556</v>
      </c>
      <c r="D68" s="34" t="str">
        <f>IFERROR(__xludf.DUMMYFUNCTION("""COMPUTED_VALUE"""),"CUSA")</f>
        <v>CUSA</v>
      </c>
      <c r="E68" s="34" t="str">
        <f>IFERROR(__xludf.DUMMYFUNCTION("""COMPUTED_VALUE"""),"CUSA-East")</f>
        <v>CUSA-East</v>
      </c>
      <c r="F68" s="34" t="str">
        <f>IFERROR(__xludf.DUMMYFUNCTION("""COMPUTED_VALUE"""),"4-2")</f>
        <v>4-2</v>
      </c>
      <c r="G68" s="38">
        <f>IFERROR(__xludf.DUMMYFUNCTION("""COMPUTED_VALUE"""),0.6666666666666666)</f>
        <v>0.6666666667</v>
      </c>
      <c r="H68" s="34">
        <f>IFERROR(__xludf.DUMMYFUNCTION("""COMPUTED_VALUE"""),9.0)</f>
        <v>9</v>
      </c>
      <c r="I68" s="34"/>
      <c r="J68" s="40" t="str">
        <f>IFERROR(__xludf.DUMMYFUNCTION("QUERY(standings,""SELECT A, D, E, F, G, J, K, R WHERE F = 'CUSA' ORDER BY K DESC, E DESC, J DESC "",1)"),"Team")</f>
        <v>Team</v>
      </c>
      <c r="K68" s="34" t="str">
        <f>IFERROR(__xludf.DUMMYFUNCTION("""COMPUTED_VALUE"""),"Record")</f>
        <v>Record</v>
      </c>
      <c r="L68" s="34" t="str">
        <f>IFERROR(__xludf.DUMMYFUNCTION("""COMPUTED_VALUE"""),"Ovr Win %")</f>
        <v>Ovr Win %</v>
      </c>
      <c r="M68" s="34" t="str">
        <f>IFERROR(__xludf.DUMMYFUNCTION("""COMPUTED_VALUE"""),"Conf")</f>
        <v>Conf</v>
      </c>
      <c r="N68" s="34" t="str">
        <f>IFERROR(__xludf.DUMMYFUNCTION("""COMPUTED_VALUE"""),"Conf-Div")</f>
        <v>Conf-Div</v>
      </c>
      <c r="O68" s="34" t="str">
        <f>IFERROR(__xludf.DUMMYFUNCTION("""COMPUTED_VALUE"""),"Conf Record")</f>
        <v>Conf Record</v>
      </c>
      <c r="P68" s="34" t="str">
        <f>IFERROR(__xludf.DUMMYFUNCTION("""COMPUTED_VALUE"""),"Conf W %")</f>
        <v>Conf W %</v>
      </c>
      <c r="Q68" s="34" t="str">
        <f>IFERROR(__xludf.DUMMYFUNCTION("""COMPUTED_VALUE"""),"# Games")</f>
        <v># Games</v>
      </c>
      <c r="R68" s="34"/>
      <c r="S68" s="34"/>
      <c r="T68" s="34"/>
      <c r="U68" s="34"/>
      <c r="V68" s="34"/>
      <c r="W68" s="34"/>
      <c r="X68" s="34"/>
      <c r="Y68" s="34"/>
      <c r="Z68" s="34"/>
      <c r="AA68" s="34"/>
    </row>
    <row r="69">
      <c r="A69" s="20" t="str">
        <f>IFERROR(__xludf.DUMMYFUNCTION("""COMPUTED_VALUE"""),"Western Kentucky")</f>
        <v>Western Kentucky</v>
      </c>
      <c r="B69" s="34" t="str">
        <f>IFERROR(__xludf.DUMMYFUNCTION("""COMPUTED_VALUE"""),"6-7")</f>
        <v>6-7</v>
      </c>
      <c r="C69" s="39">
        <f>IFERROR(__xludf.DUMMYFUNCTION("""COMPUTED_VALUE"""),0.46153846153846156)</f>
        <v>0.4615384615</v>
      </c>
      <c r="D69" s="34" t="str">
        <f>IFERROR(__xludf.DUMMYFUNCTION("""COMPUTED_VALUE"""),"CUSA")</f>
        <v>CUSA</v>
      </c>
      <c r="E69" s="34" t="str">
        <f>IFERROR(__xludf.DUMMYFUNCTION("""COMPUTED_VALUE"""),"CUSA-East")</f>
        <v>CUSA-East</v>
      </c>
      <c r="F69" s="34" t="str">
        <f>IFERROR(__xludf.DUMMYFUNCTION("""COMPUTED_VALUE"""),"5-3")</f>
        <v>5-3</v>
      </c>
      <c r="G69" s="38">
        <f>IFERROR(__xludf.DUMMYFUNCTION("""COMPUTED_VALUE"""),0.625)</f>
        <v>0.625</v>
      </c>
      <c r="H69" s="34">
        <f>IFERROR(__xludf.DUMMYFUNCTION("""COMPUTED_VALUE"""),13.0)</f>
        <v>13</v>
      </c>
      <c r="I69" s="34"/>
      <c r="J69" s="34" t="str">
        <f>IFERROR(__xludf.DUMMYFUNCTION("""COMPUTED_VALUE"""),"UAB")</f>
        <v>UAB</v>
      </c>
      <c r="K69" s="34" t="str">
        <f>IFERROR(__xludf.DUMMYFUNCTION("""COMPUTED_VALUE"""),"6-3")</f>
        <v>6-3</v>
      </c>
      <c r="L69" s="39">
        <f>IFERROR(__xludf.DUMMYFUNCTION("""COMPUTED_VALUE"""),0.6666666666666666)</f>
        <v>0.6666666667</v>
      </c>
      <c r="M69" s="34" t="str">
        <f>IFERROR(__xludf.DUMMYFUNCTION("""COMPUTED_VALUE"""),"CUSA")</f>
        <v>CUSA</v>
      </c>
      <c r="N69" s="34" t="str">
        <f>IFERROR(__xludf.DUMMYFUNCTION("""COMPUTED_VALUE"""),"CUSA-West")</f>
        <v>CUSA-West</v>
      </c>
      <c r="O69" s="34" t="str">
        <f>IFERROR(__xludf.DUMMYFUNCTION("""COMPUTED_VALUE"""),"4-1")</f>
        <v>4-1</v>
      </c>
      <c r="P69" s="38">
        <f>IFERROR(__xludf.DUMMYFUNCTION("""COMPUTED_VALUE"""),0.8)</f>
        <v>0.8</v>
      </c>
      <c r="Q69" s="34">
        <f>IFERROR(__xludf.DUMMYFUNCTION("""COMPUTED_VALUE"""),9.0)</f>
        <v>9</v>
      </c>
      <c r="R69" s="34"/>
      <c r="S69" s="34"/>
      <c r="T69" s="34"/>
      <c r="U69" s="34"/>
      <c r="V69" s="34"/>
      <c r="W69" s="34"/>
      <c r="X69" s="34"/>
      <c r="Y69" s="34"/>
      <c r="Z69" s="34"/>
      <c r="AA69" s="34"/>
    </row>
    <row r="70">
      <c r="A70" s="36" t="str">
        <f>IFERROR(__xludf.DUMMYFUNCTION("""COMPUTED_VALUE"""),"Charlotte")</f>
        <v>Charlotte</v>
      </c>
      <c r="B70" s="34" t="str">
        <f>IFERROR(__xludf.DUMMYFUNCTION("""COMPUTED_VALUE"""),"2-5")</f>
        <v>2-5</v>
      </c>
      <c r="C70" s="39">
        <f>IFERROR(__xludf.DUMMYFUNCTION("""COMPUTED_VALUE"""),0.2857142857142857)</f>
        <v>0.2857142857</v>
      </c>
      <c r="D70" s="34" t="str">
        <f>IFERROR(__xludf.DUMMYFUNCTION("""COMPUTED_VALUE"""),"CUSA")</f>
        <v>CUSA</v>
      </c>
      <c r="E70" s="34" t="str">
        <f>IFERROR(__xludf.DUMMYFUNCTION("""COMPUTED_VALUE"""),"CUSA-East")</f>
        <v>CUSA-East</v>
      </c>
      <c r="F70" s="34" t="str">
        <f>IFERROR(__xludf.DUMMYFUNCTION("""COMPUTED_VALUE"""),"2-3")</f>
        <v>2-3</v>
      </c>
      <c r="G70" s="38">
        <f>IFERROR(__xludf.DUMMYFUNCTION("""COMPUTED_VALUE"""),0.4)</f>
        <v>0.4</v>
      </c>
      <c r="H70" s="34">
        <f>IFERROR(__xludf.DUMMYFUNCTION("""COMPUTED_VALUE"""),7.0)</f>
        <v>7</v>
      </c>
      <c r="I70" s="34"/>
      <c r="J70" s="34" t="str">
        <f>IFERROR(__xludf.DUMMYFUNCTION("""COMPUTED_VALUE"""),"Texas-San Antonio")</f>
        <v>Texas-San Antonio</v>
      </c>
      <c r="K70" s="34" t="str">
        <f>IFERROR(__xludf.DUMMYFUNCTION("""COMPUTED_VALUE"""),"7-5")</f>
        <v>7-5</v>
      </c>
      <c r="L70" s="39">
        <f>IFERROR(__xludf.DUMMYFUNCTION("""COMPUTED_VALUE"""),0.5833333333333334)</f>
        <v>0.5833333333</v>
      </c>
      <c r="M70" s="34" t="str">
        <f>IFERROR(__xludf.DUMMYFUNCTION("""COMPUTED_VALUE"""),"CUSA")</f>
        <v>CUSA</v>
      </c>
      <c r="N70" s="34" t="str">
        <f>IFERROR(__xludf.DUMMYFUNCTION("""COMPUTED_VALUE"""),"CUSA-West")</f>
        <v>CUSA-West</v>
      </c>
      <c r="O70" s="34" t="str">
        <f>IFERROR(__xludf.DUMMYFUNCTION("""COMPUTED_VALUE"""),"5-2")</f>
        <v>5-2</v>
      </c>
      <c r="P70" s="38">
        <f>IFERROR(__xludf.DUMMYFUNCTION("""COMPUTED_VALUE"""),0.7142857142857143)</f>
        <v>0.7142857143</v>
      </c>
      <c r="Q70" s="34">
        <f>IFERROR(__xludf.DUMMYFUNCTION("""COMPUTED_VALUE"""),12.0)</f>
        <v>12</v>
      </c>
      <c r="R70" s="34"/>
      <c r="S70" s="34"/>
      <c r="T70" s="34"/>
      <c r="U70" s="34"/>
      <c r="V70" s="34"/>
      <c r="W70" s="34"/>
      <c r="X70" s="34"/>
      <c r="Y70" s="34"/>
      <c r="Z70" s="34"/>
      <c r="AA70" s="34"/>
    </row>
    <row r="71">
      <c r="A71" s="20" t="str">
        <f>IFERROR(__xludf.DUMMYFUNCTION("""COMPUTED_VALUE"""),"Middle Tennessee")</f>
        <v>Middle Tennessee</v>
      </c>
      <c r="B71" s="34" t="str">
        <f>IFERROR(__xludf.DUMMYFUNCTION("""COMPUTED_VALUE"""),"3-6")</f>
        <v>3-6</v>
      </c>
      <c r="C71" s="39">
        <f>IFERROR(__xludf.DUMMYFUNCTION("""COMPUTED_VALUE"""),0.3333333333333333)</f>
        <v>0.3333333333</v>
      </c>
      <c r="D71" s="34" t="str">
        <f>IFERROR(__xludf.DUMMYFUNCTION("""COMPUTED_VALUE"""),"CUSA")</f>
        <v>CUSA</v>
      </c>
      <c r="E71" s="34" t="str">
        <f>IFERROR(__xludf.DUMMYFUNCTION("""COMPUTED_VALUE"""),"CUSA-East")</f>
        <v>CUSA-East</v>
      </c>
      <c r="F71" s="34" t="str">
        <f>IFERROR(__xludf.DUMMYFUNCTION("""COMPUTED_VALUE"""),"2-4")</f>
        <v>2-4</v>
      </c>
      <c r="G71" s="38">
        <f>IFERROR(__xludf.DUMMYFUNCTION("""COMPUTED_VALUE"""),0.3333333333333333)</f>
        <v>0.3333333333</v>
      </c>
      <c r="H71" s="34">
        <f>IFERROR(__xludf.DUMMYFUNCTION("""COMPUTED_VALUE"""),9.0)</f>
        <v>9</v>
      </c>
      <c r="I71" s="34"/>
      <c r="J71" s="34" t="str">
        <f>IFERROR(__xludf.DUMMYFUNCTION("""COMPUTED_VALUE"""),"Marshall")</f>
        <v>Marshall</v>
      </c>
      <c r="K71" s="34" t="str">
        <f>IFERROR(__xludf.DUMMYFUNCTION("""COMPUTED_VALUE"""),"7-3")</f>
        <v>7-3</v>
      </c>
      <c r="L71" s="39">
        <f>IFERROR(__xludf.DUMMYFUNCTION("""COMPUTED_VALUE"""),0.7)</f>
        <v>0.7</v>
      </c>
      <c r="M71" s="34" t="str">
        <f>IFERROR(__xludf.DUMMYFUNCTION("""COMPUTED_VALUE"""),"CUSA")</f>
        <v>CUSA</v>
      </c>
      <c r="N71" s="34" t="str">
        <f>IFERROR(__xludf.DUMMYFUNCTION("""COMPUTED_VALUE"""),"CUSA-East")</f>
        <v>CUSA-East</v>
      </c>
      <c r="O71" s="34" t="str">
        <f>IFERROR(__xludf.DUMMYFUNCTION("""COMPUTED_VALUE"""),"4-2")</f>
        <v>4-2</v>
      </c>
      <c r="P71" s="38">
        <f>IFERROR(__xludf.DUMMYFUNCTION("""COMPUTED_VALUE"""),0.6666666666666666)</f>
        <v>0.6666666667</v>
      </c>
      <c r="Q71" s="34">
        <f>IFERROR(__xludf.DUMMYFUNCTION("""COMPUTED_VALUE"""),10.0)</f>
        <v>10</v>
      </c>
      <c r="R71" s="34"/>
      <c r="S71" s="34"/>
      <c r="T71" s="34"/>
      <c r="U71" s="34"/>
      <c r="V71" s="34"/>
      <c r="W71" s="34"/>
      <c r="X71" s="34"/>
      <c r="Y71" s="34"/>
      <c r="Z71" s="34"/>
      <c r="AA71" s="34"/>
    </row>
    <row r="72">
      <c r="A72" s="20" t="str">
        <f>IFERROR(__xludf.DUMMYFUNCTION("""COMPUTED_VALUE"""),"Florida International")</f>
        <v>Florida International</v>
      </c>
      <c r="B72" s="34" t="str">
        <f>IFERROR(__xludf.DUMMYFUNCTION("""COMPUTED_VALUE"""),"0-5")</f>
        <v>0-5</v>
      </c>
      <c r="C72" s="39">
        <f>IFERROR(__xludf.DUMMYFUNCTION("""COMPUTED_VALUE"""),0.0)</f>
        <v>0</v>
      </c>
      <c r="D72" s="34" t="str">
        <f>IFERROR(__xludf.DUMMYFUNCTION("""COMPUTED_VALUE"""),"CUSA")</f>
        <v>CUSA</v>
      </c>
      <c r="E72" s="34" t="str">
        <f>IFERROR(__xludf.DUMMYFUNCTION("""COMPUTED_VALUE"""),"CUSA-East")</f>
        <v>CUSA-East</v>
      </c>
      <c r="F72" s="34" t="str">
        <f>IFERROR(__xludf.DUMMYFUNCTION("""COMPUTED_VALUE"""),"0-3")</f>
        <v>0-3</v>
      </c>
      <c r="G72" s="38">
        <f>IFERROR(__xludf.DUMMYFUNCTION("""COMPUTED_VALUE"""),0.0)</f>
        <v>0</v>
      </c>
      <c r="H72" s="34">
        <f>IFERROR(__xludf.DUMMYFUNCTION("""COMPUTED_VALUE"""),5.0)</f>
        <v>5</v>
      </c>
      <c r="I72" s="34"/>
      <c r="J72" s="34" t="str">
        <f>IFERROR(__xludf.DUMMYFUNCTION("""COMPUTED_VALUE"""),"Florida Atlantic")</f>
        <v>Florida Atlantic</v>
      </c>
      <c r="K72" s="34" t="str">
        <f>IFERROR(__xludf.DUMMYFUNCTION("""COMPUTED_VALUE"""),"5-4")</f>
        <v>5-4</v>
      </c>
      <c r="L72" s="39">
        <f>IFERROR(__xludf.DUMMYFUNCTION("""COMPUTED_VALUE"""),0.5555555555555556)</f>
        <v>0.5555555556</v>
      </c>
      <c r="M72" s="34" t="str">
        <f>IFERROR(__xludf.DUMMYFUNCTION("""COMPUTED_VALUE"""),"CUSA")</f>
        <v>CUSA</v>
      </c>
      <c r="N72" s="34" t="str">
        <f>IFERROR(__xludf.DUMMYFUNCTION("""COMPUTED_VALUE"""),"CUSA-East")</f>
        <v>CUSA-East</v>
      </c>
      <c r="O72" s="34" t="str">
        <f>IFERROR(__xludf.DUMMYFUNCTION("""COMPUTED_VALUE"""),"4-2")</f>
        <v>4-2</v>
      </c>
      <c r="P72" s="38">
        <f>IFERROR(__xludf.DUMMYFUNCTION("""COMPUTED_VALUE"""),0.6666666666666666)</f>
        <v>0.6666666667</v>
      </c>
      <c r="Q72" s="34">
        <f>IFERROR(__xludf.DUMMYFUNCTION("""COMPUTED_VALUE"""),9.0)</f>
        <v>9</v>
      </c>
      <c r="R72" s="34"/>
      <c r="S72" s="34"/>
      <c r="T72" s="34"/>
      <c r="U72" s="34"/>
      <c r="V72" s="34"/>
      <c r="W72" s="34"/>
      <c r="X72" s="34"/>
      <c r="Y72" s="34"/>
      <c r="Z72" s="34"/>
      <c r="AA72" s="34"/>
    </row>
    <row r="73">
      <c r="A73" s="20" t="str">
        <f>IFERROR(__xludf.DUMMYFUNCTION("""COMPUTED_VALUE"""),"Old Dominion")</f>
        <v>Old Dominion</v>
      </c>
      <c r="B73" s="34" t="str">
        <f>IFERROR(__xludf.DUMMYFUNCTION("""COMPUTED_VALUE"""),"0-0")</f>
        <v>0-0</v>
      </c>
      <c r="C73" s="39"/>
      <c r="D73" s="34" t="str">
        <f>IFERROR(__xludf.DUMMYFUNCTION("""COMPUTED_VALUE"""),"CUSA")</f>
        <v>CUSA</v>
      </c>
      <c r="E73" s="34" t="str">
        <f>IFERROR(__xludf.DUMMYFUNCTION("""COMPUTED_VALUE"""),"CUSA-East")</f>
        <v>CUSA-East</v>
      </c>
      <c r="F73" s="34" t="str">
        <f>IFERROR(__xludf.DUMMYFUNCTION("""COMPUTED_VALUE"""),"0-0")</f>
        <v>0-0</v>
      </c>
      <c r="G73" s="38"/>
      <c r="H73" s="34">
        <f>IFERROR(__xludf.DUMMYFUNCTION("""COMPUTED_VALUE"""),0.0)</f>
        <v>0</v>
      </c>
      <c r="I73" s="34"/>
      <c r="J73" s="34" t="str">
        <f>IFERROR(__xludf.DUMMYFUNCTION("""COMPUTED_VALUE"""),"Louisiana Tech")</f>
        <v>Louisiana Tech</v>
      </c>
      <c r="K73" s="34" t="str">
        <f>IFERROR(__xludf.DUMMYFUNCTION("""COMPUTED_VALUE"""),"5-5")</f>
        <v>5-5</v>
      </c>
      <c r="L73" s="39">
        <f>IFERROR(__xludf.DUMMYFUNCTION("""COMPUTED_VALUE"""),0.5)</f>
        <v>0.5</v>
      </c>
      <c r="M73" s="34" t="str">
        <f>IFERROR(__xludf.DUMMYFUNCTION("""COMPUTED_VALUE"""),"CUSA")</f>
        <v>CUSA</v>
      </c>
      <c r="N73" s="34" t="str">
        <f>IFERROR(__xludf.DUMMYFUNCTION("""COMPUTED_VALUE"""),"CUSA-West")</f>
        <v>CUSA-West</v>
      </c>
      <c r="O73" s="34" t="str">
        <f>IFERROR(__xludf.DUMMYFUNCTION("""COMPUTED_VALUE"""),"4-2")</f>
        <v>4-2</v>
      </c>
      <c r="P73" s="38">
        <f>IFERROR(__xludf.DUMMYFUNCTION("""COMPUTED_VALUE"""),0.6666666666666666)</f>
        <v>0.6666666667</v>
      </c>
      <c r="Q73" s="34">
        <f>IFERROR(__xludf.DUMMYFUNCTION("""COMPUTED_VALUE"""),10.0)</f>
        <v>10</v>
      </c>
      <c r="R73" s="34"/>
      <c r="S73" s="34"/>
      <c r="T73" s="34"/>
      <c r="U73" s="34"/>
      <c r="V73" s="34"/>
      <c r="W73" s="34"/>
      <c r="X73" s="34"/>
      <c r="Y73" s="34"/>
      <c r="Z73" s="34"/>
      <c r="AA73" s="34"/>
    </row>
    <row r="74">
      <c r="A74" s="42" t="s">
        <v>85</v>
      </c>
      <c r="I74" s="34"/>
      <c r="J74" s="34" t="str">
        <f>IFERROR(__xludf.DUMMYFUNCTION("""COMPUTED_VALUE"""),"Western Kentucky")</f>
        <v>Western Kentucky</v>
      </c>
      <c r="K74" s="34" t="str">
        <f>IFERROR(__xludf.DUMMYFUNCTION("""COMPUTED_VALUE"""),"6-7")</f>
        <v>6-7</v>
      </c>
      <c r="L74" s="39">
        <f>IFERROR(__xludf.DUMMYFUNCTION("""COMPUTED_VALUE"""),0.46153846153846156)</f>
        <v>0.4615384615</v>
      </c>
      <c r="M74" s="34" t="str">
        <f>IFERROR(__xludf.DUMMYFUNCTION("""COMPUTED_VALUE"""),"CUSA")</f>
        <v>CUSA</v>
      </c>
      <c r="N74" s="34" t="str">
        <f>IFERROR(__xludf.DUMMYFUNCTION("""COMPUTED_VALUE"""),"CUSA-East")</f>
        <v>CUSA-East</v>
      </c>
      <c r="O74" s="34" t="str">
        <f>IFERROR(__xludf.DUMMYFUNCTION("""COMPUTED_VALUE"""),"5-3")</f>
        <v>5-3</v>
      </c>
      <c r="P74" s="38">
        <f>IFERROR(__xludf.DUMMYFUNCTION("""COMPUTED_VALUE"""),0.625)</f>
        <v>0.625</v>
      </c>
      <c r="Q74" s="34">
        <f>IFERROR(__xludf.DUMMYFUNCTION("""COMPUTED_VALUE"""),13.0)</f>
        <v>13</v>
      </c>
      <c r="R74" s="34"/>
      <c r="S74" s="34"/>
      <c r="T74" s="34"/>
      <c r="U74" s="34"/>
      <c r="V74" s="34"/>
      <c r="W74" s="34"/>
      <c r="X74" s="34"/>
      <c r="Y74" s="34"/>
      <c r="Z74" s="34"/>
      <c r="AA74" s="34"/>
    </row>
    <row r="75">
      <c r="A75" s="35" t="str">
        <f>IFERROR(__xludf.DUMMYFUNCTION("QUERY(standings,""SELECT A, D, E, F, G, J, K, R WHERE G = 'CUSA-West' ORDER BY K DESC, E DESC "",1)"),"Team")</f>
        <v>Team</v>
      </c>
      <c r="B75" s="34" t="str">
        <f>IFERROR(__xludf.DUMMYFUNCTION("""COMPUTED_VALUE"""),"Record")</f>
        <v>Record</v>
      </c>
      <c r="C75" s="34" t="str">
        <f>IFERROR(__xludf.DUMMYFUNCTION("""COMPUTED_VALUE"""),"Ovr Win %")</f>
        <v>Ovr Win %</v>
      </c>
      <c r="D75" s="34" t="str">
        <f>IFERROR(__xludf.DUMMYFUNCTION("""COMPUTED_VALUE"""),"Conf")</f>
        <v>Conf</v>
      </c>
      <c r="E75" s="34" t="str">
        <f>IFERROR(__xludf.DUMMYFUNCTION("""COMPUTED_VALUE"""),"Conf-Div")</f>
        <v>Conf-Div</v>
      </c>
      <c r="F75" s="34" t="str">
        <f>IFERROR(__xludf.DUMMYFUNCTION("""COMPUTED_VALUE"""),"Conf Record")</f>
        <v>Conf Record</v>
      </c>
      <c r="G75" s="34" t="str">
        <f>IFERROR(__xludf.DUMMYFUNCTION("""COMPUTED_VALUE"""),"Conf W %")</f>
        <v>Conf W %</v>
      </c>
      <c r="H75" s="34" t="str">
        <f>IFERROR(__xludf.DUMMYFUNCTION("""COMPUTED_VALUE"""),"# Games")</f>
        <v># Games</v>
      </c>
      <c r="I75" s="34"/>
      <c r="J75" s="34" t="str">
        <f>IFERROR(__xludf.DUMMYFUNCTION("""COMPUTED_VALUE"""),"North Texas")</f>
        <v>North Texas</v>
      </c>
      <c r="K75" s="34" t="str">
        <f>IFERROR(__xludf.DUMMYFUNCTION("""COMPUTED_VALUE"""),"4-6")</f>
        <v>4-6</v>
      </c>
      <c r="L75" s="39">
        <f>IFERROR(__xludf.DUMMYFUNCTION("""COMPUTED_VALUE"""),0.4)</f>
        <v>0.4</v>
      </c>
      <c r="M75" s="34" t="str">
        <f>IFERROR(__xludf.DUMMYFUNCTION("""COMPUTED_VALUE"""),"CUSA")</f>
        <v>CUSA</v>
      </c>
      <c r="N75" s="34" t="str">
        <f>IFERROR(__xludf.DUMMYFUNCTION("""COMPUTED_VALUE"""),"CUSA-West")</f>
        <v>CUSA-West</v>
      </c>
      <c r="O75" s="34" t="str">
        <f>IFERROR(__xludf.DUMMYFUNCTION("""COMPUTED_VALUE"""),"3-4")</f>
        <v>3-4</v>
      </c>
      <c r="P75" s="38">
        <f>IFERROR(__xludf.DUMMYFUNCTION("""COMPUTED_VALUE"""),0.42857142857142855)</f>
        <v>0.4285714286</v>
      </c>
      <c r="Q75" s="34">
        <f>IFERROR(__xludf.DUMMYFUNCTION("""COMPUTED_VALUE"""),10.0)</f>
        <v>10</v>
      </c>
      <c r="R75" s="34"/>
      <c r="S75" s="34"/>
      <c r="T75" s="34"/>
      <c r="U75" s="34"/>
      <c r="V75" s="34"/>
      <c r="W75" s="34"/>
      <c r="X75" s="34"/>
      <c r="Y75" s="34"/>
      <c r="Z75" s="34"/>
      <c r="AA75" s="34"/>
    </row>
    <row r="76">
      <c r="A76" s="20" t="str">
        <f>IFERROR(__xludf.DUMMYFUNCTION("""COMPUTED_VALUE"""),"UAB")</f>
        <v>UAB</v>
      </c>
      <c r="B76" s="34" t="str">
        <f>IFERROR(__xludf.DUMMYFUNCTION("""COMPUTED_VALUE"""),"6-3")</f>
        <v>6-3</v>
      </c>
      <c r="C76" s="39">
        <f>IFERROR(__xludf.DUMMYFUNCTION("""COMPUTED_VALUE"""),0.6666666666666666)</f>
        <v>0.6666666667</v>
      </c>
      <c r="D76" s="34" t="str">
        <f>IFERROR(__xludf.DUMMYFUNCTION("""COMPUTED_VALUE"""),"CUSA")</f>
        <v>CUSA</v>
      </c>
      <c r="E76" s="34" t="str">
        <f>IFERROR(__xludf.DUMMYFUNCTION("""COMPUTED_VALUE"""),"CUSA-West")</f>
        <v>CUSA-West</v>
      </c>
      <c r="F76" s="34" t="str">
        <f>IFERROR(__xludf.DUMMYFUNCTION("""COMPUTED_VALUE"""),"4-1")</f>
        <v>4-1</v>
      </c>
      <c r="G76" s="38">
        <f>IFERROR(__xludf.DUMMYFUNCTION("""COMPUTED_VALUE"""),0.8)</f>
        <v>0.8</v>
      </c>
      <c r="H76" s="34">
        <f>IFERROR(__xludf.DUMMYFUNCTION("""COMPUTED_VALUE"""),9.0)</f>
        <v>9</v>
      </c>
      <c r="I76" s="34"/>
      <c r="J76" s="34" t="str">
        <f>IFERROR(__xludf.DUMMYFUNCTION("""COMPUTED_VALUE"""),"Rice")</f>
        <v>Rice</v>
      </c>
      <c r="K76" s="34" t="str">
        <f>IFERROR(__xludf.DUMMYFUNCTION("""COMPUTED_VALUE"""),"2-3")</f>
        <v>2-3</v>
      </c>
      <c r="L76" s="39">
        <f>IFERROR(__xludf.DUMMYFUNCTION("""COMPUTED_VALUE"""),0.4)</f>
        <v>0.4</v>
      </c>
      <c r="M76" s="34" t="str">
        <f>IFERROR(__xludf.DUMMYFUNCTION("""COMPUTED_VALUE"""),"CUSA")</f>
        <v>CUSA</v>
      </c>
      <c r="N76" s="34" t="str">
        <f>IFERROR(__xludf.DUMMYFUNCTION("""COMPUTED_VALUE"""),"CUSA-West")</f>
        <v>CUSA-West</v>
      </c>
      <c r="O76" s="34" t="str">
        <f>IFERROR(__xludf.DUMMYFUNCTION("""COMPUTED_VALUE"""),"2-3")</f>
        <v>2-3</v>
      </c>
      <c r="P76" s="38">
        <f>IFERROR(__xludf.DUMMYFUNCTION("""COMPUTED_VALUE"""),0.4)</f>
        <v>0.4</v>
      </c>
      <c r="Q76" s="34">
        <f>IFERROR(__xludf.DUMMYFUNCTION("""COMPUTED_VALUE"""),5.0)</f>
        <v>5</v>
      </c>
      <c r="R76" s="34"/>
      <c r="S76" s="34"/>
      <c r="T76" s="34"/>
      <c r="U76" s="34"/>
      <c r="V76" s="34"/>
      <c r="W76" s="34"/>
      <c r="X76" s="34"/>
      <c r="Y76" s="34"/>
      <c r="Z76" s="34"/>
      <c r="AA76" s="34"/>
    </row>
    <row r="77">
      <c r="A77" s="20" t="str">
        <f>IFERROR(__xludf.DUMMYFUNCTION("""COMPUTED_VALUE"""),"Texas-San Antonio")</f>
        <v>Texas-San Antonio</v>
      </c>
      <c r="B77" s="34" t="str">
        <f>IFERROR(__xludf.DUMMYFUNCTION("""COMPUTED_VALUE"""),"7-5")</f>
        <v>7-5</v>
      </c>
      <c r="C77" s="39">
        <f>IFERROR(__xludf.DUMMYFUNCTION("""COMPUTED_VALUE"""),0.5833333333333334)</f>
        <v>0.5833333333</v>
      </c>
      <c r="D77" s="34" t="str">
        <f>IFERROR(__xludf.DUMMYFUNCTION("""COMPUTED_VALUE"""),"CUSA")</f>
        <v>CUSA</v>
      </c>
      <c r="E77" s="34" t="str">
        <f>IFERROR(__xludf.DUMMYFUNCTION("""COMPUTED_VALUE"""),"CUSA-West")</f>
        <v>CUSA-West</v>
      </c>
      <c r="F77" s="34" t="str">
        <f>IFERROR(__xludf.DUMMYFUNCTION("""COMPUTED_VALUE"""),"5-2")</f>
        <v>5-2</v>
      </c>
      <c r="G77" s="38">
        <f>IFERROR(__xludf.DUMMYFUNCTION("""COMPUTED_VALUE"""),0.7142857142857143)</f>
        <v>0.7142857143</v>
      </c>
      <c r="H77" s="34">
        <f>IFERROR(__xludf.DUMMYFUNCTION("""COMPUTED_VALUE"""),12.0)</f>
        <v>12</v>
      </c>
      <c r="I77" s="34"/>
      <c r="J77" s="34" t="str">
        <f>IFERROR(__xludf.DUMMYFUNCTION("""COMPUTED_VALUE"""),"Charlotte")</f>
        <v>Charlotte</v>
      </c>
      <c r="K77" s="34" t="str">
        <f>IFERROR(__xludf.DUMMYFUNCTION("""COMPUTED_VALUE"""),"2-5")</f>
        <v>2-5</v>
      </c>
      <c r="L77" s="39">
        <f>IFERROR(__xludf.DUMMYFUNCTION("""COMPUTED_VALUE"""),0.2857142857142857)</f>
        <v>0.2857142857</v>
      </c>
      <c r="M77" s="34" t="str">
        <f>IFERROR(__xludf.DUMMYFUNCTION("""COMPUTED_VALUE"""),"CUSA")</f>
        <v>CUSA</v>
      </c>
      <c r="N77" s="34" t="str">
        <f>IFERROR(__xludf.DUMMYFUNCTION("""COMPUTED_VALUE"""),"CUSA-East")</f>
        <v>CUSA-East</v>
      </c>
      <c r="O77" s="34" t="str">
        <f>IFERROR(__xludf.DUMMYFUNCTION("""COMPUTED_VALUE"""),"2-3")</f>
        <v>2-3</v>
      </c>
      <c r="P77" s="38">
        <f>IFERROR(__xludf.DUMMYFUNCTION("""COMPUTED_VALUE"""),0.4)</f>
        <v>0.4</v>
      </c>
      <c r="Q77" s="34">
        <f>IFERROR(__xludf.DUMMYFUNCTION("""COMPUTED_VALUE"""),7.0)</f>
        <v>7</v>
      </c>
      <c r="R77" s="34"/>
      <c r="S77" s="34"/>
      <c r="T77" s="34"/>
      <c r="U77" s="34"/>
      <c r="V77" s="34"/>
      <c r="W77" s="34"/>
      <c r="X77" s="34"/>
      <c r="Y77" s="34"/>
      <c r="Z77" s="34"/>
      <c r="AA77" s="34"/>
    </row>
    <row r="78">
      <c r="A78" s="3" t="str">
        <f>IFERROR(__xludf.DUMMYFUNCTION("""COMPUTED_VALUE"""),"Louisiana Tech")</f>
        <v>Louisiana Tech</v>
      </c>
      <c r="B78" s="34" t="str">
        <f>IFERROR(__xludf.DUMMYFUNCTION("""COMPUTED_VALUE"""),"5-5")</f>
        <v>5-5</v>
      </c>
      <c r="C78" s="39">
        <f>IFERROR(__xludf.DUMMYFUNCTION("""COMPUTED_VALUE"""),0.5)</f>
        <v>0.5</v>
      </c>
      <c r="D78" s="34" t="str">
        <f>IFERROR(__xludf.DUMMYFUNCTION("""COMPUTED_VALUE"""),"CUSA")</f>
        <v>CUSA</v>
      </c>
      <c r="E78" s="34" t="str">
        <f>IFERROR(__xludf.DUMMYFUNCTION("""COMPUTED_VALUE"""),"CUSA-West")</f>
        <v>CUSA-West</v>
      </c>
      <c r="F78" s="34" t="str">
        <f>IFERROR(__xludf.DUMMYFUNCTION("""COMPUTED_VALUE"""),"4-2")</f>
        <v>4-2</v>
      </c>
      <c r="G78" s="38">
        <f>IFERROR(__xludf.DUMMYFUNCTION("""COMPUTED_VALUE"""),0.6666666666666666)</f>
        <v>0.6666666667</v>
      </c>
      <c r="H78" s="34">
        <f>IFERROR(__xludf.DUMMYFUNCTION("""COMPUTED_VALUE"""),10.0)</f>
        <v>10</v>
      </c>
      <c r="I78" s="34"/>
      <c r="J78" s="34" t="str">
        <f>IFERROR(__xludf.DUMMYFUNCTION("""COMPUTED_VALUE"""),"Middle Tennessee")</f>
        <v>Middle Tennessee</v>
      </c>
      <c r="K78" s="34" t="str">
        <f>IFERROR(__xludf.DUMMYFUNCTION("""COMPUTED_VALUE"""),"3-6")</f>
        <v>3-6</v>
      </c>
      <c r="L78" s="39">
        <f>IFERROR(__xludf.DUMMYFUNCTION("""COMPUTED_VALUE"""),0.3333333333333333)</f>
        <v>0.3333333333</v>
      </c>
      <c r="M78" s="34" t="str">
        <f>IFERROR(__xludf.DUMMYFUNCTION("""COMPUTED_VALUE"""),"CUSA")</f>
        <v>CUSA</v>
      </c>
      <c r="N78" s="34" t="str">
        <f>IFERROR(__xludf.DUMMYFUNCTION("""COMPUTED_VALUE"""),"CUSA-East")</f>
        <v>CUSA-East</v>
      </c>
      <c r="O78" s="34" t="str">
        <f>IFERROR(__xludf.DUMMYFUNCTION("""COMPUTED_VALUE"""),"2-4")</f>
        <v>2-4</v>
      </c>
      <c r="P78" s="38">
        <f>IFERROR(__xludf.DUMMYFUNCTION("""COMPUTED_VALUE"""),0.3333333333333333)</f>
        <v>0.3333333333</v>
      </c>
      <c r="Q78" s="34">
        <f>IFERROR(__xludf.DUMMYFUNCTION("""COMPUTED_VALUE"""),9.0)</f>
        <v>9</v>
      </c>
      <c r="R78" s="34"/>
      <c r="S78" s="34"/>
      <c r="T78" s="34"/>
      <c r="U78" s="34"/>
      <c r="V78" s="34"/>
      <c r="W78" s="34"/>
      <c r="X78" s="34"/>
      <c r="Y78" s="34"/>
      <c r="Z78" s="34"/>
      <c r="AA78" s="34"/>
    </row>
    <row r="79">
      <c r="A79" s="20" t="str">
        <f>IFERROR(__xludf.DUMMYFUNCTION("""COMPUTED_VALUE"""),"North Texas")</f>
        <v>North Texas</v>
      </c>
      <c r="B79" s="34" t="str">
        <f>IFERROR(__xludf.DUMMYFUNCTION("""COMPUTED_VALUE"""),"4-6")</f>
        <v>4-6</v>
      </c>
      <c r="C79" s="39">
        <f>IFERROR(__xludf.DUMMYFUNCTION("""COMPUTED_VALUE"""),0.4)</f>
        <v>0.4</v>
      </c>
      <c r="D79" s="34" t="str">
        <f>IFERROR(__xludf.DUMMYFUNCTION("""COMPUTED_VALUE"""),"CUSA")</f>
        <v>CUSA</v>
      </c>
      <c r="E79" s="34" t="str">
        <f>IFERROR(__xludf.DUMMYFUNCTION("""COMPUTED_VALUE"""),"CUSA-West")</f>
        <v>CUSA-West</v>
      </c>
      <c r="F79" s="34" t="str">
        <f>IFERROR(__xludf.DUMMYFUNCTION("""COMPUTED_VALUE"""),"3-4")</f>
        <v>3-4</v>
      </c>
      <c r="G79" s="38">
        <f>IFERROR(__xludf.DUMMYFUNCTION("""COMPUTED_VALUE"""),0.42857142857142855)</f>
        <v>0.4285714286</v>
      </c>
      <c r="H79" s="34">
        <f>IFERROR(__xludf.DUMMYFUNCTION("""COMPUTED_VALUE"""),10.0)</f>
        <v>10</v>
      </c>
      <c r="I79" s="34"/>
      <c r="J79" s="34" t="str">
        <f>IFERROR(__xludf.DUMMYFUNCTION("""COMPUTED_VALUE"""),"Southern Mississippi")</f>
        <v>Southern Mississippi</v>
      </c>
      <c r="K79" s="34" t="str">
        <f>IFERROR(__xludf.DUMMYFUNCTION("""COMPUTED_VALUE"""),"3-7")</f>
        <v>3-7</v>
      </c>
      <c r="L79" s="39">
        <f>IFERROR(__xludf.DUMMYFUNCTION("""COMPUTED_VALUE"""),0.3)</f>
        <v>0.3</v>
      </c>
      <c r="M79" s="34" t="str">
        <f>IFERROR(__xludf.DUMMYFUNCTION("""COMPUTED_VALUE"""),"CUSA")</f>
        <v>CUSA</v>
      </c>
      <c r="N79" s="34" t="str">
        <f>IFERROR(__xludf.DUMMYFUNCTION("""COMPUTED_VALUE"""),"CUSA-West")</f>
        <v>CUSA-West</v>
      </c>
      <c r="O79" s="34" t="str">
        <f>IFERROR(__xludf.DUMMYFUNCTION("""COMPUTED_VALUE"""),"2-4")</f>
        <v>2-4</v>
      </c>
      <c r="P79" s="38">
        <f>IFERROR(__xludf.DUMMYFUNCTION("""COMPUTED_VALUE"""),0.3333333333333333)</f>
        <v>0.3333333333</v>
      </c>
      <c r="Q79" s="34">
        <f>IFERROR(__xludf.DUMMYFUNCTION("""COMPUTED_VALUE"""),10.0)</f>
        <v>10</v>
      </c>
      <c r="R79" s="34"/>
      <c r="S79" s="34"/>
      <c r="T79" s="34"/>
      <c r="U79" s="34"/>
      <c r="V79" s="34"/>
      <c r="W79" s="34"/>
      <c r="X79" s="34"/>
      <c r="Y79" s="34"/>
      <c r="Z79" s="34"/>
      <c r="AA79" s="34"/>
    </row>
    <row r="80">
      <c r="A80" s="20" t="str">
        <f>IFERROR(__xludf.DUMMYFUNCTION("""COMPUTED_VALUE"""),"Rice")</f>
        <v>Rice</v>
      </c>
      <c r="B80" s="34" t="str">
        <f>IFERROR(__xludf.DUMMYFUNCTION("""COMPUTED_VALUE"""),"2-3")</f>
        <v>2-3</v>
      </c>
      <c r="C80" s="39">
        <f>IFERROR(__xludf.DUMMYFUNCTION("""COMPUTED_VALUE"""),0.4)</f>
        <v>0.4</v>
      </c>
      <c r="D80" s="34" t="str">
        <f>IFERROR(__xludf.DUMMYFUNCTION("""COMPUTED_VALUE"""),"CUSA")</f>
        <v>CUSA</v>
      </c>
      <c r="E80" s="34" t="str">
        <f>IFERROR(__xludf.DUMMYFUNCTION("""COMPUTED_VALUE"""),"CUSA-West")</f>
        <v>CUSA-West</v>
      </c>
      <c r="F80" s="34" t="str">
        <f>IFERROR(__xludf.DUMMYFUNCTION("""COMPUTED_VALUE"""),"2-3")</f>
        <v>2-3</v>
      </c>
      <c r="G80" s="38">
        <f>IFERROR(__xludf.DUMMYFUNCTION("""COMPUTED_VALUE"""),0.4)</f>
        <v>0.4</v>
      </c>
      <c r="H80" s="34">
        <f>IFERROR(__xludf.DUMMYFUNCTION("""COMPUTED_VALUE"""),5.0)</f>
        <v>5</v>
      </c>
      <c r="I80" s="34"/>
      <c r="J80" s="34" t="str">
        <f>IFERROR(__xludf.DUMMYFUNCTION("""COMPUTED_VALUE"""),"UTEP")</f>
        <v>UTEP</v>
      </c>
      <c r="K80" s="34" t="str">
        <f>IFERROR(__xludf.DUMMYFUNCTION("""COMPUTED_VALUE"""),"3-5")</f>
        <v>3-5</v>
      </c>
      <c r="L80" s="39">
        <f>IFERROR(__xludf.DUMMYFUNCTION("""COMPUTED_VALUE"""),0.375)</f>
        <v>0.375</v>
      </c>
      <c r="M80" s="34" t="str">
        <f>IFERROR(__xludf.DUMMYFUNCTION("""COMPUTED_VALUE"""),"CUSA")</f>
        <v>CUSA</v>
      </c>
      <c r="N80" s="34" t="str">
        <f>IFERROR(__xludf.DUMMYFUNCTION("""COMPUTED_VALUE"""),"CUSA-West")</f>
        <v>CUSA-West</v>
      </c>
      <c r="O80" s="34" t="str">
        <f>IFERROR(__xludf.DUMMYFUNCTION("""COMPUTED_VALUE"""),"0-4")</f>
        <v>0-4</v>
      </c>
      <c r="P80" s="38">
        <f>IFERROR(__xludf.DUMMYFUNCTION("""COMPUTED_VALUE"""),0.0)</f>
        <v>0</v>
      </c>
      <c r="Q80" s="34">
        <f>IFERROR(__xludf.DUMMYFUNCTION("""COMPUTED_VALUE"""),8.0)</f>
        <v>8</v>
      </c>
      <c r="R80" s="34"/>
      <c r="S80" s="34"/>
      <c r="T80" s="34"/>
      <c r="U80" s="34"/>
      <c r="V80" s="34"/>
      <c r="W80" s="34"/>
      <c r="X80" s="34"/>
      <c r="Y80" s="34"/>
      <c r="Z80" s="34"/>
      <c r="AA80" s="34"/>
    </row>
    <row r="81">
      <c r="A81" s="20" t="str">
        <f>IFERROR(__xludf.DUMMYFUNCTION("""COMPUTED_VALUE"""),"Southern Mississippi")</f>
        <v>Southern Mississippi</v>
      </c>
      <c r="B81" s="34" t="str">
        <f>IFERROR(__xludf.DUMMYFUNCTION("""COMPUTED_VALUE"""),"3-7")</f>
        <v>3-7</v>
      </c>
      <c r="C81" s="39">
        <f>IFERROR(__xludf.DUMMYFUNCTION("""COMPUTED_VALUE"""),0.3)</f>
        <v>0.3</v>
      </c>
      <c r="D81" s="34" t="str">
        <f>IFERROR(__xludf.DUMMYFUNCTION("""COMPUTED_VALUE"""),"CUSA")</f>
        <v>CUSA</v>
      </c>
      <c r="E81" s="34" t="str">
        <f>IFERROR(__xludf.DUMMYFUNCTION("""COMPUTED_VALUE"""),"CUSA-West")</f>
        <v>CUSA-West</v>
      </c>
      <c r="F81" s="34" t="str">
        <f>IFERROR(__xludf.DUMMYFUNCTION("""COMPUTED_VALUE"""),"2-4")</f>
        <v>2-4</v>
      </c>
      <c r="G81" s="38">
        <f>IFERROR(__xludf.DUMMYFUNCTION("""COMPUTED_VALUE"""),0.3333333333333333)</f>
        <v>0.3333333333</v>
      </c>
      <c r="H81" s="34">
        <f>IFERROR(__xludf.DUMMYFUNCTION("""COMPUTED_VALUE"""),10.0)</f>
        <v>10</v>
      </c>
      <c r="I81" s="34"/>
      <c r="J81" s="34" t="str">
        <f>IFERROR(__xludf.DUMMYFUNCTION("""COMPUTED_VALUE"""),"Florida International")</f>
        <v>Florida International</v>
      </c>
      <c r="K81" s="34" t="str">
        <f>IFERROR(__xludf.DUMMYFUNCTION("""COMPUTED_VALUE"""),"0-5")</f>
        <v>0-5</v>
      </c>
      <c r="L81" s="39">
        <f>IFERROR(__xludf.DUMMYFUNCTION("""COMPUTED_VALUE"""),0.0)</f>
        <v>0</v>
      </c>
      <c r="M81" s="34" t="str">
        <f>IFERROR(__xludf.DUMMYFUNCTION("""COMPUTED_VALUE"""),"CUSA")</f>
        <v>CUSA</v>
      </c>
      <c r="N81" s="34" t="str">
        <f>IFERROR(__xludf.DUMMYFUNCTION("""COMPUTED_VALUE"""),"CUSA-East")</f>
        <v>CUSA-East</v>
      </c>
      <c r="O81" s="34" t="str">
        <f>IFERROR(__xludf.DUMMYFUNCTION("""COMPUTED_VALUE"""),"0-3")</f>
        <v>0-3</v>
      </c>
      <c r="P81" s="38">
        <f>IFERROR(__xludf.DUMMYFUNCTION("""COMPUTED_VALUE"""),0.0)</f>
        <v>0</v>
      </c>
      <c r="Q81" s="34">
        <f>IFERROR(__xludf.DUMMYFUNCTION("""COMPUTED_VALUE"""),5.0)</f>
        <v>5</v>
      </c>
      <c r="R81" s="34"/>
      <c r="S81" s="34"/>
      <c r="T81" s="34"/>
      <c r="U81" s="34"/>
      <c r="V81" s="34"/>
      <c r="W81" s="34"/>
      <c r="X81" s="34"/>
      <c r="Y81" s="34"/>
      <c r="Z81" s="34"/>
      <c r="AA81" s="34"/>
    </row>
    <row r="82">
      <c r="A82" s="20" t="str">
        <f>IFERROR(__xludf.DUMMYFUNCTION("""COMPUTED_VALUE"""),"UTEP")</f>
        <v>UTEP</v>
      </c>
      <c r="B82" s="34" t="str">
        <f>IFERROR(__xludf.DUMMYFUNCTION("""COMPUTED_VALUE"""),"3-5")</f>
        <v>3-5</v>
      </c>
      <c r="C82" s="39">
        <f>IFERROR(__xludf.DUMMYFUNCTION("""COMPUTED_VALUE"""),0.375)</f>
        <v>0.375</v>
      </c>
      <c r="D82" s="34" t="str">
        <f>IFERROR(__xludf.DUMMYFUNCTION("""COMPUTED_VALUE"""),"CUSA")</f>
        <v>CUSA</v>
      </c>
      <c r="E82" s="34" t="str">
        <f>IFERROR(__xludf.DUMMYFUNCTION("""COMPUTED_VALUE"""),"CUSA-West")</f>
        <v>CUSA-West</v>
      </c>
      <c r="F82" s="34" t="str">
        <f>IFERROR(__xludf.DUMMYFUNCTION("""COMPUTED_VALUE"""),"0-4")</f>
        <v>0-4</v>
      </c>
      <c r="G82" s="38">
        <f>IFERROR(__xludf.DUMMYFUNCTION("""COMPUTED_VALUE"""),0.0)</f>
        <v>0</v>
      </c>
      <c r="H82" s="34">
        <f>IFERROR(__xludf.DUMMYFUNCTION("""COMPUTED_VALUE"""),8.0)</f>
        <v>8</v>
      </c>
      <c r="I82" s="34"/>
      <c r="J82" s="34" t="str">
        <f>IFERROR(__xludf.DUMMYFUNCTION("""COMPUTED_VALUE"""),"Old Dominion")</f>
        <v>Old Dominion</v>
      </c>
      <c r="K82" s="34" t="str">
        <f>IFERROR(__xludf.DUMMYFUNCTION("""COMPUTED_VALUE"""),"0-0")</f>
        <v>0-0</v>
      </c>
      <c r="L82" s="39"/>
      <c r="M82" s="34" t="str">
        <f>IFERROR(__xludf.DUMMYFUNCTION("""COMPUTED_VALUE"""),"CUSA")</f>
        <v>CUSA</v>
      </c>
      <c r="N82" s="34" t="str">
        <f>IFERROR(__xludf.DUMMYFUNCTION("""COMPUTED_VALUE"""),"CUSA-East")</f>
        <v>CUSA-East</v>
      </c>
      <c r="O82" s="34" t="str">
        <f>IFERROR(__xludf.DUMMYFUNCTION("""COMPUTED_VALUE"""),"0-0")</f>
        <v>0-0</v>
      </c>
      <c r="P82" s="38"/>
      <c r="Q82" s="34">
        <f>IFERROR(__xludf.DUMMYFUNCTION("""COMPUTED_VALUE"""),0.0)</f>
        <v>0</v>
      </c>
      <c r="R82" s="34"/>
      <c r="S82" s="34"/>
      <c r="T82" s="34"/>
      <c r="U82" s="34"/>
      <c r="V82" s="34"/>
      <c r="W82" s="34"/>
      <c r="X82" s="34"/>
      <c r="Y82" s="34"/>
      <c r="Z82" s="34"/>
      <c r="AA82" s="34"/>
    </row>
    <row r="83">
      <c r="A83" s="42" t="s">
        <v>215</v>
      </c>
      <c r="I83" s="34"/>
      <c r="J83" s="3" t="s">
        <v>229</v>
      </c>
      <c r="L83" s="34">
        <f>COUNTIF(L69:L82,"&gt;=.5")</f>
        <v>5</v>
      </c>
      <c r="M83" s="41">
        <f>COUNTIF(M69:M82,"CUSA")</f>
        <v>14</v>
      </c>
      <c r="N83" s="34">
        <f>L83/M83</f>
        <v>0.3571428571</v>
      </c>
      <c r="O83" s="34"/>
      <c r="P83" s="34"/>
      <c r="Q83" s="34"/>
      <c r="R83" s="34"/>
      <c r="S83" s="34"/>
      <c r="T83" s="34"/>
      <c r="U83" s="34"/>
      <c r="V83" s="34"/>
      <c r="W83" s="34"/>
      <c r="X83" s="34"/>
      <c r="Y83" s="34"/>
      <c r="Z83" s="34"/>
      <c r="AA83" s="34"/>
    </row>
    <row r="84">
      <c r="A84" s="35" t="str">
        <f>IFERROR(__xludf.DUMMYFUNCTION("QUERY(standings,""SELECT A, D, E, F, G, J, K, R WHERE G = 'IND' ORDER BY E DESC, K DESC, J DESC "",1)"),"Team")</f>
        <v>Team</v>
      </c>
      <c r="B84" s="34" t="str">
        <f>IFERROR(__xludf.DUMMYFUNCTION("""COMPUTED_VALUE"""),"Record")</f>
        <v>Record</v>
      </c>
      <c r="C84" s="34" t="str">
        <f>IFERROR(__xludf.DUMMYFUNCTION("""COMPUTED_VALUE"""),"Ovr Win %")</f>
        <v>Ovr Win %</v>
      </c>
      <c r="D84" s="34" t="str">
        <f>IFERROR(__xludf.DUMMYFUNCTION("""COMPUTED_VALUE"""),"Conf")</f>
        <v>Conf</v>
      </c>
      <c r="E84" s="34" t="str">
        <f>IFERROR(__xludf.DUMMYFUNCTION("""COMPUTED_VALUE"""),"Conf-Div")</f>
        <v>Conf-Div</v>
      </c>
      <c r="F84" s="34" t="str">
        <f>IFERROR(__xludf.DUMMYFUNCTION("""COMPUTED_VALUE"""),"Conf Record")</f>
        <v>Conf Record</v>
      </c>
      <c r="G84" s="34" t="str">
        <f>IFERROR(__xludf.DUMMYFUNCTION("""COMPUTED_VALUE"""),"Conf W %")</f>
        <v>Conf W %</v>
      </c>
      <c r="H84" s="34" t="str">
        <f>IFERROR(__xludf.DUMMYFUNCTION("""COMPUTED_VALUE"""),"# Games")</f>
        <v># Games</v>
      </c>
      <c r="I84" s="34"/>
      <c r="J84" s="34"/>
      <c r="K84" s="34"/>
      <c r="L84" s="34"/>
      <c r="M84" s="34"/>
      <c r="N84" s="34"/>
      <c r="O84" s="34"/>
      <c r="P84" s="34"/>
      <c r="Q84" s="34"/>
      <c r="R84" s="34"/>
      <c r="S84" s="34"/>
      <c r="T84" s="34"/>
      <c r="U84" s="34"/>
      <c r="V84" s="34"/>
      <c r="W84" s="34"/>
      <c r="X84" s="34"/>
      <c r="Y84" s="34"/>
      <c r="Z84" s="34"/>
      <c r="AA84" s="34"/>
    </row>
    <row r="85">
      <c r="A85" s="20" t="str">
        <f>IFERROR(__xludf.DUMMYFUNCTION("""COMPUTED_VALUE"""),"BYU")</f>
        <v>BYU</v>
      </c>
      <c r="B85" s="34" t="str">
        <f>IFERROR(__xludf.DUMMYFUNCTION("""COMPUTED_VALUE"""),"11-1")</f>
        <v>11-1</v>
      </c>
      <c r="C85" s="39">
        <f>IFERROR(__xludf.DUMMYFUNCTION("""COMPUTED_VALUE"""),0.9166666666666666)</f>
        <v>0.9166666667</v>
      </c>
      <c r="D85" s="34" t="str">
        <f>IFERROR(__xludf.DUMMYFUNCTION("""COMPUTED_VALUE"""),"IND")</f>
        <v>IND</v>
      </c>
      <c r="E85" s="34" t="str">
        <f>IFERROR(__xludf.DUMMYFUNCTION("""COMPUTED_VALUE"""),"IND")</f>
        <v>IND</v>
      </c>
      <c r="F85" s="34" t="str">
        <f>IFERROR(__xludf.DUMMYFUNCTION("""COMPUTED_VALUE"""),"0-0")</f>
        <v>0-0</v>
      </c>
      <c r="G85" s="38"/>
      <c r="H85" s="34">
        <f>IFERROR(__xludf.DUMMYFUNCTION("""COMPUTED_VALUE"""),12.0)</f>
        <v>12</v>
      </c>
      <c r="I85" s="34"/>
      <c r="J85" s="42" t="s">
        <v>215</v>
      </c>
      <c r="R85" s="34"/>
      <c r="S85" s="34"/>
      <c r="T85" s="34"/>
      <c r="U85" s="34"/>
      <c r="V85" s="34"/>
      <c r="W85" s="34"/>
      <c r="X85" s="34"/>
      <c r="Y85" s="34"/>
      <c r="Z85" s="34"/>
      <c r="AA85" s="34"/>
    </row>
    <row r="86">
      <c r="A86" s="20" t="str">
        <f>IFERROR(__xludf.DUMMYFUNCTION("""COMPUTED_VALUE"""),"Liberty")</f>
        <v>Liberty</v>
      </c>
      <c r="B86" s="34" t="str">
        <f>IFERROR(__xludf.DUMMYFUNCTION("""COMPUTED_VALUE"""),"10-1")</f>
        <v>10-1</v>
      </c>
      <c r="C86" s="39">
        <f>IFERROR(__xludf.DUMMYFUNCTION("""COMPUTED_VALUE"""),0.9090909090909091)</f>
        <v>0.9090909091</v>
      </c>
      <c r="D86" s="34" t="str">
        <f>IFERROR(__xludf.DUMMYFUNCTION("""COMPUTED_VALUE"""),"IND")</f>
        <v>IND</v>
      </c>
      <c r="E86" s="34" t="str">
        <f>IFERROR(__xludf.DUMMYFUNCTION("""COMPUTED_VALUE"""),"IND")</f>
        <v>IND</v>
      </c>
      <c r="F86" s="34" t="str">
        <f>IFERROR(__xludf.DUMMYFUNCTION("""COMPUTED_VALUE"""),"1-0")</f>
        <v>1-0</v>
      </c>
      <c r="G86" s="38">
        <f>IFERROR(__xludf.DUMMYFUNCTION("""COMPUTED_VALUE"""),1.0)</f>
        <v>1</v>
      </c>
      <c r="H86" s="34">
        <f>IFERROR(__xludf.DUMMYFUNCTION("""COMPUTED_VALUE"""),11.0)</f>
        <v>11</v>
      </c>
      <c r="I86" s="34"/>
      <c r="J86" s="35" t="str">
        <f>IFERROR(__xludf.DUMMYFUNCTION("QUERY(standings,""SELECT A, D, E, F, G, J, K, R WHERE G = 'IND' ORDER BY E DESC, K DESC, J DESC "",1)"),"Team")</f>
        <v>Team</v>
      </c>
      <c r="K86" s="34" t="str">
        <f>IFERROR(__xludf.DUMMYFUNCTION("""COMPUTED_VALUE"""),"Record")</f>
        <v>Record</v>
      </c>
      <c r="L86" s="34" t="str">
        <f>IFERROR(__xludf.DUMMYFUNCTION("""COMPUTED_VALUE"""),"Ovr Win %")</f>
        <v>Ovr Win %</v>
      </c>
      <c r="M86" s="34" t="str">
        <f>IFERROR(__xludf.DUMMYFUNCTION("""COMPUTED_VALUE"""),"Conf")</f>
        <v>Conf</v>
      </c>
      <c r="N86" s="34" t="str">
        <f>IFERROR(__xludf.DUMMYFUNCTION("""COMPUTED_VALUE"""),"Conf-Div")</f>
        <v>Conf-Div</v>
      </c>
      <c r="O86" s="34" t="str">
        <f>IFERROR(__xludf.DUMMYFUNCTION("""COMPUTED_VALUE"""),"Conf Record")</f>
        <v>Conf Record</v>
      </c>
      <c r="P86" s="34" t="str">
        <f>IFERROR(__xludf.DUMMYFUNCTION("""COMPUTED_VALUE"""),"Conf W %")</f>
        <v>Conf W %</v>
      </c>
      <c r="Q86" s="34" t="str">
        <f>IFERROR(__xludf.DUMMYFUNCTION("""COMPUTED_VALUE"""),"# Games")</f>
        <v># Games</v>
      </c>
      <c r="R86" s="34"/>
      <c r="S86" s="34"/>
      <c r="T86" s="34"/>
      <c r="U86" s="34"/>
      <c r="V86" s="34"/>
      <c r="W86" s="34"/>
      <c r="X86" s="34"/>
      <c r="Y86" s="34"/>
      <c r="Z86" s="34"/>
      <c r="AA86" s="34"/>
    </row>
    <row r="87">
      <c r="A87" s="20" t="str">
        <f>IFERROR(__xludf.DUMMYFUNCTION("""COMPUTED_VALUE"""),"Notre Dame")</f>
        <v>Notre Dame</v>
      </c>
      <c r="B87" s="34" t="str">
        <f>IFERROR(__xludf.DUMMYFUNCTION("""COMPUTED_VALUE"""),"10-2")</f>
        <v>10-2</v>
      </c>
      <c r="C87" s="39">
        <f>IFERROR(__xludf.DUMMYFUNCTION("""COMPUTED_VALUE"""),0.8333333333333334)</f>
        <v>0.8333333333</v>
      </c>
      <c r="D87" s="34" t="str">
        <f>IFERROR(__xludf.DUMMYFUNCTION("""COMPUTED_VALUE"""),"ACC")</f>
        <v>ACC</v>
      </c>
      <c r="E87" s="34" t="str">
        <f>IFERROR(__xludf.DUMMYFUNCTION("""COMPUTED_VALUE"""),"IND")</f>
        <v>IND</v>
      </c>
      <c r="F87" s="34" t="str">
        <f>IFERROR(__xludf.DUMMYFUNCTION("""COMPUTED_VALUE"""),"9-1")</f>
        <v>9-1</v>
      </c>
      <c r="G87" s="38">
        <f>IFERROR(__xludf.DUMMYFUNCTION("""COMPUTED_VALUE"""),0.9)</f>
        <v>0.9</v>
      </c>
      <c r="H87" s="34">
        <f>IFERROR(__xludf.DUMMYFUNCTION("""COMPUTED_VALUE"""),12.0)</f>
        <v>12</v>
      </c>
      <c r="I87" s="34"/>
      <c r="J87" s="20" t="str">
        <f>IFERROR(__xludf.DUMMYFUNCTION("""COMPUTED_VALUE"""),"BYU")</f>
        <v>BYU</v>
      </c>
      <c r="K87" s="34" t="str">
        <f>IFERROR(__xludf.DUMMYFUNCTION("""COMPUTED_VALUE"""),"11-1")</f>
        <v>11-1</v>
      </c>
      <c r="L87" s="39">
        <f>IFERROR(__xludf.DUMMYFUNCTION("""COMPUTED_VALUE"""),0.9166666666666666)</f>
        <v>0.9166666667</v>
      </c>
      <c r="M87" s="34" t="str">
        <f>IFERROR(__xludf.DUMMYFUNCTION("""COMPUTED_VALUE"""),"IND")</f>
        <v>IND</v>
      </c>
      <c r="N87" s="34" t="str">
        <f>IFERROR(__xludf.DUMMYFUNCTION("""COMPUTED_VALUE"""),"IND")</f>
        <v>IND</v>
      </c>
      <c r="O87" s="34" t="str">
        <f>IFERROR(__xludf.DUMMYFUNCTION("""COMPUTED_VALUE"""),"0-0")</f>
        <v>0-0</v>
      </c>
      <c r="P87" s="38"/>
      <c r="Q87" s="34">
        <f>IFERROR(__xludf.DUMMYFUNCTION("""COMPUTED_VALUE"""),12.0)</f>
        <v>12</v>
      </c>
      <c r="R87" s="34"/>
      <c r="S87" s="34"/>
      <c r="T87" s="34"/>
      <c r="U87" s="34"/>
      <c r="V87" s="34"/>
      <c r="W87" s="34"/>
      <c r="X87" s="34"/>
      <c r="Y87" s="34"/>
      <c r="Z87" s="34"/>
      <c r="AA87" s="34"/>
    </row>
    <row r="88">
      <c r="A88" s="20" t="str">
        <f>IFERROR(__xludf.DUMMYFUNCTION("""COMPUTED_VALUE"""),"Army")</f>
        <v>Army</v>
      </c>
      <c r="B88" s="34" t="str">
        <f>IFERROR(__xludf.DUMMYFUNCTION("""COMPUTED_VALUE"""),"9-3")</f>
        <v>9-3</v>
      </c>
      <c r="C88" s="39">
        <f>IFERROR(__xludf.DUMMYFUNCTION("""COMPUTED_VALUE"""),0.75)</f>
        <v>0.75</v>
      </c>
      <c r="D88" s="34" t="str">
        <f>IFERROR(__xludf.DUMMYFUNCTION("""COMPUTED_VALUE"""),"IND")</f>
        <v>IND</v>
      </c>
      <c r="E88" s="34" t="str">
        <f>IFERROR(__xludf.DUMMYFUNCTION("""COMPUTED_VALUE"""),"IND")</f>
        <v>IND</v>
      </c>
      <c r="F88" s="34" t="str">
        <f>IFERROR(__xludf.DUMMYFUNCTION("""COMPUTED_VALUE"""),"0-0")</f>
        <v>0-0</v>
      </c>
      <c r="G88" s="38"/>
      <c r="H88" s="34">
        <f>IFERROR(__xludf.DUMMYFUNCTION("""COMPUTED_VALUE"""),12.0)</f>
        <v>12</v>
      </c>
      <c r="I88" s="34"/>
      <c r="J88" s="20" t="str">
        <f>IFERROR(__xludf.DUMMYFUNCTION("""COMPUTED_VALUE"""),"Liberty")</f>
        <v>Liberty</v>
      </c>
      <c r="K88" s="34" t="str">
        <f>IFERROR(__xludf.DUMMYFUNCTION("""COMPUTED_VALUE"""),"10-1")</f>
        <v>10-1</v>
      </c>
      <c r="L88" s="39">
        <f>IFERROR(__xludf.DUMMYFUNCTION("""COMPUTED_VALUE"""),0.9090909090909091)</f>
        <v>0.9090909091</v>
      </c>
      <c r="M88" s="34" t="str">
        <f>IFERROR(__xludf.DUMMYFUNCTION("""COMPUTED_VALUE"""),"IND")</f>
        <v>IND</v>
      </c>
      <c r="N88" s="34" t="str">
        <f>IFERROR(__xludf.DUMMYFUNCTION("""COMPUTED_VALUE"""),"IND")</f>
        <v>IND</v>
      </c>
      <c r="O88" s="34" t="str">
        <f>IFERROR(__xludf.DUMMYFUNCTION("""COMPUTED_VALUE"""),"1-0")</f>
        <v>1-0</v>
      </c>
      <c r="P88" s="38">
        <f>IFERROR(__xludf.DUMMYFUNCTION("""COMPUTED_VALUE"""),1.0)</f>
        <v>1</v>
      </c>
      <c r="Q88" s="34">
        <f>IFERROR(__xludf.DUMMYFUNCTION("""COMPUTED_VALUE"""),11.0)</f>
        <v>11</v>
      </c>
      <c r="R88" s="34"/>
      <c r="S88" s="34"/>
      <c r="T88" s="34"/>
      <c r="U88" s="34"/>
      <c r="V88" s="34"/>
      <c r="W88" s="34"/>
      <c r="X88" s="34"/>
      <c r="Y88" s="34"/>
      <c r="Z88" s="34"/>
      <c r="AA88" s="34"/>
    </row>
    <row r="89">
      <c r="A89" s="20" t="str">
        <f>IFERROR(__xludf.DUMMYFUNCTION("""COMPUTED_VALUE"""),"Massachusetts")</f>
        <v>Massachusetts</v>
      </c>
      <c r="B89" s="34" t="str">
        <f>IFERROR(__xludf.DUMMYFUNCTION("""COMPUTED_VALUE"""),"0-4")</f>
        <v>0-4</v>
      </c>
      <c r="C89" s="39">
        <f>IFERROR(__xludf.DUMMYFUNCTION("""COMPUTED_VALUE"""),0.0)</f>
        <v>0</v>
      </c>
      <c r="D89" s="34" t="str">
        <f>IFERROR(__xludf.DUMMYFUNCTION("""COMPUTED_VALUE"""),"IND")</f>
        <v>IND</v>
      </c>
      <c r="E89" s="34" t="str">
        <f>IFERROR(__xludf.DUMMYFUNCTION("""COMPUTED_VALUE"""),"IND")</f>
        <v>IND</v>
      </c>
      <c r="F89" s="34" t="str">
        <f>IFERROR(__xludf.DUMMYFUNCTION("""COMPUTED_VALUE"""),"0-1")</f>
        <v>0-1</v>
      </c>
      <c r="G89" s="38">
        <f>IFERROR(__xludf.DUMMYFUNCTION("""COMPUTED_VALUE"""),0.0)</f>
        <v>0</v>
      </c>
      <c r="H89" s="34">
        <f>IFERROR(__xludf.DUMMYFUNCTION("""COMPUTED_VALUE"""),4.0)</f>
        <v>4</v>
      </c>
      <c r="I89" s="34"/>
      <c r="J89" s="20" t="str">
        <f>IFERROR(__xludf.DUMMYFUNCTION("""COMPUTED_VALUE"""),"Notre Dame")</f>
        <v>Notre Dame</v>
      </c>
      <c r="K89" s="34" t="str">
        <f>IFERROR(__xludf.DUMMYFUNCTION("""COMPUTED_VALUE"""),"10-2")</f>
        <v>10-2</v>
      </c>
      <c r="L89" s="39">
        <f>IFERROR(__xludf.DUMMYFUNCTION("""COMPUTED_VALUE"""),0.8333333333333334)</f>
        <v>0.8333333333</v>
      </c>
      <c r="M89" s="34" t="str">
        <f>IFERROR(__xludf.DUMMYFUNCTION("""COMPUTED_VALUE"""),"ACC")</f>
        <v>ACC</v>
      </c>
      <c r="N89" s="34" t="str">
        <f>IFERROR(__xludf.DUMMYFUNCTION("""COMPUTED_VALUE"""),"IND")</f>
        <v>IND</v>
      </c>
      <c r="O89" s="34" t="str">
        <f>IFERROR(__xludf.DUMMYFUNCTION("""COMPUTED_VALUE"""),"9-1")</f>
        <v>9-1</v>
      </c>
      <c r="P89" s="38">
        <f>IFERROR(__xludf.DUMMYFUNCTION("""COMPUTED_VALUE"""),0.9)</f>
        <v>0.9</v>
      </c>
      <c r="Q89" s="34">
        <f>IFERROR(__xludf.DUMMYFUNCTION("""COMPUTED_VALUE"""),12.0)</f>
        <v>12</v>
      </c>
      <c r="R89" s="34"/>
      <c r="S89" s="34"/>
      <c r="T89" s="34"/>
      <c r="U89" s="34"/>
      <c r="V89" s="34"/>
      <c r="W89" s="34"/>
      <c r="X89" s="34"/>
      <c r="Y89" s="34"/>
      <c r="Z89" s="34"/>
      <c r="AA89" s="34"/>
    </row>
    <row r="90">
      <c r="A90" s="20" t="str">
        <f>IFERROR(__xludf.DUMMYFUNCTION("""COMPUTED_VALUE"""),"New Mexico State")</f>
        <v>New Mexico State</v>
      </c>
      <c r="B90" s="34" t="str">
        <f>IFERROR(__xludf.DUMMYFUNCTION("""COMPUTED_VALUE"""),"0-0")</f>
        <v>0-0</v>
      </c>
      <c r="C90" s="39"/>
      <c r="D90" s="34" t="str">
        <f>IFERROR(__xludf.DUMMYFUNCTION("""COMPUTED_VALUE"""),"IND")</f>
        <v>IND</v>
      </c>
      <c r="E90" s="34" t="str">
        <f>IFERROR(__xludf.DUMMYFUNCTION("""COMPUTED_VALUE"""),"IND")</f>
        <v>IND</v>
      </c>
      <c r="F90" s="34" t="str">
        <f>IFERROR(__xludf.DUMMYFUNCTION("""COMPUTED_VALUE"""),"0-0")</f>
        <v>0-0</v>
      </c>
      <c r="G90" s="38"/>
      <c r="H90" s="34">
        <f>IFERROR(__xludf.DUMMYFUNCTION("""COMPUTED_VALUE"""),0.0)</f>
        <v>0</v>
      </c>
      <c r="I90" s="34"/>
      <c r="J90" s="20" t="str">
        <f>IFERROR(__xludf.DUMMYFUNCTION("""COMPUTED_VALUE"""),"Army")</f>
        <v>Army</v>
      </c>
      <c r="K90" s="34" t="str">
        <f>IFERROR(__xludf.DUMMYFUNCTION("""COMPUTED_VALUE"""),"9-3")</f>
        <v>9-3</v>
      </c>
      <c r="L90" s="39">
        <f>IFERROR(__xludf.DUMMYFUNCTION("""COMPUTED_VALUE"""),0.75)</f>
        <v>0.75</v>
      </c>
      <c r="M90" s="34" t="str">
        <f>IFERROR(__xludf.DUMMYFUNCTION("""COMPUTED_VALUE"""),"IND")</f>
        <v>IND</v>
      </c>
      <c r="N90" s="34" t="str">
        <f>IFERROR(__xludf.DUMMYFUNCTION("""COMPUTED_VALUE"""),"IND")</f>
        <v>IND</v>
      </c>
      <c r="O90" s="34" t="str">
        <f>IFERROR(__xludf.DUMMYFUNCTION("""COMPUTED_VALUE"""),"0-0")</f>
        <v>0-0</v>
      </c>
      <c r="P90" s="38"/>
      <c r="Q90" s="34">
        <f>IFERROR(__xludf.DUMMYFUNCTION("""COMPUTED_VALUE"""),12.0)</f>
        <v>12</v>
      </c>
      <c r="R90" s="34"/>
      <c r="S90" s="34"/>
      <c r="T90" s="34"/>
      <c r="U90" s="34"/>
      <c r="V90" s="34"/>
      <c r="W90" s="34"/>
      <c r="X90" s="34"/>
      <c r="Y90" s="34"/>
      <c r="Z90" s="34"/>
      <c r="AA90" s="34"/>
    </row>
    <row r="91">
      <c r="A91" s="42" t="s">
        <v>183</v>
      </c>
      <c r="I91" s="34"/>
      <c r="J91" s="20" t="str">
        <f>IFERROR(__xludf.DUMMYFUNCTION("""COMPUTED_VALUE"""),"Massachusetts")</f>
        <v>Massachusetts</v>
      </c>
      <c r="K91" s="34" t="str">
        <f>IFERROR(__xludf.DUMMYFUNCTION("""COMPUTED_VALUE"""),"0-4")</f>
        <v>0-4</v>
      </c>
      <c r="L91" s="39">
        <f>IFERROR(__xludf.DUMMYFUNCTION("""COMPUTED_VALUE"""),0.0)</f>
        <v>0</v>
      </c>
      <c r="M91" s="34" t="str">
        <f>IFERROR(__xludf.DUMMYFUNCTION("""COMPUTED_VALUE"""),"IND")</f>
        <v>IND</v>
      </c>
      <c r="N91" s="34" t="str">
        <f>IFERROR(__xludf.DUMMYFUNCTION("""COMPUTED_VALUE"""),"IND")</f>
        <v>IND</v>
      </c>
      <c r="O91" s="34" t="str">
        <f>IFERROR(__xludf.DUMMYFUNCTION("""COMPUTED_VALUE"""),"0-1")</f>
        <v>0-1</v>
      </c>
      <c r="P91" s="38">
        <f>IFERROR(__xludf.DUMMYFUNCTION("""COMPUTED_VALUE"""),0.0)</f>
        <v>0</v>
      </c>
      <c r="Q91" s="34">
        <f>IFERROR(__xludf.DUMMYFUNCTION("""COMPUTED_VALUE"""),4.0)</f>
        <v>4</v>
      </c>
      <c r="R91" s="34"/>
      <c r="S91" s="34"/>
      <c r="T91" s="34"/>
      <c r="U91" s="34"/>
      <c r="V91" s="34"/>
      <c r="W91" s="34"/>
      <c r="X91" s="34"/>
      <c r="Y91" s="34"/>
      <c r="Z91" s="34"/>
      <c r="AA91" s="34"/>
    </row>
    <row r="92">
      <c r="A92" s="35" t="str">
        <f>IFERROR(__xludf.DUMMYFUNCTION("QUERY(standings,""SELECT A, D, E, F, G, J, K, R WHERE G = 'MAC-East' ORDER BY K DESC, E DESC, J DESC"",1)"),"Team")</f>
        <v>Team</v>
      </c>
      <c r="B92" s="34" t="str">
        <f>IFERROR(__xludf.DUMMYFUNCTION("""COMPUTED_VALUE"""),"Record")</f>
        <v>Record</v>
      </c>
      <c r="C92" s="34" t="str">
        <f>IFERROR(__xludf.DUMMYFUNCTION("""COMPUTED_VALUE"""),"Ovr Win %")</f>
        <v>Ovr Win %</v>
      </c>
      <c r="D92" s="34" t="str">
        <f>IFERROR(__xludf.DUMMYFUNCTION("""COMPUTED_VALUE"""),"Conf")</f>
        <v>Conf</v>
      </c>
      <c r="E92" s="34" t="str">
        <f>IFERROR(__xludf.DUMMYFUNCTION("""COMPUTED_VALUE"""),"Conf-Div")</f>
        <v>Conf-Div</v>
      </c>
      <c r="F92" s="34" t="str">
        <f>IFERROR(__xludf.DUMMYFUNCTION("""COMPUTED_VALUE"""),"Conf Record")</f>
        <v>Conf Record</v>
      </c>
      <c r="G92" s="34" t="str">
        <f>IFERROR(__xludf.DUMMYFUNCTION("""COMPUTED_VALUE"""),"Conf W %")</f>
        <v>Conf W %</v>
      </c>
      <c r="H92" s="34" t="str">
        <f>IFERROR(__xludf.DUMMYFUNCTION("""COMPUTED_VALUE"""),"# Games")</f>
        <v># Games</v>
      </c>
      <c r="I92" s="34"/>
      <c r="J92" s="20" t="str">
        <f>IFERROR(__xludf.DUMMYFUNCTION("""COMPUTED_VALUE"""),"New Mexico State")</f>
        <v>New Mexico State</v>
      </c>
      <c r="K92" s="34" t="str">
        <f>IFERROR(__xludf.DUMMYFUNCTION("""COMPUTED_VALUE"""),"0-0")</f>
        <v>0-0</v>
      </c>
      <c r="L92" s="39"/>
      <c r="M92" s="34" t="str">
        <f>IFERROR(__xludf.DUMMYFUNCTION("""COMPUTED_VALUE"""),"IND")</f>
        <v>IND</v>
      </c>
      <c r="N92" s="34" t="str">
        <f>IFERROR(__xludf.DUMMYFUNCTION("""COMPUTED_VALUE"""),"IND")</f>
        <v>IND</v>
      </c>
      <c r="O92" s="34" t="str">
        <f>IFERROR(__xludf.DUMMYFUNCTION("""COMPUTED_VALUE"""),"0-0")</f>
        <v>0-0</v>
      </c>
      <c r="P92" s="38"/>
      <c r="Q92" s="34">
        <f>IFERROR(__xludf.DUMMYFUNCTION("""COMPUTED_VALUE"""),0.0)</f>
        <v>0</v>
      </c>
      <c r="R92" s="34"/>
      <c r="S92" s="34"/>
      <c r="T92" s="34"/>
      <c r="U92" s="34"/>
      <c r="V92" s="34"/>
      <c r="W92" s="34"/>
      <c r="X92" s="34"/>
      <c r="Y92" s="34"/>
      <c r="Z92" s="34"/>
      <c r="AA92" s="34"/>
    </row>
    <row r="93">
      <c r="A93" s="20" t="str">
        <f>IFERROR(__xludf.DUMMYFUNCTION("""COMPUTED_VALUE"""),"Buffalo")</f>
        <v>Buffalo</v>
      </c>
      <c r="B93" s="34" t="str">
        <f>IFERROR(__xludf.DUMMYFUNCTION("""COMPUTED_VALUE"""),"6-1")</f>
        <v>6-1</v>
      </c>
      <c r="C93" s="39">
        <f>IFERROR(__xludf.DUMMYFUNCTION("""COMPUTED_VALUE"""),0.8571428571428571)</f>
        <v>0.8571428571</v>
      </c>
      <c r="D93" s="34" t="str">
        <f>IFERROR(__xludf.DUMMYFUNCTION("""COMPUTED_VALUE"""),"MAC")</f>
        <v>MAC</v>
      </c>
      <c r="E93" s="34" t="str">
        <f>IFERROR(__xludf.DUMMYFUNCTION("""COMPUTED_VALUE"""),"MAC-East")</f>
        <v>MAC-East</v>
      </c>
      <c r="F93" s="34" t="str">
        <f>IFERROR(__xludf.DUMMYFUNCTION("""COMPUTED_VALUE"""),"5-1")</f>
        <v>5-1</v>
      </c>
      <c r="G93" s="38">
        <f>IFERROR(__xludf.DUMMYFUNCTION("""COMPUTED_VALUE"""),0.8333333333333334)</f>
        <v>0.8333333333</v>
      </c>
      <c r="H93" s="34">
        <f>IFERROR(__xludf.DUMMYFUNCTION("""COMPUTED_VALUE"""),7.0)</f>
        <v>7</v>
      </c>
      <c r="I93" s="34"/>
      <c r="J93" s="3" t="s">
        <v>229</v>
      </c>
      <c r="L93" s="34">
        <f>COUNTIF(L87:L92,"&gt;=.5")</f>
        <v>4</v>
      </c>
      <c r="M93" s="41">
        <f>COUNTIF(M87:M92,"IND")</f>
        <v>5</v>
      </c>
      <c r="N93" s="34">
        <f>L93/M93</f>
        <v>0.8</v>
      </c>
      <c r="O93" s="34"/>
      <c r="P93" s="34"/>
      <c r="Q93" s="34"/>
      <c r="R93" s="34"/>
      <c r="S93" s="34"/>
      <c r="T93" s="34"/>
      <c r="U93" s="34"/>
      <c r="V93" s="34"/>
      <c r="W93" s="34"/>
      <c r="X93" s="34"/>
      <c r="Y93" s="34"/>
      <c r="Z93" s="34"/>
      <c r="AA93" s="34"/>
    </row>
    <row r="94">
      <c r="A94" s="36" t="str">
        <f>IFERROR(__xludf.DUMMYFUNCTION("""COMPUTED_VALUE"""),"Kent State")</f>
        <v>Kent State</v>
      </c>
      <c r="B94" s="34" t="str">
        <f>IFERROR(__xludf.DUMMYFUNCTION("""COMPUTED_VALUE"""),"3-1")</f>
        <v>3-1</v>
      </c>
      <c r="C94" s="39">
        <f>IFERROR(__xludf.DUMMYFUNCTION("""COMPUTED_VALUE"""),0.75)</f>
        <v>0.75</v>
      </c>
      <c r="D94" s="34" t="str">
        <f>IFERROR(__xludf.DUMMYFUNCTION("""COMPUTED_VALUE"""),"MAC")</f>
        <v>MAC</v>
      </c>
      <c r="E94" s="34" t="str">
        <f>IFERROR(__xludf.DUMMYFUNCTION("""COMPUTED_VALUE"""),"MAC-East")</f>
        <v>MAC-East</v>
      </c>
      <c r="F94" s="34" t="str">
        <f>IFERROR(__xludf.DUMMYFUNCTION("""COMPUTED_VALUE"""),"3-1")</f>
        <v>3-1</v>
      </c>
      <c r="G94" s="38">
        <f>IFERROR(__xludf.DUMMYFUNCTION("""COMPUTED_VALUE"""),0.75)</f>
        <v>0.75</v>
      </c>
      <c r="H94" s="34">
        <f>IFERROR(__xludf.DUMMYFUNCTION("""COMPUTED_VALUE"""),4.0)</f>
        <v>4</v>
      </c>
      <c r="I94" s="34"/>
      <c r="J94" s="34"/>
      <c r="K94" s="34"/>
      <c r="L94" s="34"/>
      <c r="M94" s="34"/>
      <c r="N94" s="34"/>
      <c r="O94" s="34"/>
      <c r="P94" s="34"/>
      <c r="Q94" s="34"/>
      <c r="R94" s="34"/>
      <c r="S94" s="34"/>
      <c r="T94" s="34"/>
      <c r="U94" s="34"/>
      <c r="V94" s="34"/>
      <c r="W94" s="34"/>
      <c r="X94" s="34"/>
      <c r="Y94" s="34"/>
      <c r="Z94" s="34"/>
      <c r="AA94" s="34"/>
    </row>
    <row r="95">
      <c r="A95" s="20" t="str">
        <f>IFERROR(__xludf.DUMMYFUNCTION("""COMPUTED_VALUE"""),"Miami (OH)")</f>
        <v>Miami (OH)</v>
      </c>
      <c r="B95" s="34" t="str">
        <f>IFERROR(__xludf.DUMMYFUNCTION("""COMPUTED_VALUE"""),"2-1")</f>
        <v>2-1</v>
      </c>
      <c r="C95" s="39">
        <f>IFERROR(__xludf.DUMMYFUNCTION("""COMPUTED_VALUE"""),0.6666666666666666)</f>
        <v>0.6666666667</v>
      </c>
      <c r="D95" s="34" t="str">
        <f>IFERROR(__xludf.DUMMYFUNCTION("""COMPUTED_VALUE"""),"MAC")</f>
        <v>MAC</v>
      </c>
      <c r="E95" s="34" t="str">
        <f>IFERROR(__xludf.DUMMYFUNCTION("""COMPUTED_VALUE"""),"MAC-East")</f>
        <v>MAC-East</v>
      </c>
      <c r="F95" s="34" t="str">
        <f>IFERROR(__xludf.DUMMYFUNCTION("""COMPUTED_VALUE"""),"2-1")</f>
        <v>2-1</v>
      </c>
      <c r="G95" s="38">
        <f>IFERROR(__xludf.DUMMYFUNCTION("""COMPUTED_VALUE"""),0.6666666666666666)</f>
        <v>0.6666666667</v>
      </c>
      <c r="H95" s="34">
        <f>IFERROR(__xludf.DUMMYFUNCTION("""COMPUTED_VALUE"""),3.0)</f>
        <v>3</v>
      </c>
      <c r="I95" s="34"/>
      <c r="J95" s="33" t="s">
        <v>49</v>
      </c>
      <c r="R95" s="34"/>
      <c r="S95" s="34"/>
      <c r="T95" s="34"/>
      <c r="U95" s="34"/>
      <c r="V95" s="34"/>
      <c r="W95" s="34"/>
      <c r="X95" s="34"/>
      <c r="Y95" s="34"/>
      <c r="Z95" s="34"/>
      <c r="AA95" s="34"/>
    </row>
    <row r="96">
      <c r="A96" s="20" t="str">
        <f>IFERROR(__xludf.DUMMYFUNCTION("""COMPUTED_VALUE"""),"Ohio")</f>
        <v>Ohio</v>
      </c>
      <c r="B96" s="34" t="str">
        <f>IFERROR(__xludf.DUMMYFUNCTION("""COMPUTED_VALUE"""),"2-1")</f>
        <v>2-1</v>
      </c>
      <c r="C96" s="39">
        <f>IFERROR(__xludf.DUMMYFUNCTION("""COMPUTED_VALUE"""),0.6666666666666666)</f>
        <v>0.6666666667</v>
      </c>
      <c r="D96" s="34" t="str">
        <f>IFERROR(__xludf.DUMMYFUNCTION("""COMPUTED_VALUE"""),"MAC")</f>
        <v>MAC</v>
      </c>
      <c r="E96" s="34" t="str">
        <f>IFERROR(__xludf.DUMMYFUNCTION("""COMPUTED_VALUE"""),"MAC-East")</f>
        <v>MAC-East</v>
      </c>
      <c r="F96" s="34" t="str">
        <f>IFERROR(__xludf.DUMMYFUNCTION("""COMPUTED_VALUE"""),"2-1")</f>
        <v>2-1</v>
      </c>
      <c r="G96" s="38">
        <f>IFERROR(__xludf.DUMMYFUNCTION("""COMPUTED_VALUE"""),0.6666666666666666)</f>
        <v>0.6666666667</v>
      </c>
      <c r="H96" s="34">
        <f>IFERROR(__xludf.DUMMYFUNCTION("""COMPUTED_VALUE"""),3.0)</f>
        <v>3</v>
      </c>
      <c r="I96" s="34"/>
      <c r="J96" s="40" t="str">
        <f>IFERROR(__xludf.DUMMYFUNCTION("QUERY(standings,""SELECT A, D, E, F, G, J, K, R WHERE F = 'MAC' ORDER BY K DESC, E DESC, J DESC "",1)"),"Team")</f>
        <v>Team</v>
      </c>
      <c r="K96" s="34" t="str">
        <f>IFERROR(__xludf.DUMMYFUNCTION("""COMPUTED_VALUE"""),"Record")</f>
        <v>Record</v>
      </c>
      <c r="L96" s="34" t="str">
        <f>IFERROR(__xludf.DUMMYFUNCTION("""COMPUTED_VALUE"""),"Ovr Win %")</f>
        <v>Ovr Win %</v>
      </c>
      <c r="M96" s="34" t="str">
        <f>IFERROR(__xludf.DUMMYFUNCTION("""COMPUTED_VALUE"""),"Conf")</f>
        <v>Conf</v>
      </c>
      <c r="N96" s="34" t="str">
        <f>IFERROR(__xludf.DUMMYFUNCTION("""COMPUTED_VALUE"""),"Conf-Div")</f>
        <v>Conf-Div</v>
      </c>
      <c r="O96" s="34" t="str">
        <f>IFERROR(__xludf.DUMMYFUNCTION("""COMPUTED_VALUE"""),"Conf Record")</f>
        <v>Conf Record</v>
      </c>
      <c r="P96" s="34" t="str">
        <f>IFERROR(__xludf.DUMMYFUNCTION("""COMPUTED_VALUE"""),"Conf W %")</f>
        <v>Conf W %</v>
      </c>
      <c r="Q96" s="34" t="str">
        <f>IFERROR(__xludf.DUMMYFUNCTION("""COMPUTED_VALUE"""),"# Games")</f>
        <v># Games</v>
      </c>
      <c r="R96" s="34"/>
      <c r="S96" s="34"/>
      <c r="T96" s="34"/>
      <c r="U96" s="34"/>
      <c r="V96" s="34"/>
      <c r="W96" s="34"/>
      <c r="X96" s="34"/>
      <c r="Y96" s="34"/>
      <c r="Z96" s="34"/>
      <c r="AA96" s="34"/>
    </row>
    <row r="97">
      <c r="A97" s="20" t="str">
        <f>IFERROR(__xludf.DUMMYFUNCTION("""COMPUTED_VALUE"""),"Akron")</f>
        <v>Akron</v>
      </c>
      <c r="B97" s="34" t="str">
        <f>IFERROR(__xludf.DUMMYFUNCTION("""COMPUTED_VALUE"""),"1-5")</f>
        <v>1-5</v>
      </c>
      <c r="C97" s="39">
        <f>IFERROR(__xludf.DUMMYFUNCTION("""COMPUTED_VALUE"""),0.16666666666666666)</f>
        <v>0.1666666667</v>
      </c>
      <c r="D97" s="34" t="str">
        <f>IFERROR(__xludf.DUMMYFUNCTION("""COMPUTED_VALUE"""),"MAC")</f>
        <v>MAC</v>
      </c>
      <c r="E97" s="34" t="str">
        <f>IFERROR(__xludf.DUMMYFUNCTION("""COMPUTED_VALUE"""),"MAC-East")</f>
        <v>MAC-East</v>
      </c>
      <c r="F97" s="34" t="str">
        <f>IFERROR(__xludf.DUMMYFUNCTION("""COMPUTED_VALUE"""),"1-5")</f>
        <v>1-5</v>
      </c>
      <c r="G97" s="38">
        <f>IFERROR(__xludf.DUMMYFUNCTION("""COMPUTED_VALUE"""),0.16666666666666666)</f>
        <v>0.1666666667</v>
      </c>
      <c r="H97" s="34">
        <f>IFERROR(__xludf.DUMMYFUNCTION("""COMPUTED_VALUE"""),6.0)</f>
        <v>6</v>
      </c>
      <c r="I97" s="34"/>
      <c r="J97" s="34" t="str">
        <f>IFERROR(__xludf.DUMMYFUNCTION("""COMPUTED_VALUE"""),"Ball State")</f>
        <v>Ball State</v>
      </c>
      <c r="K97" s="34" t="str">
        <f>IFERROR(__xludf.DUMMYFUNCTION("""COMPUTED_VALUE"""),"7-1")</f>
        <v>7-1</v>
      </c>
      <c r="L97" s="39">
        <f>IFERROR(__xludf.DUMMYFUNCTION("""COMPUTED_VALUE"""),0.875)</f>
        <v>0.875</v>
      </c>
      <c r="M97" s="34" t="str">
        <f>IFERROR(__xludf.DUMMYFUNCTION("""COMPUTED_VALUE"""),"MAC")</f>
        <v>MAC</v>
      </c>
      <c r="N97" s="34" t="str">
        <f>IFERROR(__xludf.DUMMYFUNCTION("""COMPUTED_VALUE"""),"MAC-West")</f>
        <v>MAC-West</v>
      </c>
      <c r="O97" s="34" t="str">
        <f>IFERROR(__xludf.DUMMYFUNCTION("""COMPUTED_VALUE"""),"6-1")</f>
        <v>6-1</v>
      </c>
      <c r="P97" s="38">
        <f>IFERROR(__xludf.DUMMYFUNCTION("""COMPUTED_VALUE"""),0.8571428571428571)</f>
        <v>0.8571428571</v>
      </c>
      <c r="Q97" s="34">
        <f>IFERROR(__xludf.DUMMYFUNCTION("""COMPUTED_VALUE"""),8.0)</f>
        <v>8</v>
      </c>
      <c r="R97" s="34"/>
      <c r="S97" s="34"/>
      <c r="T97" s="34"/>
      <c r="U97" s="34"/>
      <c r="V97" s="34"/>
      <c r="W97" s="34"/>
      <c r="X97" s="34"/>
      <c r="Y97" s="34"/>
      <c r="Z97" s="34"/>
      <c r="AA97" s="34"/>
    </row>
    <row r="98">
      <c r="A98" s="20" t="str">
        <f>IFERROR(__xludf.DUMMYFUNCTION("""COMPUTED_VALUE"""),"Bowling Green")</f>
        <v>Bowling Green</v>
      </c>
      <c r="B98" s="34" t="str">
        <f>IFERROR(__xludf.DUMMYFUNCTION("""COMPUTED_VALUE"""),"0-5")</f>
        <v>0-5</v>
      </c>
      <c r="C98" s="39">
        <f>IFERROR(__xludf.DUMMYFUNCTION("""COMPUTED_VALUE"""),0.0)</f>
        <v>0</v>
      </c>
      <c r="D98" s="34" t="str">
        <f>IFERROR(__xludf.DUMMYFUNCTION("""COMPUTED_VALUE"""),"MAC")</f>
        <v>MAC</v>
      </c>
      <c r="E98" s="34" t="str">
        <f>IFERROR(__xludf.DUMMYFUNCTION("""COMPUTED_VALUE"""),"MAC-East")</f>
        <v>MAC-East</v>
      </c>
      <c r="F98" s="34" t="str">
        <f>IFERROR(__xludf.DUMMYFUNCTION("""COMPUTED_VALUE"""),"0-5")</f>
        <v>0-5</v>
      </c>
      <c r="G98" s="38">
        <f>IFERROR(__xludf.DUMMYFUNCTION("""COMPUTED_VALUE"""),0.0)</f>
        <v>0</v>
      </c>
      <c r="H98" s="34">
        <f>IFERROR(__xludf.DUMMYFUNCTION("""COMPUTED_VALUE"""),5.0)</f>
        <v>5</v>
      </c>
      <c r="I98" s="34"/>
      <c r="J98" s="34" t="str">
        <f>IFERROR(__xludf.DUMMYFUNCTION("""COMPUTED_VALUE"""),"Buffalo")</f>
        <v>Buffalo</v>
      </c>
      <c r="K98" s="34" t="str">
        <f>IFERROR(__xludf.DUMMYFUNCTION("""COMPUTED_VALUE"""),"6-1")</f>
        <v>6-1</v>
      </c>
      <c r="L98" s="39">
        <f>IFERROR(__xludf.DUMMYFUNCTION("""COMPUTED_VALUE"""),0.8571428571428571)</f>
        <v>0.8571428571</v>
      </c>
      <c r="M98" s="34" t="str">
        <f>IFERROR(__xludf.DUMMYFUNCTION("""COMPUTED_VALUE"""),"MAC")</f>
        <v>MAC</v>
      </c>
      <c r="N98" s="34" t="str">
        <f>IFERROR(__xludf.DUMMYFUNCTION("""COMPUTED_VALUE"""),"MAC-East")</f>
        <v>MAC-East</v>
      </c>
      <c r="O98" s="34" t="str">
        <f>IFERROR(__xludf.DUMMYFUNCTION("""COMPUTED_VALUE"""),"5-1")</f>
        <v>5-1</v>
      </c>
      <c r="P98" s="38">
        <f>IFERROR(__xludf.DUMMYFUNCTION("""COMPUTED_VALUE"""),0.8333333333333334)</f>
        <v>0.8333333333</v>
      </c>
      <c r="Q98" s="34">
        <f>IFERROR(__xludf.DUMMYFUNCTION("""COMPUTED_VALUE"""),7.0)</f>
        <v>7</v>
      </c>
      <c r="R98" s="34"/>
      <c r="S98" s="34"/>
      <c r="T98" s="34"/>
      <c r="U98" s="34"/>
      <c r="V98" s="34"/>
      <c r="W98" s="34"/>
      <c r="X98" s="34"/>
      <c r="Y98" s="34"/>
      <c r="Z98" s="34"/>
      <c r="AA98" s="34"/>
    </row>
    <row r="99">
      <c r="A99" s="42" t="s">
        <v>195</v>
      </c>
      <c r="I99" s="34"/>
      <c r="J99" s="34" t="str">
        <f>IFERROR(__xludf.DUMMYFUNCTION("""COMPUTED_VALUE"""),"Kent State")</f>
        <v>Kent State</v>
      </c>
      <c r="K99" s="34" t="str">
        <f>IFERROR(__xludf.DUMMYFUNCTION("""COMPUTED_VALUE"""),"3-1")</f>
        <v>3-1</v>
      </c>
      <c r="L99" s="39">
        <f>IFERROR(__xludf.DUMMYFUNCTION("""COMPUTED_VALUE"""),0.75)</f>
        <v>0.75</v>
      </c>
      <c r="M99" s="34" t="str">
        <f>IFERROR(__xludf.DUMMYFUNCTION("""COMPUTED_VALUE"""),"MAC")</f>
        <v>MAC</v>
      </c>
      <c r="N99" s="34" t="str">
        <f>IFERROR(__xludf.DUMMYFUNCTION("""COMPUTED_VALUE"""),"MAC-East")</f>
        <v>MAC-East</v>
      </c>
      <c r="O99" s="34" t="str">
        <f>IFERROR(__xludf.DUMMYFUNCTION("""COMPUTED_VALUE"""),"3-1")</f>
        <v>3-1</v>
      </c>
      <c r="P99" s="38">
        <f>IFERROR(__xludf.DUMMYFUNCTION("""COMPUTED_VALUE"""),0.75)</f>
        <v>0.75</v>
      </c>
      <c r="Q99" s="34">
        <f>IFERROR(__xludf.DUMMYFUNCTION("""COMPUTED_VALUE"""),4.0)</f>
        <v>4</v>
      </c>
      <c r="R99" s="34"/>
      <c r="S99" s="34"/>
      <c r="T99" s="34"/>
      <c r="U99" s="34"/>
      <c r="V99" s="34"/>
      <c r="W99" s="34"/>
      <c r="X99" s="34"/>
      <c r="Y99" s="34"/>
      <c r="Z99" s="34"/>
      <c r="AA99" s="34"/>
    </row>
    <row r="100">
      <c r="A100" s="35" t="str">
        <f>IFERROR(__xludf.DUMMYFUNCTION("QUERY(standings,""SELECT A, D, E, F, G, J, K, R WHERE G = 'MAC-West' ORDER BY K DESC, E DESC, J DESC"",1)"),"Team")</f>
        <v>Team</v>
      </c>
      <c r="B100" s="34" t="str">
        <f>IFERROR(__xludf.DUMMYFUNCTION("""COMPUTED_VALUE"""),"Record")</f>
        <v>Record</v>
      </c>
      <c r="C100" s="34" t="str">
        <f>IFERROR(__xludf.DUMMYFUNCTION("""COMPUTED_VALUE"""),"Ovr Win %")</f>
        <v>Ovr Win %</v>
      </c>
      <c r="D100" s="34" t="str">
        <f>IFERROR(__xludf.DUMMYFUNCTION("""COMPUTED_VALUE"""),"Conf")</f>
        <v>Conf</v>
      </c>
      <c r="E100" s="34" t="str">
        <f>IFERROR(__xludf.DUMMYFUNCTION("""COMPUTED_VALUE"""),"Conf-Div")</f>
        <v>Conf-Div</v>
      </c>
      <c r="F100" s="34" t="str">
        <f>IFERROR(__xludf.DUMMYFUNCTION("""COMPUTED_VALUE"""),"Conf Record")</f>
        <v>Conf Record</v>
      </c>
      <c r="G100" s="34" t="str">
        <f>IFERROR(__xludf.DUMMYFUNCTION("""COMPUTED_VALUE"""),"Conf W %")</f>
        <v>Conf W %</v>
      </c>
      <c r="H100" s="34" t="str">
        <f>IFERROR(__xludf.DUMMYFUNCTION("""COMPUTED_VALUE"""),"# Games")</f>
        <v># Games</v>
      </c>
      <c r="I100" s="34"/>
      <c r="J100" s="34" t="str">
        <f>IFERROR(__xludf.DUMMYFUNCTION("""COMPUTED_VALUE"""),"Toledo")</f>
        <v>Toledo</v>
      </c>
      <c r="K100" s="34" t="str">
        <f>IFERROR(__xludf.DUMMYFUNCTION("""COMPUTED_VALUE"""),"4-2")</f>
        <v>4-2</v>
      </c>
      <c r="L100" s="39">
        <f>IFERROR(__xludf.DUMMYFUNCTION("""COMPUTED_VALUE"""),0.6666666666666666)</f>
        <v>0.6666666667</v>
      </c>
      <c r="M100" s="34" t="str">
        <f>IFERROR(__xludf.DUMMYFUNCTION("""COMPUTED_VALUE"""),"MAC")</f>
        <v>MAC</v>
      </c>
      <c r="N100" s="34" t="str">
        <f>IFERROR(__xludf.DUMMYFUNCTION("""COMPUTED_VALUE"""),"MAC-West")</f>
        <v>MAC-West</v>
      </c>
      <c r="O100" s="34" t="str">
        <f>IFERROR(__xludf.DUMMYFUNCTION("""COMPUTED_VALUE"""),"4-2")</f>
        <v>4-2</v>
      </c>
      <c r="P100" s="38">
        <f>IFERROR(__xludf.DUMMYFUNCTION("""COMPUTED_VALUE"""),0.6666666666666666)</f>
        <v>0.6666666667</v>
      </c>
      <c r="Q100" s="34">
        <f>IFERROR(__xludf.DUMMYFUNCTION("""COMPUTED_VALUE"""),6.0)</f>
        <v>6</v>
      </c>
      <c r="R100" s="34"/>
      <c r="S100" s="34"/>
      <c r="T100" s="34"/>
      <c r="U100" s="34"/>
      <c r="V100" s="34"/>
      <c r="W100" s="34"/>
      <c r="X100" s="34"/>
      <c r="Y100" s="34"/>
      <c r="Z100" s="34"/>
      <c r="AA100" s="34"/>
    </row>
    <row r="101">
      <c r="A101" s="36" t="str">
        <f>IFERROR(__xludf.DUMMYFUNCTION("""COMPUTED_VALUE"""),"Ball State")</f>
        <v>Ball State</v>
      </c>
      <c r="B101" s="34" t="str">
        <f>IFERROR(__xludf.DUMMYFUNCTION("""COMPUTED_VALUE"""),"7-1")</f>
        <v>7-1</v>
      </c>
      <c r="C101" s="39">
        <f>IFERROR(__xludf.DUMMYFUNCTION("""COMPUTED_VALUE"""),0.875)</f>
        <v>0.875</v>
      </c>
      <c r="D101" s="34" t="str">
        <f>IFERROR(__xludf.DUMMYFUNCTION("""COMPUTED_VALUE"""),"MAC")</f>
        <v>MAC</v>
      </c>
      <c r="E101" s="34" t="str">
        <f>IFERROR(__xludf.DUMMYFUNCTION("""COMPUTED_VALUE"""),"MAC-West")</f>
        <v>MAC-West</v>
      </c>
      <c r="F101" s="34" t="str">
        <f>IFERROR(__xludf.DUMMYFUNCTION("""COMPUTED_VALUE"""),"6-1")</f>
        <v>6-1</v>
      </c>
      <c r="G101" s="38">
        <f>IFERROR(__xludf.DUMMYFUNCTION("""COMPUTED_VALUE"""),0.8571428571428571)</f>
        <v>0.8571428571</v>
      </c>
      <c r="H101" s="34">
        <f>IFERROR(__xludf.DUMMYFUNCTION("""COMPUTED_VALUE"""),8.0)</f>
        <v>8</v>
      </c>
      <c r="I101" s="34"/>
      <c r="J101" s="34" t="str">
        <f>IFERROR(__xludf.DUMMYFUNCTION("""COMPUTED_VALUE"""),"Western Michigan")</f>
        <v>Western Michigan</v>
      </c>
      <c r="K101" s="34" t="str">
        <f>IFERROR(__xludf.DUMMYFUNCTION("""COMPUTED_VALUE"""),"4-2")</f>
        <v>4-2</v>
      </c>
      <c r="L101" s="39">
        <f>IFERROR(__xludf.DUMMYFUNCTION("""COMPUTED_VALUE"""),0.6666666666666666)</f>
        <v>0.6666666667</v>
      </c>
      <c r="M101" s="34" t="str">
        <f>IFERROR(__xludf.DUMMYFUNCTION("""COMPUTED_VALUE"""),"MAC")</f>
        <v>MAC</v>
      </c>
      <c r="N101" s="34" t="str">
        <f>IFERROR(__xludf.DUMMYFUNCTION("""COMPUTED_VALUE"""),"MAC-West")</f>
        <v>MAC-West</v>
      </c>
      <c r="O101" s="34" t="str">
        <f>IFERROR(__xludf.DUMMYFUNCTION("""COMPUTED_VALUE"""),"4-2")</f>
        <v>4-2</v>
      </c>
      <c r="P101" s="38">
        <f>IFERROR(__xludf.DUMMYFUNCTION("""COMPUTED_VALUE"""),0.6666666666666666)</f>
        <v>0.6666666667</v>
      </c>
      <c r="Q101" s="34">
        <f>IFERROR(__xludf.DUMMYFUNCTION("""COMPUTED_VALUE"""),6.0)</f>
        <v>6</v>
      </c>
      <c r="R101" s="34"/>
      <c r="S101" s="34"/>
      <c r="T101" s="34"/>
      <c r="U101" s="34"/>
      <c r="V101" s="34"/>
      <c r="W101" s="34"/>
      <c r="X101" s="34"/>
      <c r="Y101" s="34"/>
      <c r="Z101" s="34"/>
      <c r="AA101" s="34"/>
    </row>
    <row r="102">
      <c r="A102" s="20" t="str">
        <f>IFERROR(__xludf.DUMMYFUNCTION("""COMPUTED_VALUE"""),"Toledo")</f>
        <v>Toledo</v>
      </c>
      <c r="B102" s="34" t="str">
        <f>IFERROR(__xludf.DUMMYFUNCTION("""COMPUTED_VALUE"""),"4-2")</f>
        <v>4-2</v>
      </c>
      <c r="C102" s="39">
        <f>IFERROR(__xludf.DUMMYFUNCTION("""COMPUTED_VALUE"""),0.6666666666666666)</f>
        <v>0.6666666667</v>
      </c>
      <c r="D102" s="34" t="str">
        <f>IFERROR(__xludf.DUMMYFUNCTION("""COMPUTED_VALUE"""),"MAC")</f>
        <v>MAC</v>
      </c>
      <c r="E102" s="34" t="str">
        <f>IFERROR(__xludf.DUMMYFUNCTION("""COMPUTED_VALUE"""),"MAC-West")</f>
        <v>MAC-West</v>
      </c>
      <c r="F102" s="34" t="str">
        <f>IFERROR(__xludf.DUMMYFUNCTION("""COMPUTED_VALUE"""),"4-2")</f>
        <v>4-2</v>
      </c>
      <c r="G102" s="38">
        <f>IFERROR(__xludf.DUMMYFUNCTION("""COMPUTED_VALUE"""),0.6666666666666666)</f>
        <v>0.6666666667</v>
      </c>
      <c r="H102" s="34">
        <f>IFERROR(__xludf.DUMMYFUNCTION("""COMPUTED_VALUE"""),6.0)</f>
        <v>6</v>
      </c>
      <c r="I102" s="34"/>
      <c r="J102" s="34" t="str">
        <f>IFERROR(__xludf.DUMMYFUNCTION("""COMPUTED_VALUE"""),"Miami (OH)")</f>
        <v>Miami (OH)</v>
      </c>
      <c r="K102" s="34" t="str">
        <f>IFERROR(__xludf.DUMMYFUNCTION("""COMPUTED_VALUE"""),"2-1")</f>
        <v>2-1</v>
      </c>
      <c r="L102" s="39">
        <f>IFERROR(__xludf.DUMMYFUNCTION("""COMPUTED_VALUE"""),0.6666666666666666)</f>
        <v>0.6666666667</v>
      </c>
      <c r="M102" s="34" t="str">
        <f>IFERROR(__xludf.DUMMYFUNCTION("""COMPUTED_VALUE"""),"MAC")</f>
        <v>MAC</v>
      </c>
      <c r="N102" s="34" t="str">
        <f>IFERROR(__xludf.DUMMYFUNCTION("""COMPUTED_VALUE"""),"MAC-East")</f>
        <v>MAC-East</v>
      </c>
      <c r="O102" s="34" t="str">
        <f>IFERROR(__xludf.DUMMYFUNCTION("""COMPUTED_VALUE"""),"2-1")</f>
        <v>2-1</v>
      </c>
      <c r="P102" s="38">
        <f>IFERROR(__xludf.DUMMYFUNCTION("""COMPUTED_VALUE"""),0.6666666666666666)</f>
        <v>0.6666666667</v>
      </c>
      <c r="Q102" s="34">
        <f>IFERROR(__xludf.DUMMYFUNCTION("""COMPUTED_VALUE"""),3.0)</f>
        <v>3</v>
      </c>
      <c r="R102" s="34"/>
      <c r="S102" s="34"/>
      <c r="T102" s="34"/>
      <c r="U102" s="34"/>
      <c r="V102" s="34"/>
      <c r="W102" s="34"/>
      <c r="X102" s="34"/>
      <c r="Y102" s="34"/>
      <c r="Z102" s="34"/>
      <c r="AA102" s="34"/>
    </row>
    <row r="103">
      <c r="A103" s="20" t="str">
        <f>IFERROR(__xludf.DUMMYFUNCTION("""COMPUTED_VALUE"""),"Western Michigan")</f>
        <v>Western Michigan</v>
      </c>
      <c r="B103" s="34" t="str">
        <f>IFERROR(__xludf.DUMMYFUNCTION("""COMPUTED_VALUE"""),"4-2")</f>
        <v>4-2</v>
      </c>
      <c r="C103" s="39">
        <f>IFERROR(__xludf.DUMMYFUNCTION("""COMPUTED_VALUE"""),0.6666666666666666)</f>
        <v>0.6666666667</v>
      </c>
      <c r="D103" s="34" t="str">
        <f>IFERROR(__xludf.DUMMYFUNCTION("""COMPUTED_VALUE"""),"MAC")</f>
        <v>MAC</v>
      </c>
      <c r="E103" s="34" t="str">
        <f>IFERROR(__xludf.DUMMYFUNCTION("""COMPUTED_VALUE"""),"MAC-West")</f>
        <v>MAC-West</v>
      </c>
      <c r="F103" s="34" t="str">
        <f>IFERROR(__xludf.DUMMYFUNCTION("""COMPUTED_VALUE"""),"4-2")</f>
        <v>4-2</v>
      </c>
      <c r="G103" s="38">
        <f>IFERROR(__xludf.DUMMYFUNCTION("""COMPUTED_VALUE"""),0.6666666666666666)</f>
        <v>0.6666666667</v>
      </c>
      <c r="H103" s="34">
        <f>IFERROR(__xludf.DUMMYFUNCTION("""COMPUTED_VALUE"""),6.0)</f>
        <v>6</v>
      </c>
      <c r="I103" s="34"/>
      <c r="J103" s="34" t="str">
        <f>IFERROR(__xludf.DUMMYFUNCTION("""COMPUTED_VALUE"""),"Ohio")</f>
        <v>Ohio</v>
      </c>
      <c r="K103" s="34" t="str">
        <f>IFERROR(__xludf.DUMMYFUNCTION("""COMPUTED_VALUE"""),"2-1")</f>
        <v>2-1</v>
      </c>
      <c r="L103" s="39">
        <f>IFERROR(__xludf.DUMMYFUNCTION("""COMPUTED_VALUE"""),0.6666666666666666)</f>
        <v>0.6666666667</v>
      </c>
      <c r="M103" s="34" t="str">
        <f>IFERROR(__xludf.DUMMYFUNCTION("""COMPUTED_VALUE"""),"MAC")</f>
        <v>MAC</v>
      </c>
      <c r="N103" s="34" t="str">
        <f>IFERROR(__xludf.DUMMYFUNCTION("""COMPUTED_VALUE"""),"MAC-East")</f>
        <v>MAC-East</v>
      </c>
      <c r="O103" s="34" t="str">
        <f>IFERROR(__xludf.DUMMYFUNCTION("""COMPUTED_VALUE"""),"2-1")</f>
        <v>2-1</v>
      </c>
      <c r="P103" s="38">
        <f>IFERROR(__xludf.DUMMYFUNCTION("""COMPUTED_VALUE"""),0.6666666666666666)</f>
        <v>0.6666666667</v>
      </c>
      <c r="Q103" s="34">
        <f>IFERROR(__xludf.DUMMYFUNCTION("""COMPUTED_VALUE"""),3.0)</f>
        <v>3</v>
      </c>
      <c r="R103" s="34"/>
      <c r="S103" s="34"/>
      <c r="T103" s="34"/>
      <c r="U103" s="34"/>
      <c r="V103" s="34"/>
      <c r="W103" s="34"/>
      <c r="X103" s="34"/>
      <c r="Y103" s="34"/>
      <c r="Z103" s="34"/>
      <c r="AA103" s="34"/>
    </row>
    <row r="104">
      <c r="A104" s="20" t="str">
        <f>IFERROR(__xludf.DUMMYFUNCTION("""COMPUTED_VALUE"""),"Central Michigan")</f>
        <v>Central Michigan</v>
      </c>
      <c r="B104" s="34" t="str">
        <f>IFERROR(__xludf.DUMMYFUNCTION("""COMPUTED_VALUE"""),"3-3")</f>
        <v>3-3</v>
      </c>
      <c r="C104" s="39">
        <f>IFERROR(__xludf.DUMMYFUNCTION("""COMPUTED_VALUE"""),0.5)</f>
        <v>0.5</v>
      </c>
      <c r="D104" s="34" t="str">
        <f>IFERROR(__xludf.DUMMYFUNCTION("""COMPUTED_VALUE"""),"MAC")</f>
        <v>MAC</v>
      </c>
      <c r="E104" s="34" t="str">
        <f>IFERROR(__xludf.DUMMYFUNCTION("""COMPUTED_VALUE"""),"MAC-West")</f>
        <v>MAC-West</v>
      </c>
      <c r="F104" s="34" t="str">
        <f>IFERROR(__xludf.DUMMYFUNCTION("""COMPUTED_VALUE"""),"3-3")</f>
        <v>3-3</v>
      </c>
      <c r="G104" s="38">
        <f>IFERROR(__xludf.DUMMYFUNCTION("""COMPUTED_VALUE"""),0.5)</f>
        <v>0.5</v>
      </c>
      <c r="H104" s="34">
        <f>IFERROR(__xludf.DUMMYFUNCTION("""COMPUTED_VALUE"""),6.0)</f>
        <v>6</v>
      </c>
      <c r="I104" s="34"/>
      <c r="J104" s="34" t="str">
        <f>IFERROR(__xludf.DUMMYFUNCTION("""COMPUTED_VALUE"""),"Central Michigan")</f>
        <v>Central Michigan</v>
      </c>
      <c r="K104" s="34" t="str">
        <f>IFERROR(__xludf.DUMMYFUNCTION("""COMPUTED_VALUE"""),"3-3")</f>
        <v>3-3</v>
      </c>
      <c r="L104" s="39">
        <f>IFERROR(__xludf.DUMMYFUNCTION("""COMPUTED_VALUE"""),0.5)</f>
        <v>0.5</v>
      </c>
      <c r="M104" s="34" t="str">
        <f>IFERROR(__xludf.DUMMYFUNCTION("""COMPUTED_VALUE"""),"MAC")</f>
        <v>MAC</v>
      </c>
      <c r="N104" s="34" t="str">
        <f>IFERROR(__xludf.DUMMYFUNCTION("""COMPUTED_VALUE"""),"MAC-West")</f>
        <v>MAC-West</v>
      </c>
      <c r="O104" s="34" t="str">
        <f>IFERROR(__xludf.DUMMYFUNCTION("""COMPUTED_VALUE"""),"3-3")</f>
        <v>3-3</v>
      </c>
      <c r="P104" s="38">
        <f>IFERROR(__xludf.DUMMYFUNCTION("""COMPUTED_VALUE"""),0.5)</f>
        <v>0.5</v>
      </c>
      <c r="Q104" s="34">
        <f>IFERROR(__xludf.DUMMYFUNCTION("""COMPUTED_VALUE"""),6.0)</f>
        <v>6</v>
      </c>
      <c r="R104" s="34"/>
      <c r="S104" s="34"/>
      <c r="T104" s="34"/>
      <c r="U104" s="34"/>
      <c r="V104" s="34"/>
      <c r="W104" s="34"/>
      <c r="X104" s="34"/>
      <c r="Y104" s="34"/>
      <c r="Z104" s="34"/>
      <c r="AA104" s="34"/>
    </row>
    <row r="105">
      <c r="A105" s="20" t="str">
        <f>IFERROR(__xludf.DUMMYFUNCTION("""COMPUTED_VALUE"""),"Eastern Michigan")</f>
        <v>Eastern Michigan</v>
      </c>
      <c r="B105" s="34" t="str">
        <f>IFERROR(__xludf.DUMMYFUNCTION("""COMPUTED_VALUE"""),"2-4")</f>
        <v>2-4</v>
      </c>
      <c r="C105" s="39">
        <f>IFERROR(__xludf.DUMMYFUNCTION("""COMPUTED_VALUE"""),0.3333333333333333)</f>
        <v>0.3333333333</v>
      </c>
      <c r="D105" s="34" t="str">
        <f>IFERROR(__xludf.DUMMYFUNCTION("""COMPUTED_VALUE"""),"MAC")</f>
        <v>MAC</v>
      </c>
      <c r="E105" s="34" t="str">
        <f>IFERROR(__xludf.DUMMYFUNCTION("""COMPUTED_VALUE"""),"MAC-West")</f>
        <v>MAC-West</v>
      </c>
      <c r="F105" s="34" t="str">
        <f>IFERROR(__xludf.DUMMYFUNCTION("""COMPUTED_VALUE"""),"2-4")</f>
        <v>2-4</v>
      </c>
      <c r="G105" s="38">
        <f>IFERROR(__xludf.DUMMYFUNCTION("""COMPUTED_VALUE"""),0.3333333333333333)</f>
        <v>0.3333333333</v>
      </c>
      <c r="H105" s="34">
        <f>IFERROR(__xludf.DUMMYFUNCTION("""COMPUTED_VALUE"""),6.0)</f>
        <v>6</v>
      </c>
      <c r="I105" s="34"/>
      <c r="J105" s="34" t="str">
        <f>IFERROR(__xludf.DUMMYFUNCTION("""COMPUTED_VALUE"""),"Eastern Michigan")</f>
        <v>Eastern Michigan</v>
      </c>
      <c r="K105" s="34" t="str">
        <f>IFERROR(__xludf.DUMMYFUNCTION("""COMPUTED_VALUE"""),"2-4")</f>
        <v>2-4</v>
      </c>
      <c r="L105" s="39">
        <f>IFERROR(__xludf.DUMMYFUNCTION("""COMPUTED_VALUE"""),0.3333333333333333)</f>
        <v>0.3333333333</v>
      </c>
      <c r="M105" s="34" t="str">
        <f>IFERROR(__xludf.DUMMYFUNCTION("""COMPUTED_VALUE"""),"MAC")</f>
        <v>MAC</v>
      </c>
      <c r="N105" s="34" t="str">
        <f>IFERROR(__xludf.DUMMYFUNCTION("""COMPUTED_VALUE"""),"MAC-West")</f>
        <v>MAC-West</v>
      </c>
      <c r="O105" s="34" t="str">
        <f>IFERROR(__xludf.DUMMYFUNCTION("""COMPUTED_VALUE"""),"2-4")</f>
        <v>2-4</v>
      </c>
      <c r="P105" s="38">
        <f>IFERROR(__xludf.DUMMYFUNCTION("""COMPUTED_VALUE"""),0.3333333333333333)</f>
        <v>0.3333333333</v>
      </c>
      <c r="Q105" s="34">
        <f>IFERROR(__xludf.DUMMYFUNCTION("""COMPUTED_VALUE"""),6.0)</f>
        <v>6</v>
      </c>
      <c r="R105" s="34"/>
      <c r="S105" s="34"/>
      <c r="T105" s="34"/>
      <c r="U105" s="34"/>
      <c r="V105" s="34"/>
      <c r="W105" s="34"/>
      <c r="X105" s="34"/>
      <c r="Y105" s="34"/>
      <c r="Z105" s="34"/>
      <c r="AA105" s="34"/>
    </row>
    <row r="106">
      <c r="A106" s="20" t="str">
        <f>IFERROR(__xludf.DUMMYFUNCTION("""COMPUTED_VALUE"""),"Northern Illinois")</f>
        <v>Northern Illinois</v>
      </c>
      <c r="B106" s="34" t="str">
        <f>IFERROR(__xludf.DUMMYFUNCTION("""COMPUTED_VALUE"""),"0-6")</f>
        <v>0-6</v>
      </c>
      <c r="C106" s="39">
        <f>IFERROR(__xludf.DUMMYFUNCTION("""COMPUTED_VALUE"""),0.0)</f>
        <v>0</v>
      </c>
      <c r="D106" s="34" t="str">
        <f>IFERROR(__xludf.DUMMYFUNCTION("""COMPUTED_VALUE"""),"MAC")</f>
        <v>MAC</v>
      </c>
      <c r="E106" s="34" t="str">
        <f>IFERROR(__xludf.DUMMYFUNCTION("""COMPUTED_VALUE"""),"MAC-West")</f>
        <v>MAC-West</v>
      </c>
      <c r="F106" s="34" t="str">
        <f>IFERROR(__xludf.DUMMYFUNCTION("""COMPUTED_VALUE"""),"0-6")</f>
        <v>0-6</v>
      </c>
      <c r="G106" s="38">
        <f>IFERROR(__xludf.DUMMYFUNCTION("""COMPUTED_VALUE"""),0.0)</f>
        <v>0</v>
      </c>
      <c r="H106" s="34">
        <f>IFERROR(__xludf.DUMMYFUNCTION("""COMPUTED_VALUE"""),6.0)</f>
        <v>6</v>
      </c>
      <c r="I106" s="34"/>
      <c r="J106" s="34" t="str">
        <f>IFERROR(__xludf.DUMMYFUNCTION("""COMPUTED_VALUE"""),"Akron")</f>
        <v>Akron</v>
      </c>
      <c r="K106" s="34" t="str">
        <f>IFERROR(__xludf.DUMMYFUNCTION("""COMPUTED_VALUE"""),"1-5")</f>
        <v>1-5</v>
      </c>
      <c r="L106" s="39">
        <f>IFERROR(__xludf.DUMMYFUNCTION("""COMPUTED_VALUE"""),0.16666666666666666)</f>
        <v>0.1666666667</v>
      </c>
      <c r="M106" s="34" t="str">
        <f>IFERROR(__xludf.DUMMYFUNCTION("""COMPUTED_VALUE"""),"MAC")</f>
        <v>MAC</v>
      </c>
      <c r="N106" s="34" t="str">
        <f>IFERROR(__xludf.DUMMYFUNCTION("""COMPUTED_VALUE"""),"MAC-East")</f>
        <v>MAC-East</v>
      </c>
      <c r="O106" s="34" t="str">
        <f>IFERROR(__xludf.DUMMYFUNCTION("""COMPUTED_VALUE"""),"1-5")</f>
        <v>1-5</v>
      </c>
      <c r="P106" s="38">
        <f>IFERROR(__xludf.DUMMYFUNCTION("""COMPUTED_VALUE"""),0.16666666666666666)</f>
        <v>0.1666666667</v>
      </c>
      <c r="Q106" s="34">
        <f>IFERROR(__xludf.DUMMYFUNCTION("""COMPUTED_VALUE"""),6.0)</f>
        <v>6</v>
      </c>
      <c r="R106" s="34"/>
      <c r="S106" s="34"/>
      <c r="T106" s="34"/>
      <c r="U106" s="34"/>
      <c r="V106" s="34"/>
      <c r="W106" s="34"/>
      <c r="X106" s="34"/>
      <c r="Y106" s="34"/>
      <c r="Z106" s="34"/>
      <c r="AA106" s="34"/>
    </row>
    <row r="107">
      <c r="A107" s="42" t="s">
        <v>205</v>
      </c>
      <c r="I107" s="34"/>
      <c r="J107" s="34" t="str">
        <f>IFERROR(__xludf.DUMMYFUNCTION("""COMPUTED_VALUE"""),"Northern Illinois")</f>
        <v>Northern Illinois</v>
      </c>
      <c r="K107" s="34" t="str">
        <f>IFERROR(__xludf.DUMMYFUNCTION("""COMPUTED_VALUE"""),"0-6")</f>
        <v>0-6</v>
      </c>
      <c r="L107" s="39">
        <f>IFERROR(__xludf.DUMMYFUNCTION("""COMPUTED_VALUE"""),0.0)</f>
        <v>0</v>
      </c>
      <c r="M107" s="34" t="str">
        <f>IFERROR(__xludf.DUMMYFUNCTION("""COMPUTED_VALUE"""),"MAC")</f>
        <v>MAC</v>
      </c>
      <c r="N107" s="34" t="str">
        <f>IFERROR(__xludf.DUMMYFUNCTION("""COMPUTED_VALUE"""),"MAC-West")</f>
        <v>MAC-West</v>
      </c>
      <c r="O107" s="34" t="str">
        <f>IFERROR(__xludf.DUMMYFUNCTION("""COMPUTED_VALUE"""),"0-6")</f>
        <v>0-6</v>
      </c>
      <c r="P107" s="38">
        <f>IFERROR(__xludf.DUMMYFUNCTION("""COMPUTED_VALUE"""),0.0)</f>
        <v>0</v>
      </c>
      <c r="Q107" s="34">
        <f>IFERROR(__xludf.DUMMYFUNCTION("""COMPUTED_VALUE"""),6.0)</f>
        <v>6</v>
      </c>
      <c r="R107" s="34"/>
      <c r="S107" s="34"/>
      <c r="T107" s="34"/>
      <c r="U107" s="34"/>
      <c r="V107" s="34"/>
      <c r="W107" s="34"/>
      <c r="X107" s="34"/>
      <c r="Y107" s="34"/>
      <c r="Z107" s="34"/>
      <c r="AA107" s="34"/>
    </row>
    <row r="108">
      <c r="A108" s="35" t="str">
        <f>IFERROR(__xludf.DUMMYFUNCTION("QUERY(standings,""SELECT A, D, E, F, G, J, K, R WHERE G = 'MWC-Mountain' ORDER BY K DESC, E DESC, J DESC "",1)"),"Team")</f>
        <v>Team</v>
      </c>
      <c r="B108" s="34" t="str">
        <f>IFERROR(__xludf.DUMMYFUNCTION("""COMPUTED_VALUE"""),"Record")</f>
        <v>Record</v>
      </c>
      <c r="C108" s="34" t="str">
        <f>IFERROR(__xludf.DUMMYFUNCTION("""COMPUTED_VALUE"""),"Ovr Win %")</f>
        <v>Ovr Win %</v>
      </c>
      <c r="D108" s="34" t="str">
        <f>IFERROR(__xludf.DUMMYFUNCTION("""COMPUTED_VALUE"""),"Conf")</f>
        <v>Conf</v>
      </c>
      <c r="E108" s="34" t="str">
        <f>IFERROR(__xludf.DUMMYFUNCTION("""COMPUTED_VALUE"""),"Conf-Div")</f>
        <v>Conf-Div</v>
      </c>
      <c r="F108" s="34" t="str">
        <f>IFERROR(__xludf.DUMMYFUNCTION("""COMPUTED_VALUE"""),"Conf Record")</f>
        <v>Conf Record</v>
      </c>
      <c r="G108" s="34" t="str">
        <f>IFERROR(__xludf.DUMMYFUNCTION("""COMPUTED_VALUE"""),"Conf W %")</f>
        <v>Conf W %</v>
      </c>
      <c r="H108" s="34" t="str">
        <f>IFERROR(__xludf.DUMMYFUNCTION("""COMPUTED_VALUE"""),"# Games")</f>
        <v># Games</v>
      </c>
      <c r="I108" s="34"/>
      <c r="J108" s="34" t="str">
        <f>IFERROR(__xludf.DUMMYFUNCTION("""COMPUTED_VALUE"""),"Bowling Green")</f>
        <v>Bowling Green</v>
      </c>
      <c r="K108" s="34" t="str">
        <f>IFERROR(__xludf.DUMMYFUNCTION("""COMPUTED_VALUE"""),"0-5")</f>
        <v>0-5</v>
      </c>
      <c r="L108" s="39">
        <f>IFERROR(__xludf.DUMMYFUNCTION("""COMPUTED_VALUE"""),0.0)</f>
        <v>0</v>
      </c>
      <c r="M108" s="34" t="str">
        <f>IFERROR(__xludf.DUMMYFUNCTION("""COMPUTED_VALUE"""),"MAC")</f>
        <v>MAC</v>
      </c>
      <c r="N108" s="34" t="str">
        <f>IFERROR(__xludf.DUMMYFUNCTION("""COMPUTED_VALUE"""),"MAC-East")</f>
        <v>MAC-East</v>
      </c>
      <c r="O108" s="34" t="str">
        <f>IFERROR(__xludf.DUMMYFUNCTION("""COMPUTED_VALUE"""),"0-5")</f>
        <v>0-5</v>
      </c>
      <c r="P108" s="38">
        <f>IFERROR(__xludf.DUMMYFUNCTION("""COMPUTED_VALUE"""),0.0)</f>
        <v>0</v>
      </c>
      <c r="Q108" s="34">
        <f>IFERROR(__xludf.DUMMYFUNCTION("""COMPUTED_VALUE"""),5.0)</f>
        <v>5</v>
      </c>
      <c r="R108" s="34"/>
      <c r="S108" s="34"/>
      <c r="T108" s="34"/>
      <c r="U108" s="34"/>
      <c r="V108" s="34"/>
      <c r="W108" s="34"/>
      <c r="X108" s="34"/>
      <c r="Y108" s="34"/>
      <c r="Z108" s="34"/>
      <c r="AA108" s="34"/>
    </row>
    <row r="109">
      <c r="A109" s="20" t="str">
        <f>IFERROR(__xludf.DUMMYFUNCTION("""COMPUTED_VALUE"""),"Boise State")</f>
        <v>Boise State</v>
      </c>
      <c r="B109" s="34" t="str">
        <f>IFERROR(__xludf.DUMMYFUNCTION("""COMPUTED_VALUE"""),"5-2")</f>
        <v>5-2</v>
      </c>
      <c r="C109" s="39">
        <f>IFERROR(__xludf.DUMMYFUNCTION("""COMPUTED_VALUE"""),0.7142857142857143)</f>
        <v>0.7142857143</v>
      </c>
      <c r="D109" s="34" t="str">
        <f>IFERROR(__xludf.DUMMYFUNCTION("""COMPUTED_VALUE"""),"MWC")</f>
        <v>MWC</v>
      </c>
      <c r="E109" s="34" t="str">
        <f>IFERROR(__xludf.DUMMYFUNCTION("""COMPUTED_VALUE"""),"MWC-Mountain")</f>
        <v>MWC-Mountain</v>
      </c>
      <c r="F109" s="34" t="str">
        <f>IFERROR(__xludf.DUMMYFUNCTION("""COMPUTED_VALUE"""),"5-1")</f>
        <v>5-1</v>
      </c>
      <c r="G109" s="38">
        <f>IFERROR(__xludf.DUMMYFUNCTION("""COMPUTED_VALUE"""),0.8333333333333334)</f>
        <v>0.8333333333</v>
      </c>
      <c r="H109" s="34">
        <f>IFERROR(__xludf.DUMMYFUNCTION("""COMPUTED_VALUE"""),7.0)</f>
        <v>7</v>
      </c>
      <c r="I109" s="34"/>
      <c r="J109" s="3" t="s">
        <v>229</v>
      </c>
      <c r="L109" s="34">
        <f>COUNTIF(L97:L108,"&gt;=.5")</f>
        <v>8</v>
      </c>
      <c r="M109" s="41">
        <f>COUNTIF(M97:M108,"MAC")</f>
        <v>12</v>
      </c>
      <c r="N109" s="34">
        <f>L109/M109</f>
        <v>0.6666666667</v>
      </c>
      <c r="O109" s="34"/>
      <c r="P109" s="34"/>
      <c r="Q109" s="34"/>
      <c r="R109" s="34"/>
      <c r="S109" s="34"/>
      <c r="T109" s="34"/>
      <c r="U109" s="34"/>
      <c r="V109" s="34"/>
      <c r="W109" s="34"/>
      <c r="X109" s="34"/>
      <c r="Y109" s="34"/>
      <c r="Z109" s="34"/>
      <c r="AA109" s="34"/>
    </row>
    <row r="110">
      <c r="A110" s="20" t="str">
        <f>IFERROR(__xludf.DUMMYFUNCTION("""COMPUTED_VALUE"""),"Air Force")</f>
        <v>Air Force</v>
      </c>
      <c r="B110" s="34" t="str">
        <f>IFERROR(__xludf.DUMMYFUNCTION("""COMPUTED_VALUE"""),"3-3")</f>
        <v>3-3</v>
      </c>
      <c r="C110" s="39">
        <f>IFERROR(__xludf.DUMMYFUNCTION("""COMPUTED_VALUE"""),0.5)</f>
        <v>0.5</v>
      </c>
      <c r="D110" s="34" t="str">
        <f>IFERROR(__xludf.DUMMYFUNCTION("""COMPUTED_VALUE"""),"MWC")</f>
        <v>MWC</v>
      </c>
      <c r="E110" s="34" t="str">
        <f>IFERROR(__xludf.DUMMYFUNCTION("""COMPUTED_VALUE"""),"MWC-Mountain")</f>
        <v>MWC-Mountain</v>
      </c>
      <c r="F110" s="34" t="str">
        <f>IFERROR(__xludf.DUMMYFUNCTION("""COMPUTED_VALUE"""),"2-2")</f>
        <v>2-2</v>
      </c>
      <c r="G110" s="38">
        <f>IFERROR(__xludf.DUMMYFUNCTION("""COMPUTED_VALUE"""),0.5)</f>
        <v>0.5</v>
      </c>
      <c r="H110" s="34">
        <f>IFERROR(__xludf.DUMMYFUNCTION("""COMPUTED_VALUE"""),6.0)</f>
        <v>6</v>
      </c>
      <c r="I110" s="34"/>
      <c r="J110" s="34"/>
      <c r="K110" s="34"/>
      <c r="L110" s="34"/>
      <c r="M110" s="34"/>
      <c r="N110" s="34"/>
      <c r="O110" s="34"/>
      <c r="P110" s="34"/>
      <c r="Q110" s="34"/>
      <c r="R110" s="34"/>
      <c r="S110" s="34"/>
      <c r="T110" s="34"/>
      <c r="U110" s="34"/>
      <c r="V110" s="34"/>
      <c r="W110" s="34"/>
      <c r="X110" s="34"/>
      <c r="Y110" s="34"/>
      <c r="Z110" s="34"/>
      <c r="AA110" s="34"/>
    </row>
    <row r="111">
      <c r="A111" s="20" t="str">
        <f>IFERROR(__xludf.DUMMYFUNCTION("""COMPUTED_VALUE"""),"New Mexico")</f>
        <v>New Mexico</v>
      </c>
      <c r="B111" s="34" t="str">
        <f>IFERROR(__xludf.DUMMYFUNCTION("""COMPUTED_VALUE"""),"3-4")</f>
        <v>3-4</v>
      </c>
      <c r="C111" s="39">
        <f>IFERROR(__xludf.DUMMYFUNCTION("""COMPUTED_VALUE"""),0.42857142857142855)</f>
        <v>0.4285714286</v>
      </c>
      <c r="D111" s="34" t="str">
        <f>IFERROR(__xludf.DUMMYFUNCTION("""COMPUTED_VALUE"""),"MWC")</f>
        <v>MWC</v>
      </c>
      <c r="E111" s="34" t="str">
        <f>IFERROR(__xludf.DUMMYFUNCTION("""COMPUTED_VALUE"""),"MWC-Mountain")</f>
        <v>MWC-Mountain</v>
      </c>
      <c r="F111" s="34" t="str">
        <f>IFERROR(__xludf.DUMMYFUNCTION("""COMPUTED_VALUE"""),"3-4")</f>
        <v>3-4</v>
      </c>
      <c r="G111" s="38">
        <f>IFERROR(__xludf.DUMMYFUNCTION("""COMPUTED_VALUE"""),0.42857142857142855)</f>
        <v>0.4285714286</v>
      </c>
      <c r="H111" s="34">
        <f>IFERROR(__xludf.DUMMYFUNCTION("""COMPUTED_VALUE"""),7.0)</f>
        <v>7</v>
      </c>
      <c r="I111" s="34"/>
      <c r="J111" s="33" t="s">
        <v>121</v>
      </c>
      <c r="R111" s="34"/>
      <c r="S111" s="34"/>
      <c r="T111" s="34"/>
      <c r="U111" s="34"/>
      <c r="V111" s="34"/>
      <c r="W111" s="34"/>
      <c r="X111" s="34"/>
      <c r="Y111" s="34"/>
      <c r="Z111" s="34"/>
      <c r="AA111" s="34"/>
    </row>
    <row r="112">
      <c r="A112" s="20" t="str">
        <f>IFERROR(__xludf.DUMMYFUNCTION("""COMPUTED_VALUE"""),"Wyoming")</f>
        <v>Wyoming</v>
      </c>
      <c r="B112" s="34" t="str">
        <f>IFERROR(__xludf.DUMMYFUNCTION("""COMPUTED_VALUE"""),"2-4")</f>
        <v>2-4</v>
      </c>
      <c r="C112" s="39">
        <f>IFERROR(__xludf.DUMMYFUNCTION("""COMPUTED_VALUE"""),0.3333333333333333)</f>
        <v>0.3333333333</v>
      </c>
      <c r="D112" s="34" t="str">
        <f>IFERROR(__xludf.DUMMYFUNCTION("""COMPUTED_VALUE"""),"MWC")</f>
        <v>MWC</v>
      </c>
      <c r="E112" s="34" t="str">
        <f>IFERROR(__xludf.DUMMYFUNCTION("""COMPUTED_VALUE"""),"MWC-Mountain")</f>
        <v>MWC-Mountain</v>
      </c>
      <c r="F112" s="34" t="str">
        <f>IFERROR(__xludf.DUMMYFUNCTION("""COMPUTED_VALUE"""),"2-4")</f>
        <v>2-4</v>
      </c>
      <c r="G112" s="38">
        <f>IFERROR(__xludf.DUMMYFUNCTION("""COMPUTED_VALUE"""),0.3333333333333333)</f>
        <v>0.3333333333</v>
      </c>
      <c r="H112" s="34">
        <f>IFERROR(__xludf.DUMMYFUNCTION("""COMPUTED_VALUE"""),6.0)</f>
        <v>6</v>
      </c>
      <c r="I112" s="34"/>
      <c r="J112" s="34" t="str">
        <f>IFERROR(__xludf.DUMMYFUNCTION("QUERY(standings,""SELECT A, D, E, F, G, J, K, R WHERE F = 'MWC' ORDER BY K DESC, E DESC, J DESC "",1)"),"Team")</f>
        <v>Team</v>
      </c>
      <c r="K112" s="34" t="str">
        <f>IFERROR(__xludf.DUMMYFUNCTION("""COMPUTED_VALUE"""),"Record")</f>
        <v>Record</v>
      </c>
      <c r="L112" s="34" t="str">
        <f>IFERROR(__xludf.DUMMYFUNCTION("""COMPUTED_VALUE"""),"Ovr Win %")</f>
        <v>Ovr Win %</v>
      </c>
      <c r="M112" s="34" t="str">
        <f>IFERROR(__xludf.DUMMYFUNCTION("""COMPUTED_VALUE"""),"Conf")</f>
        <v>Conf</v>
      </c>
      <c r="N112" s="34" t="str">
        <f>IFERROR(__xludf.DUMMYFUNCTION("""COMPUTED_VALUE"""),"Conf-Div")</f>
        <v>Conf-Div</v>
      </c>
      <c r="O112" s="34" t="str">
        <f>IFERROR(__xludf.DUMMYFUNCTION("""COMPUTED_VALUE"""),"Conf Record")</f>
        <v>Conf Record</v>
      </c>
      <c r="P112" s="34" t="str">
        <f>IFERROR(__xludf.DUMMYFUNCTION("""COMPUTED_VALUE"""),"Conf W %")</f>
        <v>Conf W %</v>
      </c>
      <c r="Q112" s="34" t="str">
        <f>IFERROR(__xludf.DUMMYFUNCTION("""COMPUTED_VALUE"""),"# Games")</f>
        <v># Games</v>
      </c>
      <c r="R112" s="34"/>
      <c r="S112" s="34"/>
      <c r="T112" s="34"/>
      <c r="U112" s="34"/>
      <c r="V112" s="34"/>
      <c r="W112" s="34"/>
      <c r="X112" s="34"/>
      <c r="Y112" s="34"/>
      <c r="Z112" s="34"/>
      <c r="AA112" s="34"/>
    </row>
    <row r="113">
      <c r="A113" s="20" t="str">
        <f>IFERROR(__xludf.DUMMYFUNCTION("""COMPUTED_VALUE"""),"Colorado State")</f>
        <v>Colorado State</v>
      </c>
      <c r="B113" s="34" t="str">
        <f>IFERROR(__xludf.DUMMYFUNCTION("""COMPUTED_VALUE"""),"1-3")</f>
        <v>1-3</v>
      </c>
      <c r="C113" s="39">
        <f>IFERROR(__xludf.DUMMYFUNCTION("""COMPUTED_VALUE"""),0.25)</f>
        <v>0.25</v>
      </c>
      <c r="D113" s="34" t="str">
        <f>IFERROR(__xludf.DUMMYFUNCTION("""COMPUTED_VALUE"""),"MWC")</f>
        <v>MWC</v>
      </c>
      <c r="E113" s="34" t="str">
        <f>IFERROR(__xludf.DUMMYFUNCTION("""COMPUTED_VALUE"""),"MWC-Mountain")</f>
        <v>MWC-Mountain</v>
      </c>
      <c r="F113" s="34" t="str">
        <f>IFERROR(__xludf.DUMMYFUNCTION("""COMPUTED_VALUE"""),"1-3")</f>
        <v>1-3</v>
      </c>
      <c r="G113" s="38">
        <f>IFERROR(__xludf.DUMMYFUNCTION("""COMPUTED_VALUE"""),0.25)</f>
        <v>0.25</v>
      </c>
      <c r="H113" s="34">
        <f>IFERROR(__xludf.DUMMYFUNCTION("""COMPUTED_VALUE"""),4.0)</f>
        <v>4</v>
      </c>
      <c r="I113" s="34"/>
      <c r="J113" s="34" t="str">
        <f>IFERROR(__xludf.DUMMYFUNCTION("""COMPUTED_VALUE"""),"San Jose State")</f>
        <v>San Jose State</v>
      </c>
      <c r="K113" s="34" t="str">
        <f>IFERROR(__xludf.DUMMYFUNCTION("""COMPUTED_VALUE"""),"7-1")</f>
        <v>7-1</v>
      </c>
      <c r="L113" s="39">
        <f>IFERROR(__xludf.DUMMYFUNCTION("""COMPUTED_VALUE"""),0.875)</f>
        <v>0.875</v>
      </c>
      <c r="M113" s="34" t="str">
        <f>IFERROR(__xludf.DUMMYFUNCTION("""COMPUTED_VALUE"""),"MWC")</f>
        <v>MWC</v>
      </c>
      <c r="N113" s="34" t="str">
        <f>IFERROR(__xludf.DUMMYFUNCTION("""COMPUTED_VALUE"""),"MWC-West")</f>
        <v>MWC-West</v>
      </c>
      <c r="O113" s="34" t="str">
        <f>IFERROR(__xludf.DUMMYFUNCTION("""COMPUTED_VALUE"""),"7-0")</f>
        <v>7-0</v>
      </c>
      <c r="P113" s="38">
        <f>IFERROR(__xludf.DUMMYFUNCTION("""COMPUTED_VALUE"""),1.0)</f>
        <v>1</v>
      </c>
      <c r="Q113" s="34">
        <f>IFERROR(__xludf.DUMMYFUNCTION("""COMPUTED_VALUE"""),8.0)</f>
        <v>8</v>
      </c>
      <c r="R113" s="34"/>
      <c r="S113" s="34"/>
      <c r="T113" s="34"/>
      <c r="U113" s="34"/>
      <c r="V113" s="34"/>
      <c r="W113" s="34"/>
      <c r="X113" s="34"/>
      <c r="Y113" s="34"/>
      <c r="Z113" s="34"/>
      <c r="AA113" s="34"/>
    </row>
    <row r="114">
      <c r="A114" s="20" t="str">
        <f>IFERROR(__xludf.DUMMYFUNCTION("""COMPUTED_VALUE"""),"Utah State")</f>
        <v>Utah State</v>
      </c>
      <c r="B114" s="34" t="str">
        <f>IFERROR(__xludf.DUMMYFUNCTION("""COMPUTED_VALUE"""),"0-6")</f>
        <v>0-6</v>
      </c>
      <c r="C114" s="39">
        <f>IFERROR(__xludf.DUMMYFUNCTION("""COMPUTED_VALUE"""),0.0)</f>
        <v>0</v>
      </c>
      <c r="D114" s="34" t="str">
        <f>IFERROR(__xludf.DUMMYFUNCTION("""COMPUTED_VALUE"""),"MWC")</f>
        <v>MWC</v>
      </c>
      <c r="E114" s="34" t="str">
        <f>IFERROR(__xludf.DUMMYFUNCTION("""COMPUTED_VALUE"""),"MWC-Mountain")</f>
        <v>MWC-Mountain</v>
      </c>
      <c r="F114" s="34" t="str">
        <f>IFERROR(__xludf.DUMMYFUNCTION("""COMPUTED_VALUE"""),"0-6")</f>
        <v>0-6</v>
      </c>
      <c r="G114" s="38">
        <f>IFERROR(__xludf.DUMMYFUNCTION("""COMPUTED_VALUE"""),0.0)</f>
        <v>0</v>
      </c>
      <c r="H114" s="34">
        <f>IFERROR(__xludf.DUMMYFUNCTION("""COMPUTED_VALUE"""),6.0)</f>
        <v>6</v>
      </c>
      <c r="I114" s="34"/>
      <c r="J114" s="34" t="str">
        <f>IFERROR(__xludf.DUMMYFUNCTION("""COMPUTED_VALUE"""),"Boise State")</f>
        <v>Boise State</v>
      </c>
      <c r="K114" s="34" t="str">
        <f>IFERROR(__xludf.DUMMYFUNCTION("""COMPUTED_VALUE"""),"5-2")</f>
        <v>5-2</v>
      </c>
      <c r="L114" s="39">
        <f>IFERROR(__xludf.DUMMYFUNCTION("""COMPUTED_VALUE"""),0.7142857142857143)</f>
        <v>0.7142857143</v>
      </c>
      <c r="M114" s="34" t="str">
        <f>IFERROR(__xludf.DUMMYFUNCTION("""COMPUTED_VALUE"""),"MWC")</f>
        <v>MWC</v>
      </c>
      <c r="N114" s="34" t="str">
        <f>IFERROR(__xludf.DUMMYFUNCTION("""COMPUTED_VALUE"""),"MWC-Mountain")</f>
        <v>MWC-Mountain</v>
      </c>
      <c r="O114" s="34" t="str">
        <f>IFERROR(__xludf.DUMMYFUNCTION("""COMPUTED_VALUE"""),"5-1")</f>
        <v>5-1</v>
      </c>
      <c r="P114" s="38">
        <f>IFERROR(__xludf.DUMMYFUNCTION("""COMPUTED_VALUE"""),0.8333333333333334)</f>
        <v>0.8333333333</v>
      </c>
      <c r="Q114" s="34">
        <f>IFERROR(__xludf.DUMMYFUNCTION("""COMPUTED_VALUE"""),7.0)</f>
        <v>7</v>
      </c>
      <c r="R114" s="34"/>
      <c r="S114" s="34"/>
      <c r="T114" s="34"/>
      <c r="U114" s="34"/>
      <c r="V114" s="34"/>
      <c r="W114" s="34"/>
      <c r="X114" s="34"/>
      <c r="Y114" s="34"/>
      <c r="Z114" s="34"/>
      <c r="AA114" s="34"/>
    </row>
    <row r="115">
      <c r="A115" s="42" t="s">
        <v>204</v>
      </c>
      <c r="I115" s="34"/>
      <c r="J115" s="34" t="str">
        <f>IFERROR(__xludf.DUMMYFUNCTION("""COMPUTED_VALUE"""),"Nevada")</f>
        <v>Nevada</v>
      </c>
      <c r="K115" s="34" t="str">
        <f>IFERROR(__xludf.DUMMYFUNCTION("""COMPUTED_VALUE"""),"7-2")</f>
        <v>7-2</v>
      </c>
      <c r="L115" s="39">
        <f>IFERROR(__xludf.DUMMYFUNCTION("""COMPUTED_VALUE"""),0.7777777777777778)</f>
        <v>0.7777777778</v>
      </c>
      <c r="M115" s="34" t="str">
        <f>IFERROR(__xludf.DUMMYFUNCTION("""COMPUTED_VALUE"""),"MWC")</f>
        <v>MWC</v>
      </c>
      <c r="N115" s="34" t="str">
        <f>IFERROR(__xludf.DUMMYFUNCTION("""COMPUTED_VALUE"""),"MWC-West")</f>
        <v>MWC-West</v>
      </c>
      <c r="O115" s="34" t="str">
        <f>IFERROR(__xludf.DUMMYFUNCTION("""COMPUTED_VALUE"""),"6-2")</f>
        <v>6-2</v>
      </c>
      <c r="P115" s="38">
        <f>IFERROR(__xludf.DUMMYFUNCTION("""COMPUTED_VALUE"""),0.75)</f>
        <v>0.75</v>
      </c>
      <c r="Q115" s="34">
        <f>IFERROR(__xludf.DUMMYFUNCTION("""COMPUTED_VALUE"""),9.0)</f>
        <v>9</v>
      </c>
      <c r="R115" s="34"/>
      <c r="S115" s="34"/>
      <c r="T115" s="34"/>
      <c r="U115" s="34"/>
      <c r="V115" s="34"/>
      <c r="W115" s="34"/>
      <c r="X115" s="34"/>
      <c r="Y115" s="34"/>
      <c r="Z115" s="34"/>
      <c r="AA115" s="34"/>
    </row>
    <row r="116">
      <c r="A116" s="35" t="str">
        <f>IFERROR(__xludf.DUMMYFUNCTION("QUERY(standings,""SELECT A, D, E, F, G, J, K, R WHERE G = 'MWC-West' ORDER BY K DESC, E DESC, J DESC"",1)"),"Team")</f>
        <v>Team</v>
      </c>
      <c r="B116" s="34" t="str">
        <f>IFERROR(__xludf.DUMMYFUNCTION("""COMPUTED_VALUE"""),"Record")</f>
        <v>Record</v>
      </c>
      <c r="C116" s="34" t="str">
        <f>IFERROR(__xludf.DUMMYFUNCTION("""COMPUTED_VALUE"""),"Ovr Win %")</f>
        <v>Ovr Win %</v>
      </c>
      <c r="D116" s="34" t="str">
        <f>IFERROR(__xludf.DUMMYFUNCTION("""COMPUTED_VALUE"""),"Conf")</f>
        <v>Conf</v>
      </c>
      <c r="E116" s="34" t="str">
        <f>IFERROR(__xludf.DUMMYFUNCTION("""COMPUTED_VALUE"""),"Conf-Div")</f>
        <v>Conf-Div</v>
      </c>
      <c r="F116" s="34" t="str">
        <f>IFERROR(__xludf.DUMMYFUNCTION("""COMPUTED_VALUE"""),"Conf Record")</f>
        <v>Conf Record</v>
      </c>
      <c r="G116" s="34" t="str">
        <f>IFERROR(__xludf.DUMMYFUNCTION("""COMPUTED_VALUE"""),"Conf W %")</f>
        <v>Conf W %</v>
      </c>
      <c r="H116" s="34" t="str">
        <f>IFERROR(__xludf.DUMMYFUNCTION("""COMPUTED_VALUE"""),"# Games")</f>
        <v># Games</v>
      </c>
      <c r="I116" s="34"/>
      <c r="J116" s="34" t="str">
        <f>IFERROR(__xludf.DUMMYFUNCTION("""COMPUTED_VALUE"""),"San Diego State")</f>
        <v>San Diego State</v>
      </c>
      <c r="K116" s="34" t="str">
        <f>IFERROR(__xludf.DUMMYFUNCTION("""COMPUTED_VALUE"""),"4-4")</f>
        <v>4-4</v>
      </c>
      <c r="L116" s="39">
        <f>IFERROR(__xludf.DUMMYFUNCTION("""COMPUTED_VALUE"""),0.5)</f>
        <v>0.5</v>
      </c>
      <c r="M116" s="34" t="str">
        <f>IFERROR(__xludf.DUMMYFUNCTION("""COMPUTED_VALUE"""),"MWC")</f>
        <v>MWC</v>
      </c>
      <c r="N116" s="34" t="str">
        <f>IFERROR(__xludf.DUMMYFUNCTION("""COMPUTED_VALUE"""),"MWC-West")</f>
        <v>MWC-West</v>
      </c>
      <c r="O116" s="34" t="str">
        <f>IFERROR(__xludf.DUMMYFUNCTION("""COMPUTED_VALUE"""),"4-2")</f>
        <v>4-2</v>
      </c>
      <c r="P116" s="38">
        <f>IFERROR(__xludf.DUMMYFUNCTION("""COMPUTED_VALUE"""),0.6666666666666666)</f>
        <v>0.6666666667</v>
      </c>
      <c r="Q116" s="34">
        <f>IFERROR(__xludf.DUMMYFUNCTION("""COMPUTED_VALUE"""),8.0)</f>
        <v>8</v>
      </c>
      <c r="R116" s="34"/>
      <c r="S116" s="34"/>
      <c r="T116" s="34"/>
      <c r="U116" s="34"/>
      <c r="V116" s="34"/>
      <c r="W116" s="34"/>
      <c r="X116" s="34"/>
      <c r="Y116" s="34"/>
      <c r="Z116" s="34"/>
      <c r="AA116" s="34"/>
    </row>
    <row r="117">
      <c r="A117" s="20" t="str">
        <f>IFERROR(__xludf.DUMMYFUNCTION("""COMPUTED_VALUE"""),"San Jose State")</f>
        <v>San Jose State</v>
      </c>
      <c r="B117" s="34" t="str">
        <f>IFERROR(__xludf.DUMMYFUNCTION("""COMPUTED_VALUE"""),"7-1")</f>
        <v>7-1</v>
      </c>
      <c r="C117" s="39">
        <f>IFERROR(__xludf.DUMMYFUNCTION("""COMPUTED_VALUE"""),0.875)</f>
        <v>0.875</v>
      </c>
      <c r="D117" s="34" t="str">
        <f>IFERROR(__xludf.DUMMYFUNCTION("""COMPUTED_VALUE"""),"MWC")</f>
        <v>MWC</v>
      </c>
      <c r="E117" s="34" t="str">
        <f>IFERROR(__xludf.DUMMYFUNCTION("""COMPUTED_VALUE"""),"MWC-West")</f>
        <v>MWC-West</v>
      </c>
      <c r="F117" s="34" t="str">
        <f>IFERROR(__xludf.DUMMYFUNCTION("""COMPUTED_VALUE"""),"7-0")</f>
        <v>7-0</v>
      </c>
      <c r="G117" s="38">
        <f>IFERROR(__xludf.DUMMYFUNCTION("""COMPUTED_VALUE"""),1.0)</f>
        <v>1</v>
      </c>
      <c r="H117" s="34">
        <f>IFERROR(__xludf.DUMMYFUNCTION("""COMPUTED_VALUE"""),8.0)</f>
        <v>8</v>
      </c>
      <c r="I117" s="34"/>
      <c r="J117" s="34" t="str">
        <f>IFERROR(__xludf.DUMMYFUNCTION("""COMPUTED_VALUE"""),"Hawaii")</f>
        <v>Hawaii</v>
      </c>
      <c r="K117" s="34" t="str">
        <f>IFERROR(__xludf.DUMMYFUNCTION("""COMPUTED_VALUE"""),"5-4")</f>
        <v>5-4</v>
      </c>
      <c r="L117" s="39">
        <f>IFERROR(__xludf.DUMMYFUNCTION("""COMPUTED_VALUE"""),0.5555555555555556)</f>
        <v>0.5555555556</v>
      </c>
      <c r="M117" s="34" t="str">
        <f>IFERROR(__xludf.DUMMYFUNCTION("""COMPUTED_VALUE"""),"MWC")</f>
        <v>MWC</v>
      </c>
      <c r="N117" s="34" t="str">
        <f>IFERROR(__xludf.DUMMYFUNCTION("""COMPUTED_VALUE"""),"MWC-West")</f>
        <v>MWC-West</v>
      </c>
      <c r="O117" s="34" t="str">
        <f>IFERROR(__xludf.DUMMYFUNCTION("""COMPUTED_VALUE"""),"4-4")</f>
        <v>4-4</v>
      </c>
      <c r="P117" s="38">
        <f>IFERROR(__xludf.DUMMYFUNCTION("""COMPUTED_VALUE"""),0.5)</f>
        <v>0.5</v>
      </c>
      <c r="Q117" s="34">
        <f>IFERROR(__xludf.DUMMYFUNCTION("""COMPUTED_VALUE"""),9.0)</f>
        <v>9</v>
      </c>
      <c r="R117" s="34"/>
      <c r="S117" s="34"/>
      <c r="T117" s="34"/>
      <c r="U117" s="34"/>
      <c r="V117" s="34"/>
      <c r="W117" s="34"/>
      <c r="X117" s="34"/>
      <c r="Y117" s="34"/>
      <c r="Z117" s="34"/>
      <c r="AA117" s="34"/>
    </row>
    <row r="118">
      <c r="A118" s="20" t="str">
        <f>IFERROR(__xludf.DUMMYFUNCTION("""COMPUTED_VALUE"""),"Nevada")</f>
        <v>Nevada</v>
      </c>
      <c r="B118" s="34" t="str">
        <f>IFERROR(__xludf.DUMMYFUNCTION("""COMPUTED_VALUE"""),"7-2")</f>
        <v>7-2</v>
      </c>
      <c r="C118" s="39">
        <f>IFERROR(__xludf.DUMMYFUNCTION("""COMPUTED_VALUE"""),0.7777777777777778)</f>
        <v>0.7777777778</v>
      </c>
      <c r="D118" s="34" t="str">
        <f>IFERROR(__xludf.DUMMYFUNCTION("""COMPUTED_VALUE"""),"MWC")</f>
        <v>MWC</v>
      </c>
      <c r="E118" s="34" t="str">
        <f>IFERROR(__xludf.DUMMYFUNCTION("""COMPUTED_VALUE"""),"MWC-West")</f>
        <v>MWC-West</v>
      </c>
      <c r="F118" s="34" t="str">
        <f>IFERROR(__xludf.DUMMYFUNCTION("""COMPUTED_VALUE"""),"6-2")</f>
        <v>6-2</v>
      </c>
      <c r="G118" s="38">
        <f>IFERROR(__xludf.DUMMYFUNCTION("""COMPUTED_VALUE"""),0.75)</f>
        <v>0.75</v>
      </c>
      <c r="H118" s="34">
        <f>IFERROR(__xludf.DUMMYFUNCTION("""COMPUTED_VALUE"""),9.0)</f>
        <v>9</v>
      </c>
      <c r="I118" s="34"/>
      <c r="J118" s="34" t="str">
        <f>IFERROR(__xludf.DUMMYFUNCTION("""COMPUTED_VALUE"""),"Fresno State")</f>
        <v>Fresno State</v>
      </c>
      <c r="K118" s="34" t="str">
        <f>IFERROR(__xludf.DUMMYFUNCTION("""COMPUTED_VALUE"""),"3-3")</f>
        <v>3-3</v>
      </c>
      <c r="L118" s="39">
        <f>IFERROR(__xludf.DUMMYFUNCTION("""COMPUTED_VALUE"""),0.5)</f>
        <v>0.5</v>
      </c>
      <c r="M118" s="34" t="str">
        <f>IFERROR(__xludf.DUMMYFUNCTION("""COMPUTED_VALUE"""),"MWC")</f>
        <v>MWC</v>
      </c>
      <c r="N118" s="34" t="str">
        <f>IFERROR(__xludf.DUMMYFUNCTION("""COMPUTED_VALUE"""),"MWC-West")</f>
        <v>MWC-West</v>
      </c>
      <c r="O118" s="34" t="str">
        <f>IFERROR(__xludf.DUMMYFUNCTION("""COMPUTED_VALUE"""),"3-3")</f>
        <v>3-3</v>
      </c>
      <c r="P118" s="38">
        <f>IFERROR(__xludf.DUMMYFUNCTION("""COMPUTED_VALUE"""),0.5)</f>
        <v>0.5</v>
      </c>
      <c r="Q118" s="34">
        <f>IFERROR(__xludf.DUMMYFUNCTION("""COMPUTED_VALUE"""),6.0)</f>
        <v>6</v>
      </c>
      <c r="R118" s="34"/>
      <c r="S118" s="34"/>
      <c r="T118" s="34"/>
      <c r="U118" s="34"/>
      <c r="V118" s="34"/>
      <c r="W118" s="34"/>
      <c r="X118" s="34"/>
      <c r="Y118" s="34"/>
      <c r="Z118" s="34"/>
      <c r="AA118" s="34"/>
    </row>
    <row r="119">
      <c r="A119" s="20" t="str">
        <f>IFERROR(__xludf.DUMMYFUNCTION("""COMPUTED_VALUE"""),"San Diego State")</f>
        <v>San Diego State</v>
      </c>
      <c r="B119" s="34" t="str">
        <f>IFERROR(__xludf.DUMMYFUNCTION("""COMPUTED_VALUE"""),"4-4")</f>
        <v>4-4</v>
      </c>
      <c r="C119" s="39">
        <f>IFERROR(__xludf.DUMMYFUNCTION("""COMPUTED_VALUE"""),0.5)</f>
        <v>0.5</v>
      </c>
      <c r="D119" s="34" t="str">
        <f>IFERROR(__xludf.DUMMYFUNCTION("""COMPUTED_VALUE"""),"MWC")</f>
        <v>MWC</v>
      </c>
      <c r="E119" s="34" t="str">
        <f>IFERROR(__xludf.DUMMYFUNCTION("""COMPUTED_VALUE"""),"MWC-West")</f>
        <v>MWC-West</v>
      </c>
      <c r="F119" s="34" t="str">
        <f>IFERROR(__xludf.DUMMYFUNCTION("""COMPUTED_VALUE"""),"4-2")</f>
        <v>4-2</v>
      </c>
      <c r="G119" s="38">
        <f>IFERROR(__xludf.DUMMYFUNCTION("""COMPUTED_VALUE"""),0.6666666666666666)</f>
        <v>0.6666666667</v>
      </c>
      <c r="H119" s="34">
        <f>IFERROR(__xludf.DUMMYFUNCTION("""COMPUTED_VALUE"""),8.0)</f>
        <v>8</v>
      </c>
      <c r="I119" s="34"/>
      <c r="J119" s="34" t="str">
        <f>IFERROR(__xludf.DUMMYFUNCTION("""COMPUTED_VALUE"""),"Air Force")</f>
        <v>Air Force</v>
      </c>
      <c r="K119" s="34" t="str">
        <f>IFERROR(__xludf.DUMMYFUNCTION("""COMPUTED_VALUE"""),"3-3")</f>
        <v>3-3</v>
      </c>
      <c r="L119" s="39">
        <f>IFERROR(__xludf.DUMMYFUNCTION("""COMPUTED_VALUE"""),0.5)</f>
        <v>0.5</v>
      </c>
      <c r="M119" s="34" t="str">
        <f>IFERROR(__xludf.DUMMYFUNCTION("""COMPUTED_VALUE"""),"MWC")</f>
        <v>MWC</v>
      </c>
      <c r="N119" s="34" t="str">
        <f>IFERROR(__xludf.DUMMYFUNCTION("""COMPUTED_VALUE"""),"MWC-Mountain")</f>
        <v>MWC-Mountain</v>
      </c>
      <c r="O119" s="34" t="str">
        <f>IFERROR(__xludf.DUMMYFUNCTION("""COMPUTED_VALUE"""),"2-2")</f>
        <v>2-2</v>
      </c>
      <c r="P119" s="38">
        <f>IFERROR(__xludf.DUMMYFUNCTION("""COMPUTED_VALUE"""),0.5)</f>
        <v>0.5</v>
      </c>
      <c r="Q119" s="34">
        <f>IFERROR(__xludf.DUMMYFUNCTION("""COMPUTED_VALUE"""),6.0)</f>
        <v>6</v>
      </c>
      <c r="R119" s="34"/>
      <c r="S119" s="34"/>
      <c r="T119" s="34"/>
      <c r="U119" s="34"/>
      <c r="V119" s="34"/>
      <c r="W119" s="34"/>
      <c r="X119" s="34"/>
      <c r="Y119" s="34"/>
      <c r="Z119" s="34"/>
      <c r="AA119" s="34"/>
    </row>
    <row r="120">
      <c r="A120" s="20" t="str">
        <f>IFERROR(__xludf.DUMMYFUNCTION("""COMPUTED_VALUE"""),"Hawaii")</f>
        <v>Hawaii</v>
      </c>
      <c r="B120" s="34" t="str">
        <f>IFERROR(__xludf.DUMMYFUNCTION("""COMPUTED_VALUE"""),"5-4")</f>
        <v>5-4</v>
      </c>
      <c r="C120" s="39">
        <f>IFERROR(__xludf.DUMMYFUNCTION("""COMPUTED_VALUE"""),0.5555555555555556)</f>
        <v>0.5555555556</v>
      </c>
      <c r="D120" s="34" t="str">
        <f>IFERROR(__xludf.DUMMYFUNCTION("""COMPUTED_VALUE"""),"MWC")</f>
        <v>MWC</v>
      </c>
      <c r="E120" s="34" t="str">
        <f>IFERROR(__xludf.DUMMYFUNCTION("""COMPUTED_VALUE"""),"MWC-West")</f>
        <v>MWC-West</v>
      </c>
      <c r="F120" s="34" t="str">
        <f>IFERROR(__xludf.DUMMYFUNCTION("""COMPUTED_VALUE"""),"4-4")</f>
        <v>4-4</v>
      </c>
      <c r="G120" s="38">
        <f>IFERROR(__xludf.DUMMYFUNCTION("""COMPUTED_VALUE"""),0.5)</f>
        <v>0.5</v>
      </c>
      <c r="H120" s="34">
        <f>IFERROR(__xludf.DUMMYFUNCTION("""COMPUTED_VALUE"""),9.0)</f>
        <v>9</v>
      </c>
      <c r="I120" s="34"/>
      <c r="J120" s="34" t="str">
        <f>IFERROR(__xludf.DUMMYFUNCTION("""COMPUTED_VALUE"""),"New Mexico")</f>
        <v>New Mexico</v>
      </c>
      <c r="K120" s="34" t="str">
        <f>IFERROR(__xludf.DUMMYFUNCTION("""COMPUTED_VALUE"""),"3-4")</f>
        <v>3-4</v>
      </c>
      <c r="L120" s="39">
        <f>IFERROR(__xludf.DUMMYFUNCTION("""COMPUTED_VALUE"""),0.42857142857142855)</f>
        <v>0.4285714286</v>
      </c>
      <c r="M120" s="34" t="str">
        <f>IFERROR(__xludf.DUMMYFUNCTION("""COMPUTED_VALUE"""),"MWC")</f>
        <v>MWC</v>
      </c>
      <c r="N120" s="34" t="str">
        <f>IFERROR(__xludf.DUMMYFUNCTION("""COMPUTED_VALUE"""),"MWC-Mountain")</f>
        <v>MWC-Mountain</v>
      </c>
      <c r="O120" s="34" t="str">
        <f>IFERROR(__xludf.DUMMYFUNCTION("""COMPUTED_VALUE"""),"3-4")</f>
        <v>3-4</v>
      </c>
      <c r="P120" s="38">
        <f>IFERROR(__xludf.DUMMYFUNCTION("""COMPUTED_VALUE"""),0.42857142857142855)</f>
        <v>0.4285714286</v>
      </c>
      <c r="Q120" s="34">
        <f>IFERROR(__xludf.DUMMYFUNCTION("""COMPUTED_VALUE"""),7.0)</f>
        <v>7</v>
      </c>
      <c r="R120" s="34"/>
      <c r="S120" s="34"/>
      <c r="T120" s="34"/>
      <c r="U120" s="34"/>
      <c r="V120" s="34"/>
      <c r="W120" s="34"/>
      <c r="X120" s="34"/>
      <c r="Y120" s="34"/>
      <c r="Z120" s="34"/>
      <c r="AA120" s="34"/>
    </row>
    <row r="121">
      <c r="A121" s="20" t="str">
        <f>IFERROR(__xludf.DUMMYFUNCTION("""COMPUTED_VALUE"""),"Fresno State")</f>
        <v>Fresno State</v>
      </c>
      <c r="B121" s="34" t="str">
        <f>IFERROR(__xludf.DUMMYFUNCTION("""COMPUTED_VALUE"""),"3-3")</f>
        <v>3-3</v>
      </c>
      <c r="C121" s="39">
        <f>IFERROR(__xludf.DUMMYFUNCTION("""COMPUTED_VALUE"""),0.5)</f>
        <v>0.5</v>
      </c>
      <c r="D121" s="34" t="str">
        <f>IFERROR(__xludf.DUMMYFUNCTION("""COMPUTED_VALUE"""),"MWC")</f>
        <v>MWC</v>
      </c>
      <c r="E121" s="34" t="str">
        <f>IFERROR(__xludf.DUMMYFUNCTION("""COMPUTED_VALUE"""),"MWC-West")</f>
        <v>MWC-West</v>
      </c>
      <c r="F121" s="34" t="str">
        <f>IFERROR(__xludf.DUMMYFUNCTION("""COMPUTED_VALUE"""),"3-3")</f>
        <v>3-3</v>
      </c>
      <c r="G121" s="38">
        <f>IFERROR(__xludf.DUMMYFUNCTION("""COMPUTED_VALUE"""),0.5)</f>
        <v>0.5</v>
      </c>
      <c r="H121" s="34">
        <f>IFERROR(__xludf.DUMMYFUNCTION("""COMPUTED_VALUE"""),6.0)</f>
        <v>6</v>
      </c>
      <c r="I121" s="34"/>
      <c r="J121" s="34" t="str">
        <f>IFERROR(__xludf.DUMMYFUNCTION("""COMPUTED_VALUE"""),"Wyoming")</f>
        <v>Wyoming</v>
      </c>
      <c r="K121" s="34" t="str">
        <f>IFERROR(__xludf.DUMMYFUNCTION("""COMPUTED_VALUE"""),"2-4")</f>
        <v>2-4</v>
      </c>
      <c r="L121" s="39">
        <f>IFERROR(__xludf.DUMMYFUNCTION("""COMPUTED_VALUE"""),0.3333333333333333)</f>
        <v>0.3333333333</v>
      </c>
      <c r="M121" s="34" t="str">
        <f>IFERROR(__xludf.DUMMYFUNCTION("""COMPUTED_VALUE"""),"MWC")</f>
        <v>MWC</v>
      </c>
      <c r="N121" s="34" t="str">
        <f>IFERROR(__xludf.DUMMYFUNCTION("""COMPUTED_VALUE"""),"MWC-Mountain")</f>
        <v>MWC-Mountain</v>
      </c>
      <c r="O121" s="34" t="str">
        <f>IFERROR(__xludf.DUMMYFUNCTION("""COMPUTED_VALUE"""),"2-4")</f>
        <v>2-4</v>
      </c>
      <c r="P121" s="38">
        <f>IFERROR(__xludf.DUMMYFUNCTION("""COMPUTED_VALUE"""),0.3333333333333333)</f>
        <v>0.3333333333</v>
      </c>
      <c r="Q121" s="34">
        <f>IFERROR(__xludf.DUMMYFUNCTION("""COMPUTED_VALUE"""),6.0)</f>
        <v>6</v>
      </c>
      <c r="R121" s="34"/>
      <c r="S121" s="34"/>
      <c r="T121" s="34"/>
      <c r="U121" s="34"/>
      <c r="V121" s="34"/>
      <c r="W121" s="34"/>
      <c r="X121" s="34"/>
      <c r="Y121" s="34"/>
      <c r="Z121" s="34"/>
      <c r="AA121" s="34"/>
    </row>
    <row r="122">
      <c r="A122" s="20" t="str">
        <f>IFERROR(__xludf.DUMMYFUNCTION("""COMPUTED_VALUE"""),"UNLV")</f>
        <v>UNLV</v>
      </c>
      <c r="B122" s="34" t="str">
        <f>IFERROR(__xludf.DUMMYFUNCTION("""COMPUTED_VALUE"""),"0-6")</f>
        <v>0-6</v>
      </c>
      <c r="C122" s="39">
        <f>IFERROR(__xludf.DUMMYFUNCTION("""COMPUTED_VALUE"""),0.0)</f>
        <v>0</v>
      </c>
      <c r="D122" s="34" t="str">
        <f>IFERROR(__xludf.DUMMYFUNCTION("""COMPUTED_VALUE"""),"MWC")</f>
        <v>MWC</v>
      </c>
      <c r="E122" s="34" t="str">
        <f>IFERROR(__xludf.DUMMYFUNCTION("""COMPUTED_VALUE"""),"MWC-West")</f>
        <v>MWC-West</v>
      </c>
      <c r="F122" s="34" t="str">
        <f>IFERROR(__xludf.DUMMYFUNCTION("""COMPUTED_VALUE"""),"0-6")</f>
        <v>0-6</v>
      </c>
      <c r="G122" s="38">
        <f>IFERROR(__xludf.DUMMYFUNCTION("""COMPUTED_VALUE"""),0.0)</f>
        <v>0</v>
      </c>
      <c r="H122" s="34">
        <f>IFERROR(__xludf.DUMMYFUNCTION("""COMPUTED_VALUE"""),6.0)</f>
        <v>6</v>
      </c>
      <c r="I122" s="34"/>
      <c r="J122" s="34" t="str">
        <f>IFERROR(__xludf.DUMMYFUNCTION("""COMPUTED_VALUE"""),"Colorado State")</f>
        <v>Colorado State</v>
      </c>
      <c r="K122" s="34" t="str">
        <f>IFERROR(__xludf.DUMMYFUNCTION("""COMPUTED_VALUE"""),"1-3")</f>
        <v>1-3</v>
      </c>
      <c r="L122" s="39">
        <f>IFERROR(__xludf.DUMMYFUNCTION("""COMPUTED_VALUE"""),0.25)</f>
        <v>0.25</v>
      </c>
      <c r="M122" s="34" t="str">
        <f>IFERROR(__xludf.DUMMYFUNCTION("""COMPUTED_VALUE"""),"MWC")</f>
        <v>MWC</v>
      </c>
      <c r="N122" s="34" t="str">
        <f>IFERROR(__xludf.DUMMYFUNCTION("""COMPUTED_VALUE"""),"MWC-Mountain")</f>
        <v>MWC-Mountain</v>
      </c>
      <c r="O122" s="34" t="str">
        <f>IFERROR(__xludf.DUMMYFUNCTION("""COMPUTED_VALUE"""),"1-3")</f>
        <v>1-3</v>
      </c>
      <c r="P122" s="38">
        <f>IFERROR(__xludf.DUMMYFUNCTION("""COMPUTED_VALUE"""),0.25)</f>
        <v>0.25</v>
      </c>
      <c r="Q122" s="34">
        <f>IFERROR(__xludf.DUMMYFUNCTION("""COMPUTED_VALUE"""),4.0)</f>
        <v>4</v>
      </c>
      <c r="R122" s="34"/>
      <c r="S122" s="34"/>
      <c r="T122" s="34"/>
      <c r="U122" s="34"/>
      <c r="V122" s="34"/>
      <c r="W122" s="34"/>
      <c r="X122" s="34"/>
      <c r="Y122" s="34"/>
      <c r="Z122" s="34"/>
      <c r="AA122" s="34"/>
    </row>
    <row r="123">
      <c r="A123" s="42" t="s">
        <v>220</v>
      </c>
      <c r="I123" s="34"/>
      <c r="J123" s="34" t="str">
        <f>IFERROR(__xludf.DUMMYFUNCTION("""COMPUTED_VALUE"""),"UNLV")</f>
        <v>UNLV</v>
      </c>
      <c r="K123" s="34" t="str">
        <f>IFERROR(__xludf.DUMMYFUNCTION("""COMPUTED_VALUE"""),"0-6")</f>
        <v>0-6</v>
      </c>
      <c r="L123" s="39">
        <f>IFERROR(__xludf.DUMMYFUNCTION("""COMPUTED_VALUE"""),0.0)</f>
        <v>0</v>
      </c>
      <c r="M123" s="34" t="str">
        <f>IFERROR(__xludf.DUMMYFUNCTION("""COMPUTED_VALUE"""),"MWC")</f>
        <v>MWC</v>
      </c>
      <c r="N123" s="34" t="str">
        <f>IFERROR(__xludf.DUMMYFUNCTION("""COMPUTED_VALUE"""),"MWC-West")</f>
        <v>MWC-West</v>
      </c>
      <c r="O123" s="34" t="str">
        <f>IFERROR(__xludf.DUMMYFUNCTION("""COMPUTED_VALUE"""),"0-6")</f>
        <v>0-6</v>
      </c>
      <c r="P123" s="38">
        <f>IFERROR(__xludf.DUMMYFUNCTION("""COMPUTED_VALUE"""),0.0)</f>
        <v>0</v>
      </c>
      <c r="Q123" s="34">
        <f>IFERROR(__xludf.DUMMYFUNCTION("""COMPUTED_VALUE"""),6.0)</f>
        <v>6</v>
      </c>
      <c r="R123" s="34"/>
      <c r="S123" s="34"/>
      <c r="T123" s="34"/>
      <c r="U123" s="34"/>
      <c r="V123" s="34"/>
      <c r="W123" s="34"/>
      <c r="X123" s="34"/>
      <c r="Y123" s="34"/>
      <c r="Z123" s="34"/>
      <c r="AA123" s="34"/>
    </row>
    <row r="124">
      <c r="A124" s="35" t="str">
        <f>IFERROR(__xludf.DUMMYFUNCTION("QUERY(standings,""SELECT A, D, E, F, G, J, K, R WHERE G = 'PAC12-North' ORDER BY K DESC, E DESC, J DESC"",1)"),"Team")</f>
        <v>Team</v>
      </c>
      <c r="B124" s="34" t="str">
        <f>IFERROR(__xludf.DUMMYFUNCTION("""COMPUTED_VALUE"""),"Record")</f>
        <v>Record</v>
      </c>
      <c r="C124" s="34" t="str">
        <f>IFERROR(__xludf.DUMMYFUNCTION("""COMPUTED_VALUE"""),"Ovr Win %")</f>
        <v>Ovr Win %</v>
      </c>
      <c r="D124" s="34" t="str">
        <f>IFERROR(__xludf.DUMMYFUNCTION("""COMPUTED_VALUE"""),"Conf")</f>
        <v>Conf</v>
      </c>
      <c r="E124" s="34" t="str">
        <f>IFERROR(__xludf.DUMMYFUNCTION("""COMPUTED_VALUE"""),"Conf-Div")</f>
        <v>Conf-Div</v>
      </c>
      <c r="F124" s="34" t="str">
        <f>IFERROR(__xludf.DUMMYFUNCTION("""COMPUTED_VALUE"""),"Conf Record")</f>
        <v>Conf Record</v>
      </c>
      <c r="G124" s="34" t="str">
        <f>IFERROR(__xludf.DUMMYFUNCTION("""COMPUTED_VALUE"""),"Conf W %")</f>
        <v>Conf W %</v>
      </c>
      <c r="H124" s="34" t="str">
        <f>IFERROR(__xludf.DUMMYFUNCTION("""COMPUTED_VALUE"""),"# Games")</f>
        <v># Games</v>
      </c>
      <c r="I124" s="34"/>
      <c r="J124" s="34" t="str">
        <f>IFERROR(__xludf.DUMMYFUNCTION("""COMPUTED_VALUE"""),"Utah State")</f>
        <v>Utah State</v>
      </c>
      <c r="K124" s="34" t="str">
        <f>IFERROR(__xludf.DUMMYFUNCTION("""COMPUTED_VALUE"""),"0-6")</f>
        <v>0-6</v>
      </c>
      <c r="L124" s="39">
        <f>IFERROR(__xludf.DUMMYFUNCTION("""COMPUTED_VALUE"""),0.0)</f>
        <v>0</v>
      </c>
      <c r="M124" s="34" t="str">
        <f>IFERROR(__xludf.DUMMYFUNCTION("""COMPUTED_VALUE"""),"MWC")</f>
        <v>MWC</v>
      </c>
      <c r="N124" s="34" t="str">
        <f>IFERROR(__xludf.DUMMYFUNCTION("""COMPUTED_VALUE"""),"MWC-Mountain")</f>
        <v>MWC-Mountain</v>
      </c>
      <c r="O124" s="34" t="str">
        <f>IFERROR(__xludf.DUMMYFUNCTION("""COMPUTED_VALUE"""),"0-6")</f>
        <v>0-6</v>
      </c>
      <c r="P124" s="38">
        <f>IFERROR(__xludf.DUMMYFUNCTION("""COMPUTED_VALUE"""),0.0)</f>
        <v>0</v>
      </c>
      <c r="Q124" s="34">
        <f>IFERROR(__xludf.DUMMYFUNCTION("""COMPUTED_VALUE"""),6.0)</f>
        <v>6</v>
      </c>
      <c r="R124" s="34"/>
      <c r="S124" s="34"/>
      <c r="T124" s="34"/>
      <c r="U124" s="34"/>
      <c r="V124" s="34"/>
      <c r="W124" s="34"/>
      <c r="X124" s="34"/>
      <c r="Y124" s="34"/>
      <c r="Z124" s="34"/>
      <c r="AA124" s="34"/>
    </row>
    <row r="125">
      <c r="A125" s="20" t="str">
        <f>IFERROR(__xludf.DUMMYFUNCTION("""COMPUTED_VALUE"""),"Washington")</f>
        <v>Washington</v>
      </c>
      <c r="B125" s="34" t="str">
        <f>IFERROR(__xludf.DUMMYFUNCTION("""COMPUTED_VALUE"""),"3-1")</f>
        <v>3-1</v>
      </c>
      <c r="C125" s="39">
        <f>IFERROR(__xludf.DUMMYFUNCTION("""COMPUTED_VALUE"""),0.75)</f>
        <v>0.75</v>
      </c>
      <c r="D125" s="34" t="str">
        <f>IFERROR(__xludf.DUMMYFUNCTION("""COMPUTED_VALUE"""),"PAC12")</f>
        <v>PAC12</v>
      </c>
      <c r="E125" s="34" t="str">
        <f>IFERROR(__xludf.DUMMYFUNCTION("""COMPUTED_VALUE"""),"PAC12-North")</f>
        <v>PAC12-North</v>
      </c>
      <c r="F125" s="34" t="str">
        <f>IFERROR(__xludf.DUMMYFUNCTION("""COMPUTED_VALUE"""),"3-1")</f>
        <v>3-1</v>
      </c>
      <c r="G125" s="38">
        <f>IFERROR(__xludf.DUMMYFUNCTION("""COMPUTED_VALUE"""),0.75)</f>
        <v>0.75</v>
      </c>
      <c r="H125" s="34">
        <f>IFERROR(__xludf.DUMMYFUNCTION("""COMPUTED_VALUE"""),4.0)</f>
        <v>4</v>
      </c>
      <c r="I125" s="34"/>
      <c r="J125" s="3" t="s">
        <v>229</v>
      </c>
      <c r="L125" s="34">
        <f>COUNTIF(L113:L124,"&gt;=.5")</f>
        <v>7</v>
      </c>
      <c r="M125" s="41">
        <f>COUNTIF(M113:M124,"MWC")</f>
        <v>12</v>
      </c>
      <c r="N125" s="34">
        <f>L125/M125</f>
        <v>0.5833333333</v>
      </c>
      <c r="O125" s="34"/>
      <c r="P125" s="34"/>
      <c r="Q125" s="34"/>
      <c r="R125" s="34"/>
      <c r="S125" s="34"/>
      <c r="T125" s="34"/>
      <c r="U125" s="34"/>
      <c r="V125" s="34"/>
      <c r="W125" s="34"/>
      <c r="X125" s="34"/>
      <c r="Y125" s="34"/>
      <c r="Z125" s="34"/>
      <c r="AA125" s="34"/>
    </row>
    <row r="126">
      <c r="A126" s="20" t="str">
        <f>IFERROR(__xludf.DUMMYFUNCTION("""COMPUTED_VALUE"""),"Stanford")</f>
        <v>Stanford</v>
      </c>
      <c r="B126" s="34" t="str">
        <f>IFERROR(__xludf.DUMMYFUNCTION("""COMPUTED_VALUE"""),"4-2")</f>
        <v>4-2</v>
      </c>
      <c r="C126" s="39">
        <f>IFERROR(__xludf.DUMMYFUNCTION("""COMPUTED_VALUE"""),0.6666666666666666)</f>
        <v>0.6666666667</v>
      </c>
      <c r="D126" s="34" t="str">
        <f>IFERROR(__xludf.DUMMYFUNCTION("""COMPUTED_VALUE"""),"PAC12")</f>
        <v>PAC12</v>
      </c>
      <c r="E126" s="34" t="str">
        <f>IFERROR(__xludf.DUMMYFUNCTION("""COMPUTED_VALUE"""),"PAC12-North")</f>
        <v>PAC12-North</v>
      </c>
      <c r="F126" s="34" t="str">
        <f>IFERROR(__xludf.DUMMYFUNCTION("""COMPUTED_VALUE"""),"4-2")</f>
        <v>4-2</v>
      </c>
      <c r="G126" s="38">
        <f>IFERROR(__xludf.DUMMYFUNCTION("""COMPUTED_VALUE"""),0.6666666666666666)</f>
        <v>0.6666666667</v>
      </c>
      <c r="H126" s="34">
        <f>IFERROR(__xludf.DUMMYFUNCTION("""COMPUTED_VALUE"""),6.0)</f>
        <v>6</v>
      </c>
      <c r="I126" s="34"/>
      <c r="J126" s="34"/>
      <c r="K126" s="34"/>
      <c r="L126" s="34"/>
      <c r="M126" s="34"/>
      <c r="N126" s="34"/>
      <c r="O126" s="34"/>
      <c r="P126" s="34"/>
      <c r="Q126" s="34"/>
      <c r="R126" s="34"/>
      <c r="S126" s="34"/>
      <c r="T126" s="34"/>
      <c r="U126" s="34"/>
      <c r="V126" s="34"/>
      <c r="W126" s="34"/>
      <c r="X126" s="34"/>
      <c r="Y126" s="34"/>
      <c r="Z126" s="34"/>
      <c r="AA126" s="34"/>
    </row>
    <row r="127">
      <c r="A127" s="20" t="str">
        <f>IFERROR(__xludf.DUMMYFUNCTION("""COMPUTED_VALUE"""),"Oregon")</f>
        <v>Oregon</v>
      </c>
      <c r="B127" s="34" t="str">
        <f>IFERROR(__xludf.DUMMYFUNCTION("""COMPUTED_VALUE"""),"4-3")</f>
        <v>4-3</v>
      </c>
      <c r="C127" s="39">
        <f>IFERROR(__xludf.DUMMYFUNCTION("""COMPUTED_VALUE"""),0.5714285714285714)</f>
        <v>0.5714285714</v>
      </c>
      <c r="D127" s="34" t="str">
        <f>IFERROR(__xludf.DUMMYFUNCTION("""COMPUTED_VALUE"""),"PAC12")</f>
        <v>PAC12</v>
      </c>
      <c r="E127" s="34" t="str">
        <f>IFERROR(__xludf.DUMMYFUNCTION("""COMPUTED_VALUE"""),"PAC12-North")</f>
        <v>PAC12-North</v>
      </c>
      <c r="F127" s="34" t="str">
        <f>IFERROR(__xludf.DUMMYFUNCTION("""COMPUTED_VALUE"""),"4-2")</f>
        <v>4-2</v>
      </c>
      <c r="G127" s="38">
        <f>IFERROR(__xludf.DUMMYFUNCTION("""COMPUTED_VALUE"""),0.6666666666666666)</f>
        <v>0.6666666667</v>
      </c>
      <c r="H127" s="34">
        <f>IFERROR(__xludf.DUMMYFUNCTION("""COMPUTED_VALUE"""),7.0)</f>
        <v>7</v>
      </c>
      <c r="I127" s="34"/>
      <c r="J127" s="33" t="s">
        <v>165</v>
      </c>
      <c r="R127" s="34"/>
      <c r="S127" s="34"/>
      <c r="T127" s="34"/>
      <c r="U127" s="34"/>
      <c r="V127" s="34"/>
      <c r="W127" s="34"/>
      <c r="X127" s="34"/>
      <c r="Y127" s="34"/>
      <c r="Z127" s="34"/>
      <c r="AA127" s="34"/>
    </row>
    <row r="128">
      <c r="A128" s="20" t="str">
        <f>IFERROR(__xludf.DUMMYFUNCTION("""COMPUTED_VALUE"""),"Oregon State")</f>
        <v>Oregon State</v>
      </c>
      <c r="B128" s="34" t="str">
        <f>IFERROR(__xludf.DUMMYFUNCTION("""COMPUTED_VALUE"""),"2-5")</f>
        <v>2-5</v>
      </c>
      <c r="C128" s="39">
        <f>IFERROR(__xludf.DUMMYFUNCTION("""COMPUTED_VALUE"""),0.2857142857142857)</f>
        <v>0.2857142857</v>
      </c>
      <c r="D128" s="34" t="str">
        <f>IFERROR(__xludf.DUMMYFUNCTION("""COMPUTED_VALUE"""),"PAC12")</f>
        <v>PAC12</v>
      </c>
      <c r="E128" s="34" t="str">
        <f>IFERROR(__xludf.DUMMYFUNCTION("""COMPUTED_VALUE"""),"PAC12-North")</f>
        <v>PAC12-North</v>
      </c>
      <c r="F128" s="34" t="str">
        <f>IFERROR(__xludf.DUMMYFUNCTION("""COMPUTED_VALUE"""),"2-5")</f>
        <v>2-5</v>
      </c>
      <c r="G128" s="38">
        <f>IFERROR(__xludf.DUMMYFUNCTION("""COMPUTED_VALUE"""),0.2857142857142857)</f>
        <v>0.2857142857</v>
      </c>
      <c r="H128" s="34">
        <f>IFERROR(__xludf.DUMMYFUNCTION("""COMPUTED_VALUE"""),7.0)</f>
        <v>7</v>
      </c>
      <c r="I128" s="34"/>
      <c r="J128" s="40" t="str">
        <f>IFERROR(__xludf.DUMMYFUNCTION("QUERY(standings,""SELECT A, D, E, F, G, J, K, R WHERE F = 'PAC12' ORDER BY K DESC, E DESC, J DESC"",1)"),"Team")</f>
        <v>Team</v>
      </c>
      <c r="K128" s="34" t="str">
        <f>IFERROR(__xludf.DUMMYFUNCTION("""COMPUTED_VALUE"""),"Record")</f>
        <v>Record</v>
      </c>
      <c r="L128" s="34" t="str">
        <f>IFERROR(__xludf.DUMMYFUNCTION("""COMPUTED_VALUE"""),"Ovr Win %")</f>
        <v>Ovr Win %</v>
      </c>
      <c r="M128" s="34" t="str">
        <f>IFERROR(__xludf.DUMMYFUNCTION("""COMPUTED_VALUE"""),"Conf")</f>
        <v>Conf</v>
      </c>
      <c r="N128" s="34" t="str">
        <f>IFERROR(__xludf.DUMMYFUNCTION("""COMPUTED_VALUE"""),"Conf-Div")</f>
        <v>Conf-Div</v>
      </c>
      <c r="O128" s="34" t="str">
        <f>IFERROR(__xludf.DUMMYFUNCTION("""COMPUTED_VALUE"""),"Conf Record")</f>
        <v>Conf Record</v>
      </c>
      <c r="P128" s="34" t="str">
        <f>IFERROR(__xludf.DUMMYFUNCTION("""COMPUTED_VALUE"""),"Conf W %")</f>
        <v>Conf W %</v>
      </c>
      <c r="Q128" s="34" t="str">
        <f>IFERROR(__xludf.DUMMYFUNCTION("""COMPUTED_VALUE"""),"# Games")</f>
        <v># Games</v>
      </c>
      <c r="R128" s="34"/>
      <c r="S128" s="34"/>
      <c r="T128" s="34"/>
      <c r="U128" s="34"/>
      <c r="V128" s="34"/>
      <c r="W128" s="34"/>
      <c r="X128" s="34"/>
      <c r="Y128" s="34"/>
      <c r="Z128" s="34"/>
      <c r="AA128" s="34"/>
    </row>
    <row r="129">
      <c r="A129" s="20" t="str">
        <f>IFERROR(__xludf.DUMMYFUNCTION("""COMPUTED_VALUE"""),"California")</f>
        <v>California</v>
      </c>
      <c r="B129" s="34" t="str">
        <f>IFERROR(__xludf.DUMMYFUNCTION("""COMPUTED_VALUE"""),"1-3")</f>
        <v>1-3</v>
      </c>
      <c r="C129" s="39">
        <f>IFERROR(__xludf.DUMMYFUNCTION("""COMPUTED_VALUE"""),0.25)</f>
        <v>0.25</v>
      </c>
      <c r="D129" s="34" t="str">
        <f>IFERROR(__xludf.DUMMYFUNCTION("""COMPUTED_VALUE"""),"PAC12")</f>
        <v>PAC12</v>
      </c>
      <c r="E129" s="34" t="str">
        <f>IFERROR(__xludf.DUMMYFUNCTION("""COMPUTED_VALUE"""),"PAC12-North")</f>
        <v>PAC12-North</v>
      </c>
      <c r="F129" s="34" t="str">
        <f>IFERROR(__xludf.DUMMYFUNCTION("""COMPUTED_VALUE"""),"1-3")</f>
        <v>1-3</v>
      </c>
      <c r="G129" s="38">
        <f>IFERROR(__xludf.DUMMYFUNCTION("""COMPUTED_VALUE"""),0.25)</f>
        <v>0.25</v>
      </c>
      <c r="H129" s="34">
        <f>IFERROR(__xludf.DUMMYFUNCTION("""COMPUTED_VALUE"""),4.0)</f>
        <v>4</v>
      </c>
      <c r="I129" s="34"/>
      <c r="J129" s="34" t="str">
        <f>IFERROR(__xludf.DUMMYFUNCTION("""COMPUTED_VALUE"""),"Southern Cal")</f>
        <v>Southern Cal</v>
      </c>
      <c r="K129" s="34" t="str">
        <f>IFERROR(__xludf.DUMMYFUNCTION("""COMPUTED_VALUE"""),"5-1")</f>
        <v>5-1</v>
      </c>
      <c r="L129" s="39">
        <f>IFERROR(__xludf.DUMMYFUNCTION("""COMPUTED_VALUE"""),0.8333333333333334)</f>
        <v>0.8333333333</v>
      </c>
      <c r="M129" s="34" t="str">
        <f>IFERROR(__xludf.DUMMYFUNCTION("""COMPUTED_VALUE"""),"PAC12")</f>
        <v>PAC12</v>
      </c>
      <c r="N129" s="34" t="str">
        <f>IFERROR(__xludf.DUMMYFUNCTION("""COMPUTED_VALUE"""),"PAC12-South")</f>
        <v>PAC12-South</v>
      </c>
      <c r="O129" s="34" t="str">
        <f>IFERROR(__xludf.DUMMYFUNCTION("""COMPUTED_VALUE"""),"5-1")</f>
        <v>5-1</v>
      </c>
      <c r="P129" s="38">
        <f>IFERROR(__xludf.DUMMYFUNCTION("""COMPUTED_VALUE"""),0.8333333333333334)</f>
        <v>0.8333333333</v>
      </c>
      <c r="Q129" s="34">
        <f>IFERROR(__xludf.DUMMYFUNCTION("""COMPUTED_VALUE"""),6.0)</f>
        <v>6</v>
      </c>
      <c r="R129" s="34"/>
      <c r="S129" s="34"/>
      <c r="T129" s="34"/>
      <c r="U129" s="34"/>
      <c r="V129" s="34"/>
      <c r="W129" s="34"/>
      <c r="X129" s="34"/>
      <c r="Y129" s="34"/>
      <c r="Z129" s="34"/>
      <c r="AA129" s="34"/>
    </row>
    <row r="130">
      <c r="A130" s="20" t="str">
        <f>IFERROR(__xludf.DUMMYFUNCTION("""COMPUTED_VALUE"""),"Washington State")</f>
        <v>Washington State</v>
      </c>
      <c r="B130" s="34" t="str">
        <f>IFERROR(__xludf.DUMMYFUNCTION("""COMPUTED_VALUE"""),"1-3")</f>
        <v>1-3</v>
      </c>
      <c r="C130" s="39">
        <f>IFERROR(__xludf.DUMMYFUNCTION("""COMPUTED_VALUE"""),0.25)</f>
        <v>0.25</v>
      </c>
      <c r="D130" s="34" t="str">
        <f>IFERROR(__xludf.DUMMYFUNCTION("""COMPUTED_VALUE"""),"PAC12")</f>
        <v>PAC12</v>
      </c>
      <c r="E130" s="34" t="str">
        <f>IFERROR(__xludf.DUMMYFUNCTION("""COMPUTED_VALUE"""),"PAC12-North")</f>
        <v>PAC12-North</v>
      </c>
      <c r="F130" s="34" t="str">
        <f>IFERROR(__xludf.DUMMYFUNCTION("""COMPUTED_VALUE"""),"1-3")</f>
        <v>1-3</v>
      </c>
      <c r="G130" s="38">
        <f>IFERROR(__xludf.DUMMYFUNCTION("""COMPUTED_VALUE"""),0.25)</f>
        <v>0.25</v>
      </c>
      <c r="H130" s="34">
        <f>IFERROR(__xludf.DUMMYFUNCTION("""COMPUTED_VALUE"""),4.0)</f>
        <v>4</v>
      </c>
      <c r="I130" s="34"/>
      <c r="J130" s="34" t="str">
        <f>IFERROR(__xludf.DUMMYFUNCTION("""COMPUTED_VALUE"""),"Washington")</f>
        <v>Washington</v>
      </c>
      <c r="K130" s="34" t="str">
        <f>IFERROR(__xludf.DUMMYFUNCTION("""COMPUTED_VALUE"""),"3-1")</f>
        <v>3-1</v>
      </c>
      <c r="L130" s="39">
        <f>IFERROR(__xludf.DUMMYFUNCTION("""COMPUTED_VALUE"""),0.75)</f>
        <v>0.75</v>
      </c>
      <c r="M130" s="34" t="str">
        <f>IFERROR(__xludf.DUMMYFUNCTION("""COMPUTED_VALUE"""),"PAC12")</f>
        <v>PAC12</v>
      </c>
      <c r="N130" s="34" t="str">
        <f>IFERROR(__xludf.DUMMYFUNCTION("""COMPUTED_VALUE"""),"PAC12-North")</f>
        <v>PAC12-North</v>
      </c>
      <c r="O130" s="34" t="str">
        <f>IFERROR(__xludf.DUMMYFUNCTION("""COMPUTED_VALUE"""),"3-1")</f>
        <v>3-1</v>
      </c>
      <c r="P130" s="38">
        <f>IFERROR(__xludf.DUMMYFUNCTION("""COMPUTED_VALUE"""),0.75)</f>
        <v>0.75</v>
      </c>
      <c r="Q130" s="34">
        <f>IFERROR(__xludf.DUMMYFUNCTION("""COMPUTED_VALUE"""),4.0)</f>
        <v>4</v>
      </c>
      <c r="R130" s="34"/>
      <c r="S130" s="34"/>
      <c r="T130" s="34"/>
      <c r="U130" s="34"/>
      <c r="V130" s="34"/>
      <c r="W130" s="34"/>
      <c r="X130" s="34"/>
      <c r="Y130" s="34"/>
      <c r="Z130" s="34"/>
      <c r="AA130" s="34"/>
    </row>
    <row r="131">
      <c r="A131" s="42" t="s">
        <v>199</v>
      </c>
      <c r="I131" s="34"/>
      <c r="J131" s="34" t="str">
        <f>IFERROR(__xludf.DUMMYFUNCTION("""COMPUTED_VALUE"""),"Colorado")</f>
        <v>Colorado</v>
      </c>
      <c r="K131" s="34" t="str">
        <f>IFERROR(__xludf.DUMMYFUNCTION("""COMPUTED_VALUE"""),"4-2")</f>
        <v>4-2</v>
      </c>
      <c r="L131" s="39">
        <f>IFERROR(__xludf.DUMMYFUNCTION("""COMPUTED_VALUE"""),0.6666666666666666)</f>
        <v>0.6666666667</v>
      </c>
      <c r="M131" s="34" t="str">
        <f>IFERROR(__xludf.DUMMYFUNCTION("""COMPUTED_VALUE"""),"PAC12")</f>
        <v>PAC12</v>
      </c>
      <c r="N131" s="34" t="str">
        <f>IFERROR(__xludf.DUMMYFUNCTION("""COMPUTED_VALUE"""),"PAC12-South")</f>
        <v>PAC12-South</v>
      </c>
      <c r="O131" s="34" t="str">
        <f>IFERROR(__xludf.DUMMYFUNCTION("""COMPUTED_VALUE"""),"3-1")</f>
        <v>3-1</v>
      </c>
      <c r="P131" s="38">
        <f>IFERROR(__xludf.DUMMYFUNCTION("""COMPUTED_VALUE"""),0.75)</f>
        <v>0.75</v>
      </c>
      <c r="Q131" s="34">
        <f>IFERROR(__xludf.DUMMYFUNCTION("""COMPUTED_VALUE"""),6.0)</f>
        <v>6</v>
      </c>
      <c r="R131" s="34"/>
      <c r="S131" s="34"/>
      <c r="T131" s="34"/>
      <c r="U131" s="34"/>
      <c r="V131" s="34"/>
      <c r="W131" s="34"/>
      <c r="X131" s="34"/>
      <c r="Y131" s="34"/>
      <c r="Z131" s="34"/>
      <c r="AA131" s="34"/>
    </row>
    <row r="132">
      <c r="A132" s="35" t="str">
        <f>IFERROR(__xludf.DUMMYFUNCTION("QUERY(standings,""SELECT A, D, E, F, G, J, K, R WHERE G = 'PAC12-South' ORDER BY K DESC, E DESC, J DESC"",1)"),"Team")</f>
        <v>Team</v>
      </c>
      <c r="B132" s="34" t="str">
        <f>IFERROR(__xludf.DUMMYFUNCTION("""COMPUTED_VALUE"""),"Record")</f>
        <v>Record</v>
      </c>
      <c r="C132" s="34" t="str">
        <f>IFERROR(__xludf.DUMMYFUNCTION("""COMPUTED_VALUE"""),"Ovr Win %")</f>
        <v>Ovr Win %</v>
      </c>
      <c r="D132" s="34" t="str">
        <f>IFERROR(__xludf.DUMMYFUNCTION("""COMPUTED_VALUE"""),"Conf")</f>
        <v>Conf</v>
      </c>
      <c r="E132" s="34" t="str">
        <f>IFERROR(__xludf.DUMMYFUNCTION("""COMPUTED_VALUE"""),"Conf-Div")</f>
        <v>Conf-Div</v>
      </c>
      <c r="F132" s="34" t="str">
        <f>IFERROR(__xludf.DUMMYFUNCTION("""COMPUTED_VALUE"""),"Conf Record")</f>
        <v>Conf Record</v>
      </c>
      <c r="G132" s="34" t="str">
        <f>IFERROR(__xludf.DUMMYFUNCTION("""COMPUTED_VALUE"""),"Conf W %")</f>
        <v>Conf W %</v>
      </c>
      <c r="H132" s="34" t="str">
        <f>IFERROR(__xludf.DUMMYFUNCTION("""COMPUTED_VALUE"""),"# Games")</f>
        <v># Games</v>
      </c>
      <c r="I132" s="34"/>
      <c r="J132" s="34" t="str">
        <f>IFERROR(__xludf.DUMMYFUNCTION("""COMPUTED_VALUE"""),"Stanford")</f>
        <v>Stanford</v>
      </c>
      <c r="K132" s="34" t="str">
        <f>IFERROR(__xludf.DUMMYFUNCTION("""COMPUTED_VALUE"""),"4-2")</f>
        <v>4-2</v>
      </c>
      <c r="L132" s="39">
        <f>IFERROR(__xludf.DUMMYFUNCTION("""COMPUTED_VALUE"""),0.6666666666666666)</f>
        <v>0.6666666667</v>
      </c>
      <c r="M132" s="34" t="str">
        <f>IFERROR(__xludf.DUMMYFUNCTION("""COMPUTED_VALUE"""),"PAC12")</f>
        <v>PAC12</v>
      </c>
      <c r="N132" s="34" t="str">
        <f>IFERROR(__xludf.DUMMYFUNCTION("""COMPUTED_VALUE"""),"PAC12-North")</f>
        <v>PAC12-North</v>
      </c>
      <c r="O132" s="34" t="str">
        <f>IFERROR(__xludf.DUMMYFUNCTION("""COMPUTED_VALUE"""),"4-2")</f>
        <v>4-2</v>
      </c>
      <c r="P132" s="38">
        <f>IFERROR(__xludf.DUMMYFUNCTION("""COMPUTED_VALUE"""),0.6666666666666666)</f>
        <v>0.6666666667</v>
      </c>
      <c r="Q132" s="34">
        <f>IFERROR(__xludf.DUMMYFUNCTION("""COMPUTED_VALUE"""),6.0)</f>
        <v>6</v>
      </c>
      <c r="R132" s="34"/>
      <c r="S132" s="34"/>
      <c r="T132" s="34"/>
      <c r="U132" s="34"/>
      <c r="V132" s="34"/>
      <c r="W132" s="34"/>
      <c r="X132" s="34"/>
      <c r="Y132" s="34"/>
      <c r="Z132" s="34"/>
      <c r="AA132" s="34"/>
    </row>
    <row r="133">
      <c r="A133" s="20" t="str">
        <f>IFERROR(__xludf.DUMMYFUNCTION("""COMPUTED_VALUE"""),"Southern Cal")</f>
        <v>Southern Cal</v>
      </c>
      <c r="B133" s="34" t="str">
        <f>IFERROR(__xludf.DUMMYFUNCTION("""COMPUTED_VALUE"""),"5-1")</f>
        <v>5-1</v>
      </c>
      <c r="C133" s="39">
        <f>IFERROR(__xludf.DUMMYFUNCTION("""COMPUTED_VALUE"""),0.8333333333333334)</f>
        <v>0.8333333333</v>
      </c>
      <c r="D133" s="34" t="str">
        <f>IFERROR(__xludf.DUMMYFUNCTION("""COMPUTED_VALUE"""),"PAC12")</f>
        <v>PAC12</v>
      </c>
      <c r="E133" s="34" t="str">
        <f>IFERROR(__xludf.DUMMYFUNCTION("""COMPUTED_VALUE"""),"PAC12-South")</f>
        <v>PAC12-South</v>
      </c>
      <c r="F133" s="34" t="str">
        <f>IFERROR(__xludf.DUMMYFUNCTION("""COMPUTED_VALUE"""),"5-1")</f>
        <v>5-1</v>
      </c>
      <c r="G133" s="38">
        <f>IFERROR(__xludf.DUMMYFUNCTION("""COMPUTED_VALUE"""),0.8333333333333334)</f>
        <v>0.8333333333</v>
      </c>
      <c r="H133" s="34">
        <f>IFERROR(__xludf.DUMMYFUNCTION("""COMPUTED_VALUE"""),6.0)</f>
        <v>6</v>
      </c>
      <c r="I133" s="34"/>
      <c r="J133" s="34" t="str">
        <f>IFERROR(__xludf.DUMMYFUNCTION("""COMPUTED_VALUE"""),"Oregon")</f>
        <v>Oregon</v>
      </c>
      <c r="K133" s="34" t="str">
        <f>IFERROR(__xludf.DUMMYFUNCTION("""COMPUTED_VALUE"""),"4-3")</f>
        <v>4-3</v>
      </c>
      <c r="L133" s="39">
        <f>IFERROR(__xludf.DUMMYFUNCTION("""COMPUTED_VALUE"""),0.5714285714285714)</f>
        <v>0.5714285714</v>
      </c>
      <c r="M133" s="34" t="str">
        <f>IFERROR(__xludf.DUMMYFUNCTION("""COMPUTED_VALUE"""),"PAC12")</f>
        <v>PAC12</v>
      </c>
      <c r="N133" s="34" t="str">
        <f>IFERROR(__xludf.DUMMYFUNCTION("""COMPUTED_VALUE"""),"PAC12-North")</f>
        <v>PAC12-North</v>
      </c>
      <c r="O133" s="34" t="str">
        <f>IFERROR(__xludf.DUMMYFUNCTION("""COMPUTED_VALUE"""),"4-2")</f>
        <v>4-2</v>
      </c>
      <c r="P133" s="38">
        <f>IFERROR(__xludf.DUMMYFUNCTION("""COMPUTED_VALUE"""),0.6666666666666666)</f>
        <v>0.6666666667</v>
      </c>
      <c r="Q133" s="34">
        <f>IFERROR(__xludf.DUMMYFUNCTION("""COMPUTED_VALUE"""),7.0)</f>
        <v>7</v>
      </c>
      <c r="R133" s="34"/>
      <c r="S133" s="34"/>
      <c r="T133" s="34"/>
      <c r="U133" s="34"/>
      <c r="V133" s="34"/>
      <c r="W133" s="34"/>
      <c r="X133" s="34"/>
      <c r="Y133" s="34"/>
      <c r="Z133" s="34"/>
      <c r="AA133" s="34"/>
    </row>
    <row r="134">
      <c r="A134" s="20" t="str">
        <f>IFERROR(__xludf.DUMMYFUNCTION("""COMPUTED_VALUE"""),"Colorado")</f>
        <v>Colorado</v>
      </c>
      <c r="B134" s="34" t="str">
        <f>IFERROR(__xludf.DUMMYFUNCTION("""COMPUTED_VALUE"""),"4-2")</f>
        <v>4-2</v>
      </c>
      <c r="C134" s="39">
        <f>IFERROR(__xludf.DUMMYFUNCTION("""COMPUTED_VALUE"""),0.6666666666666666)</f>
        <v>0.6666666667</v>
      </c>
      <c r="D134" s="34" t="str">
        <f>IFERROR(__xludf.DUMMYFUNCTION("""COMPUTED_VALUE"""),"PAC12")</f>
        <v>PAC12</v>
      </c>
      <c r="E134" s="34" t="str">
        <f>IFERROR(__xludf.DUMMYFUNCTION("""COMPUTED_VALUE"""),"PAC12-South")</f>
        <v>PAC12-South</v>
      </c>
      <c r="F134" s="34" t="str">
        <f>IFERROR(__xludf.DUMMYFUNCTION("""COMPUTED_VALUE"""),"3-1")</f>
        <v>3-1</v>
      </c>
      <c r="G134" s="38">
        <f>IFERROR(__xludf.DUMMYFUNCTION("""COMPUTED_VALUE"""),0.75)</f>
        <v>0.75</v>
      </c>
      <c r="H134" s="34">
        <f>IFERROR(__xludf.DUMMYFUNCTION("""COMPUTED_VALUE"""),6.0)</f>
        <v>6</v>
      </c>
      <c r="I134" s="34"/>
      <c r="J134" s="34" t="str">
        <f>IFERROR(__xludf.DUMMYFUNCTION("""COMPUTED_VALUE"""),"Utah")</f>
        <v>Utah</v>
      </c>
      <c r="K134" s="34" t="str">
        <f>IFERROR(__xludf.DUMMYFUNCTION("""COMPUTED_VALUE"""),"3-2")</f>
        <v>3-2</v>
      </c>
      <c r="L134" s="39">
        <f>IFERROR(__xludf.DUMMYFUNCTION("""COMPUTED_VALUE"""),0.6)</f>
        <v>0.6</v>
      </c>
      <c r="M134" s="34" t="str">
        <f>IFERROR(__xludf.DUMMYFUNCTION("""COMPUTED_VALUE"""),"PAC12")</f>
        <v>PAC12</v>
      </c>
      <c r="N134" s="34" t="str">
        <f>IFERROR(__xludf.DUMMYFUNCTION("""COMPUTED_VALUE"""),"PAC12-South")</f>
        <v>PAC12-South</v>
      </c>
      <c r="O134" s="34" t="str">
        <f>IFERROR(__xludf.DUMMYFUNCTION("""COMPUTED_VALUE"""),"3-2")</f>
        <v>3-2</v>
      </c>
      <c r="P134" s="38">
        <f>IFERROR(__xludf.DUMMYFUNCTION("""COMPUTED_VALUE"""),0.6)</f>
        <v>0.6</v>
      </c>
      <c r="Q134" s="34">
        <f>IFERROR(__xludf.DUMMYFUNCTION("""COMPUTED_VALUE"""),5.0)</f>
        <v>5</v>
      </c>
      <c r="R134" s="34"/>
      <c r="S134" s="34"/>
      <c r="T134" s="34"/>
      <c r="U134" s="34"/>
      <c r="V134" s="34"/>
      <c r="W134" s="34"/>
      <c r="X134" s="34"/>
      <c r="Y134" s="34"/>
      <c r="Z134" s="34"/>
      <c r="AA134" s="34"/>
    </row>
    <row r="135">
      <c r="A135" s="20" t="str">
        <f>IFERROR(__xludf.DUMMYFUNCTION("""COMPUTED_VALUE"""),"Utah")</f>
        <v>Utah</v>
      </c>
      <c r="B135" s="34" t="str">
        <f>IFERROR(__xludf.DUMMYFUNCTION("""COMPUTED_VALUE"""),"3-2")</f>
        <v>3-2</v>
      </c>
      <c r="C135" s="39">
        <f>IFERROR(__xludf.DUMMYFUNCTION("""COMPUTED_VALUE"""),0.6)</f>
        <v>0.6</v>
      </c>
      <c r="D135" s="34" t="str">
        <f>IFERROR(__xludf.DUMMYFUNCTION("""COMPUTED_VALUE"""),"PAC12")</f>
        <v>PAC12</v>
      </c>
      <c r="E135" s="34" t="str">
        <f>IFERROR(__xludf.DUMMYFUNCTION("""COMPUTED_VALUE"""),"PAC12-South")</f>
        <v>PAC12-South</v>
      </c>
      <c r="F135" s="34" t="str">
        <f>IFERROR(__xludf.DUMMYFUNCTION("""COMPUTED_VALUE"""),"3-2")</f>
        <v>3-2</v>
      </c>
      <c r="G135" s="38">
        <f>IFERROR(__xludf.DUMMYFUNCTION("""COMPUTED_VALUE"""),0.6)</f>
        <v>0.6</v>
      </c>
      <c r="H135" s="34">
        <f>IFERROR(__xludf.DUMMYFUNCTION("""COMPUTED_VALUE"""),5.0)</f>
        <v>5</v>
      </c>
      <c r="I135" s="34"/>
      <c r="J135" s="34" t="str">
        <f>IFERROR(__xludf.DUMMYFUNCTION("""COMPUTED_VALUE"""),"Arizona State")</f>
        <v>Arizona State</v>
      </c>
      <c r="K135" s="34" t="str">
        <f>IFERROR(__xludf.DUMMYFUNCTION("""COMPUTED_VALUE"""),"2-2")</f>
        <v>2-2</v>
      </c>
      <c r="L135" s="39">
        <f>IFERROR(__xludf.DUMMYFUNCTION("""COMPUTED_VALUE"""),0.5)</f>
        <v>0.5</v>
      </c>
      <c r="M135" s="34" t="str">
        <f>IFERROR(__xludf.DUMMYFUNCTION("""COMPUTED_VALUE"""),"PAC12")</f>
        <v>PAC12</v>
      </c>
      <c r="N135" s="34" t="str">
        <f>IFERROR(__xludf.DUMMYFUNCTION("""COMPUTED_VALUE"""),"PAC12-South")</f>
        <v>PAC12-South</v>
      </c>
      <c r="O135" s="34" t="str">
        <f>IFERROR(__xludf.DUMMYFUNCTION("""COMPUTED_VALUE"""),"2-2")</f>
        <v>2-2</v>
      </c>
      <c r="P135" s="38">
        <f>IFERROR(__xludf.DUMMYFUNCTION("""COMPUTED_VALUE"""),0.5)</f>
        <v>0.5</v>
      </c>
      <c r="Q135" s="34">
        <f>IFERROR(__xludf.DUMMYFUNCTION("""COMPUTED_VALUE"""),4.0)</f>
        <v>4</v>
      </c>
      <c r="R135" s="34"/>
      <c r="S135" s="34"/>
      <c r="T135" s="34"/>
      <c r="U135" s="34"/>
      <c r="V135" s="34"/>
      <c r="W135" s="34"/>
      <c r="X135" s="34"/>
      <c r="Y135" s="34"/>
      <c r="Z135" s="34"/>
      <c r="AA135" s="34"/>
    </row>
    <row r="136">
      <c r="A136" s="20" t="str">
        <f>IFERROR(__xludf.DUMMYFUNCTION("""COMPUTED_VALUE"""),"Arizona State")</f>
        <v>Arizona State</v>
      </c>
      <c r="B136" s="34" t="str">
        <f>IFERROR(__xludf.DUMMYFUNCTION("""COMPUTED_VALUE"""),"2-2")</f>
        <v>2-2</v>
      </c>
      <c r="C136" s="39">
        <f>IFERROR(__xludf.DUMMYFUNCTION("""COMPUTED_VALUE"""),0.5)</f>
        <v>0.5</v>
      </c>
      <c r="D136" s="34" t="str">
        <f>IFERROR(__xludf.DUMMYFUNCTION("""COMPUTED_VALUE"""),"PAC12")</f>
        <v>PAC12</v>
      </c>
      <c r="E136" s="34" t="str">
        <f>IFERROR(__xludf.DUMMYFUNCTION("""COMPUTED_VALUE"""),"PAC12-South")</f>
        <v>PAC12-South</v>
      </c>
      <c r="F136" s="34" t="str">
        <f>IFERROR(__xludf.DUMMYFUNCTION("""COMPUTED_VALUE"""),"2-2")</f>
        <v>2-2</v>
      </c>
      <c r="G136" s="38">
        <f>IFERROR(__xludf.DUMMYFUNCTION("""COMPUTED_VALUE"""),0.5)</f>
        <v>0.5</v>
      </c>
      <c r="H136" s="34">
        <f>IFERROR(__xludf.DUMMYFUNCTION("""COMPUTED_VALUE"""),4.0)</f>
        <v>4</v>
      </c>
      <c r="I136" s="34"/>
      <c r="J136" s="34" t="str">
        <f>IFERROR(__xludf.DUMMYFUNCTION("""COMPUTED_VALUE"""),"UCLA")</f>
        <v>UCLA</v>
      </c>
      <c r="K136" s="34" t="str">
        <f>IFERROR(__xludf.DUMMYFUNCTION("""COMPUTED_VALUE"""),"3-4")</f>
        <v>3-4</v>
      </c>
      <c r="L136" s="39">
        <f>IFERROR(__xludf.DUMMYFUNCTION("""COMPUTED_VALUE"""),0.42857142857142855)</f>
        <v>0.4285714286</v>
      </c>
      <c r="M136" s="34" t="str">
        <f>IFERROR(__xludf.DUMMYFUNCTION("""COMPUTED_VALUE"""),"PAC12")</f>
        <v>PAC12</v>
      </c>
      <c r="N136" s="34" t="str">
        <f>IFERROR(__xludf.DUMMYFUNCTION("""COMPUTED_VALUE"""),"PAC12-South")</f>
        <v>PAC12-South</v>
      </c>
      <c r="O136" s="34" t="str">
        <f>IFERROR(__xludf.DUMMYFUNCTION("""COMPUTED_VALUE"""),"3-4")</f>
        <v>3-4</v>
      </c>
      <c r="P136" s="38">
        <f>IFERROR(__xludf.DUMMYFUNCTION("""COMPUTED_VALUE"""),0.42857142857142855)</f>
        <v>0.4285714286</v>
      </c>
      <c r="Q136" s="34">
        <f>IFERROR(__xludf.DUMMYFUNCTION("""COMPUTED_VALUE"""),7.0)</f>
        <v>7</v>
      </c>
      <c r="R136" s="34"/>
      <c r="S136" s="34"/>
      <c r="T136" s="34"/>
      <c r="U136" s="34"/>
      <c r="V136" s="34"/>
      <c r="W136" s="34"/>
      <c r="X136" s="34"/>
      <c r="Y136" s="34"/>
      <c r="Z136" s="34"/>
      <c r="AA136" s="34"/>
    </row>
    <row r="137">
      <c r="A137" s="20" t="str">
        <f>IFERROR(__xludf.DUMMYFUNCTION("""COMPUTED_VALUE"""),"UCLA")</f>
        <v>UCLA</v>
      </c>
      <c r="B137" s="34" t="str">
        <f>IFERROR(__xludf.DUMMYFUNCTION("""COMPUTED_VALUE"""),"3-4")</f>
        <v>3-4</v>
      </c>
      <c r="C137" s="39">
        <f>IFERROR(__xludf.DUMMYFUNCTION("""COMPUTED_VALUE"""),0.42857142857142855)</f>
        <v>0.4285714286</v>
      </c>
      <c r="D137" s="34" t="str">
        <f>IFERROR(__xludf.DUMMYFUNCTION("""COMPUTED_VALUE"""),"PAC12")</f>
        <v>PAC12</v>
      </c>
      <c r="E137" s="34" t="str">
        <f>IFERROR(__xludf.DUMMYFUNCTION("""COMPUTED_VALUE"""),"PAC12-South")</f>
        <v>PAC12-South</v>
      </c>
      <c r="F137" s="34" t="str">
        <f>IFERROR(__xludf.DUMMYFUNCTION("""COMPUTED_VALUE"""),"3-4")</f>
        <v>3-4</v>
      </c>
      <c r="G137" s="38">
        <f>IFERROR(__xludf.DUMMYFUNCTION("""COMPUTED_VALUE"""),0.42857142857142855)</f>
        <v>0.4285714286</v>
      </c>
      <c r="H137" s="34">
        <f>IFERROR(__xludf.DUMMYFUNCTION("""COMPUTED_VALUE"""),7.0)</f>
        <v>7</v>
      </c>
      <c r="I137" s="34"/>
      <c r="J137" s="34" t="str">
        <f>IFERROR(__xludf.DUMMYFUNCTION("""COMPUTED_VALUE"""),"Oregon State")</f>
        <v>Oregon State</v>
      </c>
      <c r="K137" s="34" t="str">
        <f>IFERROR(__xludf.DUMMYFUNCTION("""COMPUTED_VALUE"""),"2-5")</f>
        <v>2-5</v>
      </c>
      <c r="L137" s="39">
        <f>IFERROR(__xludf.DUMMYFUNCTION("""COMPUTED_VALUE"""),0.2857142857142857)</f>
        <v>0.2857142857</v>
      </c>
      <c r="M137" s="34" t="str">
        <f>IFERROR(__xludf.DUMMYFUNCTION("""COMPUTED_VALUE"""),"PAC12")</f>
        <v>PAC12</v>
      </c>
      <c r="N137" s="34" t="str">
        <f>IFERROR(__xludf.DUMMYFUNCTION("""COMPUTED_VALUE"""),"PAC12-North")</f>
        <v>PAC12-North</v>
      </c>
      <c r="O137" s="34" t="str">
        <f>IFERROR(__xludf.DUMMYFUNCTION("""COMPUTED_VALUE"""),"2-5")</f>
        <v>2-5</v>
      </c>
      <c r="P137" s="38">
        <f>IFERROR(__xludf.DUMMYFUNCTION("""COMPUTED_VALUE"""),0.2857142857142857)</f>
        <v>0.2857142857</v>
      </c>
      <c r="Q137" s="34">
        <f>IFERROR(__xludf.DUMMYFUNCTION("""COMPUTED_VALUE"""),7.0)</f>
        <v>7</v>
      </c>
      <c r="R137" s="34"/>
      <c r="S137" s="34"/>
      <c r="T137" s="34"/>
      <c r="U137" s="34"/>
      <c r="V137" s="34"/>
      <c r="W137" s="34"/>
      <c r="X137" s="34"/>
      <c r="Y137" s="34"/>
      <c r="Z137" s="34"/>
      <c r="AA137" s="34"/>
    </row>
    <row r="138">
      <c r="A138" s="20" t="str">
        <f>IFERROR(__xludf.DUMMYFUNCTION("""COMPUTED_VALUE"""),"Arizona")</f>
        <v>Arizona</v>
      </c>
      <c r="B138" s="34" t="str">
        <f>IFERROR(__xludf.DUMMYFUNCTION("""COMPUTED_VALUE"""),"0-5")</f>
        <v>0-5</v>
      </c>
      <c r="C138" s="39">
        <f>IFERROR(__xludf.DUMMYFUNCTION("""COMPUTED_VALUE"""),0.0)</f>
        <v>0</v>
      </c>
      <c r="D138" s="34" t="str">
        <f>IFERROR(__xludf.DUMMYFUNCTION("""COMPUTED_VALUE"""),"PAC12")</f>
        <v>PAC12</v>
      </c>
      <c r="E138" s="34" t="str">
        <f>IFERROR(__xludf.DUMMYFUNCTION("""COMPUTED_VALUE"""),"PAC12-South")</f>
        <v>PAC12-South</v>
      </c>
      <c r="F138" s="34" t="str">
        <f>IFERROR(__xludf.DUMMYFUNCTION("""COMPUTED_VALUE"""),"0-5")</f>
        <v>0-5</v>
      </c>
      <c r="G138" s="38">
        <f>IFERROR(__xludf.DUMMYFUNCTION("""COMPUTED_VALUE"""),0.0)</f>
        <v>0</v>
      </c>
      <c r="H138" s="34">
        <f>IFERROR(__xludf.DUMMYFUNCTION("""COMPUTED_VALUE"""),5.0)</f>
        <v>5</v>
      </c>
      <c r="I138" s="34"/>
      <c r="J138" s="34" t="str">
        <f>IFERROR(__xludf.DUMMYFUNCTION("""COMPUTED_VALUE"""),"California")</f>
        <v>California</v>
      </c>
      <c r="K138" s="34" t="str">
        <f>IFERROR(__xludf.DUMMYFUNCTION("""COMPUTED_VALUE"""),"1-3")</f>
        <v>1-3</v>
      </c>
      <c r="L138" s="39">
        <f>IFERROR(__xludf.DUMMYFUNCTION("""COMPUTED_VALUE"""),0.25)</f>
        <v>0.25</v>
      </c>
      <c r="M138" s="34" t="str">
        <f>IFERROR(__xludf.DUMMYFUNCTION("""COMPUTED_VALUE"""),"PAC12")</f>
        <v>PAC12</v>
      </c>
      <c r="N138" s="34" t="str">
        <f>IFERROR(__xludf.DUMMYFUNCTION("""COMPUTED_VALUE"""),"PAC12-North")</f>
        <v>PAC12-North</v>
      </c>
      <c r="O138" s="34" t="str">
        <f>IFERROR(__xludf.DUMMYFUNCTION("""COMPUTED_VALUE"""),"1-3")</f>
        <v>1-3</v>
      </c>
      <c r="P138" s="38">
        <f>IFERROR(__xludf.DUMMYFUNCTION("""COMPUTED_VALUE"""),0.25)</f>
        <v>0.25</v>
      </c>
      <c r="Q138" s="34">
        <f>IFERROR(__xludf.DUMMYFUNCTION("""COMPUTED_VALUE"""),4.0)</f>
        <v>4</v>
      </c>
      <c r="R138" s="34"/>
      <c r="S138" s="34"/>
      <c r="T138" s="34"/>
      <c r="U138" s="34"/>
      <c r="V138" s="34"/>
      <c r="W138" s="34"/>
      <c r="X138" s="34"/>
      <c r="Y138" s="34"/>
      <c r="Z138" s="34"/>
      <c r="AA138" s="34"/>
    </row>
    <row r="139">
      <c r="A139" s="42" t="s">
        <v>209</v>
      </c>
      <c r="I139" s="34"/>
      <c r="J139" s="34" t="str">
        <f>IFERROR(__xludf.DUMMYFUNCTION("""COMPUTED_VALUE"""),"Washington State")</f>
        <v>Washington State</v>
      </c>
      <c r="K139" s="34" t="str">
        <f>IFERROR(__xludf.DUMMYFUNCTION("""COMPUTED_VALUE"""),"1-3")</f>
        <v>1-3</v>
      </c>
      <c r="L139" s="39">
        <f>IFERROR(__xludf.DUMMYFUNCTION("""COMPUTED_VALUE"""),0.25)</f>
        <v>0.25</v>
      </c>
      <c r="M139" s="34" t="str">
        <f>IFERROR(__xludf.DUMMYFUNCTION("""COMPUTED_VALUE"""),"PAC12")</f>
        <v>PAC12</v>
      </c>
      <c r="N139" s="34" t="str">
        <f>IFERROR(__xludf.DUMMYFUNCTION("""COMPUTED_VALUE"""),"PAC12-North")</f>
        <v>PAC12-North</v>
      </c>
      <c r="O139" s="34" t="str">
        <f>IFERROR(__xludf.DUMMYFUNCTION("""COMPUTED_VALUE"""),"1-3")</f>
        <v>1-3</v>
      </c>
      <c r="P139" s="38">
        <f>IFERROR(__xludf.DUMMYFUNCTION("""COMPUTED_VALUE"""),0.25)</f>
        <v>0.25</v>
      </c>
      <c r="Q139" s="34">
        <f>IFERROR(__xludf.DUMMYFUNCTION("""COMPUTED_VALUE"""),4.0)</f>
        <v>4</v>
      </c>
      <c r="R139" s="34"/>
      <c r="S139" s="34"/>
      <c r="T139" s="34"/>
      <c r="U139" s="34"/>
      <c r="V139" s="34"/>
      <c r="W139" s="34"/>
      <c r="X139" s="34"/>
      <c r="Y139" s="34"/>
      <c r="Z139" s="34"/>
      <c r="AA139" s="34"/>
    </row>
    <row r="140">
      <c r="A140" s="35" t="str">
        <f>IFERROR(__xludf.DUMMYFUNCTION("QUERY(standings,""SELECT A, D, E, F, G, J, K, R WHERE G = 'SEC-East' ORDER BY K DESC, E DESC, J DESC "",1)"),"Team")</f>
        <v>Team</v>
      </c>
      <c r="B140" s="34" t="str">
        <f>IFERROR(__xludf.DUMMYFUNCTION("""COMPUTED_VALUE"""),"Record")</f>
        <v>Record</v>
      </c>
      <c r="C140" s="34" t="str">
        <f>IFERROR(__xludf.DUMMYFUNCTION("""COMPUTED_VALUE"""),"Ovr Win %")</f>
        <v>Ovr Win %</v>
      </c>
      <c r="D140" s="34" t="str">
        <f>IFERROR(__xludf.DUMMYFUNCTION("""COMPUTED_VALUE"""),"Conf")</f>
        <v>Conf</v>
      </c>
      <c r="E140" s="34" t="str">
        <f>IFERROR(__xludf.DUMMYFUNCTION("""COMPUTED_VALUE"""),"Conf-Div")</f>
        <v>Conf-Div</v>
      </c>
      <c r="F140" s="34" t="str">
        <f>IFERROR(__xludf.DUMMYFUNCTION("""COMPUTED_VALUE"""),"Conf Record")</f>
        <v>Conf Record</v>
      </c>
      <c r="G140" s="34" t="str">
        <f>IFERROR(__xludf.DUMMYFUNCTION("""COMPUTED_VALUE"""),"Conf W %")</f>
        <v>Conf W %</v>
      </c>
      <c r="H140" s="34" t="str">
        <f>IFERROR(__xludf.DUMMYFUNCTION("""COMPUTED_VALUE"""),"# Games")</f>
        <v># Games</v>
      </c>
      <c r="I140" s="34"/>
      <c r="J140" s="34" t="str">
        <f>IFERROR(__xludf.DUMMYFUNCTION("""COMPUTED_VALUE"""),"Arizona")</f>
        <v>Arizona</v>
      </c>
      <c r="K140" s="34" t="str">
        <f>IFERROR(__xludf.DUMMYFUNCTION("""COMPUTED_VALUE"""),"0-5")</f>
        <v>0-5</v>
      </c>
      <c r="L140" s="39">
        <f>IFERROR(__xludf.DUMMYFUNCTION("""COMPUTED_VALUE"""),0.0)</f>
        <v>0</v>
      </c>
      <c r="M140" s="34" t="str">
        <f>IFERROR(__xludf.DUMMYFUNCTION("""COMPUTED_VALUE"""),"PAC12")</f>
        <v>PAC12</v>
      </c>
      <c r="N140" s="34" t="str">
        <f>IFERROR(__xludf.DUMMYFUNCTION("""COMPUTED_VALUE"""),"PAC12-South")</f>
        <v>PAC12-South</v>
      </c>
      <c r="O140" s="34" t="str">
        <f>IFERROR(__xludf.DUMMYFUNCTION("""COMPUTED_VALUE"""),"0-5")</f>
        <v>0-5</v>
      </c>
      <c r="P140" s="38">
        <f>IFERROR(__xludf.DUMMYFUNCTION("""COMPUTED_VALUE"""),0.0)</f>
        <v>0</v>
      </c>
      <c r="Q140" s="34">
        <f>IFERROR(__xludf.DUMMYFUNCTION("""COMPUTED_VALUE"""),5.0)</f>
        <v>5</v>
      </c>
      <c r="R140" s="34"/>
      <c r="S140" s="34"/>
      <c r="T140" s="34"/>
      <c r="U140" s="34"/>
      <c r="V140" s="34"/>
      <c r="W140" s="34"/>
      <c r="X140" s="34"/>
      <c r="Y140" s="34"/>
      <c r="Z140" s="34"/>
      <c r="AA140" s="34"/>
    </row>
    <row r="141">
      <c r="A141" s="20" t="str">
        <f>IFERROR(__xludf.DUMMYFUNCTION("""COMPUTED_VALUE"""),"Georgia")</f>
        <v>Georgia</v>
      </c>
      <c r="B141" s="34" t="str">
        <f>IFERROR(__xludf.DUMMYFUNCTION("""COMPUTED_VALUE"""),"8-2")</f>
        <v>8-2</v>
      </c>
      <c r="C141" s="39">
        <f>IFERROR(__xludf.DUMMYFUNCTION("""COMPUTED_VALUE"""),0.8)</f>
        <v>0.8</v>
      </c>
      <c r="D141" s="34" t="str">
        <f>IFERROR(__xludf.DUMMYFUNCTION("""COMPUTED_VALUE"""),"SEC")</f>
        <v>SEC</v>
      </c>
      <c r="E141" s="34" t="str">
        <f>IFERROR(__xludf.DUMMYFUNCTION("""COMPUTED_VALUE"""),"SEC-East")</f>
        <v>SEC-East</v>
      </c>
      <c r="F141" s="34" t="str">
        <f>IFERROR(__xludf.DUMMYFUNCTION("""COMPUTED_VALUE"""),"7-2")</f>
        <v>7-2</v>
      </c>
      <c r="G141" s="38">
        <f>IFERROR(__xludf.DUMMYFUNCTION("""COMPUTED_VALUE"""),0.7777777777777778)</f>
        <v>0.7777777778</v>
      </c>
      <c r="H141" s="34">
        <f>IFERROR(__xludf.DUMMYFUNCTION("""COMPUTED_VALUE"""),10.0)</f>
        <v>10</v>
      </c>
      <c r="I141" s="34"/>
      <c r="J141" s="3" t="s">
        <v>229</v>
      </c>
      <c r="L141" s="34">
        <f>COUNTIF(L129:L140,"&gt;=.5")</f>
        <v>7</v>
      </c>
      <c r="M141" s="41">
        <f>COUNTIF(M129:M140,"PAC12")</f>
        <v>12</v>
      </c>
      <c r="N141" s="34">
        <f>L141/M141</f>
        <v>0.5833333333</v>
      </c>
      <c r="O141" s="34"/>
      <c r="P141" s="34"/>
      <c r="Q141" s="34"/>
      <c r="R141" s="34"/>
      <c r="S141" s="34"/>
      <c r="T141" s="34"/>
      <c r="U141" s="34"/>
      <c r="V141" s="34"/>
      <c r="W141" s="34"/>
      <c r="X141" s="34"/>
      <c r="Y141" s="34"/>
      <c r="Z141" s="34"/>
      <c r="AA141" s="34"/>
    </row>
    <row r="142">
      <c r="A142" s="20" t="str">
        <f>IFERROR(__xludf.DUMMYFUNCTION("""COMPUTED_VALUE"""),"Florida")</f>
        <v>Florida</v>
      </c>
      <c r="B142" s="34" t="str">
        <f>IFERROR(__xludf.DUMMYFUNCTION("""COMPUTED_VALUE"""),"8-4")</f>
        <v>8-4</v>
      </c>
      <c r="C142" s="39">
        <f>IFERROR(__xludf.DUMMYFUNCTION("""COMPUTED_VALUE"""),0.6666666666666666)</f>
        <v>0.6666666667</v>
      </c>
      <c r="D142" s="34" t="str">
        <f>IFERROR(__xludf.DUMMYFUNCTION("""COMPUTED_VALUE"""),"SEC")</f>
        <v>SEC</v>
      </c>
      <c r="E142" s="34" t="str">
        <f>IFERROR(__xludf.DUMMYFUNCTION("""COMPUTED_VALUE"""),"SEC-East")</f>
        <v>SEC-East</v>
      </c>
      <c r="F142" s="34" t="str">
        <f>IFERROR(__xludf.DUMMYFUNCTION("""COMPUTED_VALUE"""),"8-3")</f>
        <v>8-3</v>
      </c>
      <c r="G142" s="38">
        <f>IFERROR(__xludf.DUMMYFUNCTION("""COMPUTED_VALUE"""),0.7272727272727273)</f>
        <v>0.7272727273</v>
      </c>
      <c r="H142" s="34">
        <f>IFERROR(__xludf.DUMMYFUNCTION("""COMPUTED_VALUE"""),12.0)</f>
        <v>12</v>
      </c>
      <c r="I142" s="34"/>
      <c r="J142" s="34"/>
      <c r="K142" s="34"/>
      <c r="L142" s="34"/>
      <c r="M142" s="34"/>
      <c r="N142" s="34"/>
      <c r="O142" s="34"/>
      <c r="P142" s="34"/>
      <c r="Q142" s="34"/>
      <c r="R142" s="34"/>
      <c r="S142" s="34"/>
      <c r="T142" s="34"/>
      <c r="U142" s="34"/>
      <c r="V142" s="34"/>
      <c r="W142" s="34"/>
      <c r="X142" s="34"/>
      <c r="Y142" s="34"/>
      <c r="Z142" s="34"/>
      <c r="AA142" s="34"/>
    </row>
    <row r="143">
      <c r="A143" s="20" t="str">
        <f>IFERROR(__xludf.DUMMYFUNCTION("""COMPUTED_VALUE"""),"Missouri")</f>
        <v>Missouri</v>
      </c>
      <c r="B143" s="34" t="str">
        <f>IFERROR(__xludf.DUMMYFUNCTION("""COMPUTED_VALUE"""),"5-5")</f>
        <v>5-5</v>
      </c>
      <c r="C143" s="39">
        <f>IFERROR(__xludf.DUMMYFUNCTION("""COMPUTED_VALUE"""),0.5)</f>
        <v>0.5</v>
      </c>
      <c r="D143" s="34" t="str">
        <f>IFERROR(__xludf.DUMMYFUNCTION("""COMPUTED_VALUE"""),"SEC")</f>
        <v>SEC</v>
      </c>
      <c r="E143" s="34" t="str">
        <f>IFERROR(__xludf.DUMMYFUNCTION("""COMPUTED_VALUE"""),"SEC-East")</f>
        <v>SEC-East</v>
      </c>
      <c r="F143" s="34" t="str">
        <f>IFERROR(__xludf.DUMMYFUNCTION("""COMPUTED_VALUE"""),"5-5")</f>
        <v>5-5</v>
      </c>
      <c r="G143" s="38">
        <f>IFERROR(__xludf.DUMMYFUNCTION("""COMPUTED_VALUE"""),0.5)</f>
        <v>0.5</v>
      </c>
      <c r="H143" s="34">
        <f>IFERROR(__xludf.DUMMYFUNCTION("""COMPUTED_VALUE"""),10.0)</f>
        <v>10</v>
      </c>
      <c r="I143" s="34"/>
      <c r="J143" s="33" t="s">
        <v>198</v>
      </c>
      <c r="R143" s="34"/>
      <c r="S143" s="34"/>
      <c r="T143" s="34"/>
      <c r="U143" s="34"/>
      <c r="V143" s="34"/>
      <c r="W143" s="34"/>
      <c r="X143" s="34"/>
      <c r="Y143" s="34"/>
      <c r="Z143" s="34"/>
      <c r="AA143" s="34"/>
    </row>
    <row r="144">
      <c r="A144" s="20" t="str">
        <f>IFERROR(__xludf.DUMMYFUNCTION("""COMPUTED_VALUE"""),"Kentucky")</f>
        <v>Kentucky</v>
      </c>
      <c r="B144" s="34" t="str">
        <f>IFERROR(__xludf.DUMMYFUNCTION("""COMPUTED_VALUE"""),"5-6")</f>
        <v>5-6</v>
      </c>
      <c r="C144" s="39">
        <f>IFERROR(__xludf.DUMMYFUNCTION("""COMPUTED_VALUE"""),0.45454545454545453)</f>
        <v>0.4545454545</v>
      </c>
      <c r="D144" s="34" t="str">
        <f>IFERROR(__xludf.DUMMYFUNCTION("""COMPUTED_VALUE"""),"SEC")</f>
        <v>SEC</v>
      </c>
      <c r="E144" s="34" t="str">
        <f>IFERROR(__xludf.DUMMYFUNCTION("""COMPUTED_VALUE"""),"SEC-East")</f>
        <v>SEC-East</v>
      </c>
      <c r="F144" s="34" t="str">
        <f>IFERROR(__xludf.DUMMYFUNCTION("""COMPUTED_VALUE"""),"4-6")</f>
        <v>4-6</v>
      </c>
      <c r="G144" s="38">
        <f>IFERROR(__xludf.DUMMYFUNCTION("""COMPUTED_VALUE"""),0.4)</f>
        <v>0.4</v>
      </c>
      <c r="H144" s="34">
        <f>IFERROR(__xludf.DUMMYFUNCTION("""COMPUTED_VALUE"""),11.0)</f>
        <v>11</v>
      </c>
      <c r="I144" s="34"/>
      <c r="J144" s="40" t="str">
        <f>IFERROR(__xludf.DUMMYFUNCTION("QUERY(standings,""SELECT A, D, E, F, G, J, K, R WHERE F = 'SEC' ORDER BY K DESC, E DESC, J DESC "",1)"),"Team")</f>
        <v>Team</v>
      </c>
      <c r="K144" s="34" t="str">
        <f>IFERROR(__xludf.DUMMYFUNCTION("""COMPUTED_VALUE"""),"Record")</f>
        <v>Record</v>
      </c>
      <c r="L144" s="34" t="str">
        <f>IFERROR(__xludf.DUMMYFUNCTION("""COMPUTED_VALUE"""),"Ovr Win %")</f>
        <v>Ovr Win %</v>
      </c>
      <c r="M144" s="34" t="str">
        <f>IFERROR(__xludf.DUMMYFUNCTION("""COMPUTED_VALUE"""),"Conf")</f>
        <v>Conf</v>
      </c>
      <c r="N144" s="34" t="str">
        <f>IFERROR(__xludf.DUMMYFUNCTION("""COMPUTED_VALUE"""),"Conf-Div")</f>
        <v>Conf-Div</v>
      </c>
      <c r="O144" s="34" t="str">
        <f>IFERROR(__xludf.DUMMYFUNCTION("""COMPUTED_VALUE"""),"Conf Record")</f>
        <v>Conf Record</v>
      </c>
      <c r="P144" s="34" t="str">
        <f>IFERROR(__xludf.DUMMYFUNCTION("""COMPUTED_VALUE"""),"Conf W %")</f>
        <v>Conf W %</v>
      </c>
      <c r="Q144" s="34" t="str">
        <f>IFERROR(__xludf.DUMMYFUNCTION("""COMPUTED_VALUE"""),"# Games")</f>
        <v># Games</v>
      </c>
      <c r="R144" s="34"/>
      <c r="S144" s="34"/>
      <c r="T144" s="34"/>
      <c r="U144" s="34"/>
      <c r="V144" s="34"/>
      <c r="W144" s="34"/>
      <c r="X144" s="34"/>
      <c r="Y144" s="34"/>
      <c r="Z144" s="34"/>
      <c r="AA144" s="34"/>
    </row>
    <row r="145">
      <c r="A145" s="20" t="str">
        <f>IFERROR(__xludf.DUMMYFUNCTION("""COMPUTED_VALUE"""),"Tennessee")</f>
        <v>Tennessee</v>
      </c>
      <c r="B145" s="34" t="str">
        <f>IFERROR(__xludf.DUMMYFUNCTION("""COMPUTED_VALUE"""),"3-7")</f>
        <v>3-7</v>
      </c>
      <c r="C145" s="39">
        <f>IFERROR(__xludf.DUMMYFUNCTION("""COMPUTED_VALUE"""),0.3)</f>
        <v>0.3</v>
      </c>
      <c r="D145" s="34" t="str">
        <f>IFERROR(__xludf.DUMMYFUNCTION("""COMPUTED_VALUE"""),"SEC")</f>
        <v>SEC</v>
      </c>
      <c r="E145" s="34" t="str">
        <f>IFERROR(__xludf.DUMMYFUNCTION("""COMPUTED_VALUE"""),"SEC-East")</f>
        <v>SEC-East</v>
      </c>
      <c r="F145" s="34" t="str">
        <f>IFERROR(__xludf.DUMMYFUNCTION("""COMPUTED_VALUE"""),"3-7")</f>
        <v>3-7</v>
      </c>
      <c r="G145" s="38">
        <f>IFERROR(__xludf.DUMMYFUNCTION("""COMPUTED_VALUE"""),0.3)</f>
        <v>0.3</v>
      </c>
      <c r="H145" s="34">
        <f>IFERROR(__xludf.DUMMYFUNCTION("""COMPUTED_VALUE"""),10.0)</f>
        <v>10</v>
      </c>
      <c r="I145" s="34"/>
      <c r="J145" s="34" t="str">
        <f>IFERROR(__xludf.DUMMYFUNCTION("""COMPUTED_VALUE"""),"Alabama")</f>
        <v>Alabama</v>
      </c>
      <c r="K145" s="34" t="str">
        <f>IFERROR(__xludf.DUMMYFUNCTION("""COMPUTED_VALUE"""),"13-0")</f>
        <v>13-0</v>
      </c>
      <c r="L145" s="39">
        <f>IFERROR(__xludf.DUMMYFUNCTION("""COMPUTED_VALUE"""),1.0)</f>
        <v>1</v>
      </c>
      <c r="M145" s="34" t="str">
        <f>IFERROR(__xludf.DUMMYFUNCTION("""COMPUTED_VALUE"""),"SEC")</f>
        <v>SEC</v>
      </c>
      <c r="N145" s="34" t="str">
        <f>IFERROR(__xludf.DUMMYFUNCTION("""COMPUTED_VALUE"""),"SEC-West")</f>
        <v>SEC-West</v>
      </c>
      <c r="O145" s="34" t="str">
        <f>IFERROR(__xludf.DUMMYFUNCTION("""COMPUTED_VALUE"""),"11-0")</f>
        <v>11-0</v>
      </c>
      <c r="P145" s="38">
        <f>IFERROR(__xludf.DUMMYFUNCTION("""COMPUTED_VALUE"""),1.0)</f>
        <v>1</v>
      </c>
      <c r="Q145" s="34">
        <f>IFERROR(__xludf.DUMMYFUNCTION("""COMPUTED_VALUE"""),13.0)</f>
        <v>13</v>
      </c>
      <c r="R145" s="34"/>
      <c r="S145" s="34"/>
      <c r="T145" s="34"/>
      <c r="U145" s="34"/>
      <c r="V145" s="34"/>
      <c r="W145" s="34"/>
      <c r="X145" s="34"/>
      <c r="Y145" s="34"/>
      <c r="Z145" s="34"/>
      <c r="AA145" s="34"/>
    </row>
    <row r="146">
      <c r="A146" s="20" t="str">
        <f>IFERROR(__xludf.DUMMYFUNCTION("""COMPUTED_VALUE"""),"South Carolina")</f>
        <v>South Carolina</v>
      </c>
      <c r="B146" s="34" t="str">
        <f>IFERROR(__xludf.DUMMYFUNCTION("""COMPUTED_VALUE"""),"2-8")</f>
        <v>2-8</v>
      </c>
      <c r="C146" s="39">
        <f>IFERROR(__xludf.DUMMYFUNCTION("""COMPUTED_VALUE"""),0.2)</f>
        <v>0.2</v>
      </c>
      <c r="D146" s="34" t="str">
        <f>IFERROR(__xludf.DUMMYFUNCTION("""COMPUTED_VALUE"""),"SEC")</f>
        <v>SEC</v>
      </c>
      <c r="E146" s="34" t="str">
        <f>IFERROR(__xludf.DUMMYFUNCTION("""COMPUTED_VALUE"""),"SEC-East")</f>
        <v>SEC-East</v>
      </c>
      <c r="F146" s="34" t="str">
        <f>IFERROR(__xludf.DUMMYFUNCTION("""COMPUTED_VALUE"""),"2-8")</f>
        <v>2-8</v>
      </c>
      <c r="G146" s="38">
        <f>IFERROR(__xludf.DUMMYFUNCTION("""COMPUTED_VALUE"""),0.2)</f>
        <v>0.2</v>
      </c>
      <c r="H146" s="34">
        <f>IFERROR(__xludf.DUMMYFUNCTION("""COMPUTED_VALUE"""),10.0)</f>
        <v>10</v>
      </c>
      <c r="I146" s="34"/>
      <c r="J146" s="34" t="str">
        <f>IFERROR(__xludf.DUMMYFUNCTION("""COMPUTED_VALUE"""),"Texas A&amp;M")</f>
        <v>Texas A&amp;M</v>
      </c>
      <c r="K146" s="34" t="str">
        <f>IFERROR(__xludf.DUMMYFUNCTION("""COMPUTED_VALUE"""),"9-1")</f>
        <v>9-1</v>
      </c>
      <c r="L146" s="39">
        <f>IFERROR(__xludf.DUMMYFUNCTION("""COMPUTED_VALUE"""),0.9)</f>
        <v>0.9</v>
      </c>
      <c r="M146" s="34" t="str">
        <f>IFERROR(__xludf.DUMMYFUNCTION("""COMPUTED_VALUE"""),"SEC")</f>
        <v>SEC</v>
      </c>
      <c r="N146" s="34" t="str">
        <f>IFERROR(__xludf.DUMMYFUNCTION("""COMPUTED_VALUE"""),"SEC-West")</f>
        <v>SEC-West</v>
      </c>
      <c r="O146" s="34" t="str">
        <f>IFERROR(__xludf.DUMMYFUNCTION("""COMPUTED_VALUE"""),"8-1")</f>
        <v>8-1</v>
      </c>
      <c r="P146" s="38">
        <f>IFERROR(__xludf.DUMMYFUNCTION("""COMPUTED_VALUE"""),0.8888888888888888)</f>
        <v>0.8888888889</v>
      </c>
      <c r="Q146" s="34">
        <f>IFERROR(__xludf.DUMMYFUNCTION("""COMPUTED_VALUE"""),10.0)</f>
        <v>10</v>
      </c>
      <c r="R146" s="34"/>
      <c r="S146" s="34"/>
      <c r="T146" s="34"/>
      <c r="U146" s="34"/>
      <c r="V146" s="34"/>
      <c r="W146" s="34"/>
      <c r="X146" s="34"/>
      <c r="Y146" s="34"/>
      <c r="Z146" s="34"/>
      <c r="AA146" s="34"/>
    </row>
    <row r="147">
      <c r="A147" s="20" t="str">
        <f>IFERROR(__xludf.DUMMYFUNCTION("""COMPUTED_VALUE"""),"Vanderbilt")</f>
        <v>Vanderbilt</v>
      </c>
      <c r="B147" s="34" t="str">
        <f>IFERROR(__xludf.DUMMYFUNCTION("""COMPUTED_VALUE"""),"0-9")</f>
        <v>0-9</v>
      </c>
      <c r="C147" s="39">
        <f>IFERROR(__xludf.DUMMYFUNCTION("""COMPUTED_VALUE"""),0.0)</f>
        <v>0</v>
      </c>
      <c r="D147" s="34" t="str">
        <f>IFERROR(__xludf.DUMMYFUNCTION("""COMPUTED_VALUE"""),"SEC")</f>
        <v>SEC</v>
      </c>
      <c r="E147" s="34" t="str">
        <f>IFERROR(__xludf.DUMMYFUNCTION("""COMPUTED_VALUE"""),"SEC-East")</f>
        <v>SEC-East</v>
      </c>
      <c r="F147" s="34" t="str">
        <f>IFERROR(__xludf.DUMMYFUNCTION("""COMPUTED_VALUE"""),"0-9")</f>
        <v>0-9</v>
      </c>
      <c r="G147" s="38">
        <f>IFERROR(__xludf.DUMMYFUNCTION("""COMPUTED_VALUE"""),0.0)</f>
        <v>0</v>
      </c>
      <c r="H147" s="34">
        <f>IFERROR(__xludf.DUMMYFUNCTION("""COMPUTED_VALUE"""),9.0)</f>
        <v>9</v>
      </c>
      <c r="I147" s="34"/>
      <c r="J147" s="34" t="str">
        <f>IFERROR(__xludf.DUMMYFUNCTION("""COMPUTED_VALUE"""),"Georgia")</f>
        <v>Georgia</v>
      </c>
      <c r="K147" s="34" t="str">
        <f>IFERROR(__xludf.DUMMYFUNCTION("""COMPUTED_VALUE"""),"8-2")</f>
        <v>8-2</v>
      </c>
      <c r="L147" s="39">
        <f>IFERROR(__xludf.DUMMYFUNCTION("""COMPUTED_VALUE"""),0.8)</f>
        <v>0.8</v>
      </c>
      <c r="M147" s="34" t="str">
        <f>IFERROR(__xludf.DUMMYFUNCTION("""COMPUTED_VALUE"""),"SEC")</f>
        <v>SEC</v>
      </c>
      <c r="N147" s="34" t="str">
        <f>IFERROR(__xludf.DUMMYFUNCTION("""COMPUTED_VALUE"""),"SEC-East")</f>
        <v>SEC-East</v>
      </c>
      <c r="O147" s="34" t="str">
        <f>IFERROR(__xludf.DUMMYFUNCTION("""COMPUTED_VALUE"""),"7-2")</f>
        <v>7-2</v>
      </c>
      <c r="P147" s="38">
        <f>IFERROR(__xludf.DUMMYFUNCTION("""COMPUTED_VALUE"""),0.7777777777777778)</f>
        <v>0.7777777778</v>
      </c>
      <c r="Q147" s="34">
        <f>IFERROR(__xludf.DUMMYFUNCTION("""COMPUTED_VALUE"""),10.0)</f>
        <v>10</v>
      </c>
      <c r="R147" s="34"/>
      <c r="S147" s="34"/>
      <c r="T147" s="34"/>
      <c r="U147" s="34"/>
      <c r="V147" s="34"/>
      <c r="W147" s="34"/>
      <c r="X147" s="34"/>
      <c r="Y147" s="34"/>
      <c r="Z147" s="34"/>
      <c r="AA147" s="34"/>
    </row>
    <row r="148">
      <c r="A148" s="42" t="s">
        <v>219</v>
      </c>
      <c r="I148" s="34"/>
      <c r="J148" s="34" t="str">
        <f>IFERROR(__xludf.DUMMYFUNCTION("""COMPUTED_VALUE"""),"Florida")</f>
        <v>Florida</v>
      </c>
      <c r="K148" s="34" t="str">
        <f>IFERROR(__xludf.DUMMYFUNCTION("""COMPUTED_VALUE"""),"8-4")</f>
        <v>8-4</v>
      </c>
      <c r="L148" s="39">
        <f>IFERROR(__xludf.DUMMYFUNCTION("""COMPUTED_VALUE"""),0.6666666666666666)</f>
        <v>0.6666666667</v>
      </c>
      <c r="M148" s="34" t="str">
        <f>IFERROR(__xludf.DUMMYFUNCTION("""COMPUTED_VALUE"""),"SEC")</f>
        <v>SEC</v>
      </c>
      <c r="N148" s="34" t="str">
        <f>IFERROR(__xludf.DUMMYFUNCTION("""COMPUTED_VALUE"""),"SEC-East")</f>
        <v>SEC-East</v>
      </c>
      <c r="O148" s="34" t="str">
        <f>IFERROR(__xludf.DUMMYFUNCTION("""COMPUTED_VALUE"""),"8-3")</f>
        <v>8-3</v>
      </c>
      <c r="P148" s="38">
        <f>IFERROR(__xludf.DUMMYFUNCTION("""COMPUTED_VALUE"""),0.7272727272727273)</f>
        <v>0.7272727273</v>
      </c>
      <c r="Q148" s="34">
        <f>IFERROR(__xludf.DUMMYFUNCTION("""COMPUTED_VALUE"""),12.0)</f>
        <v>12</v>
      </c>
      <c r="R148" s="34"/>
      <c r="S148" s="34"/>
      <c r="T148" s="34"/>
      <c r="U148" s="34"/>
      <c r="V148" s="34"/>
      <c r="W148" s="34"/>
      <c r="X148" s="34"/>
      <c r="Y148" s="34"/>
      <c r="Z148" s="34"/>
      <c r="AA148" s="34"/>
    </row>
    <row r="149">
      <c r="A149" s="35" t="str">
        <f>IFERROR(__xludf.DUMMYFUNCTION("QUERY(standings,""SELECT A, D, E, F, G, J, K, R WHERE G = 'SEC-West' ORDER BY K DESC, E DESC, J DESC"",1)"),"Team")</f>
        <v>Team</v>
      </c>
      <c r="B149" s="34" t="str">
        <f>IFERROR(__xludf.DUMMYFUNCTION("""COMPUTED_VALUE"""),"Record")</f>
        <v>Record</v>
      </c>
      <c r="C149" s="34" t="str">
        <f>IFERROR(__xludf.DUMMYFUNCTION("""COMPUTED_VALUE"""),"Ovr Win %")</f>
        <v>Ovr Win %</v>
      </c>
      <c r="D149" s="34" t="str">
        <f>IFERROR(__xludf.DUMMYFUNCTION("""COMPUTED_VALUE"""),"Conf")</f>
        <v>Conf</v>
      </c>
      <c r="E149" s="34" t="str">
        <f>IFERROR(__xludf.DUMMYFUNCTION("""COMPUTED_VALUE"""),"Conf-Div")</f>
        <v>Conf-Div</v>
      </c>
      <c r="F149" s="34" t="str">
        <f>IFERROR(__xludf.DUMMYFUNCTION("""COMPUTED_VALUE"""),"Conf Record")</f>
        <v>Conf Record</v>
      </c>
      <c r="G149" s="34" t="str">
        <f>IFERROR(__xludf.DUMMYFUNCTION("""COMPUTED_VALUE"""),"Conf W %")</f>
        <v>Conf W %</v>
      </c>
      <c r="H149" s="34" t="str">
        <f>IFERROR(__xludf.DUMMYFUNCTION("""COMPUTED_VALUE"""),"# Games")</f>
        <v># Games</v>
      </c>
      <c r="I149" s="34"/>
      <c r="J149" s="34" t="str">
        <f>IFERROR(__xludf.DUMMYFUNCTION("""COMPUTED_VALUE"""),"Auburn")</f>
        <v>Auburn</v>
      </c>
      <c r="K149" s="34" t="str">
        <f>IFERROR(__xludf.DUMMYFUNCTION("""COMPUTED_VALUE"""),"6-5")</f>
        <v>6-5</v>
      </c>
      <c r="L149" s="39">
        <f>IFERROR(__xludf.DUMMYFUNCTION("""COMPUTED_VALUE"""),0.5454545454545454)</f>
        <v>0.5454545455</v>
      </c>
      <c r="M149" s="34" t="str">
        <f>IFERROR(__xludf.DUMMYFUNCTION("""COMPUTED_VALUE"""),"SEC")</f>
        <v>SEC</v>
      </c>
      <c r="N149" s="34" t="str">
        <f>IFERROR(__xludf.DUMMYFUNCTION("""COMPUTED_VALUE"""),"SEC-West")</f>
        <v>SEC-West</v>
      </c>
      <c r="O149" s="34" t="str">
        <f>IFERROR(__xludf.DUMMYFUNCTION("""COMPUTED_VALUE"""),"6-4")</f>
        <v>6-4</v>
      </c>
      <c r="P149" s="38">
        <f>IFERROR(__xludf.DUMMYFUNCTION("""COMPUTED_VALUE"""),0.6)</f>
        <v>0.6</v>
      </c>
      <c r="Q149" s="34">
        <f>IFERROR(__xludf.DUMMYFUNCTION("""COMPUTED_VALUE"""),11.0)</f>
        <v>11</v>
      </c>
      <c r="R149" s="34"/>
      <c r="S149" s="34"/>
      <c r="T149" s="34"/>
      <c r="U149" s="34"/>
      <c r="V149" s="34"/>
      <c r="W149" s="34"/>
      <c r="X149" s="34"/>
      <c r="Y149" s="34"/>
      <c r="Z149" s="34"/>
      <c r="AA149" s="34"/>
    </row>
    <row r="150">
      <c r="A150" s="20" t="str">
        <f>IFERROR(__xludf.DUMMYFUNCTION("""COMPUTED_VALUE"""),"Alabama")</f>
        <v>Alabama</v>
      </c>
      <c r="B150" s="34" t="str">
        <f>IFERROR(__xludf.DUMMYFUNCTION("""COMPUTED_VALUE"""),"13-0")</f>
        <v>13-0</v>
      </c>
      <c r="C150" s="39">
        <f>IFERROR(__xludf.DUMMYFUNCTION("""COMPUTED_VALUE"""),1.0)</f>
        <v>1</v>
      </c>
      <c r="D150" s="34" t="str">
        <f>IFERROR(__xludf.DUMMYFUNCTION("""COMPUTED_VALUE"""),"SEC")</f>
        <v>SEC</v>
      </c>
      <c r="E150" s="34" t="str">
        <f>IFERROR(__xludf.DUMMYFUNCTION("""COMPUTED_VALUE"""),"SEC-West")</f>
        <v>SEC-West</v>
      </c>
      <c r="F150" s="34" t="str">
        <f>IFERROR(__xludf.DUMMYFUNCTION("""COMPUTED_VALUE"""),"11-0")</f>
        <v>11-0</v>
      </c>
      <c r="G150" s="38">
        <f>IFERROR(__xludf.DUMMYFUNCTION("""COMPUTED_VALUE"""),1.0)</f>
        <v>1</v>
      </c>
      <c r="H150" s="34">
        <f>IFERROR(__xludf.DUMMYFUNCTION("""COMPUTED_VALUE"""),13.0)</f>
        <v>13</v>
      </c>
      <c r="I150" s="34"/>
      <c r="J150" s="34" t="str">
        <f>IFERROR(__xludf.DUMMYFUNCTION("""COMPUTED_VALUE"""),"LSU")</f>
        <v>LSU</v>
      </c>
      <c r="K150" s="34" t="str">
        <f>IFERROR(__xludf.DUMMYFUNCTION("""COMPUTED_VALUE"""),"5-5")</f>
        <v>5-5</v>
      </c>
      <c r="L150" s="39">
        <f>IFERROR(__xludf.DUMMYFUNCTION("""COMPUTED_VALUE"""),0.5)</f>
        <v>0.5</v>
      </c>
      <c r="M150" s="34" t="str">
        <f>IFERROR(__xludf.DUMMYFUNCTION("""COMPUTED_VALUE"""),"SEC")</f>
        <v>SEC</v>
      </c>
      <c r="N150" s="34" t="str">
        <f>IFERROR(__xludf.DUMMYFUNCTION("""COMPUTED_VALUE"""),"SEC-West")</f>
        <v>SEC-West</v>
      </c>
      <c r="O150" s="34" t="str">
        <f>IFERROR(__xludf.DUMMYFUNCTION("""COMPUTED_VALUE"""),"5-5")</f>
        <v>5-5</v>
      </c>
      <c r="P150" s="38">
        <f>IFERROR(__xludf.DUMMYFUNCTION("""COMPUTED_VALUE"""),0.5)</f>
        <v>0.5</v>
      </c>
      <c r="Q150" s="34">
        <f>IFERROR(__xludf.DUMMYFUNCTION("""COMPUTED_VALUE"""),10.0)</f>
        <v>10</v>
      </c>
      <c r="R150" s="34"/>
      <c r="S150" s="34"/>
      <c r="T150" s="34"/>
      <c r="U150" s="34"/>
      <c r="V150" s="34"/>
      <c r="W150" s="34"/>
      <c r="X150" s="34"/>
      <c r="Y150" s="34"/>
      <c r="Z150" s="34"/>
      <c r="AA150" s="34"/>
    </row>
    <row r="151">
      <c r="A151" s="20" t="str">
        <f>IFERROR(__xludf.DUMMYFUNCTION("""COMPUTED_VALUE"""),"Texas A&amp;M")</f>
        <v>Texas A&amp;M</v>
      </c>
      <c r="B151" s="34" t="str">
        <f>IFERROR(__xludf.DUMMYFUNCTION("""COMPUTED_VALUE"""),"9-1")</f>
        <v>9-1</v>
      </c>
      <c r="C151" s="39">
        <f>IFERROR(__xludf.DUMMYFUNCTION("""COMPUTED_VALUE"""),0.9)</f>
        <v>0.9</v>
      </c>
      <c r="D151" s="34" t="str">
        <f>IFERROR(__xludf.DUMMYFUNCTION("""COMPUTED_VALUE"""),"SEC")</f>
        <v>SEC</v>
      </c>
      <c r="E151" s="34" t="str">
        <f>IFERROR(__xludf.DUMMYFUNCTION("""COMPUTED_VALUE"""),"SEC-West")</f>
        <v>SEC-West</v>
      </c>
      <c r="F151" s="34" t="str">
        <f>IFERROR(__xludf.DUMMYFUNCTION("""COMPUTED_VALUE"""),"8-1")</f>
        <v>8-1</v>
      </c>
      <c r="G151" s="38">
        <f>IFERROR(__xludf.DUMMYFUNCTION("""COMPUTED_VALUE"""),0.8888888888888888)</f>
        <v>0.8888888889</v>
      </c>
      <c r="H151" s="34">
        <f>IFERROR(__xludf.DUMMYFUNCTION("""COMPUTED_VALUE"""),10.0)</f>
        <v>10</v>
      </c>
      <c r="I151" s="34"/>
      <c r="J151" s="34" t="str">
        <f>IFERROR(__xludf.DUMMYFUNCTION("""COMPUTED_VALUE"""),"Missouri")</f>
        <v>Missouri</v>
      </c>
      <c r="K151" s="34" t="str">
        <f>IFERROR(__xludf.DUMMYFUNCTION("""COMPUTED_VALUE"""),"5-5")</f>
        <v>5-5</v>
      </c>
      <c r="L151" s="39">
        <f>IFERROR(__xludf.DUMMYFUNCTION("""COMPUTED_VALUE"""),0.5)</f>
        <v>0.5</v>
      </c>
      <c r="M151" s="34" t="str">
        <f>IFERROR(__xludf.DUMMYFUNCTION("""COMPUTED_VALUE"""),"SEC")</f>
        <v>SEC</v>
      </c>
      <c r="N151" s="34" t="str">
        <f>IFERROR(__xludf.DUMMYFUNCTION("""COMPUTED_VALUE"""),"SEC-East")</f>
        <v>SEC-East</v>
      </c>
      <c r="O151" s="34" t="str">
        <f>IFERROR(__xludf.DUMMYFUNCTION("""COMPUTED_VALUE"""),"5-5")</f>
        <v>5-5</v>
      </c>
      <c r="P151" s="38">
        <f>IFERROR(__xludf.DUMMYFUNCTION("""COMPUTED_VALUE"""),0.5)</f>
        <v>0.5</v>
      </c>
      <c r="Q151" s="34">
        <f>IFERROR(__xludf.DUMMYFUNCTION("""COMPUTED_VALUE"""),10.0)</f>
        <v>10</v>
      </c>
      <c r="R151" s="34"/>
      <c r="S151" s="34"/>
      <c r="T151" s="34"/>
      <c r="U151" s="34"/>
      <c r="V151" s="34"/>
      <c r="W151" s="34"/>
      <c r="X151" s="34"/>
      <c r="Y151" s="34"/>
      <c r="Z151" s="34"/>
      <c r="AA151" s="34"/>
    </row>
    <row r="152">
      <c r="A152" s="20" t="str">
        <f>IFERROR(__xludf.DUMMYFUNCTION("""COMPUTED_VALUE"""),"Auburn")</f>
        <v>Auburn</v>
      </c>
      <c r="B152" s="34" t="str">
        <f>IFERROR(__xludf.DUMMYFUNCTION("""COMPUTED_VALUE"""),"6-5")</f>
        <v>6-5</v>
      </c>
      <c r="C152" s="39">
        <f>IFERROR(__xludf.DUMMYFUNCTION("""COMPUTED_VALUE"""),0.5454545454545454)</f>
        <v>0.5454545455</v>
      </c>
      <c r="D152" s="34" t="str">
        <f>IFERROR(__xludf.DUMMYFUNCTION("""COMPUTED_VALUE"""),"SEC")</f>
        <v>SEC</v>
      </c>
      <c r="E152" s="34" t="str">
        <f>IFERROR(__xludf.DUMMYFUNCTION("""COMPUTED_VALUE"""),"SEC-West")</f>
        <v>SEC-West</v>
      </c>
      <c r="F152" s="34" t="str">
        <f>IFERROR(__xludf.DUMMYFUNCTION("""COMPUTED_VALUE"""),"6-4")</f>
        <v>6-4</v>
      </c>
      <c r="G152" s="38">
        <f>IFERROR(__xludf.DUMMYFUNCTION("""COMPUTED_VALUE"""),0.6)</f>
        <v>0.6</v>
      </c>
      <c r="H152" s="34">
        <f>IFERROR(__xludf.DUMMYFUNCTION("""COMPUTED_VALUE"""),11.0)</f>
        <v>11</v>
      </c>
      <c r="I152" s="34"/>
      <c r="J152" s="34" t="str">
        <f>IFERROR(__xludf.DUMMYFUNCTION("""COMPUTED_VALUE"""),"Mississippi")</f>
        <v>Mississippi</v>
      </c>
      <c r="K152" s="34" t="str">
        <f>IFERROR(__xludf.DUMMYFUNCTION("""COMPUTED_VALUE"""),"5-5")</f>
        <v>5-5</v>
      </c>
      <c r="L152" s="39">
        <f>IFERROR(__xludf.DUMMYFUNCTION("""COMPUTED_VALUE"""),0.5)</f>
        <v>0.5</v>
      </c>
      <c r="M152" s="34" t="str">
        <f>IFERROR(__xludf.DUMMYFUNCTION("""COMPUTED_VALUE"""),"SEC")</f>
        <v>SEC</v>
      </c>
      <c r="N152" s="34" t="str">
        <f>IFERROR(__xludf.DUMMYFUNCTION("""COMPUTED_VALUE"""),"SEC-West")</f>
        <v>SEC-West</v>
      </c>
      <c r="O152" s="34" t="str">
        <f>IFERROR(__xludf.DUMMYFUNCTION("""COMPUTED_VALUE"""),"4-5")</f>
        <v>4-5</v>
      </c>
      <c r="P152" s="38">
        <f>IFERROR(__xludf.DUMMYFUNCTION("""COMPUTED_VALUE"""),0.4444444444444444)</f>
        <v>0.4444444444</v>
      </c>
      <c r="Q152" s="34">
        <f>IFERROR(__xludf.DUMMYFUNCTION("""COMPUTED_VALUE"""),10.0)</f>
        <v>10</v>
      </c>
      <c r="R152" s="34"/>
      <c r="S152" s="34"/>
      <c r="T152" s="34"/>
      <c r="U152" s="34"/>
      <c r="V152" s="34"/>
      <c r="W152" s="34"/>
      <c r="X152" s="34"/>
      <c r="Y152" s="34"/>
      <c r="Z152" s="34"/>
      <c r="AA152" s="34"/>
    </row>
    <row r="153">
      <c r="A153" s="20" t="str">
        <f>IFERROR(__xludf.DUMMYFUNCTION("""COMPUTED_VALUE"""),"LSU")</f>
        <v>LSU</v>
      </c>
      <c r="B153" s="34" t="str">
        <f>IFERROR(__xludf.DUMMYFUNCTION("""COMPUTED_VALUE"""),"5-5")</f>
        <v>5-5</v>
      </c>
      <c r="C153" s="39">
        <f>IFERROR(__xludf.DUMMYFUNCTION("""COMPUTED_VALUE"""),0.5)</f>
        <v>0.5</v>
      </c>
      <c r="D153" s="34" t="str">
        <f>IFERROR(__xludf.DUMMYFUNCTION("""COMPUTED_VALUE"""),"SEC")</f>
        <v>SEC</v>
      </c>
      <c r="E153" s="34" t="str">
        <f>IFERROR(__xludf.DUMMYFUNCTION("""COMPUTED_VALUE"""),"SEC-West")</f>
        <v>SEC-West</v>
      </c>
      <c r="F153" s="34" t="str">
        <f>IFERROR(__xludf.DUMMYFUNCTION("""COMPUTED_VALUE"""),"5-5")</f>
        <v>5-5</v>
      </c>
      <c r="G153" s="38">
        <f>IFERROR(__xludf.DUMMYFUNCTION("""COMPUTED_VALUE"""),0.5)</f>
        <v>0.5</v>
      </c>
      <c r="H153" s="34">
        <f>IFERROR(__xludf.DUMMYFUNCTION("""COMPUTED_VALUE"""),10.0)</f>
        <v>10</v>
      </c>
      <c r="I153" s="34"/>
      <c r="J153" s="34" t="str">
        <f>IFERROR(__xludf.DUMMYFUNCTION("""COMPUTED_VALUE"""),"Kentucky")</f>
        <v>Kentucky</v>
      </c>
      <c r="K153" s="34" t="str">
        <f>IFERROR(__xludf.DUMMYFUNCTION("""COMPUTED_VALUE"""),"5-6")</f>
        <v>5-6</v>
      </c>
      <c r="L153" s="39">
        <f>IFERROR(__xludf.DUMMYFUNCTION("""COMPUTED_VALUE"""),0.45454545454545453)</f>
        <v>0.4545454545</v>
      </c>
      <c r="M153" s="34" t="str">
        <f>IFERROR(__xludf.DUMMYFUNCTION("""COMPUTED_VALUE"""),"SEC")</f>
        <v>SEC</v>
      </c>
      <c r="N153" s="34" t="str">
        <f>IFERROR(__xludf.DUMMYFUNCTION("""COMPUTED_VALUE"""),"SEC-East")</f>
        <v>SEC-East</v>
      </c>
      <c r="O153" s="34" t="str">
        <f>IFERROR(__xludf.DUMMYFUNCTION("""COMPUTED_VALUE"""),"4-6")</f>
        <v>4-6</v>
      </c>
      <c r="P153" s="38">
        <f>IFERROR(__xludf.DUMMYFUNCTION("""COMPUTED_VALUE"""),0.4)</f>
        <v>0.4</v>
      </c>
      <c r="Q153" s="34">
        <f>IFERROR(__xludf.DUMMYFUNCTION("""COMPUTED_VALUE"""),11.0)</f>
        <v>11</v>
      </c>
      <c r="R153" s="34"/>
      <c r="S153" s="34"/>
      <c r="T153" s="34"/>
      <c r="U153" s="34"/>
      <c r="V153" s="34"/>
      <c r="W153" s="34"/>
      <c r="X153" s="34"/>
      <c r="Y153" s="34"/>
      <c r="Z153" s="34"/>
      <c r="AA153" s="34"/>
    </row>
    <row r="154">
      <c r="A154" s="20" t="str">
        <f>IFERROR(__xludf.DUMMYFUNCTION("""COMPUTED_VALUE"""),"Mississippi")</f>
        <v>Mississippi</v>
      </c>
      <c r="B154" s="34" t="str">
        <f>IFERROR(__xludf.DUMMYFUNCTION("""COMPUTED_VALUE"""),"5-5")</f>
        <v>5-5</v>
      </c>
      <c r="C154" s="39">
        <f>IFERROR(__xludf.DUMMYFUNCTION("""COMPUTED_VALUE"""),0.5)</f>
        <v>0.5</v>
      </c>
      <c r="D154" s="34" t="str">
        <f>IFERROR(__xludf.DUMMYFUNCTION("""COMPUTED_VALUE"""),"SEC")</f>
        <v>SEC</v>
      </c>
      <c r="E154" s="34" t="str">
        <f>IFERROR(__xludf.DUMMYFUNCTION("""COMPUTED_VALUE"""),"SEC-West")</f>
        <v>SEC-West</v>
      </c>
      <c r="F154" s="34" t="str">
        <f>IFERROR(__xludf.DUMMYFUNCTION("""COMPUTED_VALUE"""),"4-5")</f>
        <v>4-5</v>
      </c>
      <c r="G154" s="38">
        <f>IFERROR(__xludf.DUMMYFUNCTION("""COMPUTED_VALUE"""),0.4444444444444444)</f>
        <v>0.4444444444</v>
      </c>
      <c r="H154" s="34">
        <f>IFERROR(__xludf.DUMMYFUNCTION("""COMPUTED_VALUE"""),10.0)</f>
        <v>10</v>
      </c>
      <c r="I154" s="34"/>
      <c r="J154" s="34" t="str">
        <f>IFERROR(__xludf.DUMMYFUNCTION("""COMPUTED_VALUE"""),"Mississippi State")</f>
        <v>Mississippi State</v>
      </c>
      <c r="K154" s="34" t="str">
        <f>IFERROR(__xludf.DUMMYFUNCTION("""COMPUTED_VALUE"""),"4-7")</f>
        <v>4-7</v>
      </c>
      <c r="L154" s="39">
        <f>IFERROR(__xludf.DUMMYFUNCTION("""COMPUTED_VALUE"""),0.36363636363636365)</f>
        <v>0.3636363636</v>
      </c>
      <c r="M154" s="34" t="str">
        <f>IFERROR(__xludf.DUMMYFUNCTION("""COMPUTED_VALUE"""),"SEC")</f>
        <v>SEC</v>
      </c>
      <c r="N154" s="34" t="str">
        <f>IFERROR(__xludf.DUMMYFUNCTION("""COMPUTED_VALUE"""),"SEC-West")</f>
        <v>SEC-West</v>
      </c>
      <c r="O154" s="34" t="str">
        <f>IFERROR(__xludf.DUMMYFUNCTION("""COMPUTED_VALUE"""),"3-7")</f>
        <v>3-7</v>
      </c>
      <c r="P154" s="38">
        <f>IFERROR(__xludf.DUMMYFUNCTION("""COMPUTED_VALUE"""),0.3)</f>
        <v>0.3</v>
      </c>
      <c r="Q154" s="34">
        <f>IFERROR(__xludf.DUMMYFUNCTION("""COMPUTED_VALUE"""),11.0)</f>
        <v>11</v>
      </c>
      <c r="R154" s="34"/>
      <c r="S154" s="34"/>
      <c r="T154" s="34"/>
      <c r="U154" s="34"/>
      <c r="V154" s="34"/>
      <c r="W154" s="34"/>
      <c r="X154" s="34"/>
      <c r="Y154" s="34"/>
      <c r="Z154" s="34"/>
      <c r="AA154" s="34"/>
    </row>
    <row r="155">
      <c r="A155" s="20" t="str">
        <f>IFERROR(__xludf.DUMMYFUNCTION("""COMPUTED_VALUE"""),"Mississippi State")</f>
        <v>Mississippi State</v>
      </c>
      <c r="B155" s="34" t="str">
        <f>IFERROR(__xludf.DUMMYFUNCTION("""COMPUTED_VALUE"""),"4-7")</f>
        <v>4-7</v>
      </c>
      <c r="C155" s="39">
        <f>IFERROR(__xludf.DUMMYFUNCTION("""COMPUTED_VALUE"""),0.36363636363636365)</f>
        <v>0.3636363636</v>
      </c>
      <c r="D155" s="34" t="str">
        <f>IFERROR(__xludf.DUMMYFUNCTION("""COMPUTED_VALUE"""),"SEC")</f>
        <v>SEC</v>
      </c>
      <c r="E155" s="34" t="str">
        <f>IFERROR(__xludf.DUMMYFUNCTION("""COMPUTED_VALUE"""),"SEC-West")</f>
        <v>SEC-West</v>
      </c>
      <c r="F155" s="34" t="str">
        <f>IFERROR(__xludf.DUMMYFUNCTION("""COMPUTED_VALUE"""),"3-7")</f>
        <v>3-7</v>
      </c>
      <c r="G155" s="38">
        <f>IFERROR(__xludf.DUMMYFUNCTION("""COMPUTED_VALUE"""),0.3)</f>
        <v>0.3</v>
      </c>
      <c r="H155" s="34">
        <f>IFERROR(__xludf.DUMMYFUNCTION("""COMPUTED_VALUE"""),11.0)</f>
        <v>11</v>
      </c>
      <c r="I155" s="34"/>
      <c r="J155" s="34" t="str">
        <f>IFERROR(__xludf.DUMMYFUNCTION("""COMPUTED_VALUE"""),"Tennessee")</f>
        <v>Tennessee</v>
      </c>
      <c r="K155" s="34" t="str">
        <f>IFERROR(__xludf.DUMMYFUNCTION("""COMPUTED_VALUE"""),"3-7")</f>
        <v>3-7</v>
      </c>
      <c r="L155" s="39">
        <f>IFERROR(__xludf.DUMMYFUNCTION("""COMPUTED_VALUE"""),0.3)</f>
        <v>0.3</v>
      </c>
      <c r="M155" s="34" t="str">
        <f>IFERROR(__xludf.DUMMYFUNCTION("""COMPUTED_VALUE"""),"SEC")</f>
        <v>SEC</v>
      </c>
      <c r="N155" s="34" t="str">
        <f>IFERROR(__xludf.DUMMYFUNCTION("""COMPUTED_VALUE"""),"SEC-East")</f>
        <v>SEC-East</v>
      </c>
      <c r="O155" s="34" t="str">
        <f>IFERROR(__xludf.DUMMYFUNCTION("""COMPUTED_VALUE"""),"3-7")</f>
        <v>3-7</v>
      </c>
      <c r="P155" s="38">
        <f>IFERROR(__xludf.DUMMYFUNCTION("""COMPUTED_VALUE"""),0.3)</f>
        <v>0.3</v>
      </c>
      <c r="Q155" s="34">
        <f>IFERROR(__xludf.DUMMYFUNCTION("""COMPUTED_VALUE"""),10.0)</f>
        <v>10</v>
      </c>
      <c r="R155" s="34"/>
      <c r="S155" s="34"/>
      <c r="T155" s="34"/>
      <c r="U155" s="34"/>
      <c r="V155" s="34"/>
      <c r="W155" s="34"/>
      <c r="X155" s="34"/>
      <c r="Y155" s="34"/>
      <c r="Z155" s="34"/>
      <c r="AA155" s="34"/>
    </row>
    <row r="156">
      <c r="A156" s="20" t="str">
        <f>IFERROR(__xludf.DUMMYFUNCTION("""COMPUTED_VALUE"""),"Arkansas")</f>
        <v>Arkansas</v>
      </c>
      <c r="B156" s="34" t="str">
        <f>IFERROR(__xludf.DUMMYFUNCTION("""COMPUTED_VALUE"""),"3-7")</f>
        <v>3-7</v>
      </c>
      <c r="C156" s="39">
        <f>IFERROR(__xludf.DUMMYFUNCTION("""COMPUTED_VALUE"""),0.3)</f>
        <v>0.3</v>
      </c>
      <c r="D156" s="34" t="str">
        <f>IFERROR(__xludf.DUMMYFUNCTION("""COMPUTED_VALUE"""),"SEC")</f>
        <v>SEC</v>
      </c>
      <c r="E156" s="34" t="str">
        <f>IFERROR(__xludf.DUMMYFUNCTION("""COMPUTED_VALUE"""),"SEC-West")</f>
        <v>SEC-West</v>
      </c>
      <c r="F156" s="34" t="str">
        <f>IFERROR(__xludf.DUMMYFUNCTION("""COMPUTED_VALUE"""),"3-7")</f>
        <v>3-7</v>
      </c>
      <c r="G156" s="38">
        <f>IFERROR(__xludf.DUMMYFUNCTION("""COMPUTED_VALUE"""),0.3)</f>
        <v>0.3</v>
      </c>
      <c r="H156" s="34">
        <f>IFERROR(__xludf.DUMMYFUNCTION("""COMPUTED_VALUE"""),10.0)</f>
        <v>10</v>
      </c>
      <c r="I156" s="34"/>
      <c r="J156" s="34" t="str">
        <f>IFERROR(__xludf.DUMMYFUNCTION("""COMPUTED_VALUE"""),"Arkansas")</f>
        <v>Arkansas</v>
      </c>
      <c r="K156" s="34" t="str">
        <f>IFERROR(__xludf.DUMMYFUNCTION("""COMPUTED_VALUE"""),"3-7")</f>
        <v>3-7</v>
      </c>
      <c r="L156" s="39">
        <f>IFERROR(__xludf.DUMMYFUNCTION("""COMPUTED_VALUE"""),0.3)</f>
        <v>0.3</v>
      </c>
      <c r="M156" s="34" t="str">
        <f>IFERROR(__xludf.DUMMYFUNCTION("""COMPUTED_VALUE"""),"SEC")</f>
        <v>SEC</v>
      </c>
      <c r="N156" s="34" t="str">
        <f>IFERROR(__xludf.DUMMYFUNCTION("""COMPUTED_VALUE"""),"SEC-West")</f>
        <v>SEC-West</v>
      </c>
      <c r="O156" s="34" t="str">
        <f>IFERROR(__xludf.DUMMYFUNCTION("""COMPUTED_VALUE"""),"3-7")</f>
        <v>3-7</v>
      </c>
      <c r="P156" s="38">
        <f>IFERROR(__xludf.DUMMYFUNCTION("""COMPUTED_VALUE"""),0.3)</f>
        <v>0.3</v>
      </c>
      <c r="Q156" s="34">
        <f>IFERROR(__xludf.DUMMYFUNCTION("""COMPUTED_VALUE"""),10.0)</f>
        <v>10</v>
      </c>
      <c r="R156" s="34"/>
      <c r="S156" s="34"/>
      <c r="T156" s="34"/>
      <c r="U156" s="34"/>
      <c r="V156" s="34"/>
      <c r="W156" s="34"/>
      <c r="X156" s="34"/>
      <c r="Y156" s="34"/>
      <c r="Z156" s="34"/>
      <c r="AA156" s="34"/>
    </row>
    <row r="157">
      <c r="A157" s="42" t="s">
        <v>227</v>
      </c>
      <c r="I157" s="34"/>
      <c r="J157" s="34" t="str">
        <f>IFERROR(__xludf.DUMMYFUNCTION("""COMPUTED_VALUE"""),"South Carolina")</f>
        <v>South Carolina</v>
      </c>
      <c r="K157" s="34" t="str">
        <f>IFERROR(__xludf.DUMMYFUNCTION("""COMPUTED_VALUE"""),"2-8")</f>
        <v>2-8</v>
      </c>
      <c r="L157" s="39">
        <f>IFERROR(__xludf.DUMMYFUNCTION("""COMPUTED_VALUE"""),0.2)</f>
        <v>0.2</v>
      </c>
      <c r="M157" s="34" t="str">
        <f>IFERROR(__xludf.DUMMYFUNCTION("""COMPUTED_VALUE"""),"SEC")</f>
        <v>SEC</v>
      </c>
      <c r="N157" s="34" t="str">
        <f>IFERROR(__xludf.DUMMYFUNCTION("""COMPUTED_VALUE"""),"SEC-East")</f>
        <v>SEC-East</v>
      </c>
      <c r="O157" s="34" t="str">
        <f>IFERROR(__xludf.DUMMYFUNCTION("""COMPUTED_VALUE"""),"2-8")</f>
        <v>2-8</v>
      </c>
      <c r="P157" s="38">
        <f>IFERROR(__xludf.DUMMYFUNCTION("""COMPUTED_VALUE"""),0.2)</f>
        <v>0.2</v>
      </c>
      <c r="Q157" s="34">
        <f>IFERROR(__xludf.DUMMYFUNCTION("""COMPUTED_VALUE"""),10.0)</f>
        <v>10</v>
      </c>
      <c r="R157" s="34"/>
      <c r="S157" s="34"/>
      <c r="T157" s="34"/>
      <c r="U157" s="34"/>
      <c r="V157" s="34"/>
      <c r="W157" s="34"/>
      <c r="X157" s="34"/>
      <c r="Y157" s="34"/>
      <c r="Z157" s="34"/>
      <c r="AA157" s="34"/>
    </row>
    <row r="158">
      <c r="A158" s="35" t="str">
        <f>IFERROR(__xludf.DUMMYFUNCTION("QUERY(standings,""SELECT A, D, E, F, G, J, K, R WHERE G = 'SUN-East' ORDER BY K DESC, E DESC, J DESC "",1)"),"Team")</f>
        <v>Team</v>
      </c>
      <c r="B158" s="34" t="str">
        <f>IFERROR(__xludf.DUMMYFUNCTION("""COMPUTED_VALUE"""),"Record")</f>
        <v>Record</v>
      </c>
      <c r="C158" s="34" t="str">
        <f>IFERROR(__xludf.DUMMYFUNCTION("""COMPUTED_VALUE"""),"Ovr Win %")</f>
        <v>Ovr Win %</v>
      </c>
      <c r="D158" s="34" t="str">
        <f>IFERROR(__xludf.DUMMYFUNCTION("""COMPUTED_VALUE"""),"Conf")</f>
        <v>Conf</v>
      </c>
      <c r="E158" s="34" t="str">
        <f>IFERROR(__xludf.DUMMYFUNCTION("""COMPUTED_VALUE"""),"Conf-Div")</f>
        <v>Conf-Div</v>
      </c>
      <c r="F158" s="34" t="str">
        <f>IFERROR(__xludf.DUMMYFUNCTION("""COMPUTED_VALUE"""),"Conf Record")</f>
        <v>Conf Record</v>
      </c>
      <c r="G158" s="34" t="str">
        <f>IFERROR(__xludf.DUMMYFUNCTION("""COMPUTED_VALUE"""),"Conf W %")</f>
        <v>Conf W %</v>
      </c>
      <c r="H158" s="34" t="str">
        <f>IFERROR(__xludf.DUMMYFUNCTION("""COMPUTED_VALUE"""),"# Games")</f>
        <v># Games</v>
      </c>
      <c r="I158" s="34"/>
      <c r="J158" s="34" t="str">
        <f>IFERROR(__xludf.DUMMYFUNCTION("""COMPUTED_VALUE"""),"Vanderbilt")</f>
        <v>Vanderbilt</v>
      </c>
      <c r="K158" s="34" t="str">
        <f>IFERROR(__xludf.DUMMYFUNCTION("""COMPUTED_VALUE"""),"0-9")</f>
        <v>0-9</v>
      </c>
      <c r="L158" s="39">
        <f>IFERROR(__xludf.DUMMYFUNCTION("""COMPUTED_VALUE"""),0.0)</f>
        <v>0</v>
      </c>
      <c r="M158" s="34" t="str">
        <f>IFERROR(__xludf.DUMMYFUNCTION("""COMPUTED_VALUE"""),"SEC")</f>
        <v>SEC</v>
      </c>
      <c r="N158" s="34" t="str">
        <f>IFERROR(__xludf.DUMMYFUNCTION("""COMPUTED_VALUE"""),"SEC-East")</f>
        <v>SEC-East</v>
      </c>
      <c r="O158" s="34" t="str">
        <f>IFERROR(__xludf.DUMMYFUNCTION("""COMPUTED_VALUE"""),"0-9")</f>
        <v>0-9</v>
      </c>
      <c r="P158" s="38">
        <f>IFERROR(__xludf.DUMMYFUNCTION("""COMPUTED_VALUE"""),0.0)</f>
        <v>0</v>
      </c>
      <c r="Q158" s="34">
        <f>IFERROR(__xludf.DUMMYFUNCTION("""COMPUTED_VALUE"""),9.0)</f>
        <v>9</v>
      </c>
      <c r="R158" s="34"/>
      <c r="S158" s="34"/>
      <c r="T158" s="34"/>
      <c r="U158" s="34"/>
      <c r="V158" s="34"/>
      <c r="W158" s="34"/>
      <c r="X158" s="34"/>
      <c r="Y158" s="34"/>
      <c r="Z158" s="34"/>
      <c r="AA158" s="34"/>
    </row>
    <row r="159">
      <c r="A159" s="20" t="str">
        <f>IFERROR(__xludf.DUMMYFUNCTION("""COMPUTED_VALUE"""),"Coastal Carolina")</f>
        <v>Coastal Carolina</v>
      </c>
      <c r="B159" s="34" t="str">
        <f>IFERROR(__xludf.DUMMYFUNCTION("""COMPUTED_VALUE"""),"11-1")</f>
        <v>11-1</v>
      </c>
      <c r="C159" s="39">
        <f>IFERROR(__xludf.DUMMYFUNCTION("""COMPUTED_VALUE"""),0.9166666666666666)</f>
        <v>0.9166666667</v>
      </c>
      <c r="D159" s="34" t="str">
        <f>IFERROR(__xludf.DUMMYFUNCTION("""COMPUTED_VALUE"""),"SUN")</f>
        <v>SUN</v>
      </c>
      <c r="E159" s="34" t="str">
        <f>IFERROR(__xludf.DUMMYFUNCTION("""COMPUTED_VALUE"""),"SUN-East")</f>
        <v>SUN-East</v>
      </c>
      <c r="F159" s="34" t="str">
        <f>IFERROR(__xludf.DUMMYFUNCTION("""COMPUTED_VALUE"""),"8-0")</f>
        <v>8-0</v>
      </c>
      <c r="G159" s="38">
        <f>IFERROR(__xludf.DUMMYFUNCTION("""COMPUTED_VALUE"""),1.0)</f>
        <v>1</v>
      </c>
      <c r="H159" s="34">
        <f>IFERROR(__xludf.DUMMYFUNCTION("""COMPUTED_VALUE"""),12.0)</f>
        <v>12</v>
      </c>
      <c r="I159" s="34"/>
      <c r="J159" s="3" t="s">
        <v>229</v>
      </c>
      <c r="L159" s="34">
        <f>COUNTIF(L145:L158,"&gt;=.5")</f>
        <v>8</v>
      </c>
      <c r="M159" s="41">
        <f>COUNTIF(M145:M158,"SEC")</f>
        <v>14</v>
      </c>
      <c r="N159" s="34">
        <f>L159/M159</f>
        <v>0.5714285714</v>
      </c>
      <c r="O159" s="34"/>
      <c r="P159" s="34"/>
      <c r="Q159" s="34"/>
      <c r="R159" s="34"/>
      <c r="S159" s="34"/>
      <c r="T159" s="34"/>
      <c r="U159" s="34"/>
      <c r="V159" s="34"/>
      <c r="W159" s="34"/>
      <c r="X159" s="34"/>
      <c r="Y159" s="34"/>
      <c r="Z159" s="34"/>
      <c r="AA159" s="34"/>
    </row>
    <row r="160">
      <c r="A160" s="20" t="str">
        <f>IFERROR(__xludf.DUMMYFUNCTION("""COMPUTED_VALUE"""),"Appalachian State")</f>
        <v>Appalachian State</v>
      </c>
      <c r="B160" s="34" t="str">
        <f>IFERROR(__xludf.DUMMYFUNCTION("""COMPUTED_VALUE"""),"9-3")</f>
        <v>9-3</v>
      </c>
      <c r="C160" s="39">
        <f>IFERROR(__xludf.DUMMYFUNCTION("""COMPUTED_VALUE"""),0.75)</f>
        <v>0.75</v>
      </c>
      <c r="D160" s="34" t="str">
        <f>IFERROR(__xludf.DUMMYFUNCTION("""COMPUTED_VALUE"""),"SUN")</f>
        <v>SUN</v>
      </c>
      <c r="E160" s="34" t="str">
        <f>IFERROR(__xludf.DUMMYFUNCTION("""COMPUTED_VALUE"""),"SUN-East")</f>
        <v>SUN-East</v>
      </c>
      <c r="F160" s="34" t="str">
        <f>IFERROR(__xludf.DUMMYFUNCTION("""COMPUTED_VALUE"""),"6-2")</f>
        <v>6-2</v>
      </c>
      <c r="G160" s="38">
        <f>IFERROR(__xludf.DUMMYFUNCTION("""COMPUTED_VALUE"""),0.75)</f>
        <v>0.75</v>
      </c>
      <c r="H160" s="34">
        <f>IFERROR(__xludf.DUMMYFUNCTION("""COMPUTED_VALUE"""),12.0)</f>
        <v>12</v>
      </c>
      <c r="I160" s="34"/>
      <c r="J160" s="34"/>
      <c r="K160" s="34"/>
      <c r="L160" s="34"/>
      <c r="M160" s="34"/>
      <c r="N160" s="34"/>
      <c r="O160" s="34"/>
      <c r="P160" s="34"/>
      <c r="Q160" s="34"/>
      <c r="R160" s="34"/>
      <c r="S160" s="34"/>
      <c r="T160" s="34"/>
      <c r="U160" s="34"/>
      <c r="V160" s="34"/>
      <c r="W160" s="34"/>
      <c r="X160" s="34"/>
      <c r="Y160" s="34"/>
      <c r="Z160" s="34"/>
      <c r="AA160" s="34"/>
    </row>
    <row r="161">
      <c r="A161" s="20" t="str">
        <f>IFERROR(__xludf.DUMMYFUNCTION("""COMPUTED_VALUE"""),"Georgia Southern")</f>
        <v>Georgia Southern</v>
      </c>
      <c r="B161" s="34" t="str">
        <f>IFERROR(__xludf.DUMMYFUNCTION("""COMPUTED_VALUE"""),"8-5")</f>
        <v>8-5</v>
      </c>
      <c r="C161" s="39">
        <f>IFERROR(__xludf.DUMMYFUNCTION("""COMPUTED_VALUE"""),0.6153846153846154)</f>
        <v>0.6153846154</v>
      </c>
      <c r="D161" s="34" t="str">
        <f>IFERROR(__xludf.DUMMYFUNCTION("""COMPUTED_VALUE"""),"SUN")</f>
        <v>SUN</v>
      </c>
      <c r="E161" s="34" t="str">
        <f>IFERROR(__xludf.DUMMYFUNCTION("""COMPUTED_VALUE"""),"SUN-East")</f>
        <v>SUN-East</v>
      </c>
      <c r="F161" s="34" t="str">
        <f>IFERROR(__xludf.DUMMYFUNCTION("""COMPUTED_VALUE"""),"4-4")</f>
        <v>4-4</v>
      </c>
      <c r="G161" s="38">
        <f>IFERROR(__xludf.DUMMYFUNCTION("""COMPUTED_VALUE"""),0.5)</f>
        <v>0.5</v>
      </c>
      <c r="H161" s="34">
        <f>IFERROR(__xludf.DUMMYFUNCTION("""COMPUTED_VALUE"""),13.0)</f>
        <v>13</v>
      </c>
      <c r="I161" s="34"/>
      <c r="J161" s="33" t="s">
        <v>201</v>
      </c>
      <c r="R161" s="34"/>
      <c r="S161" s="34"/>
      <c r="T161" s="34"/>
      <c r="U161" s="34"/>
      <c r="V161" s="34"/>
      <c r="W161" s="34"/>
      <c r="X161" s="34"/>
      <c r="Y161" s="34"/>
      <c r="Z161" s="34"/>
      <c r="AA161" s="34"/>
    </row>
    <row r="162">
      <c r="A162" s="20" t="str">
        <f>IFERROR(__xludf.DUMMYFUNCTION("""COMPUTED_VALUE"""),"Georgia State")</f>
        <v>Georgia State</v>
      </c>
      <c r="B162" s="34" t="str">
        <f>IFERROR(__xludf.DUMMYFUNCTION("""COMPUTED_VALUE"""),"6-4")</f>
        <v>6-4</v>
      </c>
      <c r="C162" s="39">
        <f>IFERROR(__xludf.DUMMYFUNCTION("""COMPUTED_VALUE"""),0.6)</f>
        <v>0.6</v>
      </c>
      <c r="D162" s="34" t="str">
        <f>IFERROR(__xludf.DUMMYFUNCTION("""COMPUTED_VALUE"""),"SUN")</f>
        <v>SUN</v>
      </c>
      <c r="E162" s="34" t="str">
        <f>IFERROR(__xludf.DUMMYFUNCTION("""COMPUTED_VALUE"""),"SUN-East")</f>
        <v>SUN-East</v>
      </c>
      <c r="F162" s="34" t="str">
        <f>IFERROR(__xludf.DUMMYFUNCTION("""COMPUTED_VALUE"""),"4-4")</f>
        <v>4-4</v>
      </c>
      <c r="G162" s="38">
        <f>IFERROR(__xludf.DUMMYFUNCTION("""COMPUTED_VALUE"""),0.5)</f>
        <v>0.5</v>
      </c>
      <c r="H162" s="34">
        <f>IFERROR(__xludf.DUMMYFUNCTION("""COMPUTED_VALUE"""),10.0)</f>
        <v>10</v>
      </c>
      <c r="I162" s="34"/>
      <c r="J162" s="40" t="str">
        <f>IFERROR(__xludf.DUMMYFUNCTION("QUERY(standings,""SELECT A, D, E, F, G, J, K, R WHERE F = 'SUN' ORDER BY K DESC, E DESC, J DESC "",1)"),"Team")</f>
        <v>Team</v>
      </c>
      <c r="K162" s="34" t="str">
        <f>IFERROR(__xludf.DUMMYFUNCTION("""COMPUTED_VALUE"""),"Record")</f>
        <v>Record</v>
      </c>
      <c r="L162" s="34" t="str">
        <f>IFERROR(__xludf.DUMMYFUNCTION("""COMPUTED_VALUE"""),"Ovr Win %")</f>
        <v>Ovr Win %</v>
      </c>
      <c r="M162" s="34" t="str">
        <f>IFERROR(__xludf.DUMMYFUNCTION("""COMPUTED_VALUE"""),"Conf")</f>
        <v>Conf</v>
      </c>
      <c r="N162" s="34" t="str">
        <f>IFERROR(__xludf.DUMMYFUNCTION("""COMPUTED_VALUE"""),"Conf-Div")</f>
        <v>Conf-Div</v>
      </c>
      <c r="O162" s="34" t="str">
        <f>IFERROR(__xludf.DUMMYFUNCTION("""COMPUTED_VALUE"""),"Conf Record")</f>
        <v>Conf Record</v>
      </c>
      <c r="P162" s="34" t="str">
        <f>IFERROR(__xludf.DUMMYFUNCTION("""COMPUTED_VALUE"""),"Conf W %")</f>
        <v>Conf W %</v>
      </c>
      <c r="Q162" s="34" t="str">
        <f>IFERROR(__xludf.DUMMYFUNCTION("""COMPUTED_VALUE"""),"# Games")</f>
        <v># Games</v>
      </c>
      <c r="R162" s="34"/>
      <c r="S162" s="34"/>
      <c r="T162" s="34"/>
      <c r="U162" s="34"/>
      <c r="V162" s="34"/>
      <c r="W162" s="34"/>
      <c r="X162" s="34"/>
      <c r="Y162" s="34"/>
      <c r="Z162" s="34"/>
      <c r="AA162" s="34"/>
    </row>
    <row r="163">
      <c r="A163" s="20" t="str">
        <f>IFERROR(__xludf.DUMMYFUNCTION("""COMPUTED_VALUE"""),"Troy")</f>
        <v>Troy</v>
      </c>
      <c r="B163" s="34" t="str">
        <f>IFERROR(__xludf.DUMMYFUNCTION("""COMPUTED_VALUE"""),"5-6")</f>
        <v>5-6</v>
      </c>
      <c r="C163" s="39">
        <f>IFERROR(__xludf.DUMMYFUNCTION("""COMPUTED_VALUE"""),0.45454545454545453)</f>
        <v>0.4545454545</v>
      </c>
      <c r="D163" s="34" t="str">
        <f>IFERROR(__xludf.DUMMYFUNCTION("""COMPUTED_VALUE"""),"SUN")</f>
        <v>SUN</v>
      </c>
      <c r="E163" s="34" t="str">
        <f>IFERROR(__xludf.DUMMYFUNCTION("""COMPUTED_VALUE"""),"SUN-East")</f>
        <v>SUN-East</v>
      </c>
      <c r="F163" s="34" t="str">
        <f>IFERROR(__xludf.DUMMYFUNCTION("""COMPUTED_VALUE"""),"3-4")</f>
        <v>3-4</v>
      </c>
      <c r="G163" s="38">
        <f>IFERROR(__xludf.DUMMYFUNCTION("""COMPUTED_VALUE"""),0.42857142857142855)</f>
        <v>0.4285714286</v>
      </c>
      <c r="H163" s="34">
        <f>IFERROR(__xludf.DUMMYFUNCTION("""COMPUTED_VALUE"""),11.0)</f>
        <v>11</v>
      </c>
      <c r="I163" s="34"/>
      <c r="J163" s="34" t="str">
        <f>IFERROR(__xludf.DUMMYFUNCTION("""COMPUTED_VALUE"""),"Coastal Carolina")</f>
        <v>Coastal Carolina</v>
      </c>
      <c r="K163" s="34" t="str">
        <f>IFERROR(__xludf.DUMMYFUNCTION("""COMPUTED_VALUE"""),"11-1")</f>
        <v>11-1</v>
      </c>
      <c r="L163" s="39">
        <f>IFERROR(__xludf.DUMMYFUNCTION("""COMPUTED_VALUE"""),0.9166666666666666)</f>
        <v>0.9166666667</v>
      </c>
      <c r="M163" s="34" t="str">
        <f>IFERROR(__xludf.DUMMYFUNCTION("""COMPUTED_VALUE"""),"SUN")</f>
        <v>SUN</v>
      </c>
      <c r="N163" s="34" t="str">
        <f>IFERROR(__xludf.DUMMYFUNCTION("""COMPUTED_VALUE"""),"SUN-East")</f>
        <v>SUN-East</v>
      </c>
      <c r="O163" s="34" t="str">
        <f>IFERROR(__xludf.DUMMYFUNCTION("""COMPUTED_VALUE"""),"8-0")</f>
        <v>8-0</v>
      </c>
      <c r="P163" s="38">
        <f>IFERROR(__xludf.DUMMYFUNCTION("""COMPUTED_VALUE"""),1.0)</f>
        <v>1</v>
      </c>
      <c r="Q163" s="34">
        <f>IFERROR(__xludf.DUMMYFUNCTION("""COMPUTED_VALUE"""),12.0)</f>
        <v>12</v>
      </c>
      <c r="R163" s="34"/>
      <c r="S163" s="34"/>
      <c r="T163" s="34"/>
      <c r="U163" s="34"/>
      <c r="V163" s="34"/>
      <c r="W163" s="34"/>
      <c r="X163" s="34"/>
      <c r="Y163" s="34"/>
      <c r="Z163" s="34"/>
      <c r="AA163" s="34"/>
    </row>
    <row r="164">
      <c r="A164" s="42" t="s">
        <v>202</v>
      </c>
      <c r="I164" s="34"/>
      <c r="J164" s="34" t="str">
        <f>IFERROR(__xludf.DUMMYFUNCTION("""COMPUTED_VALUE"""),"UL-Lafayette")</f>
        <v>UL-Lafayette</v>
      </c>
      <c r="K164" s="34" t="str">
        <f>IFERROR(__xludf.DUMMYFUNCTION("""COMPUTED_VALUE"""),"10-1")</f>
        <v>10-1</v>
      </c>
      <c r="L164" s="39">
        <f>IFERROR(__xludf.DUMMYFUNCTION("""COMPUTED_VALUE"""),0.9090909090909091)</f>
        <v>0.9090909091</v>
      </c>
      <c r="M164" s="34" t="str">
        <f>IFERROR(__xludf.DUMMYFUNCTION("""COMPUTED_VALUE"""),"SUN")</f>
        <v>SUN</v>
      </c>
      <c r="N164" s="34" t="str">
        <f>IFERROR(__xludf.DUMMYFUNCTION("""COMPUTED_VALUE"""),"SUN-West")</f>
        <v>SUN-West</v>
      </c>
      <c r="O164" s="34" t="str">
        <f>IFERROR(__xludf.DUMMYFUNCTION("""COMPUTED_VALUE"""),"7-1")</f>
        <v>7-1</v>
      </c>
      <c r="P164" s="38">
        <f>IFERROR(__xludf.DUMMYFUNCTION("""COMPUTED_VALUE"""),0.875)</f>
        <v>0.875</v>
      </c>
      <c r="Q164" s="34">
        <f>IFERROR(__xludf.DUMMYFUNCTION("""COMPUTED_VALUE"""),11.0)</f>
        <v>11</v>
      </c>
      <c r="R164" s="34"/>
      <c r="S164" s="34"/>
      <c r="T164" s="34"/>
      <c r="U164" s="34"/>
      <c r="V164" s="34"/>
      <c r="W164" s="34"/>
      <c r="X164" s="34"/>
      <c r="Y164" s="34"/>
      <c r="Z164" s="34"/>
      <c r="AA164" s="34"/>
    </row>
    <row r="165">
      <c r="A165" s="35" t="str">
        <f>IFERROR(__xludf.DUMMYFUNCTION("QUERY(standings,""SELECT A, D, E, F, G, J, K, R WHERE G = 'SUN-West' ORDER BY K DESC, E DESC, J DESC "",1)"),"Team")</f>
        <v>Team</v>
      </c>
      <c r="B165" s="34" t="str">
        <f>IFERROR(__xludf.DUMMYFUNCTION("""COMPUTED_VALUE"""),"Record")</f>
        <v>Record</v>
      </c>
      <c r="C165" s="34" t="str">
        <f>IFERROR(__xludf.DUMMYFUNCTION("""COMPUTED_VALUE"""),"Ovr Win %")</f>
        <v>Ovr Win %</v>
      </c>
      <c r="D165" s="34" t="str">
        <f>IFERROR(__xludf.DUMMYFUNCTION("""COMPUTED_VALUE"""),"Conf")</f>
        <v>Conf</v>
      </c>
      <c r="E165" s="34" t="str">
        <f>IFERROR(__xludf.DUMMYFUNCTION("""COMPUTED_VALUE"""),"Conf-Div")</f>
        <v>Conf-Div</v>
      </c>
      <c r="F165" s="34" t="str">
        <f>IFERROR(__xludf.DUMMYFUNCTION("""COMPUTED_VALUE"""),"Conf Record")</f>
        <v>Conf Record</v>
      </c>
      <c r="G165" s="34" t="str">
        <f>IFERROR(__xludf.DUMMYFUNCTION("""COMPUTED_VALUE"""),"Conf W %")</f>
        <v>Conf W %</v>
      </c>
      <c r="H165" s="34" t="str">
        <f>IFERROR(__xludf.DUMMYFUNCTION("""COMPUTED_VALUE"""),"# Games")</f>
        <v># Games</v>
      </c>
      <c r="I165" s="34"/>
      <c r="J165" s="34" t="str">
        <f>IFERROR(__xludf.DUMMYFUNCTION("""COMPUTED_VALUE"""),"Appalachian State")</f>
        <v>Appalachian State</v>
      </c>
      <c r="K165" s="34" t="str">
        <f>IFERROR(__xludf.DUMMYFUNCTION("""COMPUTED_VALUE"""),"9-3")</f>
        <v>9-3</v>
      </c>
      <c r="L165" s="39">
        <f>IFERROR(__xludf.DUMMYFUNCTION("""COMPUTED_VALUE"""),0.75)</f>
        <v>0.75</v>
      </c>
      <c r="M165" s="34" t="str">
        <f>IFERROR(__xludf.DUMMYFUNCTION("""COMPUTED_VALUE"""),"SUN")</f>
        <v>SUN</v>
      </c>
      <c r="N165" s="34" t="str">
        <f>IFERROR(__xludf.DUMMYFUNCTION("""COMPUTED_VALUE"""),"SUN-East")</f>
        <v>SUN-East</v>
      </c>
      <c r="O165" s="34" t="str">
        <f>IFERROR(__xludf.DUMMYFUNCTION("""COMPUTED_VALUE"""),"6-2")</f>
        <v>6-2</v>
      </c>
      <c r="P165" s="38">
        <f>IFERROR(__xludf.DUMMYFUNCTION("""COMPUTED_VALUE"""),0.75)</f>
        <v>0.75</v>
      </c>
      <c r="Q165" s="34">
        <f>IFERROR(__xludf.DUMMYFUNCTION("""COMPUTED_VALUE"""),12.0)</f>
        <v>12</v>
      </c>
      <c r="R165" s="34"/>
      <c r="S165" s="34"/>
      <c r="T165" s="34"/>
      <c r="U165" s="34"/>
      <c r="V165" s="34"/>
      <c r="W165" s="34"/>
      <c r="X165" s="34"/>
      <c r="Y165" s="34"/>
      <c r="Z165" s="34"/>
      <c r="AA165" s="34"/>
    </row>
    <row r="166">
      <c r="A166" s="20" t="str">
        <f>IFERROR(__xludf.DUMMYFUNCTION("""COMPUTED_VALUE"""),"UL-Lafayette")</f>
        <v>UL-Lafayette</v>
      </c>
      <c r="B166" s="34" t="str">
        <f>IFERROR(__xludf.DUMMYFUNCTION("""COMPUTED_VALUE"""),"10-1")</f>
        <v>10-1</v>
      </c>
      <c r="C166" s="39">
        <f>IFERROR(__xludf.DUMMYFUNCTION("""COMPUTED_VALUE"""),0.9090909090909091)</f>
        <v>0.9090909091</v>
      </c>
      <c r="D166" s="34" t="str">
        <f>IFERROR(__xludf.DUMMYFUNCTION("""COMPUTED_VALUE"""),"SUN")</f>
        <v>SUN</v>
      </c>
      <c r="E166" s="34" t="str">
        <f>IFERROR(__xludf.DUMMYFUNCTION("""COMPUTED_VALUE"""),"SUN-West")</f>
        <v>SUN-West</v>
      </c>
      <c r="F166" s="34" t="str">
        <f>IFERROR(__xludf.DUMMYFUNCTION("""COMPUTED_VALUE"""),"7-1")</f>
        <v>7-1</v>
      </c>
      <c r="G166" s="38">
        <f>IFERROR(__xludf.DUMMYFUNCTION("""COMPUTED_VALUE"""),0.875)</f>
        <v>0.875</v>
      </c>
      <c r="H166" s="34">
        <f>IFERROR(__xludf.DUMMYFUNCTION("""COMPUTED_VALUE"""),11.0)</f>
        <v>11</v>
      </c>
      <c r="I166" s="34"/>
      <c r="J166" s="34" t="str">
        <f>IFERROR(__xludf.DUMMYFUNCTION("""COMPUTED_VALUE"""),"Georgia Southern")</f>
        <v>Georgia Southern</v>
      </c>
      <c r="K166" s="34" t="str">
        <f>IFERROR(__xludf.DUMMYFUNCTION("""COMPUTED_VALUE"""),"8-5")</f>
        <v>8-5</v>
      </c>
      <c r="L166" s="39">
        <f>IFERROR(__xludf.DUMMYFUNCTION("""COMPUTED_VALUE"""),0.6153846153846154)</f>
        <v>0.6153846154</v>
      </c>
      <c r="M166" s="34" t="str">
        <f>IFERROR(__xludf.DUMMYFUNCTION("""COMPUTED_VALUE"""),"SUN")</f>
        <v>SUN</v>
      </c>
      <c r="N166" s="34" t="str">
        <f>IFERROR(__xludf.DUMMYFUNCTION("""COMPUTED_VALUE"""),"SUN-East")</f>
        <v>SUN-East</v>
      </c>
      <c r="O166" s="34" t="str">
        <f>IFERROR(__xludf.DUMMYFUNCTION("""COMPUTED_VALUE"""),"4-4")</f>
        <v>4-4</v>
      </c>
      <c r="P166" s="38">
        <f>IFERROR(__xludf.DUMMYFUNCTION("""COMPUTED_VALUE"""),0.5)</f>
        <v>0.5</v>
      </c>
      <c r="Q166" s="34">
        <f>IFERROR(__xludf.DUMMYFUNCTION("""COMPUTED_VALUE"""),13.0)</f>
        <v>13</v>
      </c>
      <c r="R166" s="34"/>
      <c r="S166" s="34"/>
      <c r="T166" s="34"/>
      <c r="U166" s="34"/>
      <c r="V166" s="34"/>
      <c r="W166" s="34"/>
      <c r="X166" s="34"/>
      <c r="Y166" s="34"/>
      <c r="Z166" s="34"/>
      <c r="AA166" s="34"/>
    </row>
    <row r="167">
      <c r="A167" s="20" t="str">
        <f>IFERROR(__xludf.DUMMYFUNCTION("""COMPUTED_VALUE"""),"South Alabama")</f>
        <v>South Alabama</v>
      </c>
      <c r="B167" s="34" t="str">
        <f>IFERROR(__xludf.DUMMYFUNCTION("""COMPUTED_VALUE"""),"4-7")</f>
        <v>4-7</v>
      </c>
      <c r="C167" s="39">
        <f>IFERROR(__xludf.DUMMYFUNCTION("""COMPUTED_VALUE"""),0.36363636363636365)</f>
        <v>0.3636363636</v>
      </c>
      <c r="D167" s="34" t="str">
        <f>IFERROR(__xludf.DUMMYFUNCTION("""COMPUTED_VALUE"""),"SUN")</f>
        <v>SUN</v>
      </c>
      <c r="E167" s="34" t="str">
        <f>IFERROR(__xludf.DUMMYFUNCTION("""COMPUTED_VALUE"""),"SUN-West")</f>
        <v>SUN-West</v>
      </c>
      <c r="F167" s="34" t="str">
        <f>IFERROR(__xludf.DUMMYFUNCTION("""COMPUTED_VALUE"""),"3-5")</f>
        <v>3-5</v>
      </c>
      <c r="G167" s="38">
        <f>IFERROR(__xludf.DUMMYFUNCTION("""COMPUTED_VALUE"""),0.375)</f>
        <v>0.375</v>
      </c>
      <c r="H167" s="34">
        <f>IFERROR(__xludf.DUMMYFUNCTION("""COMPUTED_VALUE"""),11.0)</f>
        <v>11</v>
      </c>
      <c r="I167" s="34"/>
      <c r="J167" s="34" t="str">
        <f>IFERROR(__xludf.DUMMYFUNCTION("""COMPUTED_VALUE"""),"Georgia State")</f>
        <v>Georgia State</v>
      </c>
      <c r="K167" s="34" t="str">
        <f>IFERROR(__xludf.DUMMYFUNCTION("""COMPUTED_VALUE"""),"6-4")</f>
        <v>6-4</v>
      </c>
      <c r="L167" s="39">
        <f>IFERROR(__xludf.DUMMYFUNCTION("""COMPUTED_VALUE"""),0.6)</f>
        <v>0.6</v>
      </c>
      <c r="M167" s="34" t="str">
        <f>IFERROR(__xludf.DUMMYFUNCTION("""COMPUTED_VALUE"""),"SUN")</f>
        <v>SUN</v>
      </c>
      <c r="N167" s="34" t="str">
        <f>IFERROR(__xludf.DUMMYFUNCTION("""COMPUTED_VALUE"""),"SUN-East")</f>
        <v>SUN-East</v>
      </c>
      <c r="O167" s="34" t="str">
        <f>IFERROR(__xludf.DUMMYFUNCTION("""COMPUTED_VALUE"""),"4-4")</f>
        <v>4-4</v>
      </c>
      <c r="P167" s="38">
        <f>IFERROR(__xludf.DUMMYFUNCTION("""COMPUTED_VALUE"""),0.5)</f>
        <v>0.5</v>
      </c>
      <c r="Q167" s="34">
        <f>IFERROR(__xludf.DUMMYFUNCTION("""COMPUTED_VALUE"""),10.0)</f>
        <v>10</v>
      </c>
      <c r="R167" s="34"/>
      <c r="S167" s="34"/>
      <c r="T167" s="34"/>
      <c r="U167" s="34"/>
      <c r="V167" s="34"/>
      <c r="W167" s="34"/>
      <c r="X167" s="34"/>
      <c r="Y167" s="34"/>
      <c r="Z167" s="34"/>
      <c r="AA167" s="34"/>
    </row>
    <row r="168">
      <c r="A168" s="20" t="str">
        <f>IFERROR(__xludf.DUMMYFUNCTION("""COMPUTED_VALUE"""),"Arkansas State")</f>
        <v>Arkansas State</v>
      </c>
      <c r="B168" s="34" t="str">
        <f>IFERROR(__xludf.DUMMYFUNCTION("""COMPUTED_VALUE"""),"4-7")</f>
        <v>4-7</v>
      </c>
      <c r="C168" s="39">
        <f>IFERROR(__xludf.DUMMYFUNCTION("""COMPUTED_VALUE"""),0.36363636363636365)</f>
        <v>0.3636363636</v>
      </c>
      <c r="D168" s="34" t="str">
        <f>IFERROR(__xludf.DUMMYFUNCTION("""COMPUTED_VALUE"""),"SUN")</f>
        <v>SUN</v>
      </c>
      <c r="E168" s="34" t="str">
        <f>IFERROR(__xludf.DUMMYFUNCTION("""COMPUTED_VALUE"""),"SUN-West")</f>
        <v>SUN-West</v>
      </c>
      <c r="F168" s="34" t="str">
        <f>IFERROR(__xludf.DUMMYFUNCTION("""COMPUTED_VALUE"""),"2-6")</f>
        <v>2-6</v>
      </c>
      <c r="G168" s="38">
        <f>IFERROR(__xludf.DUMMYFUNCTION("""COMPUTED_VALUE"""),0.25)</f>
        <v>0.25</v>
      </c>
      <c r="H168" s="34">
        <f>IFERROR(__xludf.DUMMYFUNCTION("""COMPUTED_VALUE"""),11.0)</f>
        <v>11</v>
      </c>
      <c r="I168" s="34"/>
      <c r="J168" s="34" t="str">
        <f>IFERROR(__xludf.DUMMYFUNCTION("""COMPUTED_VALUE"""),"Troy")</f>
        <v>Troy</v>
      </c>
      <c r="K168" s="34" t="str">
        <f>IFERROR(__xludf.DUMMYFUNCTION("""COMPUTED_VALUE"""),"5-6")</f>
        <v>5-6</v>
      </c>
      <c r="L168" s="39">
        <f>IFERROR(__xludf.DUMMYFUNCTION("""COMPUTED_VALUE"""),0.45454545454545453)</f>
        <v>0.4545454545</v>
      </c>
      <c r="M168" s="34" t="str">
        <f>IFERROR(__xludf.DUMMYFUNCTION("""COMPUTED_VALUE"""),"SUN")</f>
        <v>SUN</v>
      </c>
      <c r="N168" s="34" t="str">
        <f>IFERROR(__xludf.DUMMYFUNCTION("""COMPUTED_VALUE"""),"SUN-East")</f>
        <v>SUN-East</v>
      </c>
      <c r="O168" s="34" t="str">
        <f>IFERROR(__xludf.DUMMYFUNCTION("""COMPUTED_VALUE"""),"3-4")</f>
        <v>3-4</v>
      </c>
      <c r="P168" s="38">
        <f>IFERROR(__xludf.DUMMYFUNCTION("""COMPUTED_VALUE"""),0.42857142857142855)</f>
        <v>0.4285714286</v>
      </c>
      <c r="Q168" s="34">
        <f>IFERROR(__xludf.DUMMYFUNCTION("""COMPUTED_VALUE"""),11.0)</f>
        <v>11</v>
      </c>
      <c r="R168" s="34"/>
      <c r="S168" s="34"/>
      <c r="T168" s="34"/>
      <c r="U168" s="34"/>
      <c r="V168" s="34"/>
      <c r="W168" s="34"/>
      <c r="X168" s="34"/>
      <c r="Y168" s="34"/>
      <c r="Z168" s="34"/>
      <c r="AA168" s="34"/>
    </row>
    <row r="169">
      <c r="A169" s="20" t="str">
        <f>IFERROR(__xludf.DUMMYFUNCTION("""COMPUTED_VALUE"""),"Texas State")</f>
        <v>Texas State</v>
      </c>
      <c r="B169" s="34" t="str">
        <f>IFERROR(__xludf.DUMMYFUNCTION("""COMPUTED_VALUE"""),"2-10")</f>
        <v>2-10</v>
      </c>
      <c r="C169" s="39">
        <f>IFERROR(__xludf.DUMMYFUNCTION("""COMPUTED_VALUE"""),0.16666666666666666)</f>
        <v>0.1666666667</v>
      </c>
      <c r="D169" s="34" t="str">
        <f>IFERROR(__xludf.DUMMYFUNCTION("""COMPUTED_VALUE"""),"SUN")</f>
        <v>SUN</v>
      </c>
      <c r="E169" s="34" t="str">
        <f>IFERROR(__xludf.DUMMYFUNCTION("""COMPUTED_VALUE"""),"SUN-West")</f>
        <v>SUN-West</v>
      </c>
      <c r="F169" s="34" t="str">
        <f>IFERROR(__xludf.DUMMYFUNCTION("""COMPUTED_VALUE"""),"2-6")</f>
        <v>2-6</v>
      </c>
      <c r="G169" s="38">
        <f>IFERROR(__xludf.DUMMYFUNCTION("""COMPUTED_VALUE"""),0.25)</f>
        <v>0.25</v>
      </c>
      <c r="H169" s="34">
        <f>IFERROR(__xludf.DUMMYFUNCTION("""COMPUTED_VALUE"""),12.0)</f>
        <v>12</v>
      </c>
      <c r="I169" s="34"/>
      <c r="J169" s="34" t="str">
        <f>IFERROR(__xludf.DUMMYFUNCTION("""COMPUTED_VALUE"""),"South Alabama")</f>
        <v>South Alabama</v>
      </c>
      <c r="K169" s="34" t="str">
        <f>IFERROR(__xludf.DUMMYFUNCTION("""COMPUTED_VALUE"""),"4-7")</f>
        <v>4-7</v>
      </c>
      <c r="L169" s="39">
        <f>IFERROR(__xludf.DUMMYFUNCTION("""COMPUTED_VALUE"""),0.36363636363636365)</f>
        <v>0.3636363636</v>
      </c>
      <c r="M169" s="34" t="str">
        <f>IFERROR(__xludf.DUMMYFUNCTION("""COMPUTED_VALUE"""),"SUN")</f>
        <v>SUN</v>
      </c>
      <c r="N169" s="34" t="str">
        <f>IFERROR(__xludf.DUMMYFUNCTION("""COMPUTED_VALUE"""),"SUN-West")</f>
        <v>SUN-West</v>
      </c>
      <c r="O169" s="34" t="str">
        <f>IFERROR(__xludf.DUMMYFUNCTION("""COMPUTED_VALUE"""),"3-5")</f>
        <v>3-5</v>
      </c>
      <c r="P169" s="38">
        <f>IFERROR(__xludf.DUMMYFUNCTION("""COMPUTED_VALUE"""),0.375)</f>
        <v>0.375</v>
      </c>
      <c r="Q169" s="34">
        <f>IFERROR(__xludf.DUMMYFUNCTION("""COMPUTED_VALUE"""),11.0)</f>
        <v>11</v>
      </c>
      <c r="R169" s="34"/>
      <c r="S169" s="34"/>
      <c r="T169" s="34"/>
      <c r="U169" s="34"/>
      <c r="V169" s="34"/>
      <c r="W169" s="34"/>
      <c r="X169" s="34"/>
      <c r="Y169" s="34"/>
      <c r="Z169" s="34"/>
      <c r="AA169" s="34"/>
    </row>
    <row r="170">
      <c r="A170" s="20" t="str">
        <f>IFERROR(__xludf.DUMMYFUNCTION("""COMPUTED_VALUE"""),"UL-Monroe")</f>
        <v>UL-Monroe</v>
      </c>
      <c r="B170" s="34" t="str">
        <f>IFERROR(__xludf.DUMMYFUNCTION("""COMPUTED_VALUE"""),"0-10")</f>
        <v>0-10</v>
      </c>
      <c r="C170" s="39">
        <f>IFERROR(__xludf.DUMMYFUNCTION("""COMPUTED_VALUE"""),0.0)</f>
        <v>0</v>
      </c>
      <c r="D170" s="34" t="str">
        <f>IFERROR(__xludf.DUMMYFUNCTION("""COMPUTED_VALUE"""),"SUN")</f>
        <v>SUN</v>
      </c>
      <c r="E170" s="34" t="str">
        <f>IFERROR(__xludf.DUMMYFUNCTION("""COMPUTED_VALUE"""),"SUN-West")</f>
        <v>SUN-West</v>
      </c>
      <c r="F170" s="34" t="str">
        <f>IFERROR(__xludf.DUMMYFUNCTION("""COMPUTED_VALUE"""),"0-7")</f>
        <v>0-7</v>
      </c>
      <c r="G170" s="38">
        <f>IFERROR(__xludf.DUMMYFUNCTION("""COMPUTED_VALUE"""),0.0)</f>
        <v>0</v>
      </c>
      <c r="H170" s="34">
        <f>IFERROR(__xludf.DUMMYFUNCTION("""COMPUTED_VALUE"""),10.0)</f>
        <v>10</v>
      </c>
      <c r="I170" s="34"/>
      <c r="J170" s="34" t="str">
        <f>IFERROR(__xludf.DUMMYFUNCTION("""COMPUTED_VALUE"""),"Arkansas State")</f>
        <v>Arkansas State</v>
      </c>
      <c r="K170" s="34" t="str">
        <f>IFERROR(__xludf.DUMMYFUNCTION("""COMPUTED_VALUE"""),"4-7")</f>
        <v>4-7</v>
      </c>
      <c r="L170" s="39">
        <f>IFERROR(__xludf.DUMMYFUNCTION("""COMPUTED_VALUE"""),0.36363636363636365)</f>
        <v>0.3636363636</v>
      </c>
      <c r="M170" s="34" t="str">
        <f>IFERROR(__xludf.DUMMYFUNCTION("""COMPUTED_VALUE"""),"SUN")</f>
        <v>SUN</v>
      </c>
      <c r="N170" s="34" t="str">
        <f>IFERROR(__xludf.DUMMYFUNCTION("""COMPUTED_VALUE"""),"SUN-West")</f>
        <v>SUN-West</v>
      </c>
      <c r="O170" s="34" t="str">
        <f>IFERROR(__xludf.DUMMYFUNCTION("""COMPUTED_VALUE"""),"2-6")</f>
        <v>2-6</v>
      </c>
      <c r="P170" s="38">
        <f>IFERROR(__xludf.DUMMYFUNCTION("""COMPUTED_VALUE"""),0.25)</f>
        <v>0.25</v>
      </c>
      <c r="Q170" s="34">
        <f>IFERROR(__xludf.DUMMYFUNCTION("""COMPUTED_VALUE"""),11.0)</f>
        <v>11</v>
      </c>
      <c r="R170" s="34"/>
      <c r="S170" s="34"/>
      <c r="T170" s="34"/>
      <c r="U170" s="34"/>
      <c r="V170" s="34"/>
      <c r="W170" s="34"/>
      <c r="X170" s="34"/>
      <c r="Y170" s="34"/>
      <c r="Z170" s="34"/>
      <c r="AA170" s="34"/>
    </row>
    <row r="171">
      <c r="A171" s="42" t="s">
        <v>231</v>
      </c>
      <c r="I171" s="34"/>
      <c r="J171" s="34" t="str">
        <f>IFERROR(__xludf.DUMMYFUNCTION("""COMPUTED_VALUE"""),"Texas State")</f>
        <v>Texas State</v>
      </c>
      <c r="K171" s="34" t="str">
        <f>IFERROR(__xludf.DUMMYFUNCTION("""COMPUTED_VALUE"""),"2-10")</f>
        <v>2-10</v>
      </c>
      <c r="L171" s="39">
        <f>IFERROR(__xludf.DUMMYFUNCTION("""COMPUTED_VALUE"""),0.16666666666666666)</f>
        <v>0.1666666667</v>
      </c>
      <c r="M171" s="34" t="str">
        <f>IFERROR(__xludf.DUMMYFUNCTION("""COMPUTED_VALUE"""),"SUN")</f>
        <v>SUN</v>
      </c>
      <c r="N171" s="34" t="str">
        <f>IFERROR(__xludf.DUMMYFUNCTION("""COMPUTED_VALUE"""),"SUN-West")</f>
        <v>SUN-West</v>
      </c>
      <c r="O171" s="34" t="str">
        <f>IFERROR(__xludf.DUMMYFUNCTION("""COMPUTED_VALUE"""),"2-6")</f>
        <v>2-6</v>
      </c>
      <c r="P171" s="38">
        <f>IFERROR(__xludf.DUMMYFUNCTION("""COMPUTED_VALUE"""),0.25)</f>
        <v>0.25</v>
      </c>
      <c r="Q171" s="34">
        <f>IFERROR(__xludf.DUMMYFUNCTION("""COMPUTED_VALUE"""),12.0)</f>
        <v>12</v>
      </c>
      <c r="R171" s="34"/>
      <c r="S171" s="34"/>
      <c r="T171" s="34"/>
      <c r="U171" s="34"/>
      <c r="V171" s="34"/>
      <c r="W171" s="34"/>
      <c r="X171" s="34"/>
      <c r="Y171" s="34"/>
      <c r="Z171" s="34"/>
      <c r="AA171" s="34"/>
    </row>
    <row r="172">
      <c r="A172" s="35" t="str">
        <f>IFERROR(__xludf.DUMMYFUNCTION("QUERY(standings,""SELECT A, D, E, F, G, J, K, R WHERE G = 'FCS' ORDER BY K DESC, E DESC, J DESC "",1)"),"Team")</f>
        <v>Team</v>
      </c>
      <c r="B172" s="34" t="str">
        <f>IFERROR(__xludf.DUMMYFUNCTION("""COMPUTED_VALUE"""),"Record")</f>
        <v>Record</v>
      </c>
      <c r="C172" s="34" t="str">
        <f>IFERROR(__xludf.DUMMYFUNCTION("""COMPUTED_VALUE"""),"Ovr Win %")</f>
        <v>Ovr Win %</v>
      </c>
      <c r="D172" s="34" t="str">
        <f>IFERROR(__xludf.DUMMYFUNCTION("""COMPUTED_VALUE"""),"Conf")</f>
        <v>Conf</v>
      </c>
      <c r="E172" s="34" t="str">
        <f>IFERROR(__xludf.DUMMYFUNCTION("""COMPUTED_VALUE"""),"Conf-Div")</f>
        <v>Conf-Div</v>
      </c>
      <c r="F172" s="34" t="str">
        <f>IFERROR(__xludf.DUMMYFUNCTION("""COMPUTED_VALUE"""),"Conf Record")</f>
        <v>Conf Record</v>
      </c>
      <c r="G172" s="34" t="str">
        <f>IFERROR(__xludf.DUMMYFUNCTION("""COMPUTED_VALUE"""),"Conf W %")</f>
        <v>Conf W %</v>
      </c>
      <c r="H172" s="34" t="str">
        <f>IFERROR(__xludf.DUMMYFUNCTION("""COMPUTED_VALUE"""),"# Games")</f>
        <v># Games</v>
      </c>
      <c r="I172" s="34"/>
      <c r="J172" s="34" t="str">
        <f>IFERROR(__xludf.DUMMYFUNCTION("""COMPUTED_VALUE"""),"UL-Monroe")</f>
        <v>UL-Monroe</v>
      </c>
      <c r="K172" s="34" t="str">
        <f>IFERROR(__xludf.DUMMYFUNCTION("""COMPUTED_VALUE"""),"0-10")</f>
        <v>0-10</v>
      </c>
      <c r="L172" s="39">
        <f>IFERROR(__xludf.DUMMYFUNCTION("""COMPUTED_VALUE"""),0.0)</f>
        <v>0</v>
      </c>
      <c r="M172" s="34" t="str">
        <f>IFERROR(__xludf.DUMMYFUNCTION("""COMPUTED_VALUE"""),"SUN")</f>
        <v>SUN</v>
      </c>
      <c r="N172" s="34" t="str">
        <f>IFERROR(__xludf.DUMMYFUNCTION("""COMPUTED_VALUE"""),"SUN-West")</f>
        <v>SUN-West</v>
      </c>
      <c r="O172" s="34" t="str">
        <f>IFERROR(__xludf.DUMMYFUNCTION("""COMPUTED_VALUE"""),"0-7")</f>
        <v>0-7</v>
      </c>
      <c r="P172" s="38">
        <f>IFERROR(__xludf.DUMMYFUNCTION("""COMPUTED_VALUE"""),0.0)</f>
        <v>0</v>
      </c>
      <c r="Q172" s="34">
        <f>IFERROR(__xludf.DUMMYFUNCTION("""COMPUTED_VALUE"""),10.0)</f>
        <v>10</v>
      </c>
      <c r="R172" s="34"/>
      <c r="S172" s="34"/>
      <c r="T172" s="34"/>
      <c r="U172" s="34"/>
      <c r="V172" s="34"/>
      <c r="W172" s="34"/>
      <c r="X172" s="34"/>
      <c r="Y172" s="34"/>
      <c r="Z172" s="34"/>
      <c r="AA172" s="34"/>
    </row>
    <row r="173">
      <c r="A173" s="20"/>
      <c r="B173" s="34"/>
      <c r="C173" s="34"/>
      <c r="D173" s="34"/>
      <c r="E173" s="34"/>
      <c r="F173" s="34"/>
      <c r="G173" s="34"/>
      <c r="H173" s="34"/>
      <c r="I173" s="34"/>
      <c r="J173" s="3" t="s">
        <v>229</v>
      </c>
      <c r="L173" s="34">
        <f>COUNTIF(L163:L172,"&gt;=.5")</f>
        <v>5</v>
      </c>
      <c r="M173" s="41">
        <f>COUNTIF(M163:M172,"SUN")</f>
        <v>10</v>
      </c>
      <c r="N173" s="34">
        <f>L173/M173</f>
        <v>0.5</v>
      </c>
      <c r="O173" s="34"/>
      <c r="P173" s="34"/>
      <c r="Q173" s="34"/>
      <c r="R173" s="34"/>
      <c r="S173" s="34"/>
      <c r="T173" s="34"/>
      <c r="U173" s="34"/>
      <c r="V173" s="34"/>
      <c r="W173" s="34"/>
      <c r="X173" s="34"/>
      <c r="Y173" s="34"/>
      <c r="Z173" s="34"/>
      <c r="AA173" s="34"/>
    </row>
    <row r="174">
      <c r="A174" s="20"/>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c r="A175" s="20"/>
      <c r="B175" s="34"/>
      <c r="C175" s="34"/>
      <c r="D175" s="34"/>
      <c r="E175" s="34"/>
      <c r="F175" s="34"/>
      <c r="G175" s="34"/>
      <c r="H175" s="34"/>
      <c r="I175" s="34"/>
      <c r="J175" s="43" t="s">
        <v>232</v>
      </c>
      <c r="O175" s="34"/>
      <c r="P175" s="34"/>
      <c r="Q175" s="34"/>
      <c r="R175" s="34"/>
      <c r="S175" s="34"/>
      <c r="T175" s="34"/>
      <c r="U175" s="34"/>
      <c r="V175" s="34"/>
      <c r="W175" s="34"/>
      <c r="X175" s="34"/>
      <c r="Y175" s="34"/>
      <c r="Z175" s="34"/>
      <c r="AA175" s="34"/>
    </row>
    <row r="176">
      <c r="A176" s="20"/>
      <c r="B176" s="34"/>
      <c r="C176" s="34"/>
      <c r="D176" s="34"/>
      <c r="E176" s="34"/>
      <c r="F176" s="34"/>
      <c r="G176" s="34"/>
      <c r="H176" s="34"/>
      <c r="I176" s="34"/>
      <c r="J176" s="3" t="s">
        <v>229</v>
      </c>
      <c r="L176" s="44">
        <f>L173+L159+L141+L125+L109+L93+L83+L65+L51+L34+L15</f>
        <v>69</v>
      </c>
      <c r="M176" s="45">
        <v>130.0</v>
      </c>
      <c r="N176" s="34">
        <f>L176/M176</f>
        <v>0.5307692308</v>
      </c>
      <c r="O176" s="34"/>
      <c r="P176" s="34"/>
      <c r="Q176" s="34"/>
      <c r="R176" s="34"/>
      <c r="S176" s="34"/>
      <c r="T176" s="34"/>
      <c r="U176" s="34"/>
      <c r="V176" s="34"/>
      <c r="W176" s="34"/>
      <c r="X176" s="34"/>
      <c r="Y176" s="34"/>
      <c r="Z176" s="34"/>
      <c r="AA176" s="34"/>
    </row>
    <row r="177">
      <c r="A177" s="20"/>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c r="A178" s="20"/>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c r="A179" s="20"/>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c r="A180" s="20"/>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c r="A181" s="20"/>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c r="A182" s="20"/>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c r="A183" s="20"/>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c r="A184" s="20"/>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c r="A185" s="20"/>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c r="A186" s="20"/>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c r="A187" s="20"/>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c r="A188" s="20"/>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c r="A189" s="20"/>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c r="A190" s="20"/>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c r="A191" s="20"/>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c r="A192" s="20"/>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c r="A193" s="20"/>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c r="A194" s="20"/>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c r="A195" s="20"/>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c r="A196" s="20"/>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c r="A197" s="20"/>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c r="A198" s="20"/>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c r="A199" s="20"/>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c r="A200" s="20"/>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c r="A201" s="20"/>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c r="A202" s="20"/>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c r="A203" s="20"/>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c r="A204" s="20"/>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c r="A205" s="20"/>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c r="A206" s="20"/>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c r="A207" s="20"/>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c r="A208" s="20"/>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c r="A209" s="20"/>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c r="A210" s="20"/>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c r="A211" s="20"/>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c r="A212" s="20"/>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c r="A213" s="20"/>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c r="A214" s="20"/>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c r="A215" s="20"/>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c r="A216" s="20"/>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c r="A217" s="20"/>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c r="A218" s="20"/>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c r="A219" s="20"/>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c r="A220" s="20"/>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c r="A221" s="20"/>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c r="A222" s="20"/>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c r="A223" s="20"/>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c r="A224" s="20"/>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c r="A225" s="20"/>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c r="A226" s="20"/>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c r="A227" s="20"/>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A228" s="20"/>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c r="A229" s="20"/>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c r="A230" s="20"/>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c r="A231" s="20"/>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c r="A232" s="20"/>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c r="A233" s="20"/>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c r="A234" s="20"/>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c r="A235" s="20"/>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c r="A236" s="20"/>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c r="A237" s="20"/>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c r="A238" s="20"/>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c r="A239" s="20"/>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c r="A240" s="20"/>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c r="A241" s="20"/>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c r="A242" s="20"/>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c r="A243" s="20"/>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c r="A244" s="20"/>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c r="A245" s="20"/>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c r="A246" s="20"/>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c r="A247" s="20"/>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c r="A248" s="20"/>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c r="A249" s="20"/>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c r="A250" s="20"/>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c r="A251" s="20"/>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c r="A252" s="20"/>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c r="A253" s="20"/>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c r="A254" s="20"/>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c r="A255" s="20"/>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c r="A256" s="20"/>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c r="A257" s="20"/>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c r="A258" s="20"/>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c r="A259" s="20"/>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c r="A260" s="20"/>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c r="A261" s="20"/>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c r="A262" s="20"/>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c r="A263" s="20"/>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c r="A264" s="20"/>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c r="A265" s="20"/>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c r="A266" s="20"/>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c r="A267" s="20"/>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c r="A268" s="20"/>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c r="A269" s="20"/>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c r="A270" s="20"/>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c r="A271" s="20"/>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c r="A272" s="20"/>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c r="A273" s="20"/>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c r="A274" s="20"/>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c r="A275" s="20"/>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c r="A276" s="20"/>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c r="A277" s="20"/>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c r="A278" s="20"/>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c r="A279" s="20"/>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c r="A280" s="20"/>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c r="A281" s="20"/>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c r="A282" s="20"/>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c r="A283" s="20"/>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c r="A284" s="20"/>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c r="A285" s="20"/>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c r="A286" s="20"/>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c r="A287" s="20"/>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c r="A288" s="20"/>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c r="A289" s="20"/>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c r="A290" s="20"/>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c r="A291" s="20"/>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c r="A292" s="20"/>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c r="A293" s="20"/>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c r="A294" s="20"/>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c r="A295" s="20"/>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c r="A296" s="20"/>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c r="A297" s="20"/>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c r="A298" s="20"/>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c r="A299" s="20"/>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c r="A300" s="20"/>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c r="A301" s="20"/>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c r="A302" s="20"/>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c r="A303" s="20"/>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c r="A304" s="20"/>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c r="A305" s="20"/>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c r="A306" s="20"/>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c r="A307" s="20"/>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c r="A308" s="20"/>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c r="A309" s="20"/>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c r="A310" s="20"/>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c r="A311" s="20"/>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c r="A312" s="20"/>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c r="A313" s="20"/>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c r="A314" s="20"/>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c r="A315" s="20"/>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c r="A316" s="20"/>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c r="A317" s="20"/>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c r="A318" s="20"/>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c r="A319" s="20"/>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c r="A320" s="20"/>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c r="A321" s="20"/>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c r="A322" s="20"/>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c r="A323" s="20"/>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c r="A324" s="20"/>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c r="A325" s="20"/>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c r="A326" s="20"/>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c r="A327" s="20"/>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c r="A328" s="20"/>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c r="A329" s="20"/>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c r="A330" s="20"/>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c r="A331" s="20"/>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c r="A332" s="20"/>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c r="A333" s="20"/>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c r="A334" s="20"/>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c r="A335" s="20"/>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c r="A336" s="20"/>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c r="A337" s="20"/>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c r="A338" s="20"/>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c r="A339" s="20"/>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c r="A340" s="20"/>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c r="A341" s="20"/>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c r="A342" s="20"/>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c r="A343" s="20"/>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c r="A344" s="20"/>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c r="A345" s="20"/>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c r="A346" s="20"/>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c r="A347" s="20"/>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c r="A348" s="20"/>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c r="A349" s="20"/>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c r="A350" s="20"/>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c r="A351" s="20"/>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c r="A352" s="20"/>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c r="A353" s="20"/>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c r="A354" s="20"/>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c r="A355" s="20"/>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c r="A356" s="20"/>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c r="A357" s="20"/>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c r="A358" s="20"/>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c r="A359" s="20"/>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c r="A360" s="20"/>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c r="A361" s="20"/>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c r="A362" s="20"/>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c r="A363" s="20"/>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c r="A364" s="20"/>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c r="A365" s="20"/>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c r="A366" s="20"/>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c r="A367" s="20"/>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c r="A368" s="20"/>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c r="A369" s="20"/>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c r="A370" s="20"/>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c r="A371" s="20"/>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c r="A372" s="20"/>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c r="A373" s="20"/>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c r="A374" s="20"/>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c r="A375" s="20"/>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c r="A376" s="20"/>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c r="A377" s="20"/>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c r="A378" s="20"/>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c r="A379" s="20"/>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c r="A380" s="20"/>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c r="A381" s="20"/>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c r="A382" s="20"/>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c r="A383" s="20"/>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c r="A384" s="20"/>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c r="A385" s="20"/>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c r="A386" s="20"/>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c r="A387" s="20"/>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c r="A388" s="20"/>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c r="A389" s="20"/>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c r="A390" s="20"/>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c r="A391" s="20"/>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c r="A392" s="20"/>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c r="A393" s="20"/>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c r="A394" s="20"/>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c r="A395" s="20"/>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c r="A396" s="20"/>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c r="A397" s="20"/>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c r="A398" s="20"/>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c r="A399" s="20"/>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c r="A400" s="20"/>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c r="A401" s="20"/>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c r="A402" s="20"/>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c r="A403" s="20"/>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c r="A404" s="20"/>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c r="A405" s="20"/>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c r="A406" s="20"/>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c r="A407" s="20"/>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c r="A408" s="20"/>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c r="A409" s="20"/>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c r="A410" s="20"/>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c r="A411" s="20"/>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c r="A412" s="20"/>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c r="A413" s="20"/>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c r="A414" s="20"/>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c r="A415" s="20"/>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c r="A416" s="20"/>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c r="A417" s="20"/>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c r="A418" s="20"/>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c r="A419" s="20"/>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c r="A420" s="20"/>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c r="A421" s="20"/>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c r="A422" s="20"/>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c r="A423" s="20"/>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c r="A424" s="20"/>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c r="A425" s="20"/>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c r="A426" s="20"/>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c r="A427" s="20"/>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c r="A428" s="20"/>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c r="A429" s="20"/>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c r="A430" s="20"/>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c r="A431" s="20"/>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c r="A432" s="20"/>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c r="A433" s="20"/>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c r="A434" s="20"/>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c r="A435" s="20"/>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c r="A436" s="20"/>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c r="A437" s="20"/>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c r="A438" s="20"/>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c r="A439" s="20"/>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c r="A440" s="20"/>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c r="A441" s="20"/>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c r="A442" s="20"/>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c r="A443" s="20"/>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c r="A444" s="20"/>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c r="A445" s="20"/>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c r="A446" s="20"/>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c r="A447" s="20"/>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c r="A448" s="20"/>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c r="A449" s="20"/>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c r="A450" s="20"/>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c r="A451" s="20"/>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c r="A452" s="20"/>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c r="A453" s="20"/>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c r="A454" s="20"/>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c r="A455" s="20"/>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c r="A456" s="20"/>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c r="A457" s="20"/>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c r="A458" s="20"/>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c r="A459" s="20"/>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c r="A460" s="20"/>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c r="A461" s="20"/>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c r="A462" s="20"/>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c r="A463" s="20"/>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c r="A464" s="20"/>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c r="A465" s="20"/>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c r="A466" s="20"/>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c r="A467" s="20"/>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c r="A468" s="20"/>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c r="A469" s="20"/>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c r="A470" s="20"/>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c r="A471" s="20"/>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c r="A472" s="20"/>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c r="A473" s="20"/>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c r="A474" s="20"/>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c r="A475" s="20"/>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c r="A476" s="20"/>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c r="A477" s="20"/>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c r="A478" s="20"/>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c r="A479" s="20"/>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c r="A480" s="20"/>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c r="A481" s="20"/>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c r="A482" s="20"/>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c r="A483" s="20"/>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c r="A484" s="20"/>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c r="A485" s="20"/>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c r="A486" s="20"/>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c r="A487" s="20"/>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c r="A488" s="20"/>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c r="A489" s="20"/>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c r="A490" s="20"/>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c r="A491" s="20"/>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c r="A492" s="20"/>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c r="A493" s="20"/>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c r="A494" s="20"/>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c r="A495" s="20"/>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c r="A496" s="20"/>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c r="A497" s="20"/>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c r="A498" s="20"/>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c r="A499" s="20"/>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c r="A500" s="20"/>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c r="A501" s="20"/>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c r="A502" s="20"/>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c r="A503" s="20"/>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c r="A504" s="20"/>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c r="A505" s="20"/>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c r="A506" s="20"/>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c r="A507" s="20"/>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c r="A508" s="20"/>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c r="A509" s="20"/>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c r="A510" s="20"/>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c r="A511" s="20"/>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c r="A512" s="20"/>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c r="A513" s="20"/>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c r="A514" s="20"/>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c r="A515" s="20"/>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c r="A516" s="20"/>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c r="A517" s="20"/>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c r="A518" s="20"/>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c r="A519" s="20"/>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c r="A520" s="20"/>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c r="A521" s="20"/>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c r="A522" s="20"/>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c r="A523" s="20"/>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c r="A524" s="20"/>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c r="A525" s="20"/>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c r="A526" s="20"/>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c r="A527" s="20"/>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c r="A528" s="20"/>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c r="A529" s="20"/>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c r="A530" s="20"/>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c r="A531" s="20"/>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c r="A532" s="20"/>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c r="A533" s="20"/>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c r="A534" s="20"/>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c r="A535" s="20"/>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c r="A536" s="20"/>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c r="A537" s="20"/>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c r="A538" s="20"/>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c r="A539" s="20"/>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c r="A540" s="20"/>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c r="A541" s="20"/>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c r="A542" s="20"/>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c r="A543" s="20"/>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c r="A544" s="20"/>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c r="A545" s="20"/>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c r="A546" s="20"/>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c r="A547" s="20"/>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c r="A548" s="20"/>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c r="A549" s="20"/>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c r="A550" s="20"/>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c r="A551" s="20"/>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c r="A552" s="20"/>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c r="A553" s="20"/>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c r="A554" s="20"/>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c r="A555" s="20"/>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c r="A556" s="20"/>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c r="A557" s="20"/>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c r="A558" s="20"/>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c r="A559" s="20"/>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c r="A560" s="20"/>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c r="A561" s="20"/>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c r="A562" s="20"/>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c r="A563" s="20"/>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c r="A564" s="20"/>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c r="A565" s="20"/>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c r="A566" s="20"/>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c r="A567" s="20"/>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c r="A568" s="20"/>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c r="A569" s="20"/>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c r="A570" s="20"/>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c r="A571" s="20"/>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c r="A572" s="20"/>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c r="A573" s="20"/>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c r="A574" s="20"/>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c r="A575" s="20"/>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c r="A576" s="20"/>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c r="A577" s="20"/>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c r="A578" s="20"/>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c r="A579" s="20"/>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c r="A580" s="20"/>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c r="A581" s="20"/>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c r="A582" s="20"/>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c r="A583" s="20"/>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c r="A584" s="20"/>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c r="A585" s="20"/>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c r="A586" s="20"/>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c r="A587" s="20"/>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c r="A588" s="20"/>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c r="A589" s="20"/>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c r="A590" s="20"/>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c r="A591" s="20"/>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c r="A592" s="20"/>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c r="A593" s="20"/>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c r="A594" s="20"/>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c r="A595" s="20"/>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c r="A596" s="20"/>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c r="A597" s="20"/>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c r="A598" s="20"/>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c r="A599" s="20"/>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c r="A600" s="20"/>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c r="A601" s="20"/>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c r="A602" s="20"/>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c r="A603" s="20"/>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c r="A604" s="20"/>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c r="A605" s="20"/>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c r="A606" s="20"/>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c r="A607" s="20"/>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c r="A608" s="20"/>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c r="A609" s="20"/>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c r="A610" s="20"/>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c r="A611" s="20"/>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c r="A612" s="20"/>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c r="A613" s="20"/>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c r="A614" s="20"/>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c r="A615" s="20"/>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c r="A616" s="20"/>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c r="A617" s="20"/>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c r="A618" s="20"/>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c r="A619" s="20"/>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c r="A620" s="20"/>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c r="A621" s="20"/>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c r="A622" s="20"/>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c r="A623" s="20"/>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c r="A624" s="20"/>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c r="A625" s="20"/>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c r="A626" s="20"/>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c r="A627" s="20"/>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c r="A628" s="20"/>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c r="A629" s="20"/>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c r="A630" s="20"/>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c r="A631" s="20"/>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c r="A632" s="20"/>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c r="A633" s="20"/>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c r="A634" s="20"/>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c r="A635" s="20"/>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c r="A636" s="20"/>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c r="A637" s="20"/>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c r="A638" s="20"/>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c r="A639" s="20"/>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c r="A640" s="20"/>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c r="A641" s="20"/>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c r="A642" s="20"/>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c r="A643" s="20"/>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c r="A644" s="20"/>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c r="A645" s="20"/>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c r="A646" s="20"/>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c r="A647" s="20"/>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c r="A648" s="20"/>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c r="A649" s="20"/>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c r="A650" s="20"/>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c r="A651" s="20"/>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c r="A652" s="20"/>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c r="A653" s="20"/>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c r="A654" s="20"/>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c r="A655" s="20"/>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c r="A656" s="20"/>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c r="A657" s="20"/>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c r="A658" s="20"/>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c r="A659" s="20"/>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c r="A660" s="20"/>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c r="A661" s="20"/>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c r="A662" s="20"/>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c r="A663" s="20"/>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c r="A664" s="20"/>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c r="A665" s="20"/>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c r="A666" s="20"/>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c r="A667" s="20"/>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c r="A668" s="20"/>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c r="A669" s="20"/>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c r="A670" s="20"/>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c r="A671" s="20"/>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c r="A672" s="20"/>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c r="A673" s="20"/>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c r="A674" s="20"/>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c r="A675" s="20"/>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c r="A676" s="20"/>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c r="A677" s="20"/>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c r="A678" s="20"/>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c r="A679" s="20"/>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c r="A680" s="20"/>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c r="A681" s="20"/>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c r="A682" s="20"/>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c r="A683" s="20"/>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c r="A684" s="20"/>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c r="A685" s="20"/>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c r="A686" s="20"/>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c r="A687" s="20"/>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c r="A688" s="20"/>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c r="A689" s="20"/>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c r="A690" s="20"/>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c r="A691" s="20"/>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c r="A692" s="20"/>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c r="A693" s="20"/>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c r="A694" s="20"/>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c r="A695" s="20"/>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c r="A696" s="20"/>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c r="A697" s="20"/>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c r="A698" s="20"/>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c r="A699" s="20"/>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c r="A700" s="20"/>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c r="A701" s="20"/>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c r="A702" s="20"/>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c r="A703" s="20"/>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c r="A704" s="20"/>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c r="A705" s="20"/>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c r="A706" s="20"/>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c r="A707" s="20"/>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c r="A708" s="20"/>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c r="A709" s="20"/>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c r="A710" s="20"/>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c r="A711" s="20"/>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c r="A712" s="20"/>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c r="A713" s="20"/>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c r="A714" s="20"/>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c r="A715" s="20"/>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c r="A716" s="20"/>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c r="A717" s="20"/>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c r="A718" s="20"/>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c r="A719" s="20"/>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c r="A720" s="20"/>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c r="A721" s="20"/>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c r="A722" s="20"/>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c r="A723" s="20"/>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c r="A724" s="20"/>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c r="A725" s="20"/>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c r="A726" s="20"/>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c r="A727" s="20"/>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c r="A728" s="20"/>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c r="A729" s="20"/>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c r="A730" s="20"/>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c r="A731" s="20"/>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c r="A732" s="20"/>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c r="A733" s="20"/>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c r="A734" s="20"/>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c r="A735" s="20"/>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c r="A736" s="20"/>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c r="A737" s="20"/>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c r="A738" s="20"/>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c r="A739" s="20"/>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c r="A740" s="20"/>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c r="A741" s="20"/>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c r="A742" s="20"/>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c r="A743" s="20"/>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c r="A744" s="20"/>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c r="A745" s="20"/>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c r="A746" s="20"/>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c r="A747" s="20"/>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c r="A748" s="20"/>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c r="A749" s="20"/>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c r="A750" s="20"/>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c r="A751" s="20"/>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c r="A752" s="20"/>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c r="A753" s="20"/>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c r="A754" s="20"/>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c r="A755" s="20"/>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c r="A756" s="20"/>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c r="A757" s="20"/>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c r="A758" s="20"/>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c r="A759" s="20"/>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c r="A760" s="20"/>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c r="A761" s="20"/>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c r="A762" s="20"/>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c r="A763" s="20"/>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c r="A764" s="20"/>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c r="A765" s="20"/>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c r="A766" s="20"/>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c r="A767" s="20"/>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c r="A768" s="20"/>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c r="A769" s="20"/>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c r="A770" s="20"/>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c r="A771" s="20"/>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c r="A772" s="20"/>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c r="A773" s="20"/>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c r="A774" s="20"/>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c r="A775" s="20"/>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c r="A776" s="20"/>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c r="A777" s="20"/>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c r="A778" s="20"/>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c r="A779" s="20"/>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c r="A780" s="20"/>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c r="A781" s="20"/>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c r="A782" s="20"/>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c r="A783" s="20"/>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c r="A784" s="20"/>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c r="A785" s="20"/>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c r="A786" s="20"/>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c r="A787" s="20"/>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c r="A788" s="20"/>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c r="A789" s="20"/>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c r="A790" s="20"/>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c r="A791" s="20"/>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c r="A792" s="20"/>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c r="A793" s="20"/>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c r="A794" s="20"/>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c r="A795" s="20"/>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c r="A796" s="20"/>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c r="A797" s="20"/>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c r="A798" s="20"/>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c r="A799" s="20"/>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c r="A800" s="20"/>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c r="A801" s="20"/>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c r="A802" s="20"/>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c r="A803" s="20"/>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c r="A804" s="20"/>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c r="A805" s="20"/>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c r="A806" s="20"/>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c r="A807" s="20"/>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c r="A808" s="20"/>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c r="A809" s="20"/>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row>
    <row r="810">
      <c r="A810" s="20"/>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row>
    <row r="811">
      <c r="A811" s="20"/>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row>
    <row r="812">
      <c r="A812" s="20"/>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row>
    <row r="813">
      <c r="A813" s="20"/>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row>
    <row r="814">
      <c r="A814" s="20"/>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row>
    <row r="815">
      <c r="A815" s="20"/>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row>
    <row r="816">
      <c r="A816" s="20"/>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row>
    <row r="817">
      <c r="A817" s="20"/>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row>
    <row r="818">
      <c r="A818" s="20"/>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row>
    <row r="819">
      <c r="A819" s="20"/>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row>
    <row r="820">
      <c r="A820" s="20"/>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row>
    <row r="821">
      <c r="A821" s="20"/>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row>
    <row r="822">
      <c r="A822" s="20"/>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row>
    <row r="823">
      <c r="A823" s="20"/>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row>
    <row r="824">
      <c r="A824" s="20"/>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row>
    <row r="825">
      <c r="A825" s="20"/>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row>
    <row r="826">
      <c r="A826" s="20"/>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row>
    <row r="827">
      <c r="A827" s="20"/>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row>
    <row r="828">
      <c r="A828" s="20"/>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row>
    <row r="829">
      <c r="A829" s="20"/>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row>
    <row r="830">
      <c r="A830" s="20"/>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row>
    <row r="831">
      <c r="A831" s="20"/>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row>
    <row r="832">
      <c r="A832" s="20"/>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row>
    <row r="833">
      <c r="A833" s="20"/>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row>
    <row r="834">
      <c r="A834" s="20"/>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row>
    <row r="835">
      <c r="A835" s="20"/>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row>
    <row r="836">
      <c r="A836" s="20"/>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row>
    <row r="837">
      <c r="A837" s="20"/>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row>
    <row r="838">
      <c r="A838" s="20"/>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row>
    <row r="839">
      <c r="A839" s="20"/>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row>
    <row r="840">
      <c r="A840" s="20"/>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row>
    <row r="841">
      <c r="A841" s="20"/>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row>
    <row r="842">
      <c r="A842" s="20"/>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row>
    <row r="843">
      <c r="A843" s="20"/>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row>
    <row r="844">
      <c r="A844" s="20"/>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row>
    <row r="845">
      <c r="A845" s="20"/>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row>
    <row r="846">
      <c r="A846" s="20"/>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row>
    <row r="847">
      <c r="A847" s="20"/>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row>
    <row r="848">
      <c r="A848" s="20"/>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row>
    <row r="849">
      <c r="A849" s="20"/>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row>
    <row r="850">
      <c r="A850" s="20"/>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row>
    <row r="851">
      <c r="A851" s="20"/>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row>
    <row r="852">
      <c r="A852" s="20"/>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row>
    <row r="853">
      <c r="A853" s="20"/>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row>
    <row r="854">
      <c r="A854" s="20"/>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row>
    <row r="855">
      <c r="A855" s="20"/>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row>
    <row r="856">
      <c r="A856" s="20"/>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row>
    <row r="857">
      <c r="A857" s="20"/>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row>
    <row r="858">
      <c r="A858" s="20"/>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row>
    <row r="859">
      <c r="A859" s="20"/>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row>
    <row r="860">
      <c r="A860" s="20"/>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row>
    <row r="861">
      <c r="A861" s="20"/>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row>
    <row r="862">
      <c r="A862" s="20"/>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row>
    <row r="863">
      <c r="A863" s="20"/>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row>
    <row r="864">
      <c r="A864" s="20"/>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row>
    <row r="865">
      <c r="A865" s="20"/>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row>
    <row r="866">
      <c r="A866" s="20"/>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row>
    <row r="867">
      <c r="A867" s="20"/>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row>
    <row r="868">
      <c r="A868" s="20"/>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row>
    <row r="869">
      <c r="A869" s="20"/>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row>
    <row r="870">
      <c r="A870" s="20"/>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row>
    <row r="871">
      <c r="A871" s="20"/>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row>
    <row r="872">
      <c r="A872" s="20"/>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row>
    <row r="873">
      <c r="A873" s="20"/>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row>
    <row r="874">
      <c r="A874" s="20"/>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row>
    <row r="875">
      <c r="A875" s="20"/>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row>
    <row r="876">
      <c r="A876" s="20"/>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row>
    <row r="877">
      <c r="A877" s="20"/>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row>
    <row r="878">
      <c r="A878" s="20"/>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row>
    <row r="879">
      <c r="A879" s="20"/>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row>
    <row r="880">
      <c r="A880" s="20"/>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row>
    <row r="881">
      <c r="A881" s="20"/>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row>
    <row r="882">
      <c r="A882" s="20"/>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row>
    <row r="883">
      <c r="A883" s="20"/>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row>
    <row r="884">
      <c r="A884" s="20"/>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row>
    <row r="885">
      <c r="A885" s="20"/>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row>
    <row r="886">
      <c r="A886" s="20"/>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row>
    <row r="887">
      <c r="A887" s="20"/>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row>
    <row r="888">
      <c r="A888" s="20"/>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row>
    <row r="889">
      <c r="A889" s="20"/>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row>
    <row r="890">
      <c r="A890" s="20"/>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row>
    <row r="891">
      <c r="A891" s="20"/>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row>
    <row r="892">
      <c r="A892" s="20"/>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row>
    <row r="893">
      <c r="A893" s="20"/>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row>
    <row r="894">
      <c r="A894" s="20"/>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row>
    <row r="895">
      <c r="A895" s="20"/>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row>
    <row r="896">
      <c r="A896" s="20"/>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row>
    <row r="897">
      <c r="A897" s="20"/>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row>
    <row r="898">
      <c r="A898" s="20"/>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row>
    <row r="899">
      <c r="A899" s="20"/>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row>
    <row r="900">
      <c r="A900" s="20"/>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row>
    <row r="901">
      <c r="A901" s="20"/>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row>
    <row r="902">
      <c r="A902" s="20"/>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row>
    <row r="903">
      <c r="A903" s="20"/>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row>
    <row r="904">
      <c r="A904" s="20"/>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row>
    <row r="905">
      <c r="A905" s="20"/>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row>
    <row r="906">
      <c r="A906" s="20"/>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row>
    <row r="907">
      <c r="A907" s="20"/>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row>
    <row r="908">
      <c r="A908" s="20"/>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row>
    <row r="909">
      <c r="A909" s="20"/>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row>
    <row r="910">
      <c r="A910" s="20"/>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row>
    <row r="911">
      <c r="A911" s="20"/>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row>
    <row r="912">
      <c r="A912" s="20"/>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row>
    <row r="913">
      <c r="A913" s="20"/>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row>
    <row r="914">
      <c r="A914" s="20"/>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row>
    <row r="915">
      <c r="A915" s="20"/>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row>
    <row r="916">
      <c r="A916" s="20"/>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row>
    <row r="917">
      <c r="A917" s="20"/>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row>
    <row r="918">
      <c r="A918" s="20"/>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row>
    <row r="919">
      <c r="A919" s="20"/>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row>
    <row r="920">
      <c r="A920" s="20"/>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row>
    <row r="921">
      <c r="A921" s="20"/>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row>
    <row r="922">
      <c r="A922" s="20"/>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row>
    <row r="923">
      <c r="A923" s="20"/>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row>
    <row r="924">
      <c r="A924" s="20"/>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row>
    <row r="925">
      <c r="A925" s="20"/>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row>
    <row r="926">
      <c r="A926" s="20"/>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row>
    <row r="927">
      <c r="A927" s="20"/>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row>
    <row r="928">
      <c r="A928" s="20"/>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row>
    <row r="929">
      <c r="A929" s="20"/>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row>
    <row r="930">
      <c r="A930" s="20"/>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row>
    <row r="931">
      <c r="A931" s="20"/>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row>
    <row r="932">
      <c r="A932" s="20"/>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row>
    <row r="933">
      <c r="A933" s="20"/>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row>
    <row r="934">
      <c r="A934" s="20"/>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row>
    <row r="935">
      <c r="A935" s="20"/>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row>
    <row r="936">
      <c r="A936" s="20"/>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row>
    <row r="937">
      <c r="A937" s="20"/>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row>
    <row r="938">
      <c r="A938" s="20"/>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row>
    <row r="939">
      <c r="A939" s="20"/>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row>
    <row r="940">
      <c r="A940" s="20"/>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row>
    <row r="941">
      <c r="A941" s="20"/>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row>
    <row r="942">
      <c r="A942" s="20"/>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row>
    <row r="943">
      <c r="A943" s="20"/>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row>
    <row r="944">
      <c r="A944" s="20"/>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row>
    <row r="945">
      <c r="A945" s="20"/>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row>
    <row r="946">
      <c r="A946" s="20"/>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row>
    <row r="947">
      <c r="A947" s="20"/>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row>
    <row r="948">
      <c r="A948" s="20"/>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row>
    <row r="949">
      <c r="A949" s="20"/>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row>
    <row r="950">
      <c r="A950" s="20"/>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row>
    <row r="951">
      <c r="A951" s="20"/>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row>
    <row r="952">
      <c r="A952" s="20"/>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row>
    <row r="953">
      <c r="A953" s="20"/>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row>
    <row r="954">
      <c r="A954" s="20"/>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row>
    <row r="955">
      <c r="A955" s="20"/>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row>
    <row r="956">
      <c r="A956" s="20"/>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row>
    <row r="957">
      <c r="A957" s="20"/>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row>
    <row r="958">
      <c r="A958" s="20"/>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row>
    <row r="959">
      <c r="A959" s="20"/>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row>
    <row r="960">
      <c r="A960" s="20"/>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row>
    <row r="961">
      <c r="A961" s="20"/>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row>
    <row r="962">
      <c r="A962" s="20"/>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row>
    <row r="963">
      <c r="A963" s="20"/>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row>
    <row r="964">
      <c r="A964" s="20"/>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row>
    <row r="965">
      <c r="A965" s="20"/>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row>
    <row r="966">
      <c r="A966" s="20"/>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row>
    <row r="967">
      <c r="A967" s="20"/>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row>
    <row r="968">
      <c r="A968" s="20"/>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row>
    <row r="969">
      <c r="A969" s="20"/>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row>
    <row r="970">
      <c r="A970" s="20"/>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row>
    <row r="971">
      <c r="A971" s="20"/>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row>
    <row r="972">
      <c r="A972" s="20"/>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row>
    <row r="973">
      <c r="A973" s="20"/>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row>
    <row r="974">
      <c r="A974" s="20"/>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row>
    <row r="975">
      <c r="A975" s="20"/>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row>
    <row r="976">
      <c r="A976" s="20"/>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row>
    <row r="977">
      <c r="A977" s="20"/>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row>
    <row r="978">
      <c r="A978" s="20"/>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row>
    <row r="979">
      <c r="A979" s="20"/>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row>
    <row r="980">
      <c r="A980" s="20"/>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row>
    <row r="981">
      <c r="A981" s="20"/>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row>
    <row r="982">
      <c r="A982" s="20"/>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row>
    <row r="983">
      <c r="A983" s="20"/>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row>
    <row r="984">
      <c r="A984" s="20"/>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row>
    <row r="985">
      <c r="A985" s="20"/>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row>
    <row r="986">
      <c r="A986" s="20"/>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row>
    <row r="987">
      <c r="A987" s="20"/>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row>
    <row r="988">
      <c r="A988" s="20"/>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row>
    <row r="989">
      <c r="A989" s="20"/>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row>
    <row r="990">
      <c r="A990" s="20"/>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row>
    <row r="991">
      <c r="A991" s="20"/>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row>
    <row r="992">
      <c r="A992" s="20"/>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row>
    <row r="993">
      <c r="A993" s="20"/>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row>
    <row r="994">
      <c r="A994" s="20"/>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row>
    <row r="995">
      <c r="A995" s="20"/>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row>
    <row r="996">
      <c r="A996" s="20"/>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row>
    <row r="997">
      <c r="A997" s="20"/>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row>
    <row r="998">
      <c r="A998" s="20"/>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row>
    <row r="999">
      <c r="A999" s="20"/>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row>
    <row r="1000">
      <c r="A1000" s="20"/>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row>
  </sheetData>
  <mergeCells count="45">
    <mergeCell ref="A1:H1"/>
    <mergeCell ref="J1:Q1"/>
    <mergeCell ref="A9:H9"/>
    <mergeCell ref="J15:K15"/>
    <mergeCell ref="A17:H17"/>
    <mergeCell ref="J17:Q17"/>
    <mergeCell ref="A26:H26"/>
    <mergeCell ref="J34:K34"/>
    <mergeCell ref="A35:H35"/>
    <mergeCell ref="J35:Q35"/>
    <mergeCell ref="A44:H44"/>
    <mergeCell ref="J51:K51"/>
    <mergeCell ref="A53:H53"/>
    <mergeCell ref="J53:Q53"/>
    <mergeCell ref="J83:K83"/>
    <mergeCell ref="J93:K93"/>
    <mergeCell ref="J109:K109"/>
    <mergeCell ref="J111:Q111"/>
    <mergeCell ref="J125:K125"/>
    <mergeCell ref="J127:Q127"/>
    <mergeCell ref="J141:K141"/>
    <mergeCell ref="J143:Q143"/>
    <mergeCell ref="A65:H65"/>
    <mergeCell ref="J65:K65"/>
    <mergeCell ref="J67:Q67"/>
    <mergeCell ref="A74:H74"/>
    <mergeCell ref="A83:H83"/>
    <mergeCell ref="J85:Q85"/>
    <mergeCell ref="J95:Q95"/>
    <mergeCell ref="A91:H91"/>
    <mergeCell ref="A99:H99"/>
    <mergeCell ref="A107:H107"/>
    <mergeCell ref="A115:H115"/>
    <mergeCell ref="A123:H123"/>
    <mergeCell ref="A131:H131"/>
    <mergeCell ref="A139:H139"/>
    <mergeCell ref="J175:N175"/>
    <mergeCell ref="J176:K176"/>
    <mergeCell ref="A148:H148"/>
    <mergeCell ref="A157:H157"/>
    <mergeCell ref="J159:K159"/>
    <mergeCell ref="J161:Q161"/>
    <mergeCell ref="A164:H164"/>
    <mergeCell ref="A171:H171"/>
    <mergeCell ref="J173:K173"/>
  </mergeCells>
  <conditionalFormatting sqref="L1:L32 L34:L1000">
    <cfRule type="cellIs" dxfId="132" priority="1" operator="greaterThanOrEqual">
      <formula>0.5</formula>
    </cfRule>
  </conditionalFormatting>
  <conditionalFormatting sqref="L1:L32 L34:L1000">
    <cfRule type="cellIs" dxfId="133" priority="2" operator="lessThan">
      <formula>0.5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20.86"/>
    <col customWidth="1" min="3" max="23" width="9.14"/>
    <col customWidth="1" min="24" max="26" width="8.71"/>
  </cols>
  <sheetData>
    <row r="1" ht="12.75" customHeight="1">
      <c r="A1" s="4"/>
      <c r="B1" s="20"/>
      <c r="C1" s="3" t="s">
        <v>235</v>
      </c>
      <c r="D1" s="46" t="s">
        <v>236</v>
      </c>
      <c r="E1" s="7"/>
      <c r="F1" s="7"/>
      <c r="G1" s="7"/>
      <c r="H1" s="7"/>
      <c r="I1" s="7"/>
      <c r="J1" s="7"/>
      <c r="K1" s="7"/>
      <c r="L1" s="7"/>
      <c r="M1" s="7"/>
      <c r="N1" s="7"/>
      <c r="O1" s="7"/>
      <c r="P1" s="7"/>
      <c r="Q1" s="7"/>
      <c r="R1" s="7"/>
      <c r="S1" s="7"/>
      <c r="T1" s="7"/>
      <c r="U1" s="7"/>
      <c r="V1" s="7"/>
      <c r="W1" s="7"/>
      <c r="X1" s="7"/>
      <c r="Y1" s="7"/>
      <c r="Z1" s="7"/>
    </row>
    <row r="2" ht="12.75" customHeight="1">
      <c r="A2" s="4"/>
      <c r="B2" s="3" t="s">
        <v>107</v>
      </c>
      <c r="C2" s="3">
        <v>2.21</v>
      </c>
      <c r="D2" s="46">
        <f t="shared" ref="D2:D132" si="1">C2/2</f>
        <v>1.105</v>
      </c>
      <c r="E2" s="47"/>
      <c r="F2" s="4"/>
      <c r="G2" s="7"/>
      <c r="H2" s="7"/>
      <c r="I2" s="7"/>
      <c r="J2" s="7"/>
      <c r="K2" s="7"/>
      <c r="L2" s="7"/>
      <c r="M2" s="7"/>
      <c r="N2" s="7"/>
      <c r="O2" s="7"/>
      <c r="P2" s="7"/>
      <c r="Q2" s="7"/>
      <c r="R2" s="7"/>
      <c r="S2" s="7"/>
      <c r="T2" s="7"/>
      <c r="U2" s="7"/>
      <c r="V2" s="7"/>
      <c r="W2" s="7"/>
      <c r="X2" s="7"/>
      <c r="Y2" s="7"/>
      <c r="Z2" s="7"/>
    </row>
    <row r="3" ht="12.75" customHeight="1">
      <c r="A3" s="4"/>
      <c r="B3" s="3" t="s">
        <v>184</v>
      </c>
      <c r="C3" s="3">
        <v>1.51</v>
      </c>
      <c r="D3" s="46">
        <f t="shared" si="1"/>
        <v>0.755</v>
      </c>
      <c r="E3" s="47"/>
      <c r="F3" s="7"/>
      <c r="G3" s="7"/>
      <c r="H3" s="7"/>
      <c r="I3" s="7"/>
      <c r="J3" s="7"/>
      <c r="K3" s="7"/>
      <c r="L3" s="7"/>
      <c r="M3" s="7"/>
      <c r="N3" s="7"/>
      <c r="O3" s="7"/>
      <c r="P3" s="7"/>
      <c r="Q3" s="7"/>
      <c r="R3" s="7"/>
      <c r="S3" s="7"/>
      <c r="T3" s="7"/>
      <c r="U3" s="7"/>
      <c r="V3" s="7"/>
      <c r="W3" s="7"/>
      <c r="X3" s="7"/>
      <c r="Y3" s="7"/>
      <c r="Z3" s="7"/>
    </row>
    <row r="4" ht="12.75" customHeight="1">
      <c r="A4" s="4"/>
      <c r="B4" s="3" t="s">
        <v>23</v>
      </c>
      <c r="C4" s="3">
        <v>2.3</v>
      </c>
      <c r="D4" s="46">
        <f t="shared" si="1"/>
        <v>1.15</v>
      </c>
      <c r="E4" s="47"/>
      <c r="F4" s="7"/>
      <c r="G4" s="7"/>
      <c r="H4" s="7"/>
      <c r="I4" s="7"/>
      <c r="J4" s="7"/>
      <c r="K4" s="7"/>
      <c r="L4" s="7"/>
      <c r="M4" s="7"/>
      <c r="N4" s="7"/>
      <c r="O4" s="7"/>
      <c r="P4" s="7"/>
      <c r="Q4" s="7"/>
      <c r="R4" s="7"/>
      <c r="S4" s="7"/>
      <c r="T4" s="7"/>
      <c r="U4" s="7"/>
      <c r="V4" s="7"/>
      <c r="W4" s="7"/>
      <c r="X4" s="7"/>
      <c r="Y4" s="7"/>
      <c r="Z4" s="7"/>
    </row>
    <row r="5" ht="12.75" customHeight="1">
      <c r="A5" s="4"/>
      <c r="B5" s="3" t="s">
        <v>98</v>
      </c>
      <c r="C5" s="3">
        <v>1.41</v>
      </c>
      <c r="D5" s="46">
        <f t="shared" si="1"/>
        <v>0.705</v>
      </c>
      <c r="E5" s="47"/>
      <c r="F5" s="7"/>
      <c r="G5" s="7"/>
      <c r="H5" s="7"/>
      <c r="I5" s="7"/>
      <c r="J5" s="7"/>
      <c r="K5" s="7"/>
      <c r="L5" s="7"/>
      <c r="M5" s="7"/>
      <c r="N5" s="7"/>
      <c r="O5" s="7"/>
      <c r="P5" s="7"/>
      <c r="Q5" s="7"/>
      <c r="R5" s="7"/>
      <c r="S5" s="7"/>
      <c r="T5" s="7"/>
      <c r="U5" s="7"/>
      <c r="V5" s="7"/>
      <c r="W5" s="7"/>
      <c r="X5" s="7"/>
      <c r="Y5" s="7"/>
      <c r="Z5" s="7"/>
    </row>
    <row r="6" ht="12.75" customHeight="1">
      <c r="A6" s="4"/>
      <c r="B6" s="3" t="s">
        <v>168</v>
      </c>
      <c r="C6" s="3">
        <v>2.45</v>
      </c>
      <c r="D6" s="46">
        <f t="shared" si="1"/>
        <v>1.225</v>
      </c>
      <c r="E6" s="47"/>
      <c r="F6" s="7"/>
      <c r="G6" s="7"/>
      <c r="H6" s="7"/>
      <c r="I6" s="7"/>
      <c r="J6" s="7"/>
      <c r="K6" s="7"/>
      <c r="L6" s="7"/>
      <c r="M6" s="7"/>
      <c r="N6" s="7"/>
      <c r="O6" s="7"/>
      <c r="P6" s="7"/>
      <c r="Q6" s="7"/>
      <c r="R6" s="7"/>
      <c r="S6" s="7"/>
      <c r="T6" s="7"/>
      <c r="U6" s="7"/>
      <c r="V6" s="7"/>
      <c r="W6" s="7"/>
      <c r="X6" s="7"/>
      <c r="Y6" s="7"/>
      <c r="Z6" s="7"/>
    </row>
    <row r="7" ht="12.75" customHeight="1">
      <c r="A7" s="4"/>
      <c r="B7" s="3" t="s">
        <v>194</v>
      </c>
      <c r="C7" s="3">
        <v>3.32</v>
      </c>
      <c r="D7" s="46">
        <f t="shared" si="1"/>
        <v>1.66</v>
      </c>
      <c r="E7" s="47"/>
      <c r="F7" s="7"/>
      <c r="G7" s="7"/>
      <c r="H7" s="7"/>
      <c r="I7" s="7"/>
      <c r="J7" s="7"/>
      <c r="K7" s="7"/>
      <c r="L7" s="7"/>
      <c r="M7" s="7"/>
      <c r="N7" s="7"/>
      <c r="O7" s="7"/>
      <c r="P7" s="7"/>
      <c r="Q7" s="7"/>
      <c r="R7" s="7"/>
      <c r="S7" s="7"/>
      <c r="T7" s="7"/>
      <c r="U7" s="7"/>
      <c r="V7" s="7"/>
      <c r="W7" s="7"/>
      <c r="X7" s="7"/>
      <c r="Y7" s="7"/>
      <c r="Z7" s="7"/>
    </row>
    <row r="8" ht="12.75" customHeight="1">
      <c r="A8" s="4"/>
      <c r="B8" s="3" t="s">
        <v>118</v>
      </c>
      <c r="C8" s="3">
        <v>3.24</v>
      </c>
      <c r="D8" s="46">
        <f t="shared" si="1"/>
        <v>1.62</v>
      </c>
      <c r="E8" s="47"/>
      <c r="F8" s="7"/>
      <c r="G8" s="7"/>
      <c r="H8" s="7"/>
      <c r="I8" s="7"/>
      <c r="J8" s="7"/>
      <c r="K8" s="7"/>
      <c r="L8" s="7"/>
      <c r="M8" s="7"/>
      <c r="N8" s="7"/>
      <c r="O8" s="7"/>
      <c r="P8" s="7"/>
      <c r="Q8" s="7"/>
      <c r="R8" s="7"/>
      <c r="S8" s="7"/>
      <c r="T8" s="7"/>
      <c r="U8" s="7"/>
      <c r="V8" s="7"/>
      <c r="W8" s="7"/>
      <c r="X8" s="7"/>
      <c r="Y8" s="7"/>
      <c r="Z8" s="7"/>
    </row>
    <row r="9" ht="12.75" customHeight="1">
      <c r="A9" s="4"/>
      <c r="B9" s="3" t="s">
        <v>115</v>
      </c>
      <c r="C9" s="3">
        <v>3.68</v>
      </c>
      <c r="D9" s="46">
        <f t="shared" si="1"/>
        <v>1.84</v>
      </c>
      <c r="E9" s="47"/>
      <c r="F9" s="7"/>
      <c r="G9" s="7"/>
      <c r="H9" s="7"/>
      <c r="I9" s="7"/>
      <c r="J9" s="44"/>
      <c r="K9" s="7"/>
      <c r="L9" s="7"/>
      <c r="M9" s="7"/>
      <c r="N9" s="7"/>
      <c r="O9" s="7"/>
      <c r="P9" s="7"/>
      <c r="Q9" s="7"/>
      <c r="R9" s="7"/>
      <c r="S9" s="7"/>
      <c r="T9" s="7"/>
      <c r="U9" s="7"/>
      <c r="V9" s="7"/>
      <c r="W9" s="7"/>
      <c r="X9" s="7"/>
      <c r="Y9" s="7"/>
      <c r="Z9" s="7"/>
    </row>
    <row r="10" ht="12.75" customHeight="1">
      <c r="A10" s="4"/>
      <c r="B10" s="3" t="s">
        <v>88</v>
      </c>
      <c r="C10" s="3">
        <v>1.85</v>
      </c>
      <c r="D10" s="46">
        <f t="shared" si="1"/>
        <v>0.925</v>
      </c>
      <c r="E10" s="47"/>
      <c r="F10" s="7"/>
      <c r="G10" s="7"/>
      <c r="H10" s="7"/>
      <c r="I10" s="7"/>
      <c r="J10" s="44"/>
      <c r="K10" s="7"/>
      <c r="L10" s="7"/>
      <c r="M10" s="7"/>
      <c r="N10" s="7"/>
      <c r="O10" s="7"/>
      <c r="P10" s="7"/>
      <c r="Q10" s="7"/>
      <c r="R10" s="7"/>
      <c r="S10" s="7"/>
      <c r="T10" s="7"/>
      <c r="U10" s="7"/>
      <c r="V10" s="7"/>
      <c r="W10" s="7"/>
      <c r="X10" s="7"/>
      <c r="Y10" s="7"/>
      <c r="Z10" s="7"/>
    </row>
    <row r="11" ht="12.75" customHeight="1">
      <c r="A11" s="4"/>
      <c r="B11" s="3" t="s">
        <v>64</v>
      </c>
      <c r="C11" s="3">
        <v>2.56</v>
      </c>
      <c r="D11" s="46">
        <f t="shared" si="1"/>
        <v>1.28</v>
      </c>
      <c r="E11" s="47"/>
      <c r="F11" s="7"/>
      <c r="G11" s="7"/>
      <c r="H11" s="7"/>
      <c r="I11" s="7"/>
      <c r="J11" s="44"/>
      <c r="K11" s="7"/>
      <c r="L11" s="7"/>
      <c r="M11" s="7"/>
      <c r="N11" s="7"/>
      <c r="O11" s="7"/>
      <c r="P11" s="7"/>
      <c r="Q11" s="7"/>
      <c r="R11" s="7"/>
      <c r="S11" s="7"/>
      <c r="T11" s="7"/>
      <c r="U11" s="7"/>
      <c r="V11" s="7"/>
      <c r="W11" s="7"/>
      <c r="X11" s="7"/>
      <c r="Y11" s="7"/>
      <c r="Z11" s="7"/>
    </row>
    <row r="12" ht="12.75" customHeight="1">
      <c r="A12" s="4"/>
      <c r="B12" s="3" t="s">
        <v>134</v>
      </c>
      <c r="C12" s="3">
        <v>1.09</v>
      </c>
      <c r="D12" s="46">
        <f t="shared" si="1"/>
        <v>0.545</v>
      </c>
      <c r="E12" s="47"/>
      <c r="F12" s="7"/>
      <c r="G12" s="7"/>
      <c r="H12" s="7"/>
      <c r="I12" s="7"/>
      <c r="J12" s="44"/>
      <c r="K12" s="7"/>
      <c r="L12" s="7"/>
      <c r="M12" s="7"/>
      <c r="N12" s="7"/>
      <c r="O12" s="7"/>
      <c r="P12" s="7"/>
      <c r="Q12" s="7"/>
      <c r="R12" s="7"/>
      <c r="S12" s="7"/>
      <c r="T12" s="7"/>
      <c r="U12" s="7"/>
      <c r="V12" s="7"/>
      <c r="W12" s="7"/>
      <c r="X12" s="7"/>
      <c r="Y12" s="7"/>
      <c r="Z12" s="7"/>
    </row>
    <row r="13" ht="12.75" customHeight="1">
      <c r="A13" s="4"/>
      <c r="B13" s="3" t="s">
        <v>104</v>
      </c>
      <c r="C13" s="3">
        <v>2.93</v>
      </c>
      <c r="D13" s="46">
        <f t="shared" si="1"/>
        <v>1.465</v>
      </c>
      <c r="E13" s="47"/>
      <c r="F13" s="7"/>
      <c r="G13" s="7"/>
      <c r="H13" s="7"/>
      <c r="I13" s="7"/>
      <c r="J13" s="44"/>
      <c r="K13" s="7"/>
      <c r="L13" s="7"/>
      <c r="M13" s="7"/>
      <c r="N13" s="7"/>
      <c r="O13" s="7"/>
      <c r="P13" s="7"/>
      <c r="Q13" s="7"/>
      <c r="R13" s="7"/>
      <c r="S13" s="7"/>
      <c r="T13" s="7"/>
      <c r="U13" s="7"/>
      <c r="V13" s="7"/>
      <c r="W13" s="7"/>
      <c r="X13" s="7"/>
      <c r="Y13" s="7"/>
      <c r="Z13" s="7"/>
    </row>
    <row r="14" ht="12.75" customHeight="1">
      <c r="A14" s="4"/>
      <c r="B14" s="3" t="s">
        <v>176</v>
      </c>
      <c r="C14" s="3">
        <v>1.04</v>
      </c>
      <c r="D14" s="46">
        <f t="shared" si="1"/>
        <v>0.52</v>
      </c>
      <c r="E14" s="47"/>
      <c r="F14" s="7"/>
      <c r="G14" s="7"/>
      <c r="H14" s="7"/>
      <c r="I14" s="7"/>
      <c r="J14" s="7"/>
      <c r="K14" s="7"/>
      <c r="L14" s="7"/>
      <c r="M14" s="7"/>
      <c r="N14" s="7"/>
      <c r="O14" s="7"/>
      <c r="P14" s="7"/>
      <c r="Q14" s="7"/>
      <c r="R14" s="7"/>
      <c r="S14" s="7"/>
      <c r="T14" s="7"/>
      <c r="U14" s="7"/>
      <c r="V14" s="7"/>
      <c r="W14" s="7"/>
      <c r="X14" s="7"/>
      <c r="Y14" s="7"/>
      <c r="Z14" s="7"/>
    </row>
    <row r="15" ht="12.75" customHeight="1">
      <c r="A15" s="4"/>
      <c r="B15" s="3" t="s">
        <v>101</v>
      </c>
      <c r="C15" s="3">
        <v>2.27</v>
      </c>
      <c r="D15" s="46">
        <f t="shared" si="1"/>
        <v>1.135</v>
      </c>
      <c r="E15" s="47"/>
      <c r="F15" s="7"/>
      <c r="G15" s="7"/>
      <c r="H15" s="7"/>
      <c r="I15" s="7"/>
      <c r="J15" s="7"/>
      <c r="K15" s="7"/>
      <c r="L15" s="7"/>
      <c r="M15" s="7"/>
      <c r="N15" s="7"/>
      <c r="O15" s="7"/>
      <c r="P15" s="7"/>
      <c r="Q15" s="7"/>
      <c r="R15" s="7"/>
      <c r="S15" s="7"/>
      <c r="T15" s="7"/>
      <c r="U15" s="7"/>
      <c r="V15" s="7"/>
      <c r="W15" s="7"/>
      <c r="X15" s="7"/>
      <c r="Y15" s="7"/>
      <c r="Z15" s="7"/>
    </row>
    <row r="16" ht="12.75" customHeight="1">
      <c r="A16" s="4"/>
      <c r="B16" s="3" t="s">
        <v>177</v>
      </c>
      <c r="C16" s="3">
        <v>1.47</v>
      </c>
      <c r="D16" s="46">
        <f t="shared" si="1"/>
        <v>0.735</v>
      </c>
      <c r="E16" s="47"/>
      <c r="F16" s="7"/>
      <c r="G16" s="7"/>
      <c r="H16" s="7"/>
      <c r="I16" s="7"/>
      <c r="J16" s="7"/>
      <c r="K16" s="7"/>
      <c r="L16" s="7"/>
      <c r="M16" s="7"/>
      <c r="N16" s="7"/>
      <c r="O16" s="7"/>
      <c r="P16" s="7"/>
      <c r="Q16" s="7"/>
      <c r="R16" s="7"/>
      <c r="S16" s="7"/>
      <c r="T16" s="7"/>
      <c r="U16" s="7"/>
      <c r="V16" s="7"/>
      <c r="W16" s="7"/>
      <c r="X16" s="7"/>
      <c r="Y16" s="7"/>
      <c r="Z16" s="7"/>
    </row>
    <row r="17" ht="12.75" customHeight="1">
      <c r="A17" s="4"/>
      <c r="B17" s="3" t="s">
        <v>162</v>
      </c>
      <c r="C17" s="3">
        <v>2.97</v>
      </c>
      <c r="D17" s="46">
        <f t="shared" si="1"/>
        <v>1.485</v>
      </c>
      <c r="E17" s="47"/>
      <c r="F17" s="7"/>
      <c r="G17" s="7"/>
      <c r="H17" s="7"/>
      <c r="I17" s="7"/>
      <c r="J17" s="7"/>
      <c r="K17" s="7"/>
      <c r="L17" s="7"/>
      <c r="M17" s="7"/>
      <c r="N17" s="7"/>
      <c r="O17" s="7"/>
      <c r="P17" s="7"/>
      <c r="Q17" s="7"/>
      <c r="R17" s="7"/>
      <c r="S17" s="7"/>
      <c r="T17" s="7"/>
      <c r="U17" s="7"/>
      <c r="V17" s="7"/>
      <c r="W17" s="7"/>
      <c r="X17" s="7"/>
      <c r="Y17" s="7"/>
      <c r="Z17" s="7"/>
    </row>
    <row r="18" ht="12.75" customHeight="1">
      <c r="A18" s="4"/>
      <c r="B18" s="3" t="s">
        <v>73</v>
      </c>
      <c r="C18" s="3">
        <v>2.2</v>
      </c>
      <c r="D18" s="46">
        <f t="shared" si="1"/>
        <v>1.1</v>
      </c>
      <c r="E18" s="47"/>
      <c r="F18" s="7"/>
      <c r="G18" s="7"/>
      <c r="H18" s="7"/>
      <c r="I18" s="7"/>
      <c r="J18" s="7"/>
      <c r="K18" s="7"/>
      <c r="L18" s="7"/>
      <c r="M18" s="7"/>
      <c r="N18" s="7"/>
      <c r="O18" s="7"/>
      <c r="P18" s="7"/>
      <c r="Q18" s="7"/>
      <c r="R18" s="7"/>
      <c r="S18" s="7"/>
      <c r="T18" s="7"/>
      <c r="U18" s="7"/>
      <c r="V18" s="7"/>
      <c r="W18" s="7"/>
      <c r="X18" s="7"/>
      <c r="Y18" s="7"/>
      <c r="Z18" s="7"/>
    </row>
    <row r="19" ht="12.75" customHeight="1">
      <c r="A19" s="4"/>
      <c r="B19" s="3" t="s">
        <v>171</v>
      </c>
      <c r="C19" s="3">
        <v>3.33</v>
      </c>
      <c r="D19" s="46">
        <f t="shared" si="1"/>
        <v>1.665</v>
      </c>
      <c r="E19" s="47"/>
      <c r="F19" s="7"/>
      <c r="G19" s="7"/>
      <c r="H19" s="7"/>
      <c r="I19" s="7"/>
      <c r="J19" s="7"/>
      <c r="K19" s="7"/>
      <c r="L19" s="7"/>
      <c r="M19" s="7"/>
      <c r="N19" s="7"/>
      <c r="O19" s="7"/>
      <c r="P19" s="7"/>
      <c r="Q19" s="7"/>
      <c r="R19" s="7"/>
      <c r="S19" s="7"/>
      <c r="T19" s="7"/>
      <c r="U19" s="7"/>
      <c r="V19" s="7"/>
      <c r="W19" s="7"/>
      <c r="X19" s="7"/>
      <c r="Y19" s="7"/>
      <c r="Z19" s="7"/>
    </row>
    <row r="20" ht="12.75" customHeight="1">
      <c r="A20" s="4"/>
      <c r="B20" s="3" t="s">
        <v>47</v>
      </c>
      <c r="C20" s="3">
        <v>3.01</v>
      </c>
      <c r="D20" s="46">
        <f t="shared" si="1"/>
        <v>1.505</v>
      </c>
      <c r="E20" s="47"/>
      <c r="F20" s="7"/>
      <c r="G20" s="7"/>
      <c r="H20" s="7"/>
      <c r="I20" s="7"/>
      <c r="J20" s="7"/>
      <c r="K20" s="7"/>
      <c r="L20" s="7"/>
      <c r="M20" s="7"/>
      <c r="N20" s="7"/>
      <c r="O20" s="7"/>
      <c r="P20" s="7"/>
      <c r="Q20" s="7"/>
      <c r="R20" s="7"/>
      <c r="S20" s="7"/>
      <c r="T20" s="7"/>
      <c r="U20" s="7"/>
      <c r="V20" s="7"/>
      <c r="W20" s="7"/>
      <c r="X20" s="7"/>
      <c r="Y20" s="7"/>
      <c r="Z20" s="7"/>
    </row>
    <row r="21" ht="12.75" customHeight="1">
      <c r="A21" s="4"/>
      <c r="B21" s="3" t="s">
        <v>157</v>
      </c>
      <c r="C21" s="3">
        <v>2.03</v>
      </c>
      <c r="D21" s="46">
        <f t="shared" si="1"/>
        <v>1.015</v>
      </c>
      <c r="E21" s="47"/>
      <c r="F21" s="7"/>
      <c r="G21" s="7"/>
      <c r="H21" s="7"/>
      <c r="I21" s="7"/>
      <c r="J21" s="7"/>
      <c r="K21" s="7"/>
      <c r="L21" s="7"/>
      <c r="M21" s="7"/>
      <c r="N21" s="7"/>
      <c r="O21" s="7"/>
      <c r="P21" s="7"/>
      <c r="Q21" s="7"/>
      <c r="R21" s="7"/>
      <c r="S21" s="7"/>
      <c r="T21" s="7"/>
      <c r="U21" s="7"/>
      <c r="V21" s="7"/>
      <c r="W21" s="7"/>
      <c r="X21" s="7"/>
      <c r="Y21" s="7"/>
      <c r="Z21" s="7"/>
    </row>
    <row r="22" ht="12.75" customHeight="1">
      <c r="A22" s="4"/>
      <c r="B22" s="3" t="s">
        <v>140</v>
      </c>
      <c r="C22" s="3">
        <v>1.25</v>
      </c>
      <c r="D22" s="46">
        <f t="shared" si="1"/>
        <v>0.625</v>
      </c>
      <c r="E22" s="47"/>
      <c r="F22" s="7"/>
      <c r="G22" s="7"/>
      <c r="H22" s="7"/>
      <c r="I22" s="7"/>
      <c r="J22" s="7"/>
      <c r="K22" s="7"/>
      <c r="L22" s="7"/>
      <c r="M22" s="7"/>
      <c r="N22" s="7"/>
      <c r="O22" s="7"/>
      <c r="P22" s="7"/>
      <c r="Q22" s="7"/>
      <c r="R22" s="7"/>
      <c r="S22" s="7"/>
      <c r="T22" s="7"/>
      <c r="U22" s="7"/>
      <c r="V22" s="7"/>
      <c r="W22" s="7"/>
      <c r="X22" s="7"/>
      <c r="Y22" s="7"/>
      <c r="Z22" s="7"/>
    </row>
    <row r="23" ht="12.75" customHeight="1">
      <c r="A23" s="4"/>
      <c r="B23" s="3" t="s">
        <v>69</v>
      </c>
      <c r="C23" s="3">
        <v>1.63</v>
      </c>
      <c r="D23" s="46">
        <f t="shared" si="1"/>
        <v>0.815</v>
      </c>
      <c r="E23" s="47"/>
      <c r="F23" s="7"/>
      <c r="G23" s="7"/>
      <c r="H23" s="7"/>
      <c r="I23" s="7"/>
      <c r="J23" s="7"/>
      <c r="K23" s="7"/>
      <c r="L23" s="7"/>
      <c r="M23" s="7"/>
      <c r="N23" s="7"/>
      <c r="O23" s="7"/>
      <c r="P23" s="7"/>
      <c r="Q23" s="7"/>
      <c r="R23" s="7"/>
      <c r="S23" s="7"/>
      <c r="T23" s="7"/>
      <c r="U23" s="7"/>
      <c r="V23" s="7"/>
      <c r="W23" s="7"/>
      <c r="X23" s="7"/>
      <c r="Y23" s="7"/>
      <c r="Z23" s="7"/>
    </row>
    <row r="24" ht="12.75" customHeight="1">
      <c r="A24" s="4"/>
      <c r="B24" s="3" t="s">
        <v>18</v>
      </c>
      <c r="C24" s="3">
        <v>2.9</v>
      </c>
      <c r="D24" s="46">
        <f t="shared" si="1"/>
        <v>1.45</v>
      </c>
      <c r="E24" s="47"/>
      <c r="F24" s="7"/>
      <c r="G24" s="7"/>
      <c r="H24" s="7"/>
      <c r="I24" s="7"/>
      <c r="J24" s="7"/>
      <c r="K24" s="7"/>
      <c r="L24" s="7"/>
      <c r="M24" s="7"/>
      <c r="N24" s="7"/>
      <c r="O24" s="7"/>
      <c r="P24" s="7"/>
      <c r="Q24" s="7"/>
      <c r="R24" s="7"/>
      <c r="S24" s="7"/>
      <c r="T24" s="7"/>
      <c r="U24" s="7"/>
      <c r="V24" s="7"/>
      <c r="W24" s="7"/>
      <c r="X24" s="7"/>
      <c r="Y24" s="7"/>
      <c r="Z24" s="7"/>
    </row>
    <row r="25" ht="12.75" customHeight="1">
      <c r="A25" s="4"/>
      <c r="B25" s="3" t="s">
        <v>100</v>
      </c>
      <c r="C25" s="3">
        <v>2.0</v>
      </c>
      <c r="D25" s="46">
        <f t="shared" si="1"/>
        <v>1</v>
      </c>
      <c r="E25" s="47"/>
      <c r="F25" s="7"/>
      <c r="G25" s="7"/>
      <c r="H25" s="7"/>
      <c r="I25" s="7"/>
      <c r="J25" s="7"/>
      <c r="K25" s="7"/>
      <c r="L25" s="7"/>
      <c r="M25" s="7"/>
      <c r="N25" s="7"/>
      <c r="O25" s="7"/>
      <c r="P25" s="7"/>
      <c r="Q25" s="7"/>
      <c r="R25" s="7"/>
      <c r="S25" s="7"/>
      <c r="T25" s="7"/>
      <c r="U25" s="7"/>
      <c r="V25" s="7"/>
      <c r="W25" s="7"/>
      <c r="X25" s="7"/>
      <c r="Y25" s="7"/>
      <c r="Z25" s="7"/>
    </row>
    <row r="26" ht="12.75" customHeight="1">
      <c r="A26" s="4"/>
      <c r="B26" s="3" t="s">
        <v>180</v>
      </c>
      <c r="C26" s="3">
        <v>2.32</v>
      </c>
      <c r="D26" s="46">
        <f t="shared" si="1"/>
        <v>1.16</v>
      </c>
      <c r="E26" s="47"/>
      <c r="F26" s="7"/>
      <c r="G26" s="7"/>
      <c r="H26" s="7"/>
      <c r="I26" s="7"/>
      <c r="J26" s="7"/>
      <c r="K26" s="7"/>
      <c r="L26" s="7"/>
      <c r="M26" s="7"/>
      <c r="N26" s="7"/>
      <c r="O26" s="7"/>
      <c r="P26" s="7"/>
      <c r="Q26" s="7"/>
      <c r="R26" s="7"/>
      <c r="S26" s="7"/>
      <c r="T26" s="7"/>
      <c r="U26" s="7"/>
      <c r="V26" s="7"/>
      <c r="W26" s="7"/>
      <c r="X26" s="7"/>
      <c r="Y26" s="7"/>
      <c r="Z26" s="7"/>
    </row>
    <row r="27" ht="12.75" customHeight="1">
      <c r="A27" s="4"/>
      <c r="B27" s="3" t="s">
        <v>133</v>
      </c>
      <c r="C27" s="3">
        <v>3.32</v>
      </c>
      <c r="D27" s="46">
        <f t="shared" si="1"/>
        <v>1.66</v>
      </c>
      <c r="E27" s="47"/>
      <c r="F27" s="7"/>
      <c r="G27" s="7"/>
      <c r="H27" s="7"/>
      <c r="I27" s="7"/>
      <c r="J27" s="7"/>
      <c r="K27" s="7"/>
      <c r="L27" s="7"/>
      <c r="M27" s="7"/>
      <c r="N27" s="7"/>
      <c r="O27" s="7"/>
      <c r="P27" s="7"/>
      <c r="Q27" s="7"/>
      <c r="R27" s="7"/>
      <c r="S27" s="7"/>
      <c r="T27" s="7"/>
      <c r="U27" s="7"/>
      <c r="V27" s="7"/>
      <c r="W27" s="7"/>
      <c r="X27" s="7"/>
      <c r="Y27" s="7"/>
      <c r="Z27" s="7"/>
    </row>
    <row r="28" ht="12.75" customHeight="1">
      <c r="A28" s="4"/>
      <c r="B28" s="3" t="s">
        <v>155</v>
      </c>
      <c r="C28" s="3">
        <v>1.84</v>
      </c>
      <c r="D28" s="46">
        <f t="shared" si="1"/>
        <v>0.92</v>
      </c>
      <c r="E28" s="47"/>
      <c r="F28" s="7"/>
      <c r="G28" s="7"/>
      <c r="H28" s="7"/>
      <c r="I28" s="7"/>
      <c r="J28" s="7"/>
      <c r="K28" s="7"/>
      <c r="L28" s="7"/>
      <c r="M28" s="7"/>
      <c r="N28" s="7"/>
      <c r="O28" s="7"/>
      <c r="P28" s="7"/>
      <c r="Q28" s="7"/>
      <c r="R28" s="7"/>
      <c r="S28" s="7"/>
      <c r="T28" s="7"/>
      <c r="U28" s="7"/>
      <c r="V28" s="7"/>
      <c r="W28" s="7"/>
      <c r="X28" s="7"/>
      <c r="Y28" s="7"/>
      <c r="Z28" s="7"/>
    </row>
    <row r="29" ht="12.75" customHeight="1">
      <c r="A29" s="4"/>
      <c r="B29" s="3" t="s">
        <v>187</v>
      </c>
      <c r="C29" s="3">
        <v>3.33</v>
      </c>
      <c r="D29" s="46">
        <f t="shared" si="1"/>
        <v>1.665</v>
      </c>
      <c r="E29" s="47"/>
      <c r="F29" s="7"/>
      <c r="G29" s="7"/>
      <c r="H29" s="7"/>
      <c r="I29" s="7"/>
      <c r="J29" s="7"/>
      <c r="K29" s="7"/>
      <c r="L29" s="7"/>
      <c r="M29" s="7"/>
      <c r="N29" s="7"/>
      <c r="O29" s="7"/>
      <c r="P29" s="7"/>
      <c r="Q29" s="7"/>
      <c r="R29" s="7"/>
      <c r="S29" s="7"/>
      <c r="T29" s="7"/>
      <c r="U29" s="7"/>
      <c r="V29" s="7"/>
      <c r="W29" s="7"/>
      <c r="X29" s="7"/>
      <c r="Y29" s="7"/>
      <c r="Z29" s="7"/>
    </row>
    <row r="30" ht="12.75" customHeight="1">
      <c r="A30" s="4"/>
      <c r="B30" s="3" t="s">
        <v>148</v>
      </c>
      <c r="C30" s="3">
        <v>2.17</v>
      </c>
      <c r="D30" s="46">
        <f t="shared" si="1"/>
        <v>1.085</v>
      </c>
      <c r="E30" s="47"/>
      <c r="F30" s="7"/>
      <c r="G30" s="7"/>
      <c r="H30" s="7"/>
      <c r="I30" s="7"/>
      <c r="J30" s="7"/>
      <c r="K30" s="7"/>
      <c r="L30" s="7"/>
      <c r="M30" s="7"/>
      <c r="N30" s="7"/>
      <c r="O30" s="7"/>
      <c r="P30" s="7"/>
      <c r="Q30" s="7"/>
      <c r="R30" s="7"/>
      <c r="S30" s="7"/>
      <c r="T30" s="7"/>
      <c r="U30" s="7"/>
      <c r="V30" s="7"/>
      <c r="W30" s="7"/>
      <c r="X30" s="7"/>
      <c r="Y30" s="7"/>
      <c r="Z30" s="7"/>
    </row>
    <row r="31" ht="12.75" customHeight="1">
      <c r="A31" s="4"/>
      <c r="B31" s="3" t="s">
        <v>169</v>
      </c>
      <c r="C31" s="3">
        <v>1.04</v>
      </c>
      <c r="D31" s="46">
        <f t="shared" si="1"/>
        <v>0.52</v>
      </c>
      <c r="E31" s="47"/>
      <c r="F31" s="7"/>
      <c r="G31" s="7"/>
      <c r="H31" s="7"/>
      <c r="I31" s="7"/>
      <c r="J31" s="7"/>
      <c r="K31" s="7"/>
      <c r="L31" s="7"/>
      <c r="M31" s="7"/>
      <c r="N31" s="7"/>
      <c r="O31" s="7"/>
      <c r="P31" s="7"/>
      <c r="Q31" s="7"/>
      <c r="R31" s="7"/>
      <c r="S31" s="7"/>
      <c r="T31" s="7"/>
      <c r="U31" s="7"/>
      <c r="V31" s="7"/>
      <c r="W31" s="7"/>
      <c r="X31" s="7"/>
      <c r="Y31" s="7"/>
      <c r="Z31" s="7"/>
    </row>
    <row r="32" ht="12.75" customHeight="1">
      <c r="A32" s="4"/>
      <c r="B32" s="3" t="s">
        <v>48</v>
      </c>
      <c r="C32" s="3">
        <v>1.85</v>
      </c>
      <c r="D32" s="46">
        <f t="shared" si="1"/>
        <v>0.925</v>
      </c>
      <c r="E32" s="47"/>
      <c r="F32" s="7"/>
      <c r="G32" s="7"/>
      <c r="H32" s="7"/>
      <c r="I32" s="7"/>
      <c r="J32" s="7"/>
      <c r="K32" s="7"/>
      <c r="L32" s="7"/>
      <c r="M32" s="7"/>
      <c r="N32" s="7"/>
      <c r="O32" s="7"/>
      <c r="P32" s="7"/>
      <c r="Q32" s="7"/>
      <c r="R32" s="7"/>
      <c r="S32" s="7"/>
      <c r="T32" s="7"/>
      <c r="U32" s="7"/>
      <c r="V32" s="7"/>
      <c r="W32" s="7"/>
      <c r="X32" s="7"/>
      <c r="Y32" s="7"/>
      <c r="Z32" s="7"/>
    </row>
    <row r="33" ht="12.75" customHeight="1">
      <c r="A33" s="4"/>
      <c r="B33" s="3" t="s">
        <v>124</v>
      </c>
      <c r="C33" s="3">
        <v>1.47</v>
      </c>
      <c r="D33" s="46">
        <f t="shared" si="1"/>
        <v>0.735</v>
      </c>
      <c r="E33" s="47"/>
      <c r="F33" s="7"/>
      <c r="G33" s="7"/>
      <c r="H33" s="7"/>
      <c r="I33" s="7"/>
      <c r="J33" s="7"/>
      <c r="K33" s="7"/>
      <c r="L33" s="7"/>
      <c r="M33" s="7"/>
      <c r="N33" s="7"/>
      <c r="O33" s="7"/>
      <c r="P33" s="7"/>
      <c r="Q33" s="7"/>
      <c r="R33" s="7"/>
      <c r="S33" s="7"/>
      <c r="T33" s="7"/>
      <c r="U33" s="7"/>
      <c r="V33" s="7"/>
      <c r="W33" s="7"/>
      <c r="X33" s="7"/>
      <c r="Y33" s="7"/>
      <c r="Z33" s="7"/>
    </row>
    <row r="34" ht="12.75" customHeight="1">
      <c r="A34" s="4"/>
      <c r="B34" s="3" t="s">
        <v>141</v>
      </c>
      <c r="C34" s="3">
        <v>2.75</v>
      </c>
      <c r="D34" s="46">
        <f t="shared" si="1"/>
        <v>1.375</v>
      </c>
      <c r="E34" s="47"/>
      <c r="F34" s="7"/>
      <c r="G34" s="7"/>
      <c r="H34" s="7"/>
      <c r="I34" s="7"/>
      <c r="J34" s="7"/>
      <c r="K34" s="7"/>
      <c r="L34" s="7"/>
      <c r="M34" s="7"/>
      <c r="N34" s="7"/>
      <c r="O34" s="7"/>
      <c r="P34" s="7"/>
      <c r="Q34" s="7"/>
      <c r="R34" s="7"/>
      <c r="S34" s="7"/>
      <c r="T34" s="7"/>
      <c r="U34" s="7"/>
      <c r="V34" s="7"/>
      <c r="W34" s="7"/>
      <c r="X34" s="7"/>
      <c r="Y34" s="7"/>
      <c r="Z34" s="7"/>
    </row>
    <row r="35" ht="12.75" customHeight="1">
      <c r="A35" s="4"/>
      <c r="B35" s="3" t="s">
        <v>147</v>
      </c>
      <c r="C35" s="3">
        <v>2.29</v>
      </c>
      <c r="D35" s="46">
        <f t="shared" si="1"/>
        <v>1.145</v>
      </c>
      <c r="E35" s="47"/>
      <c r="F35" s="7"/>
      <c r="G35" s="7"/>
      <c r="H35" s="7"/>
      <c r="I35" s="7"/>
      <c r="J35" s="7"/>
      <c r="K35" s="7"/>
      <c r="L35" s="7"/>
      <c r="M35" s="7"/>
      <c r="N35" s="7"/>
      <c r="O35" s="7"/>
      <c r="P35" s="7"/>
      <c r="Q35" s="7"/>
      <c r="R35" s="7"/>
      <c r="S35" s="7"/>
      <c r="T35" s="7"/>
      <c r="U35" s="7"/>
      <c r="V35" s="7"/>
      <c r="W35" s="7"/>
      <c r="X35" s="7"/>
      <c r="Y35" s="7"/>
      <c r="Z35" s="7"/>
    </row>
    <row r="36" ht="12.75" customHeight="1">
      <c r="A36" s="4"/>
      <c r="B36" s="3" t="s">
        <v>144</v>
      </c>
      <c r="C36" s="3">
        <v>2.84</v>
      </c>
      <c r="D36" s="46">
        <f t="shared" si="1"/>
        <v>1.42</v>
      </c>
      <c r="E36" s="47"/>
      <c r="F36" s="7"/>
      <c r="G36" s="7"/>
      <c r="H36" s="7"/>
      <c r="I36" s="7"/>
      <c r="J36" s="7"/>
      <c r="K36" s="7"/>
      <c r="L36" s="7"/>
      <c r="M36" s="7"/>
      <c r="N36" s="7"/>
      <c r="O36" s="7"/>
      <c r="P36" s="7"/>
      <c r="Q36" s="7"/>
      <c r="R36" s="7"/>
      <c r="S36" s="7"/>
      <c r="T36" s="7"/>
      <c r="U36" s="7"/>
      <c r="V36" s="7"/>
      <c r="W36" s="7"/>
      <c r="X36" s="7"/>
      <c r="Y36" s="7"/>
      <c r="Z36" s="7"/>
    </row>
    <row r="37" ht="12.75" customHeight="1">
      <c r="A37" s="4"/>
      <c r="B37" s="3" t="s">
        <v>33</v>
      </c>
      <c r="C37" s="3">
        <v>1.89</v>
      </c>
      <c r="D37" s="46">
        <f t="shared" si="1"/>
        <v>0.945</v>
      </c>
      <c r="E37" s="47"/>
      <c r="F37" s="7"/>
      <c r="G37" s="7"/>
      <c r="H37" s="7"/>
      <c r="I37" s="7"/>
      <c r="J37" s="7"/>
      <c r="K37" s="7"/>
      <c r="L37" s="7"/>
      <c r="M37" s="7"/>
      <c r="N37" s="7"/>
      <c r="O37" s="7"/>
      <c r="P37" s="7"/>
      <c r="Q37" s="7"/>
      <c r="R37" s="7"/>
      <c r="S37" s="7"/>
      <c r="T37" s="7"/>
      <c r="U37" s="7"/>
      <c r="V37" s="7"/>
      <c r="W37" s="7"/>
      <c r="X37" s="7"/>
      <c r="Y37" s="7"/>
      <c r="Z37" s="7"/>
    </row>
    <row r="38" ht="12.75" customHeight="1">
      <c r="A38" s="4"/>
      <c r="B38" s="3" t="s">
        <v>131</v>
      </c>
      <c r="C38" s="3">
        <v>2.83</v>
      </c>
      <c r="D38" s="46">
        <f t="shared" si="1"/>
        <v>1.415</v>
      </c>
      <c r="E38" s="47"/>
      <c r="F38" s="7"/>
      <c r="G38" s="7"/>
      <c r="H38" s="7"/>
      <c r="I38" s="7"/>
      <c r="J38" s="7"/>
      <c r="K38" s="7"/>
      <c r="L38" s="7"/>
      <c r="M38" s="7"/>
      <c r="N38" s="7"/>
      <c r="O38" s="7"/>
      <c r="P38" s="7"/>
      <c r="Q38" s="7"/>
      <c r="R38" s="7"/>
      <c r="S38" s="7"/>
      <c r="T38" s="7"/>
      <c r="U38" s="7"/>
      <c r="V38" s="7"/>
      <c r="W38" s="7"/>
      <c r="X38" s="7"/>
      <c r="Y38" s="7"/>
      <c r="Z38" s="7"/>
    </row>
    <row r="39" ht="12.75" customHeight="1">
      <c r="A39" s="4"/>
      <c r="B39" s="3" t="s">
        <v>136</v>
      </c>
      <c r="C39" s="3">
        <v>1.28</v>
      </c>
      <c r="D39" s="46">
        <f t="shared" si="1"/>
        <v>0.64</v>
      </c>
      <c r="E39" s="47"/>
      <c r="F39" s="7"/>
      <c r="G39" s="7"/>
      <c r="H39" s="7"/>
      <c r="I39" s="7"/>
      <c r="J39" s="7"/>
      <c r="K39" s="7"/>
      <c r="L39" s="7"/>
      <c r="M39" s="7"/>
      <c r="N39" s="7"/>
      <c r="O39" s="7"/>
      <c r="P39" s="7"/>
      <c r="Q39" s="7"/>
      <c r="R39" s="7"/>
      <c r="S39" s="7"/>
      <c r="T39" s="7"/>
      <c r="U39" s="7"/>
      <c r="V39" s="7"/>
      <c r="W39" s="7"/>
      <c r="X39" s="7"/>
      <c r="Y39" s="7"/>
      <c r="Z39" s="7"/>
    </row>
    <row r="40" ht="12.75" customHeight="1">
      <c r="A40" s="4"/>
      <c r="B40" s="3" t="s">
        <v>108</v>
      </c>
      <c r="C40" s="3">
        <v>2.99</v>
      </c>
      <c r="D40" s="46">
        <f t="shared" si="1"/>
        <v>1.495</v>
      </c>
      <c r="E40" s="47"/>
      <c r="F40" s="7"/>
      <c r="G40" s="7"/>
      <c r="H40" s="7"/>
      <c r="I40" s="7"/>
      <c r="J40" s="7"/>
      <c r="K40" s="7"/>
      <c r="L40" s="7"/>
      <c r="M40" s="7"/>
      <c r="N40" s="7"/>
      <c r="O40" s="7"/>
      <c r="P40" s="7"/>
      <c r="Q40" s="7"/>
      <c r="R40" s="7"/>
      <c r="S40" s="7"/>
      <c r="T40" s="7"/>
      <c r="U40" s="7"/>
      <c r="V40" s="7"/>
      <c r="W40" s="7"/>
      <c r="X40" s="7"/>
      <c r="Y40" s="7"/>
      <c r="Z40" s="7"/>
    </row>
    <row r="41" ht="12.75" customHeight="1">
      <c r="A41" s="4"/>
      <c r="B41" s="3" t="s">
        <v>186</v>
      </c>
      <c r="C41" s="3">
        <v>1.02</v>
      </c>
      <c r="D41" s="46">
        <f t="shared" si="1"/>
        <v>0.51</v>
      </c>
      <c r="E41" s="47"/>
      <c r="F41" s="7"/>
      <c r="G41" s="7"/>
      <c r="H41" s="7"/>
      <c r="I41" s="7"/>
      <c r="J41" s="7"/>
      <c r="K41" s="7"/>
      <c r="L41" s="7"/>
      <c r="M41" s="7"/>
      <c r="N41" s="7"/>
      <c r="O41" s="7"/>
      <c r="P41" s="7"/>
      <c r="Q41" s="7"/>
      <c r="R41" s="7"/>
      <c r="S41" s="7"/>
      <c r="T41" s="7"/>
      <c r="U41" s="7"/>
      <c r="V41" s="7"/>
      <c r="W41" s="7"/>
      <c r="X41" s="7"/>
      <c r="Y41" s="7"/>
      <c r="Z41" s="7"/>
    </row>
    <row r="42" ht="12.75" customHeight="1">
      <c r="A42" s="4"/>
      <c r="B42" s="3" t="s">
        <v>196</v>
      </c>
      <c r="C42" s="3">
        <v>2.5</v>
      </c>
      <c r="D42" s="46">
        <f t="shared" si="1"/>
        <v>1.25</v>
      </c>
      <c r="E42" s="47"/>
      <c r="F42" s="7"/>
      <c r="G42" s="7"/>
      <c r="H42" s="7"/>
      <c r="I42" s="7"/>
      <c r="J42" s="7"/>
      <c r="K42" s="7"/>
      <c r="L42" s="7"/>
      <c r="M42" s="7"/>
      <c r="N42" s="7"/>
      <c r="O42" s="7"/>
      <c r="P42" s="7"/>
      <c r="Q42" s="7"/>
      <c r="R42" s="7"/>
      <c r="S42" s="7"/>
      <c r="T42" s="7"/>
      <c r="U42" s="7"/>
      <c r="V42" s="7"/>
      <c r="W42" s="7"/>
      <c r="X42" s="7"/>
      <c r="Y42" s="7"/>
      <c r="Z42" s="7"/>
    </row>
    <row r="43" ht="12.75" customHeight="1">
      <c r="A43" s="4"/>
      <c r="B43" s="3" t="s">
        <v>137</v>
      </c>
      <c r="C43" s="3">
        <v>1.69</v>
      </c>
      <c r="D43" s="46">
        <f t="shared" si="1"/>
        <v>0.845</v>
      </c>
      <c r="E43" s="47"/>
      <c r="F43" s="7"/>
      <c r="G43" s="7"/>
      <c r="H43" s="7"/>
      <c r="I43" s="7"/>
      <c r="J43" s="7"/>
      <c r="K43" s="7"/>
      <c r="L43" s="7"/>
      <c r="M43" s="7"/>
      <c r="N43" s="7"/>
      <c r="O43" s="7"/>
      <c r="P43" s="7"/>
      <c r="Q43" s="7"/>
      <c r="R43" s="7"/>
      <c r="S43" s="7"/>
      <c r="T43" s="7"/>
      <c r="U43" s="7"/>
      <c r="V43" s="7"/>
      <c r="W43" s="7"/>
      <c r="X43" s="7"/>
      <c r="Y43" s="7"/>
      <c r="Z43" s="7"/>
    </row>
    <row r="44" ht="12.75" customHeight="1">
      <c r="A44" s="4"/>
      <c r="B44" s="3" t="s">
        <v>174</v>
      </c>
      <c r="C44" s="3">
        <v>2.14</v>
      </c>
      <c r="D44" s="46">
        <f t="shared" si="1"/>
        <v>1.07</v>
      </c>
      <c r="E44" s="48"/>
      <c r="F44" s="9"/>
      <c r="G44" s="6"/>
      <c r="H44" s="23"/>
      <c r="I44" s="6"/>
      <c r="J44" s="6"/>
      <c r="K44" s="6"/>
      <c r="L44" s="6"/>
      <c r="M44" s="6"/>
      <c r="N44" s="6"/>
      <c r="O44" s="6"/>
      <c r="P44" s="6"/>
      <c r="Q44" s="6"/>
      <c r="R44" s="6"/>
      <c r="S44" s="6"/>
      <c r="T44" s="6"/>
      <c r="U44" s="6"/>
      <c r="V44" s="6"/>
      <c r="W44" s="6"/>
      <c r="X44" s="7"/>
      <c r="Y44" s="7"/>
      <c r="Z44" s="7"/>
    </row>
    <row r="45" ht="12.75" customHeight="1">
      <c r="A45" s="4"/>
      <c r="B45" s="3" t="s">
        <v>97</v>
      </c>
      <c r="C45" s="3">
        <v>2.04</v>
      </c>
      <c r="D45" s="46">
        <f t="shared" si="1"/>
        <v>1.02</v>
      </c>
      <c r="E45" s="49"/>
      <c r="F45" s="4"/>
      <c r="G45" s="4"/>
      <c r="H45" s="24"/>
      <c r="I45" s="4"/>
      <c r="J45" s="4"/>
      <c r="K45" s="4"/>
      <c r="L45" s="4"/>
      <c r="M45" s="7"/>
      <c r="N45" s="7"/>
      <c r="O45" s="7"/>
      <c r="P45" s="7"/>
      <c r="Q45" s="7"/>
      <c r="R45" s="7"/>
      <c r="S45" s="7"/>
      <c r="T45" s="7"/>
      <c r="U45" s="7"/>
      <c r="V45" s="7"/>
      <c r="W45" s="7"/>
      <c r="X45" s="7"/>
      <c r="Y45" s="7"/>
      <c r="Z45" s="7"/>
    </row>
    <row r="46" ht="12.75" customHeight="1">
      <c r="A46" s="4"/>
      <c r="B46" s="3" t="s">
        <v>92</v>
      </c>
      <c r="C46" s="3">
        <v>3.37</v>
      </c>
      <c r="D46" s="46">
        <f t="shared" si="1"/>
        <v>1.685</v>
      </c>
      <c r="E46" s="49"/>
      <c r="F46" s="4"/>
      <c r="G46" s="4"/>
      <c r="H46" s="24"/>
      <c r="I46" s="4"/>
      <c r="J46" s="4"/>
      <c r="K46" s="4"/>
      <c r="L46" s="4"/>
      <c r="M46" s="7"/>
      <c r="N46" s="7"/>
      <c r="O46" s="7"/>
      <c r="P46" s="7"/>
      <c r="Q46" s="7"/>
      <c r="R46" s="7"/>
      <c r="S46" s="7"/>
      <c r="T46" s="7"/>
      <c r="U46" s="7"/>
      <c r="V46" s="7"/>
      <c r="W46" s="7"/>
      <c r="X46" s="7"/>
      <c r="Y46" s="7"/>
      <c r="Z46" s="7"/>
    </row>
    <row r="47" ht="12.75" customHeight="1">
      <c r="A47" s="4"/>
      <c r="B47" s="3" t="s">
        <v>192</v>
      </c>
      <c r="C47" s="3">
        <v>1.85</v>
      </c>
      <c r="D47" s="46">
        <f t="shared" si="1"/>
        <v>0.925</v>
      </c>
      <c r="E47" s="49"/>
      <c r="F47" s="4"/>
      <c r="G47" s="4"/>
      <c r="H47" s="24"/>
      <c r="I47" s="4"/>
      <c r="J47" s="4"/>
      <c r="K47" s="4"/>
      <c r="L47" s="4"/>
      <c r="M47" s="7"/>
      <c r="N47" s="7"/>
      <c r="O47" s="7"/>
      <c r="P47" s="7"/>
      <c r="Q47" s="7"/>
      <c r="R47" s="7"/>
      <c r="S47" s="7"/>
      <c r="T47" s="7"/>
      <c r="U47" s="7"/>
      <c r="V47" s="7"/>
      <c r="W47" s="7"/>
      <c r="X47" s="7"/>
      <c r="Y47" s="7"/>
      <c r="Z47" s="7"/>
    </row>
    <row r="48" ht="12.75" customHeight="1">
      <c r="A48" s="4"/>
      <c r="B48" s="3" t="s">
        <v>116</v>
      </c>
      <c r="C48" s="3">
        <v>2.54</v>
      </c>
      <c r="D48" s="46">
        <f t="shared" si="1"/>
        <v>1.27</v>
      </c>
      <c r="E48" s="49"/>
      <c r="F48" s="4"/>
      <c r="G48" s="4"/>
      <c r="H48" s="24"/>
      <c r="I48" s="4"/>
      <c r="J48" s="4"/>
      <c r="K48" s="4"/>
      <c r="L48" s="4"/>
      <c r="M48" s="7"/>
      <c r="N48" s="7"/>
      <c r="O48" s="7"/>
      <c r="P48" s="7"/>
      <c r="Q48" s="7"/>
      <c r="R48" s="7"/>
      <c r="S48" s="7"/>
      <c r="T48" s="7"/>
      <c r="U48" s="7"/>
      <c r="V48" s="7"/>
      <c r="W48" s="7"/>
      <c r="X48" s="7"/>
      <c r="Y48" s="7"/>
      <c r="Z48" s="7"/>
    </row>
    <row r="49" ht="12.75" customHeight="1">
      <c r="A49" s="4"/>
      <c r="B49" s="3" t="s">
        <v>191</v>
      </c>
      <c r="C49" s="3">
        <v>1.56</v>
      </c>
      <c r="D49" s="46">
        <f t="shared" si="1"/>
        <v>0.78</v>
      </c>
      <c r="E49" s="49"/>
      <c r="F49" s="4"/>
      <c r="G49" s="4"/>
      <c r="H49" s="24"/>
      <c r="I49" s="4"/>
      <c r="J49" s="4"/>
      <c r="K49" s="4"/>
      <c r="L49" s="4"/>
      <c r="M49" s="7"/>
      <c r="N49" s="7"/>
      <c r="O49" s="7"/>
      <c r="P49" s="7"/>
      <c r="Q49" s="7"/>
      <c r="R49" s="7"/>
      <c r="S49" s="7"/>
      <c r="T49" s="7"/>
      <c r="U49" s="7"/>
      <c r="V49" s="7"/>
      <c r="W49" s="7"/>
      <c r="X49" s="7"/>
      <c r="Y49" s="7"/>
      <c r="Z49" s="7"/>
    </row>
    <row r="50" ht="12.75" customHeight="1">
      <c r="A50" s="4"/>
      <c r="B50" s="3" t="s">
        <v>99</v>
      </c>
      <c r="C50" s="3">
        <v>1.25</v>
      </c>
      <c r="D50" s="46">
        <f t="shared" si="1"/>
        <v>0.625</v>
      </c>
      <c r="E50" s="49"/>
      <c r="F50" s="4"/>
      <c r="G50" s="4"/>
      <c r="H50" s="24"/>
      <c r="I50" s="4"/>
      <c r="J50" s="4"/>
      <c r="K50" s="4"/>
      <c r="L50" s="4"/>
      <c r="M50" s="7"/>
      <c r="N50" s="7"/>
      <c r="O50" s="7"/>
      <c r="P50" s="7"/>
      <c r="Q50" s="7"/>
      <c r="R50" s="7"/>
      <c r="S50" s="7"/>
      <c r="T50" s="7"/>
      <c r="U50" s="7"/>
      <c r="V50" s="7"/>
      <c r="W50" s="7"/>
      <c r="X50" s="7"/>
      <c r="Y50" s="7"/>
      <c r="Z50" s="7"/>
    </row>
    <row r="51" ht="12.75" customHeight="1">
      <c r="A51" s="4"/>
      <c r="B51" s="3" t="s">
        <v>110</v>
      </c>
      <c r="C51" s="3">
        <v>2.95</v>
      </c>
      <c r="D51" s="46">
        <f t="shared" si="1"/>
        <v>1.475</v>
      </c>
      <c r="E51" s="49"/>
      <c r="F51" s="4"/>
      <c r="G51" s="4"/>
      <c r="H51" s="24"/>
      <c r="I51" s="4"/>
      <c r="J51" s="4"/>
      <c r="K51" s="4"/>
      <c r="L51" s="4"/>
      <c r="M51" s="7"/>
      <c r="N51" s="7"/>
      <c r="O51" s="7"/>
      <c r="P51" s="7"/>
      <c r="Q51" s="7"/>
      <c r="R51" s="7"/>
      <c r="S51" s="7"/>
      <c r="T51" s="7"/>
      <c r="U51" s="7"/>
      <c r="V51" s="7"/>
      <c r="W51" s="7"/>
      <c r="X51" s="7"/>
      <c r="Y51" s="7"/>
      <c r="Z51" s="7"/>
    </row>
    <row r="52" ht="12.75" customHeight="1">
      <c r="A52" s="4"/>
      <c r="B52" s="3" t="s">
        <v>94</v>
      </c>
      <c r="C52" s="3">
        <v>1.44</v>
      </c>
      <c r="D52" s="46">
        <f t="shared" si="1"/>
        <v>0.72</v>
      </c>
      <c r="E52" s="49"/>
      <c r="F52" s="4"/>
      <c r="G52" s="4"/>
      <c r="H52" s="24"/>
      <c r="I52" s="4"/>
      <c r="J52" s="4"/>
      <c r="K52" s="4"/>
      <c r="L52" s="4"/>
      <c r="M52" s="7"/>
      <c r="N52" s="7"/>
      <c r="O52" s="7"/>
      <c r="P52" s="7"/>
      <c r="Q52" s="7"/>
      <c r="R52" s="7"/>
      <c r="S52" s="7"/>
      <c r="T52" s="7"/>
      <c r="U52" s="7"/>
      <c r="V52" s="7"/>
      <c r="W52" s="7"/>
      <c r="X52" s="7"/>
      <c r="Y52" s="7"/>
      <c r="Z52" s="7"/>
    </row>
    <row r="53" ht="12.75" customHeight="1">
      <c r="A53" s="4"/>
      <c r="B53" s="3" t="s">
        <v>53</v>
      </c>
      <c r="C53" s="3">
        <v>2.38</v>
      </c>
      <c r="D53" s="46">
        <f t="shared" si="1"/>
        <v>1.19</v>
      </c>
      <c r="E53" s="49"/>
      <c r="F53" s="4"/>
      <c r="G53" s="4"/>
      <c r="H53" s="24"/>
      <c r="I53" s="4"/>
      <c r="J53" s="4"/>
      <c r="K53" s="4"/>
      <c r="L53" s="4"/>
      <c r="M53" s="7"/>
      <c r="N53" s="7"/>
      <c r="O53" s="7"/>
      <c r="P53" s="7"/>
      <c r="Q53" s="7"/>
      <c r="R53" s="7"/>
      <c r="S53" s="7"/>
      <c r="T53" s="7"/>
      <c r="U53" s="7"/>
      <c r="V53" s="7"/>
      <c r="W53" s="7"/>
      <c r="X53" s="7"/>
      <c r="Y53" s="7"/>
      <c r="Z53" s="7"/>
    </row>
    <row r="54" ht="12.75" customHeight="1">
      <c r="A54" s="4"/>
      <c r="B54" s="3" t="s">
        <v>95</v>
      </c>
      <c r="C54" s="3">
        <v>2.85</v>
      </c>
      <c r="D54" s="46">
        <f t="shared" si="1"/>
        <v>1.425</v>
      </c>
      <c r="E54" s="49"/>
      <c r="F54" s="4"/>
      <c r="G54" s="4"/>
      <c r="H54" s="24"/>
      <c r="I54" s="4"/>
      <c r="J54" s="4"/>
      <c r="K54" s="4"/>
      <c r="L54" s="4"/>
      <c r="M54" s="7"/>
      <c r="N54" s="7"/>
      <c r="O54" s="7"/>
      <c r="P54" s="7"/>
      <c r="Q54" s="7"/>
      <c r="R54" s="7"/>
      <c r="S54" s="7"/>
      <c r="T54" s="7"/>
      <c r="U54" s="7"/>
      <c r="V54" s="7"/>
      <c r="W54" s="7"/>
      <c r="X54" s="7"/>
      <c r="Y54" s="7"/>
      <c r="Z54" s="7"/>
    </row>
    <row r="55" ht="12.75" customHeight="1">
      <c r="A55" s="4"/>
      <c r="B55" s="3" t="s">
        <v>150</v>
      </c>
      <c r="C55" s="3">
        <v>1.74</v>
      </c>
      <c r="D55" s="46">
        <f t="shared" si="1"/>
        <v>0.87</v>
      </c>
      <c r="E55" s="49"/>
      <c r="F55" s="4"/>
      <c r="G55" s="4"/>
      <c r="H55" s="24"/>
      <c r="I55" s="4"/>
      <c r="J55" s="4"/>
      <c r="K55" s="4"/>
      <c r="L55" s="4"/>
      <c r="M55" s="7"/>
      <c r="N55" s="7"/>
      <c r="O55" s="7"/>
      <c r="P55" s="7"/>
      <c r="Q55" s="7"/>
      <c r="R55" s="7"/>
      <c r="S55" s="7"/>
      <c r="T55" s="7"/>
      <c r="U55" s="7"/>
      <c r="V55" s="7"/>
      <c r="W55" s="7"/>
      <c r="X55" s="7"/>
      <c r="Y55" s="7"/>
      <c r="Z55" s="7"/>
    </row>
    <row r="56" ht="12.75" customHeight="1">
      <c r="A56" s="4"/>
      <c r="B56" s="3" t="s">
        <v>146</v>
      </c>
      <c r="C56" s="3">
        <v>2.09</v>
      </c>
      <c r="D56" s="46">
        <f t="shared" si="1"/>
        <v>1.045</v>
      </c>
      <c r="E56" s="49"/>
      <c r="F56" s="4"/>
      <c r="G56" s="4"/>
      <c r="H56" s="24"/>
      <c r="I56" s="4"/>
      <c r="J56" s="4"/>
      <c r="K56" s="4"/>
      <c r="L56" s="4"/>
      <c r="M56" s="7"/>
      <c r="N56" s="7"/>
      <c r="O56" s="7"/>
      <c r="P56" s="7"/>
      <c r="Q56" s="7"/>
      <c r="R56" s="7"/>
      <c r="S56" s="7"/>
      <c r="T56" s="7"/>
      <c r="U56" s="7"/>
      <c r="V56" s="7"/>
      <c r="W56" s="7"/>
      <c r="X56" s="7"/>
      <c r="Y56" s="7"/>
      <c r="Z56" s="7"/>
    </row>
    <row r="57" ht="12.75" customHeight="1">
      <c r="A57" s="4"/>
      <c r="B57" s="3" t="s">
        <v>60</v>
      </c>
      <c r="C57" s="3">
        <v>2.18</v>
      </c>
      <c r="D57" s="46">
        <f t="shared" si="1"/>
        <v>1.09</v>
      </c>
      <c r="E57" s="49"/>
      <c r="F57" s="4"/>
      <c r="G57" s="4"/>
      <c r="H57" s="24"/>
      <c r="I57" s="4"/>
      <c r="J57" s="4"/>
      <c r="K57" s="4"/>
      <c r="L57" s="4"/>
      <c r="M57" s="7"/>
      <c r="N57" s="7"/>
      <c r="O57" s="7"/>
      <c r="P57" s="7"/>
      <c r="Q57" s="7"/>
      <c r="R57" s="7"/>
      <c r="S57" s="7"/>
      <c r="T57" s="7"/>
      <c r="U57" s="7"/>
      <c r="V57" s="7"/>
      <c r="W57" s="7"/>
      <c r="X57" s="7"/>
      <c r="Y57" s="7"/>
      <c r="Z57" s="7"/>
    </row>
    <row r="58" ht="12.75" customHeight="1">
      <c r="A58" s="4"/>
      <c r="B58" s="3" t="s">
        <v>40</v>
      </c>
      <c r="C58" s="3">
        <v>2.5</v>
      </c>
      <c r="D58" s="46">
        <f t="shared" si="1"/>
        <v>1.25</v>
      </c>
      <c r="E58" s="49"/>
      <c r="F58" s="4"/>
      <c r="G58" s="4"/>
      <c r="H58" s="24"/>
      <c r="I58" s="4"/>
      <c r="J58" s="4"/>
      <c r="K58" s="4"/>
      <c r="L58" s="4"/>
      <c r="M58" s="7"/>
      <c r="N58" s="7"/>
      <c r="O58" s="7"/>
      <c r="P58" s="7"/>
      <c r="Q58" s="7"/>
      <c r="R58" s="7"/>
      <c r="S58" s="7"/>
      <c r="T58" s="7"/>
      <c r="U58" s="7"/>
      <c r="V58" s="7"/>
      <c r="W58" s="7"/>
      <c r="X58" s="7"/>
      <c r="Y58" s="7"/>
      <c r="Z58" s="7"/>
    </row>
    <row r="59" ht="12.75" customHeight="1">
      <c r="A59" s="4"/>
      <c r="B59" s="3" t="s">
        <v>179</v>
      </c>
      <c r="C59" s="3">
        <v>1.8</v>
      </c>
      <c r="D59" s="46">
        <f t="shared" si="1"/>
        <v>0.9</v>
      </c>
      <c r="E59" s="49"/>
      <c r="F59" s="4"/>
      <c r="G59" s="4"/>
      <c r="H59" s="24"/>
      <c r="I59" s="4"/>
      <c r="J59" s="4"/>
      <c r="K59" s="4"/>
      <c r="L59" s="4"/>
      <c r="M59" s="7"/>
      <c r="N59" s="7"/>
      <c r="O59" s="7"/>
      <c r="P59" s="7"/>
      <c r="Q59" s="7"/>
      <c r="R59" s="7"/>
      <c r="S59" s="7"/>
      <c r="T59" s="7"/>
      <c r="U59" s="7"/>
      <c r="V59" s="7"/>
      <c r="W59" s="7"/>
      <c r="X59" s="7"/>
      <c r="Y59" s="7"/>
      <c r="Z59" s="7"/>
    </row>
    <row r="60" ht="12.75" customHeight="1">
      <c r="A60" s="4"/>
      <c r="B60" s="3" t="s">
        <v>87</v>
      </c>
      <c r="C60" s="3">
        <v>2.28</v>
      </c>
      <c r="D60" s="46">
        <f t="shared" si="1"/>
        <v>1.14</v>
      </c>
      <c r="E60" s="49"/>
      <c r="F60" s="4"/>
      <c r="G60" s="4"/>
      <c r="H60" s="24"/>
      <c r="I60" s="4"/>
      <c r="J60" s="4"/>
      <c r="K60" s="4"/>
      <c r="L60" s="4"/>
      <c r="M60" s="7"/>
      <c r="N60" s="7"/>
      <c r="O60" s="7"/>
      <c r="P60" s="7"/>
      <c r="Q60" s="7"/>
      <c r="R60" s="7"/>
      <c r="S60" s="7"/>
      <c r="T60" s="7"/>
      <c r="U60" s="7"/>
      <c r="V60" s="7"/>
      <c r="W60" s="7"/>
      <c r="X60" s="7"/>
      <c r="Y60" s="7"/>
      <c r="Z60" s="7"/>
    </row>
    <row r="61" ht="12.75" customHeight="1">
      <c r="A61" s="4"/>
      <c r="B61" s="3" t="s">
        <v>145</v>
      </c>
      <c r="C61" s="3">
        <v>2.37</v>
      </c>
      <c r="D61" s="46">
        <f t="shared" si="1"/>
        <v>1.185</v>
      </c>
      <c r="E61" s="49"/>
      <c r="F61" s="4"/>
      <c r="G61" s="4"/>
      <c r="H61" s="24"/>
      <c r="I61" s="4"/>
      <c r="J61" s="4"/>
      <c r="K61" s="4"/>
      <c r="L61" s="4"/>
      <c r="M61" s="7"/>
      <c r="N61" s="7"/>
      <c r="O61" s="7"/>
      <c r="P61" s="7"/>
      <c r="Q61" s="7"/>
      <c r="R61" s="7"/>
      <c r="S61" s="7"/>
      <c r="T61" s="7"/>
      <c r="U61" s="7"/>
      <c r="V61" s="7"/>
      <c r="W61" s="7"/>
      <c r="X61" s="7"/>
      <c r="Y61" s="7"/>
      <c r="Z61" s="7"/>
    </row>
    <row r="62" ht="12.75" customHeight="1">
      <c r="A62" s="4"/>
      <c r="B62" s="3" t="s">
        <v>200</v>
      </c>
      <c r="C62" s="3">
        <v>3.0</v>
      </c>
      <c r="D62" s="46">
        <f t="shared" si="1"/>
        <v>1.5</v>
      </c>
      <c r="E62" s="49"/>
      <c r="F62" s="4"/>
      <c r="G62" s="4"/>
      <c r="H62" s="24"/>
      <c r="I62" s="4"/>
      <c r="J62" s="4"/>
      <c r="K62" s="4"/>
      <c r="L62" s="4"/>
      <c r="M62" s="7"/>
      <c r="N62" s="7"/>
      <c r="O62" s="7"/>
      <c r="P62" s="7"/>
      <c r="Q62" s="7"/>
      <c r="R62" s="7"/>
      <c r="S62" s="7"/>
      <c r="T62" s="7"/>
      <c r="U62" s="7"/>
      <c r="V62" s="7"/>
      <c r="W62" s="7"/>
      <c r="X62" s="7"/>
      <c r="Y62" s="7"/>
      <c r="Z62" s="7"/>
    </row>
    <row r="63" ht="12.75" customHeight="1">
      <c r="A63" s="4"/>
      <c r="B63" s="3" t="s">
        <v>91</v>
      </c>
      <c r="C63" s="3">
        <v>2.21</v>
      </c>
      <c r="D63" s="46">
        <f t="shared" si="1"/>
        <v>1.105</v>
      </c>
      <c r="E63" s="49"/>
      <c r="F63" s="4"/>
      <c r="G63" s="4"/>
      <c r="H63" s="24"/>
      <c r="I63" s="4"/>
      <c r="J63" s="4"/>
      <c r="K63" s="4"/>
      <c r="L63" s="4"/>
      <c r="M63" s="7"/>
      <c r="N63" s="7"/>
      <c r="O63" s="7"/>
      <c r="P63" s="7"/>
      <c r="Q63" s="7"/>
      <c r="R63" s="7"/>
      <c r="S63" s="7"/>
      <c r="T63" s="7"/>
      <c r="U63" s="7"/>
      <c r="V63" s="7"/>
      <c r="W63" s="7"/>
      <c r="X63" s="7"/>
      <c r="Y63" s="7"/>
      <c r="Z63" s="7"/>
    </row>
    <row r="64" ht="12.75" customHeight="1">
      <c r="A64" s="4"/>
      <c r="B64" s="3" t="s">
        <v>129</v>
      </c>
      <c r="C64" s="3">
        <v>2.57</v>
      </c>
      <c r="D64" s="46">
        <f t="shared" si="1"/>
        <v>1.285</v>
      </c>
      <c r="E64" s="49"/>
      <c r="F64" s="4"/>
      <c r="G64" s="4"/>
      <c r="H64" s="24"/>
      <c r="I64" s="4"/>
      <c r="J64" s="4"/>
      <c r="K64" s="4"/>
      <c r="L64" s="4"/>
      <c r="M64" s="7"/>
      <c r="N64" s="7"/>
      <c r="O64" s="7"/>
      <c r="P64" s="7"/>
      <c r="Q64" s="7"/>
      <c r="R64" s="7"/>
      <c r="S64" s="7"/>
      <c r="T64" s="7"/>
      <c r="U64" s="7"/>
      <c r="V64" s="7"/>
      <c r="W64" s="7"/>
      <c r="X64" s="7"/>
      <c r="Y64" s="7"/>
      <c r="Z64" s="7"/>
    </row>
    <row r="65" ht="12.75" customHeight="1">
      <c r="A65" s="4"/>
      <c r="B65" s="3" t="s">
        <v>81</v>
      </c>
      <c r="C65" s="3">
        <v>3.15</v>
      </c>
      <c r="D65" s="46">
        <f t="shared" si="1"/>
        <v>1.575</v>
      </c>
      <c r="E65" s="49"/>
      <c r="F65" s="4"/>
      <c r="G65" s="4"/>
      <c r="H65" s="24"/>
      <c r="I65" s="4"/>
      <c r="J65" s="4"/>
      <c r="K65" s="4"/>
      <c r="L65" s="4"/>
      <c r="M65" s="7"/>
      <c r="N65" s="7"/>
      <c r="O65" s="7"/>
      <c r="P65" s="7"/>
      <c r="Q65" s="7"/>
      <c r="R65" s="7"/>
      <c r="S65" s="7"/>
      <c r="T65" s="7"/>
      <c r="U65" s="7"/>
      <c r="V65" s="7"/>
      <c r="W65" s="7"/>
      <c r="X65" s="7"/>
      <c r="Y65" s="7"/>
      <c r="Z65" s="7"/>
    </row>
    <row r="66" ht="12.75" customHeight="1">
      <c r="A66" s="4"/>
      <c r="B66" s="3" t="s">
        <v>149</v>
      </c>
      <c r="C66" s="3">
        <v>2.14</v>
      </c>
      <c r="D66" s="46">
        <f t="shared" si="1"/>
        <v>1.07</v>
      </c>
      <c r="E66" s="49"/>
      <c r="F66" s="4"/>
      <c r="G66" s="4"/>
      <c r="H66" s="24"/>
      <c r="I66" s="4"/>
      <c r="J66" s="4"/>
      <c r="K66" s="4"/>
      <c r="L66" s="4"/>
      <c r="M66" s="7"/>
      <c r="N66" s="7"/>
      <c r="O66" s="7"/>
      <c r="P66" s="7"/>
      <c r="Q66" s="7"/>
      <c r="R66" s="7"/>
      <c r="S66" s="7"/>
      <c r="T66" s="7"/>
      <c r="U66" s="7"/>
      <c r="V66" s="7"/>
      <c r="W66" s="7"/>
      <c r="X66" s="7"/>
      <c r="Y66" s="7"/>
      <c r="Z66" s="7"/>
    </row>
    <row r="67" ht="12.75" customHeight="1">
      <c r="A67" s="4"/>
      <c r="B67" s="3" t="s">
        <v>130</v>
      </c>
      <c r="C67" s="3">
        <v>3.44</v>
      </c>
      <c r="D67" s="46">
        <f t="shared" si="1"/>
        <v>1.72</v>
      </c>
      <c r="E67" s="49"/>
      <c r="F67" s="4"/>
      <c r="G67" s="4"/>
      <c r="H67" s="24"/>
      <c r="I67" s="4"/>
      <c r="J67" s="4"/>
      <c r="K67" s="4"/>
      <c r="L67" s="4"/>
      <c r="M67" s="7"/>
      <c r="N67" s="7"/>
      <c r="O67" s="7"/>
      <c r="P67" s="7"/>
      <c r="Q67" s="7"/>
      <c r="R67" s="7"/>
      <c r="S67" s="7"/>
      <c r="T67" s="7"/>
      <c r="U67" s="7"/>
      <c r="V67" s="7"/>
      <c r="W67" s="7"/>
      <c r="X67" s="7"/>
      <c r="Y67" s="7"/>
      <c r="Z67" s="7"/>
    </row>
    <row r="68" ht="12.75" customHeight="1">
      <c r="A68" s="4"/>
      <c r="B68" s="3" t="s">
        <v>109</v>
      </c>
      <c r="C68" s="3">
        <v>2.88</v>
      </c>
      <c r="D68" s="46">
        <f t="shared" si="1"/>
        <v>1.44</v>
      </c>
      <c r="E68" s="49"/>
      <c r="F68" s="4"/>
      <c r="G68" s="4"/>
      <c r="H68" s="24"/>
      <c r="I68" s="4"/>
      <c r="J68" s="4"/>
      <c r="K68" s="4"/>
      <c r="L68" s="4"/>
      <c r="M68" s="7"/>
      <c r="N68" s="7"/>
      <c r="O68" s="7"/>
      <c r="P68" s="7"/>
      <c r="Q68" s="7"/>
      <c r="R68" s="7"/>
      <c r="S68" s="7"/>
      <c r="T68" s="7"/>
      <c r="U68" s="7"/>
      <c r="V68" s="7"/>
      <c r="W68" s="7"/>
      <c r="X68" s="7"/>
      <c r="Y68" s="7"/>
      <c r="Z68" s="7"/>
    </row>
    <row r="69" ht="12.75" customHeight="1">
      <c r="A69" s="4"/>
      <c r="B69" s="3" t="s">
        <v>153</v>
      </c>
      <c r="C69" s="3">
        <v>1.48</v>
      </c>
      <c r="D69" s="46">
        <f t="shared" si="1"/>
        <v>0.74</v>
      </c>
      <c r="E69" s="49"/>
      <c r="F69" s="4"/>
      <c r="G69" s="4"/>
      <c r="H69" s="24"/>
      <c r="I69" s="4"/>
      <c r="J69" s="4"/>
      <c r="K69" s="4"/>
      <c r="L69" s="4"/>
      <c r="M69" s="7"/>
      <c r="N69" s="7"/>
      <c r="O69" s="7"/>
      <c r="P69" s="7"/>
      <c r="Q69" s="7"/>
      <c r="R69" s="7"/>
      <c r="S69" s="7"/>
      <c r="T69" s="7"/>
      <c r="U69" s="7"/>
      <c r="V69" s="7"/>
      <c r="W69" s="7"/>
      <c r="X69" s="7"/>
      <c r="Y69" s="7"/>
      <c r="Z69" s="7"/>
    </row>
    <row r="70" ht="12.75" customHeight="1">
      <c r="A70" s="4"/>
      <c r="B70" s="3" t="s">
        <v>164</v>
      </c>
      <c r="C70" s="3">
        <v>2.36</v>
      </c>
      <c r="D70" s="46">
        <f t="shared" si="1"/>
        <v>1.18</v>
      </c>
      <c r="E70" s="49"/>
      <c r="F70" s="4"/>
      <c r="G70" s="4"/>
      <c r="H70" s="24"/>
      <c r="I70" s="4"/>
      <c r="J70" s="4"/>
      <c r="K70" s="4"/>
      <c r="L70" s="4"/>
      <c r="M70" s="7"/>
      <c r="N70" s="7"/>
      <c r="O70" s="7"/>
      <c r="P70" s="7"/>
      <c r="Q70" s="7"/>
      <c r="R70" s="7"/>
      <c r="S70" s="7"/>
      <c r="T70" s="7"/>
      <c r="U70" s="7"/>
      <c r="V70" s="7"/>
      <c r="W70" s="7"/>
      <c r="X70" s="7"/>
      <c r="Y70" s="7"/>
      <c r="Z70" s="7"/>
    </row>
    <row r="71" ht="12.75" customHeight="1">
      <c r="A71" s="4"/>
      <c r="B71" s="3" t="s">
        <v>185</v>
      </c>
      <c r="C71" s="3">
        <v>1.81</v>
      </c>
      <c r="D71" s="46">
        <f t="shared" si="1"/>
        <v>0.905</v>
      </c>
      <c r="E71" s="49"/>
      <c r="F71" s="4"/>
      <c r="G71" s="4"/>
      <c r="H71" s="24"/>
      <c r="I71" s="4"/>
      <c r="J71" s="4"/>
      <c r="K71" s="4"/>
      <c r="L71" s="4"/>
      <c r="M71" s="7"/>
      <c r="N71" s="7"/>
      <c r="O71" s="7"/>
      <c r="P71" s="7"/>
      <c r="Q71" s="7"/>
      <c r="R71" s="7"/>
      <c r="S71" s="7"/>
      <c r="T71" s="7"/>
      <c r="U71" s="7"/>
      <c r="V71" s="7"/>
      <c r="W71" s="7"/>
      <c r="X71" s="7"/>
      <c r="Y71" s="7"/>
      <c r="Z71" s="7"/>
    </row>
    <row r="72" ht="12.75" customHeight="1">
      <c r="A72" s="4"/>
      <c r="B72" s="3" t="s">
        <v>188</v>
      </c>
      <c r="C72" s="3">
        <v>1.58</v>
      </c>
      <c r="D72" s="46">
        <f t="shared" si="1"/>
        <v>0.79</v>
      </c>
      <c r="E72" s="49"/>
      <c r="F72" s="4"/>
      <c r="G72" s="4"/>
      <c r="H72" s="24"/>
      <c r="I72" s="4"/>
      <c r="J72" s="4"/>
      <c r="K72" s="4"/>
      <c r="L72" s="4"/>
      <c r="M72" s="7"/>
      <c r="N72" s="7"/>
      <c r="O72" s="7"/>
      <c r="P72" s="7"/>
      <c r="Q72" s="7"/>
      <c r="R72" s="7"/>
      <c r="S72" s="7"/>
      <c r="T72" s="7"/>
      <c r="U72" s="7"/>
      <c r="V72" s="7"/>
      <c r="W72" s="7"/>
      <c r="X72" s="7"/>
      <c r="Y72" s="7"/>
      <c r="Z72" s="7"/>
    </row>
    <row r="73" ht="12.75" customHeight="1">
      <c r="A73" s="4"/>
      <c r="B73" s="3" t="s">
        <v>38</v>
      </c>
      <c r="C73" s="3">
        <v>2.8</v>
      </c>
      <c r="D73" s="46">
        <f t="shared" si="1"/>
        <v>1.4</v>
      </c>
      <c r="E73" s="49"/>
      <c r="F73" s="4"/>
      <c r="G73" s="4"/>
      <c r="H73" s="24"/>
      <c r="I73" s="4"/>
      <c r="J73" s="4"/>
      <c r="K73" s="4"/>
      <c r="L73" s="4"/>
      <c r="M73" s="7"/>
      <c r="N73" s="7"/>
      <c r="O73" s="7"/>
      <c r="P73" s="7"/>
      <c r="Q73" s="7"/>
      <c r="R73" s="7"/>
      <c r="S73" s="7"/>
      <c r="T73" s="7"/>
      <c r="U73" s="7"/>
      <c r="V73" s="7"/>
      <c r="W73" s="7"/>
      <c r="X73" s="7"/>
      <c r="Y73" s="7"/>
      <c r="Z73" s="7"/>
    </row>
    <row r="74" ht="12.75" customHeight="1">
      <c r="A74" s="4"/>
      <c r="B74" s="3" t="s">
        <v>114</v>
      </c>
      <c r="C74" s="3">
        <v>2.77</v>
      </c>
      <c r="D74" s="46">
        <f t="shared" si="1"/>
        <v>1.385</v>
      </c>
      <c r="E74" s="49"/>
      <c r="F74" s="4"/>
      <c r="G74" s="4"/>
      <c r="H74" s="24"/>
      <c r="I74" s="4"/>
      <c r="J74" s="4"/>
      <c r="K74" s="4"/>
      <c r="L74" s="4"/>
      <c r="M74" s="7"/>
      <c r="N74" s="7"/>
      <c r="O74" s="7"/>
      <c r="P74" s="7"/>
      <c r="Q74" s="7"/>
      <c r="R74" s="7"/>
      <c r="S74" s="7"/>
      <c r="T74" s="7"/>
      <c r="U74" s="7"/>
      <c r="V74" s="7"/>
      <c r="W74" s="7"/>
      <c r="X74" s="7"/>
      <c r="Y74" s="7"/>
      <c r="Z74" s="7"/>
    </row>
    <row r="75" ht="12.75" customHeight="1">
      <c r="A75" s="4"/>
      <c r="B75" s="3" t="s">
        <v>143</v>
      </c>
      <c r="C75" s="3">
        <v>2.57</v>
      </c>
      <c r="D75" s="46">
        <f t="shared" si="1"/>
        <v>1.285</v>
      </c>
      <c r="E75" s="49"/>
      <c r="F75" s="4"/>
      <c r="G75" s="4"/>
      <c r="H75" s="24"/>
      <c r="I75" s="4"/>
      <c r="J75" s="4"/>
      <c r="K75" s="4"/>
      <c r="L75" s="4"/>
      <c r="M75" s="7"/>
      <c r="N75" s="7"/>
      <c r="O75" s="7"/>
      <c r="P75" s="7"/>
      <c r="Q75" s="7"/>
      <c r="R75" s="7"/>
      <c r="S75" s="7"/>
      <c r="T75" s="7"/>
      <c r="U75" s="7"/>
      <c r="V75" s="7"/>
      <c r="W75" s="7"/>
      <c r="X75" s="7"/>
      <c r="Y75" s="7"/>
      <c r="Z75" s="7"/>
    </row>
    <row r="76" ht="12.75" customHeight="1">
      <c r="A76" s="4"/>
      <c r="B76" s="3" t="s">
        <v>189</v>
      </c>
      <c r="C76" s="3">
        <v>2.21</v>
      </c>
      <c r="D76" s="46">
        <f t="shared" si="1"/>
        <v>1.105</v>
      </c>
      <c r="E76" s="49"/>
      <c r="F76" s="4"/>
      <c r="G76" s="4"/>
      <c r="H76" s="24"/>
      <c r="I76" s="4"/>
      <c r="J76" s="4"/>
      <c r="K76" s="4"/>
      <c r="L76" s="4"/>
      <c r="M76" s="7"/>
      <c r="N76" s="7"/>
      <c r="O76" s="7"/>
      <c r="P76" s="7"/>
      <c r="Q76" s="7"/>
      <c r="R76" s="7"/>
      <c r="S76" s="7"/>
      <c r="T76" s="7"/>
      <c r="U76" s="7"/>
      <c r="V76" s="7"/>
      <c r="W76" s="7"/>
      <c r="X76" s="7"/>
      <c r="Y76" s="7"/>
      <c r="Z76" s="7"/>
    </row>
    <row r="77" ht="12.75" customHeight="1">
      <c r="A77" s="4"/>
      <c r="B77" s="3" t="s">
        <v>28</v>
      </c>
      <c r="C77" s="3">
        <v>2.33</v>
      </c>
      <c r="D77" s="46">
        <f t="shared" si="1"/>
        <v>1.165</v>
      </c>
      <c r="E77" s="49"/>
      <c r="F77" s="4"/>
      <c r="G77" s="4"/>
      <c r="H77" s="24"/>
      <c r="I77" s="4"/>
      <c r="J77" s="4"/>
      <c r="K77" s="4"/>
      <c r="L77" s="4"/>
      <c r="M77" s="7"/>
      <c r="N77" s="7"/>
      <c r="O77" s="7"/>
      <c r="P77" s="7"/>
      <c r="Q77" s="7"/>
      <c r="R77" s="7"/>
      <c r="S77" s="7"/>
      <c r="T77" s="7"/>
      <c r="U77" s="7"/>
      <c r="V77" s="7"/>
      <c r="W77" s="7"/>
      <c r="X77" s="7"/>
      <c r="Y77" s="7"/>
      <c r="Z77" s="7"/>
    </row>
    <row r="78" ht="12.75" customHeight="1">
      <c r="A78" s="4"/>
      <c r="B78" s="3" t="s">
        <v>142</v>
      </c>
      <c r="C78" s="3">
        <v>3.19</v>
      </c>
      <c r="D78" s="46">
        <f t="shared" si="1"/>
        <v>1.595</v>
      </c>
      <c r="E78" s="49"/>
      <c r="F78" s="4"/>
      <c r="G78" s="4"/>
      <c r="H78" s="24"/>
      <c r="I78" s="4"/>
      <c r="J78" s="4"/>
      <c r="K78" s="4"/>
      <c r="L78" s="4"/>
      <c r="M78" s="7"/>
      <c r="N78" s="7"/>
      <c r="O78" s="7"/>
      <c r="P78" s="7"/>
      <c r="Q78" s="7"/>
      <c r="R78" s="7"/>
      <c r="S78" s="7"/>
      <c r="T78" s="7"/>
      <c r="U78" s="7"/>
      <c r="V78" s="7"/>
      <c r="W78" s="7"/>
      <c r="X78" s="7"/>
      <c r="Y78" s="7"/>
      <c r="Z78" s="7"/>
    </row>
    <row r="79" ht="12.75" customHeight="1">
      <c r="A79" s="4"/>
      <c r="B79" s="3" t="s">
        <v>26</v>
      </c>
      <c r="C79" s="3">
        <v>2.17</v>
      </c>
      <c r="D79" s="46">
        <f t="shared" si="1"/>
        <v>1.085</v>
      </c>
      <c r="E79" s="49"/>
      <c r="F79" s="4"/>
      <c r="G79" s="4"/>
      <c r="H79" s="24"/>
      <c r="I79" s="4"/>
      <c r="J79" s="4"/>
      <c r="K79" s="4"/>
      <c r="L79" s="4"/>
      <c r="M79" s="7"/>
      <c r="N79" s="7"/>
      <c r="O79" s="7"/>
      <c r="P79" s="7"/>
      <c r="Q79" s="7"/>
      <c r="R79" s="7"/>
      <c r="S79" s="7"/>
      <c r="T79" s="7"/>
      <c r="U79" s="7"/>
      <c r="V79" s="7"/>
      <c r="W79" s="7"/>
      <c r="X79" s="7"/>
      <c r="Y79" s="7"/>
      <c r="Z79" s="7"/>
    </row>
    <row r="80" ht="12.75" customHeight="1">
      <c r="A80" s="4"/>
      <c r="B80" s="3" t="s">
        <v>51</v>
      </c>
      <c r="C80" s="3">
        <v>3.82</v>
      </c>
      <c r="D80" s="46">
        <f t="shared" si="1"/>
        <v>1.91</v>
      </c>
      <c r="E80" s="49"/>
      <c r="F80" s="4"/>
      <c r="G80" s="4"/>
      <c r="H80" s="24"/>
      <c r="I80" s="4"/>
      <c r="J80" s="4"/>
      <c r="K80" s="4"/>
      <c r="L80" s="4"/>
      <c r="M80" s="7"/>
      <c r="N80" s="7"/>
      <c r="O80" s="7"/>
      <c r="P80" s="7"/>
      <c r="Q80" s="7"/>
      <c r="R80" s="7"/>
      <c r="S80" s="7"/>
      <c r="T80" s="7"/>
      <c r="U80" s="7"/>
      <c r="V80" s="7"/>
      <c r="W80" s="7"/>
      <c r="X80" s="7"/>
      <c r="Y80" s="7"/>
      <c r="Z80" s="7"/>
    </row>
    <row r="81" ht="12.75" customHeight="1">
      <c r="A81" s="4"/>
      <c r="B81" s="3" t="s">
        <v>55</v>
      </c>
      <c r="C81" s="3">
        <v>3.12</v>
      </c>
      <c r="D81" s="46">
        <f t="shared" si="1"/>
        <v>1.56</v>
      </c>
      <c r="E81" s="49"/>
      <c r="F81" s="4"/>
      <c r="G81" s="4"/>
      <c r="H81" s="24"/>
      <c r="I81" s="4"/>
      <c r="J81" s="4"/>
      <c r="K81" s="4"/>
      <c r="L81" s="4"/>
      <c r="M81" s="7"/>
      <c r="N81" s="7"/>
      <c r="O81" s="7"/>
      <c r="P81" s="7"/>
      <c r="Q81" s="7"/>
      <c r="R81" s="7"/>
      <c r="S81" s="7"/>
      <c r="T81" s="7"/>
      <c r="U81" s="7"/>
      <c r="V81" s="7"/>
      <c r="W81" s="7"/>
      <c r="X81" s="7"/>
      <c r="Y81" s="7"/>
      <c r="Z81" s="7"/>
    </row>
    <row r="82" ht="12.75" customHeight="1">
      <c r="A82" s="4"/>
      <c r="B82" s="3" t="s">
        <v>154</v>
      </c>
      <c r="C82" s="3">
        <v>1.84</v>
      </c>
      <c r="D82" s="46">
        <f t="shared" si="1"/>
        <v>0.92</v>
      </c>
      <c r="E82" s="49"/>
      <c r="F82" s="4"/>
      <c r="G82" s="4"/>
      <c r="H82" s="24"/>
      <c r="I82" s="4"/>
      <c r="J82" s="4"/>
      <c r="K82" s="4"/>
      <c r="L82" s="4"/>
      <c r="M82" s="7"/>
      <c r="N82" s="7"/>
      <c r="O82" s="7"/>
      <c r="P82" s="7"/>
      <c r="Q82" s="7"/>
      <c r="R82" s="7"/>
      <c r="S82" s="7"/>
      <c r="T82" s="7"/>
      <c r="U82" s="7"/>
      <c r="V82" s="7"/>
      <c r="W82" s="7"/>
      <c r="X82" s="7"/>
      <c r="Y82" s="7"/>
      <c r="Z82" s="7"/>
    </row>
    <row r="83" ht="12.75" customHeight="1">
      <c r="A83" s="4"/>
      <c r="B83" s="3" t="s">
        <v>62</v>
      </c>
      <c r="C83" s="3">
        <v>2.36</v>
      </c>
      <c r="D83" s="46">
        <f t="shared" si="1"/>
        <v>1.18</v>
      </c>
      <c r="E83" s="49"/>
      <c r="F83" s="4"/>
      <c r="G83" s="4"/>
      <c r="H83" s="24"/>
      <c r="I83" s="4"/>
      <c r="J83" s="4"/>
      <c r="K83" s="4"/>
      <c r="L83" s="4"/>
      <c r="M83" s="7"/>
      <c r="N83" s="7"/>
      <c r="O83" s="7"/>
      <c r="P83" s="7"/>
      <c r="Q83" s="7"/>
      <c r="R83" s="7"/>
      <c r="S83" s="7"/>
      <c r="T83" s="7"/>
      <c r="U83" s="7"/>
      <c r="V83" s="7"/>
      <c r="W83" s="7"/>
      <c r="X83" s="7"/>
      <c r="Y83" s="7"/>
      <c r="Z83" s="7"/>
    </row>
    <row r="84" ht="12.75" customHeight="1">
      <c r="A84" s="4"/>
      <c r="B84" s="3" t="s">
        <v>160</v>
      </c>
      <c r="C84" s="3">
        <v>1.99</v>
      </c>
      <c r="D84" s="46">
        <f t="shared" si="1"/>
        <v>0.995</v>
      </c>
      <c r="E84" s="49"/>
      <c r="F84" s="4"/>
      <c r="G84" s="4"/>
      <c r="H84" s="24"/>
      <c r="I84" s="4"/>
      <c r="J84" s="4"/>
      <c r="K84" s="4"/>
      <c r="L84" s="4"/>
      <c r="M84" s="7"/>
      <c r="N84" s="7"/>
      <c r="O84" s="7"/>
      <c r="P84" s="7"/>
      <c r="Q84" s="7"/>
      <c r="R84" s="7"/>
      <c r="S84" s="7"/>
      <c r="T84" s="7"/>
      <c r="U84" s="7"/>
      <c r="V84" s="7"/>
      <c r="W84" s="7"/>
      <c r="X84" s="7"/>
      <c r="Y84" s="7"/>
      <c r="Z84" s="7"/>
    </row>
    <row r="85" ht="12.75" customHeight="1">
      <c r="A85" s="4"/>
      <c r="B85" s="3" t="s">
        <v>57</v>
      </c>
      <c r="C85" s="3">
        <v>2.88</v>
      </c>
      <c r="D85" s="46">
        <f t="shared" si="1"/>
        <v>1.44</v>
      </c>
      <c r="E85" s="49"/>
      <c r="F85" s="4"/>
      <c r="G85" s="4"/>
      <c r="H85" s="24"/>
      <c r="I85" s="4"/>
      <c r="J85" s="4"/>
      <c r="K85" s="4"/>
      <c r="L85" s="4"/>
      <c r="M85" s="7"/>
      <c r="N85" s="7"/>
      <c r="O85" s="7"/>
      <c r="P85" s="7"/>
      <c r="Q85" s="7"/>
      <c r="R85" s="7"/>
      <c r="S85" s="7"/>
      <c r="T85" s="7"/>
      <c r="U85" s="7"/>
      <c r="V85" s="7"/>
      <c r="W85" s="7"/>
      <c r="X85" s="7"/>
      <c r="Y85" s="7"/>
      <c r="Z85" s="7"/>
    </row>
    <row r="86" ht="12.75" customHeight="1">
      <c r="A86" s="4"/>
      <c r="B86" s="3" t="s">
        <v>89</v>
      </c>
      <c r="C86" s="3">
        <v>1.74</v>
      </c>
      <c r="D86" s="46">
        <f t="shared" si="1"/>
        <v>0.87</v>
      </c>
      <c r="E86" s="49"/>
      <c r="F86" s="4"/>
      <c r="G86" s="4"/>
      <c r="H86" s="24"/>
      <c r="I86" s="4"/>
      <c r="J86" s="4"/>
      <c r="K86" s="4"/>
      <c r="L86" s="4"/>
      <c r="M86" s="7"/>
      <c r="N86" s="7"/>
      <c r="O86" s="7"/>
      <c r="P86" s="7"/>
      <c r="Q86" s="7"/>
      <c r="R86" s="7"/>
      <c r="S86" s="7"/>
      <c r="T86" s="7"/>
      <c r="U86" s="7"/>
      <c r="V86" s="7"/>
      <c r="W86" s="7"/>
      <c r="X86" s="7"/>
      <c r="Y86" s="7"/>
      <c r="Z86" s="7"/>
    </row>
    <row r="87" ht="12.75" customHeight="1">
      <c r="A87" s="4"/>
      <c r="B87" s="3" t="s">
        <v>152</v>
      </c>
      <c r="C87" s="3">
        <v>1.47</v>
      </c>
      <c r="D87" s="46">
        <f t="shared" si="1"/>
        <v>0.735</v>
      </c>
      <c r="E87" s="49"/>
      <c r="F87" s="4"/>
      <c r="G87" s="4"/>
      <c r="H87" s="24"/>
      <c r="I87" s="4"/>
      <c r="J87" s="4"/>
      <c r="K87" s="4"/>
      <c r="L87" s="4"/>
      <c r="M87" s="7"/>
      <c r="N87" s="7"/>
      <c r="O87" s="7"/>
      <c r="P87" s="7"/>
      <c r="Q87" s="7"/>
      <c r="R87" s="7"/>
      <c r="S87" s="7"/>
      <c r="T87" s="7"/>
      <c r="U87" s="7"/>
      <c r="V87" s="7"/>
      <c r="W87" s="7"/>
      <c r="X87" s="7"/>
      <c r="Y87" s="7"/>
      <c r="Z87" s="7"/>
    </row>
    <row r="88" ht="12.75" customHeight="1">
      <c r="A88" s="4"/>
      <c r="B88" s="3" t="s">
        <v>172</v>
      </c>
      <c r="C88" s="3">
        <v>3.0</v>
      </c>
      <c r="D88" s="46">
        <f t="shared" si="1"/>
        <v>1.5</v>
      </c>
      <c r="E88" s="49"/>
      <c r="F88" s="4"/>
      <c r="G88" s="4"/>
      <c r="H88" s="24"/>
      <c r="I88" s="4"/>
      <c r="J88" s="4"/>
      <c r="K88" s="4"/>
      <c r="L88" s="4"/>
      <c r="M88" s="7"/>
      <c r="N88" s="7"/>
      <c r="O88" s="7"/>
      <c r="P88" s="7"/>
      <c r="Q88" s="7"/>
      <c r="R88" s="7"/>
      <c r="S88" s="7"/>
      <c r="T88" s="7"/>
      <c r="U88" s="7"/>
      <c r="V88" s="7"/>
      <c r="W88" s="7"/>
      <c r="X88" s="7"/>
      <c r="Y88" s="7"/>
      <c r="Z88" s="7"/>
    </row>
    <row r="89" ht="12.75" customHeight="1">
      <c r="A89" s="4"/>
      <c r="B89" s="3" t="s">
        <v>166</v>
      </c>
      <c r="C89" s="3">
        <v>1.62</v>
      </c>
      <c r="D89" s="46">
        <f t="shared" si="1"/>
        <v>0.81</v>
      </c>
      <c r="E89" s="49"/>
      <c r="F89" s="4"/>
      <c r="G89" s="4"/>
      <c r="H89" s="24"/>
      <c r="I89" s="4"/>
      <c r="J89" s="4"/>
      <c r="K89" s="4"/>
      <c r="L89" s="4"/>
      <c r="M89" s="7"/>
      <c r="N89" s="7"/>
      <c r="O89" s="7"/>
      <c r="P89" s="7"/>
      <c r="Q89" s="7"/>
      <c r="R89" s="7"/>
      <c r="S89" s="7"/>
      <c r="T89" s="7"/>
      <c r="U89" s="7"/>
      <c r="V89" s="7"/>
      <c r="W89" s="7"/>
      <c r="X89" s="7"/>
      <c r="Y89" s="7"/>
      <c r="Z89" s="7"/>
    </row>
    <row r="90" ht="12.75" customHeight="1">
      <c r="A90" s="4"/>
      <c r="B90" s="3" t="s">
        <v>173</v>
      </c>
      <c r="C90" s="3">
        <v>2.56</v>
      </c>
      <c r="D90" s="46">
        <f t="shared" si="1"/>
        <v>1.28</v>
      </c>
      <c r="E90" s="49"/>
      <c r="F90" s="4"/>
      <c r="G90" s="4"/>
      <c r="H90" s="24"/>
      <c r="I90" s="4"/>
      <c r="J90" s="4"/>
      <c r="K90" s="4"/>
      <c r="L90" s="4"/>
      <c r="M90" s="7"/>
      <c r="N90" s="7"/>
      <c r="O90" s="7"/>
      <c r="P90" s="7"/>
      <c r="Q90" s="7"/>
      <c r="R90" s="7"/>
      <c r="S90" s="7"/>
      <c r="T90" s="7"/>
      <c r="U90" s="7"/>
      <c r="V90" s="7"/>
      <c r="W90" s="7"/>
      <c r="X90" s="7"/>
      <c r="Y90" s="7"/>
      <c r="Z90" s="7"/>
    </row>
    <row r="91" ht="12.75" customHeight="1">
      <c r="A91" s="4"/>
      <c r="B91" s="3" t="s">
        <v>182</v>
      </c>
      <c r="C91" s="3">
        <v>2.68</v>
      </c>
      <c r="D91" s="46">
        <f t="shared" si="1"/>
        <v>1.34</v>
      </c>
      <c r="E91" s="49"/>
      <c r="F91" s="4"/>
      <c r="G91" s="4"/>
      <c r="H91" s="24"/>
      <c r="I91" s="4"/>
      <c r="J91" s="4"/>
      <c r="K91" s="4"/>
      <c r="L91" s="4"/>
      <c r="M91" s="7"/>
      <c r="N91" s="7"/>
      <c r="O91" s="7"/>
      <c r="P91" s="7"/>
      <c r="Q91" s="7"/>
      <c r="R91" s="7"/>
      <c r="S91" s="7"/>
      <c r="T91" s="7"/>
      <c r="U91" s="7"/>
      <c r="V91" s="7"/>
      <c r="W91" s="7"/>
      <c r="X91" s="7"/>
      <c r="Y91" s="7"/>
      <c r="Z91" s="7"/>
    </row>
    <row r="92" ht="12.75" customHeight="1">
      <c r="A92" s="4"/>
      <c r="B92" s="3" t="s">
        <v>102</v>
      </c>
      <c r="C92" s="3">
        <v>0.7</v>
      </c>
      <c r="D92" s="46">
        <f t="shared" si="1"/>
        <v>0.35</v>
      </c>
      <c r="E92" s="49"/>
      <c r="F92" s="4"/>
      <c r="G92" s="4"/>
      <c r="H92" s="24"/>
      <c r="I92" s="4"/>
      <c r="J92" s="4"/>
      <c r="K92" s="4"/>
      <c r="L92" s="4"/>
      <c r="M92" s="7"/>
      <c r="N92" s="7"/>
      <c r="O92" s="7"/>
      <c r="P92" s="7"/>
      <c r="Q92" s="7"/>
      <c r="R92" s="7"/>
      <c r="S92" s="7"/>
      <c r="T92" s="7"/>
      <c r="U92" s="7"/>
      <c r="V92" s="7"/>
      <c r="W92" s="7"/>
      <c r="X92" s="7"/>
      <c r="Y92" s="7"/>
      <c r="Z92" s="7"/>
    </row>
    <row r="93" ht="12.75" customHeight="1">
      <c r="A93" s="4"/>
      <c r="B93" s="3" t="s">
        <v>161</v>
      </c>
      <c r="C93" s="3">
        <v>2.58</v>
      </c>
      <c r="D93" s="46">
        <f t="shared" si="1"/>
        <v>1.29</v>
      </c>
      <c r="E93" s="49"/>
      <c r="F93" s="4"/>
      <c r="G93" s="4"/>
      <c r="H93" s="24"/>
      <c r="I93" s="4"/>
      <c r="J93" s="4"/>
      <c r="K93" s="4"/>
      <c r="L93" s="4"/>
      <c r="M93" s="7"/>
      <c r="N93" s="7"/>
      <c r="O93" s="7"/>
      <c r="P93" s="7"/>
      <c r="Q93" s="7"/>
      <c r="R93" s="7"/>
      <c r="S93" s="7"/>
      <c r="T93" s="7"/>
      <c r="U93" s="7"/>
      <c r="V93" s="7"/>
      <c r="W93" s="7"/>
      <c r="X93" s="7"/>
      <c r="Y93" s="7"/>
      <c r="Z93" s="7"/>
    </row>
    <row r="94" ht="12.75" customHeight="1">
      <c r="A94" s="4"/>
      <c r="B94" s="3" t="s">
        <v>123</v>
      </c>
      <c r="C94" s="3">
        <v>2.35</v>
      </c>
      <c r="D94" s="46">
        <f t="shared" si="1"/>
        <v>1.175</v>
      </c>
      <c r="E94" s="49"/>
      <c r="F94" s="4"/>
      <c r="G94" s="4"/>
      <c r="H94" s="24"/>
      <c r="I94" s="4"/>
      <c r="J94" s="4"/>
      <c r="K94" s="4"/>
      <c r="L94" s="4"/>
      <c r="M94" s="7"/>
      <c r="N94" s="7"/>
      <c r="O94" s="7"/>
      <c r="P94" s="7"/>
      <c r="Q94" s="7"/>
      <c r="R94" s="7"/>
      <c r="S94" s="7"/>
      <c r="T94" s="7"/>
      <c r="U94" s="7"/>
      <c r="V94" s="7"/>
      <c r="W94" s="7"/>
      <c r="X94" s="7"/>
      <c r="Y94" s="7"/>
      <c r="Z94" s="7"/>
    </row>
    <row r="95" ht="12.75" customHeight="1">
      <c r="A95" s="4"/>
      <c r="B95" s="3" t="s">
        <v>90</v>
      </c>
      <c r="C95" s="3">
        <v>2.73</v>
      </c>
      <c r="D95" s="46">
        <f t="shared" si="1"/>
        <v>1.365</v>
      </c>
      <c r="E95" s="49"/>
      <c r="F95" s="4"/>
      <c r="G95" s="4"/>
      <c r="H95" s="24"/>
      <c r="I95" s="4"/>
      <c r="J95" s="4"/>
      <c r="K95" s="4"/>
      <c r="L95" s="4"/>
      <c r="M95" s="7"/>
      <c r="N95" s="7"/>
      <c r="O95" s="7"/>
      <c r="P95" s="7"/>
      <c r="Q95" s="7"/>
      <c r="R95" s="7"/>
      <c r="S95" s="7"/>
      <c r="T95" s="7"/>
      <c r="U95" s="7"/>
      <c r="V95" s="7"/>
      <c r="W95" s="7"/>
      <c r="X95" s="7"/>
      <c r="Y95" s="7"/>
      <c r="Z95" s="7"/>
    </row>
    <row r="96" ht="12.75" customHeight="1">
      <c r="A96" s="4"/>
      <c r="B96" s="3" t="s">
        <v>86</v>
      </c>
      <c r="C96" s="3">
        <v>2.47</v>
      </c>
      <c r="D96" s="46">
        <f t="shared" si="1"/>
        <v>1.235</v>
      </c>
      <c r="E96" s="49"/>
      <c r="F96" s="4"/>
      <c r="G96" s="4"/>
      <c r="H96" s="24"/>
      <c r="I96" s="4"/>
      <c r="J96" s="4"/>
      <c r="K96" s="4"/>
      <c r="L96" s="4"/>
      <c r="M96" s="7"/>
      <c r="N96" s="7"/>
      <c r="O96" s="7"/>
      <c r="P96" s="7"/>
      <c r="Q96" s="7"/>
      <c r="R96" s="7"/>
      <c r="S96" s="7"/>
      <c r="T96" s="7"/>
      <c r="U96" s="7"/>
      <c r="V96" s="7"/>
      <c r="W96" s="7"/>
      <c r="X96" s="7"/>
      <c r="Y96" s="7"/>
      <c r="Z96" s="7"/>
    </row>
    <row r="97" ht="12.75" customHeight="1">
      <c r="A97" s="4"/>
      <c r="B97" s="3" t="s">
        <v>170</v>
      </c>
      <c r="C97" s="3">
        <v>2.39</v>
      </c>
      <c r="D97" s="46">
        <f t="shared" si="1"/>
        <v>1.195</v>
      </c>
      <c r="E97" s="49"/>
      <c r="F97" s="4"/>
      <c r="G97" s="4"/>
      <c r="H97" s="24"/>
      <c r="I97" s="4"/>
      <c r="J97" s="4"/>
      <c r="K97" s="4"/>
      <c r="L97" s="4"/>
      <c r="M97" s="7"/>
      <c r="N97" s="7"/>
      <c r="O97" s="7"/>
      <c r="P97" s="7"/>
      <c r="Q97" s="7"/>
      <c r="R97" s="7"/>
      <c r="S97" s="7"/>
      <c r="T97" s="7"/>
      <c r="U97" s="7"/>
      <c r="V97" s="7"/>
      <c r="W97" s="7"/>
      <c r="X97" s="7"/>
      <c r="Y97" s="7"/>
      <c r="Z97" s="7"/>
    </row>
    <row r="98" ht="12.75" customHeight="1">
      <c r="A98" s="4"/>
      <c r="B98" s="3" t="s">
        <v>190</v>
      </c>
      <c r="C98" s="3">
        <v>3.66</v>
      </c>
      <c r="D98" s="46">
        <f t="shared" si="1"/>
        <v>1.83</v>
      </c>
      <c r="E98" s="49"/>
      <c r="F98" s="4"/>
      <c r="G98" s="4"/>
      <c r="H98" s="24"/>
      <c r="I98" s="4"/>
      <c r="J98" s="4"/>
      <c r="K98" s="4"/>
      <c r="L98" s="4"/>
      <c r="M98" s="7"/>
      <c r="N98" s="7"/>
      <c r="O98" s="7"/>
      <c r="P98" s="7"/>
      <c r="Q98" s="7"/>
      <c r="R98" s="7"/>
      <c r="S98" s="7"/>
      <c r="T98" s="7"/>
      <c r="U98" s="7"/>
      <c r="V98" s="7"/>
      <c r="W98" s="7"/>
      <c r="X98" s="7"/>
      <c r="Y98" s="7"/>
      <c r="Z98" s="7"/>
    </row>
    <row r="99" ht="12.75" customHeight="1">
      <c r="A99" s="4"/>
      <c r="B99" s="3" t="s">
        <v>128</v>
      </c>
      <c r="C99" s="3">
        <v>2.22</v>
      </c>
      <c r="D99" s="46">
        <f t="shared" si="1"/>
        <v>1.11</v>
      </c>
      <c r="E99" s="49"/>
      <c r="F99" s="4"/>
      <c r="G99" s="4"/>
      <c r="H99" s="24"/>
      <c r="I99" s="4"/>
      <c r="J99" s="4"/>
      <c r="K99" s="4"/>
      <c r="L99" s="4"/>
      <c r="M99" s="7"/>
      <c r="N99" s="7"/>
      <c r="O99" s="7"/>
      <c r="P99" s="7"/>
      <c r="Q99" s="7"/>
      <c r="R99" s="7"/>
      <c r="S99" s="7"/>
      <c r="T99" s="7"/>
      <c r="U99" s="7"/>
      <c r="V99" s="7"/>
      <c r="W99" s="7"/>
      <c r="X99" s="7"/>
      <c r="Y99" s="7"/>
      <c r="Z99" s="7"/>
    </row>
    <row r="100" ht="12.75" customHeight="1">
      <c r="A100" s="4"/>
      <c r="B100" s="3" t="s">
        <v>178</v>
      </c>
      <c r="C100" s="3">
        <v>3.61</v>
      </c>
      <c r="D100" s="46">
        <f t="shared" si="1"/>
        <v>1.805</v>
      </c>
      <c r="E100" s="49"/>
      <c r="F100" s="4"/>
      <c r="G100" s="4"/>
      <c r="H100" s="24"/>
      <c r="I100" s="4"/>
      <c r="J100" s="4"/>
      <c r="K100" s="4"/>
      <c r="L100" s="4"/>
      <c r="M100" s="7"/>
      <c r="N100" s="7"/>
      <c r="O100" s="7"/>
      <c r="P100" s="7"/>
      <c r="Q100" s="7"/>
      <c r="R100" s="7"/>
      <c r="S100" s="7"/>
      <c r="T100" s="7"/>
      <c r="U100" s="7"/>
      <c r="V100" s="7"/>
      <c r="W100" s="7"/>
      <c r="X100" s="7"/>
      <c r="Y100" s="7"/>
      <c r="Z100" s="7"/>
    </row>
    <row r="101" ht="12.75" customHeight="1">
      <c r="A101" s="4"/>
      <c r="B101" s="3" t="s">
        <v>65</v>
      </c>
      <c r="C101" s="3">
        <v>1.32</v>
      </c>
      <c r="D101" s="46">
        <f t="shared" si="1"/>
        <v>0.66</v>
      </c>
      <c r="E101" s="49"/>
      <c r="F101" s="4"/>
      <c r="G101" s="4"/>
      <c r="H101" s="24"/>
      <c r="I101" s="4"/>
      <c r="J101" s="4"/>
      <c r="K101" s="4"/>
      <c r="L101" s="4"/>
      <c r="M101" s="7"/>
      <c r="N101" s="7"/>
      <c r="O101" s="7"/>
      <c r="P101" s="7"/>
      <c r="Q101" s="7"/>
      <c r="R101" s="7"/>
      <c r="S101" s="7"/>
      <c r="T101" s="7"/>
      <c r="U101" s="7"/>
      <c r="V101" s="7"/>
      <c r="W101" s="7"/>
      <c r="X101" s="7"/>
      <c r="Y101" s="7"/>
      <c r="Z101" s="7"/>
    </row>
    <row r="102" ht="12.75" customHeight="1">
      <c r="A102" s="4"/>
      <c r="B102" s="3" t="s">
        <v>46</v>
      </c>
      <c r="C102" s="3">
        <v>2.23</v>
      </c>
      <c r="D102" s="46">
        <f t="shared" si="1"/>
        <v>1.115</v>
      </c>
      <c r="E102" s="49"/>
      <c r="F102" s="4"/>
      <c r="G102" s="4"/>
      <c r="H102" s="24"/>
      <c r="I102" s="4"/>
      <c r="J102" s="4"/>
      <c r="K102" s="4"/>
      <c r="L102" s="4"/>
      <c r="M102" s="7"/>
      <c r="N102" s="7"/>
      <c r="O102" s="7"/>
      <c r="P102" s="7"/>
      <c r="Q102" s="7"/>
      <c r="R102" s="7"/>
      <c r="S102" s="7"/>
      <c r="T102" s="7"/>
      <c r="U102" s="7"/>
      <c r="V102" s="7"/>
      <c r="W102" s="7"/>
      <c r="X102" s="7"/>
      <c r="Y102" s="7"/>
      <c r="Z102" s="7"/>
    </row>
    <row r="103" ht="12.75" customHeight="1">
      <c r="A103" s="4"/>
      <c r="B103" s="3" t="s">
        <v>79</v>
      </c>
      <c r="C103" s="3">
        <v>1.81</v>
      </c>
      <c r="D103" s="46">
        <f t="shared" si="1"/>
        <v>0.905</v>
      </c>
      <c r="E103" s="49"/>
      <c r="F103" s="4"/>
      <c r="G103" s="4"/>
      <c r="H103" s="24"/>
      <c r="I103" s="4"/>
      <c r="J103" s="4"/>
      <c r="K103" s="4"/>
      <c r="L103" s="4"/>
      <c r="M103" s="7"/>
      <c r="N103" s="7"/>
      <c r="O103" s="7"/>
      <c r="P103" s="7"/>
      <c r="Q103" s="7"/>
      <c r="R103" s="7"/>
      <c r="S103" s="7"/>
      <c r="T103" s="7"/>
      <c r="U103" s="7"/>
      <c r="V103" s="7"/>
      <c r="W103" s="7"/>
      <c r="X103" s="7"/>
      <c r="Y103" s="7"/>
      <c r="Z103" s="7"/>
    </row>
    <row r="104" ht="12.75" customHeight="1">
      <c r="A104" s="4"/>
      <c r="B104" s="3" t="s">
        <v>113</v>
      </c>
      <c r="C104" s="3">
        <v>2.26</v>
      </c>
      <c r="D104" s="46">
        <f t="shared" si="1"/>
        <v>1.13</v>
      </c>
      <c r="E104" s="49"/>
      <c r="F104" s="4"/>
      <c r="G104" s="4"/>
      <c r="H104" s="24"/>
      <c r="I104" s="4"/>
      <c r="J104" s="4"/>
      <c r="K104" s="4"/>
      <c r="L104" s="4"/>
      <c r="M104" s="7"/>
      <c r="N104" s="7"/>
      <c r="O104" s="7"/>
      <c r="P104" s="7"/>
      <c r="Q104" s="7"/>
      <c r="R104" s="7"/>
      <c r="S104" s="7"/>
      <c r="T104" s="7"/>
      <c r="U104" s="7"/>
      <c r="V104" s="7"/>
      <c r="W104" s="7"/>
      <c r="X104" s="7"/>
      <c r="Y104" s="7"/>
      <c r="Z104" s="7"/>
    </row>
    <row r="105" ht="12.75" customHeight="1">
      <c r="A105" s="4"/>
      <c r="B105" s="3" t="s">
        <v>139</v>
      </c>
      <c r="C105" s="3">
        <v>2.05</v>
      </c>
      <c r="D105" s="46">
        <f t="shared" si="1"/>
        <v>1.025</v>
      </c>
      <c r="E105" s="49"/>
      <c r="F105" s="4"/>
      <c r="G105" s="4"/>
      <c r="H105" s="24"/>
      <c r="I105" s="4"/>
      <c r="J105" s="4"/>
      <c r="K105" s="4"/>
      <c r="L105" s="4"/>
      <c r="M105" s="7"/>
      <c r="N105" s="7"/>
      <c r="O105" s="7"/>
      <c r="P105" s="7"/>
      <c r="Q105" s="7"/>
      <c r="R105" s="7"/>
      <c r="S105" s="7"/>
      <c r="T105" s="7"/>
      <c r="U105" s="7"/>
      <c r="V105" s="7"/>
      <c r="W105" s="7"/>
      <c r="X105" s="7"/>
      <c r="Y105" s="7"/>
      <c r="Z105" s="7"/>
    </row>
    <row r="106" ht="12.75" customHeight="1">
      <c r="A106" s="4"/>
      <c r="B106" s="3" t="s">
        <v>127</v>
      </c>
      <c r="C106" s="3">
        <v>3.0</v>
      </c>
      <c r="D106" s="46">
        <f t="shared" si="1"/>
        <v>1.5</v>
      </c>
      <c r="E106" s="49"/>
      <c r="F106" s="4"/>
      <c r="G106" s="4"/>
      <c r="H106" s="24"/>
      <c r="I106" s="4"/>
      <c r="J106" s="4"/>
      <c r="K106" s="4"/>
      <c r="L106" s="4"/>
      <c r="M106" s="7"/>
      <c r="N106" s="7"/>
      <c r="O106" s="7"/>
      <c r="P106" s="7"/>
      <c r="Q106" s="7"/>
      <c r="R106" s="7"/>
      <c r="S106" s="7"/>
      <c r="T106" s="7"/>
      <c r="U106" s="7"/>
      <c r="V106" s="7"/>
      <c r="W106" s="7"/>
      <c r="X106" s="7"/>
      <c r="Y106" s="7"/>
      <c r="Z106" s="7"/>
    </row>
    <row r="107" ht="12.75" customHeight="1">
      <c r="A107" s="4"/>
      <c r="B107" s="3" t="s">
        <v>126</v>
      </c>
      <c r="C107" s="3">
        <v>2.77</v>
      </c>
      <c r="D107" s="46">
        <f t="shared" si="1"/>
        <v>1.385</v>
      </c>
      <c r="E107" s="49"/>
      <c r="F107" s="4"/>
      <c r="G107" s="4"/>
      <c r="H107" s="24"/>
      <c r="I107" s="4"/>
      <c r="J107" s="3"/>
      <c r="K107" s="4"/>
      <c r="L107" s="4"/>
      <c r="M107" s="7"/>
      <c r="N107" s="7"/>
      <c r="O107" s="7"/>
      <c r="P107" s="7"/>
      <c r="Q107" s="7"/>
      <c r="R107" s="7"/>
      <c r="S107" s="7"/>
      <c r="T107" s="7"/>
      <c r="U107" s="7"/>
      <c r="V107" s="7"/>
      <c r="W107" s="7"/>
      <c r="X107" s="7"/>
      <c r="Y107" s="7"/>
      <c r="Z107" s="7"/>
    </row>
    <row r="108" ht="12.75" customHeight="1">
      <c r="A108" s="4"/>
      <c r="B108" s="3" t="s">
        <v>111</v>
      </c>
      <c r="C108" s="3">
        <v>1.26</v>
      </c>
      <c r="D108" s="46">
        <f t="shared" si="1"/>
        <v>0.63</v>
      </c>
      <c r="E108" s="49"/>
      <c r="F108" s="4"/>
      <c r="G108" s="4"/>
      <c r="H108" s="24"/>
      <c r="I108" s="4"/>
      <c r="J108" s="4"/>
      <c r="K108" s="4"/>
      <c r="L108" s="4"/>
      <c r="M108" s="7"/>
      <c r="N108" s="7"/>
      <c r="O108" s="7"/>
      <c r="P108" s="7"/>
      <c r="Q108" s="7"/>
      <c r="R108" s="7"/>
      <c r="S108" s="7"/>
      <c r="T108" s="7"/>
      <c r="U108" s="7"/>
      <c r="V108" s="7"/>
      <c r="W108" s="7"/>
      <c r="X108" s="7"/>
      <c r="Y108" s="7"/>
      <c r="Z108" s="7"/>
    </row>
    <row r="109" ht="12.75" customHeight="1">
      <c r="A109" s="4"/>
      <c r="B109" s="3" t="s">
        <v>103</v>
      </c>
      <c r="C109" s="3">
        <v>2.48</v>
      </c>
      <c r="D109" s="46">
        <f t="shared" si="1"/>
        <v>1.24</v>
      </c>
      <c r="E109" s="49"/>
      <c r="F109" s="4"/>
      <c r="G109" s="4"/>
      <c r="H109" s="24"/>
      <c r="I109" s="4"/>
      <c r="J109" s="4"/>
      <c r="K109" s="4"/>
      <c r="L109" s="4"/>
      <c r="M109" s="7"/>
      <c r="N109" s="7"/>
      <c r="O109" s="7"/>
      <c r="P109" s="7"/>
      <c r="Q109" s="7"/>
      <c r="R109" s="7"/>
      <c r="S109" s="7"/>
      <c r="T109" s="7"/>
      <c r="U109" s="7"/>
      <c r="V109" s="7"/>
      <c r="W109" s="7"/>
      <c r="X109" s="7"/>
      <c r="Y109" s="7"/>
      <c r="Z109" s="7"/>
    </row>
    <row r="110" ht="12.75" customHeight="1">
      <c r="A110" s="4"/>
      <c r="B110" s="3" t="s">
        <v>132</v>
      </c>
      <c r="C110" s="3">
        <v>1.87</v>
      </c>
      <c r="D110" s="46">
        <f t="shared" si="1"/>
        <v>0.935</v>
      </c>
      <c r="E110" s="49"/>
      <c r="F110" s="4"/>
      <c r="G110" s="4"/>
      <c r="H110" s="24"/>
      <c r="I110" s="4"/>
      <c r="J110" s="4"/>
      <c r="K110" s="4"/>
      <c r="L110" s="4"/>
      <c r="M110" s="7"/>
      <c r="N110" s="7"/>
      <c r="O110" s="7"/>
      <c r="P110" s="7"/>
      <c r="Q110" s="7"/>
      <c r="R110" s="7"/>
      <c r="S110" s="7"/>
      <c r="T110" s="7"/>
      <c r="U110" s="7"/>
      <c r="V110" s="7"/>
      <c r="W110" s="7"/>
      <c r="X110" s="7"/>
      <c r="Y110" s="7"/>
      <c r="Z110" s="7"/>
    </row>
    <row r="111" ht="12.75" customHeight="1">
      <c r="A111" s="4"/>
      <c r="B111" s="3" t="s">
        <v>119</v>
      </c>
      <c r="C111" s="3">
        <v>4.18</v>
      </c>
      <c r="D111" s="46">
        <f t="shared" si="1"/>
        <v>2.09</v>
      </c>
      <c r="E111" s="49"/>
      <c r="F111" s="4"/>
      <c r="G111" s="4"/>
      <c r="H111" s="24"/>
      <c r="I111" s="4"/>
      <c r="J111" s="4"/>
      <c r="K111" s="4"/>
      <c r="L111" s="4"/>
      <c r="M111" s="7"/>
      <c r="N111" s="7"/>
      <c r="O111" s="7"/>
      <c r="P111" s="7"/>
      <c r="Q111" s="7"/>
      <c r="R111" s="7"/>
      <c r="S111" s="7"/>
      <c r="T111" s="7"/>
      <c r="U111" s="7"/>
      <c r="V111" s="7"/>
      <c r="W111" s="7"/>
      <c r="X111" s="7"/>
      <c r="Y111" s="7"/>
      <c r="Z111" s="7"/>
    </row>
    <row r="112" ht="12.75" customHeight="1">
      <c r="A112" s="4"/>
      <c r="B112" s="3" t="s">
        <v>125</v>
      </c>
      <c r="C112" s="3">
        <v>2.15</v>
      </c>
      <c r="D112" s="46">
        <f t="shared" si="1"/>
        <v>1.075</v>
      </c>
      <c r="E112" s="49"/>
      <c r="F112" s="4"/>
      <c r="G112" s="4"/>
      <c r="H112" s="24"/>
      <c r="I112" s="4"/>
      <c r="J112" s="4"/>
      <c r="K112" s="4"/>
      <c r="L112" s="4"/>
      <c r="M112" s="7"/>
      <c r="N112" s="7"/>
      <c r="O112" s="7"/>
      <c r="P112" s="7"/>
      <c r="Q112" s="7"/>
      <c r="R112" s="7"/>
      <c r="S112" s="7"/>
      <c r="T112" s="7"/>
      <c r="U112" s="7"/>
      <c r="V112" s="7"/>
      <c r="W112" s="7"/>
      <c r="X112" s="7"/>
      <c r="Y112" s="7"/>
      <c r="Z112" s="7"/>
    </row>
    <row r="113" ht="12.75" customHeight="1">
      <c r="A113" s="4"/>
      <c r="B113" s="3" t="s">
        <v>58</v>
      </c>
      <c r="C113" s="3">
        <v>1.88</v>
      </c>
      <c r="D113" s="46">
        <f t="shared" si="1"/>
        <v>0.94</v>
      </c>
      <c r="E113" s="49"/>
      <c r="F113" s="4"/>
      <c r="G113" s="4"/>
      <c r="H113" s="24"/>
      <c r="I113" s="4"/>
      <c r="J113" s="4"/>
      <c r="K113" s="4"/>
      <c r="L113" s="4"/>
      <c r="M113" s="7"/>
      <c r="N113" s="7"/>
      <c r="O113" s="7"/>
      <c r="P113" s="7"/>
      <c r="Q113" s="7"/>
      <c r="R113" s="7"/>
      <c r="S113" s="7"/>
      <c r="T113" s="7"/>
      <c r="U113" s="7"/>
      <c r="V113" s="7"/>
      <c r="W113" s="7"/>
      <c r="X113" s="7"/>
      <c r="Y113" s="7"/>
      <c r="Z113" s="7"/>
    </row>
    <row r="114" ht="12.75" customHeight="1">
      <c r="A114" s="4"/>
      <c r="B114" s="3" t="s">
        <v>122</v>
      </c>
      <c r="C114" s="3">
        <v>1.73</v>
      </c>
      <c r="D114" s="46">
        <f t="shared" si="1"/>
        <v>0.865</v>
      </c>
      <c r="E114" s="49"/>
      <c r="F114" s="4"/>
      <c r="G114" s="4"/>
      <c r="H114" s="24"/>
      <c r="I114" s="4"/>
      <c r="J114" s="4"/>
      <c r="K114" s="4"/>
      <c r="L114" s="4"/>
      <c r="M114" s="7"/>
      <c r="N114" s="7"/>
      <c r="O114" s="7"/>
      <c r="P114" s="7"/>
      <c r="Q114" s="7"/>
      <c r="R114" s="7"/>
      <c r="S114" s="7"/>
      <c r="T114" s="7"/>
      <c r="U114" s="7"/>
      <c r="V114" s="7"/>
      <c r="W114" s="7"/>
      <c r="X114" s="7"/>
      <c r="Y114" s="7"/>
      <c r="Z114" s="7"/>
    </row>
    <row r="115" ht="12.75" customHeight="1">
      <c r="A115" s="4"/>
      <c r="B115" s="3" t="s">
        <v>167</v>
      </c>
      <c r="C115" s="3">
        <v>2.21</v>
      </c>
      <c r="D115" s="46">
        <f t="shared" si="1"/>
        <v>1.105</v>
      </c>
      <c r="E115" s="49"/>
      <c r="F115" s="4"/>
      <c r="G115" s="4"/>
      <c r="H115" s="24"/>
      <c r="I115" s="4"/>
      <c r="J115" s="4"/>
      <c r="K115" s="4"/>
      <c r="L115" s="4"/>
      <c r="M115" s="7"/>
      <c r="N115" s="7"/>
      <c r="O115" s="7"/>
      <c r="P115" s="7"/>
      <c r="Q115" s="7"/>
      <c r="R115" s="7"/>
      <c r="S115" s="7"/>
      <c r="T115" s="7"/>
      <c r="U115" s="7"/>
      <c r="V115" s="7"/>
      <c r="W115" s="7"/>
      <c r="X115" s="7"/>
      <c r="Y115" s="7"/>
      <c r="Z115" s="7"/>
    </row>
    <row r="116" ht="12.75" customHeight="1">
      <c r="A116" s="4"/>
      <c r="B116" s="3" t="s">
        <v>96</v>
      </c>
      <c r="C116" s="3">
        <v>2.65</v>
      </c>
      <c r="D116" s="46">
        <f t="shared" si="1"/>
        <v>1.325</v>
      </c>
      <c r="E116" s="49"/>
      <c r="F116" s="4"/>
      <c r="G116" s="4"/>
      <c r="H116" s="24"/>
      <c r="I116" s="4"/>
      <c r="J116" s="4"/>
      <c r="K116" s="4"/>
      <c r="L116" s="4"/>
      <c r="M116" s="7"/>
      <c r="N116" s="7"/>
      <c r="O116" s="7"/>
      <c r="P116" s="7"/>
      <c r="Q116" s="7"/>
      <c r="R116" s="7"/>
      <c r="S116" s="7"/>
      <c r="T116" s="7"/>
      <c r="U116" s="7"/>
      <c r="V116" s="7"/>
      <c r="W116" s="7"/>
      <c r="X116" s="7"/>
      <c r="Y116" s="7"/>
      <c r="Z116" s="7"/>
    </row>
    <row r="117" ht="12.75" customHeight="1">
      <c r="A117" s="4"/>
      <c r="B117" s="3" t="s">
        <v>156</v>
      </c>
      <c r="C117" s="3">
        <v>2.59</v>
      </c>
      <c r="D117" s="46">
        <f t="shared" si="1"/>
        <v>1.295</v>
      </c>
      <c r="E117" s="49"/>
      <c r="F117" s="4"/>
      <c r="G117" s="4"/>
      <c r="H117" s="24"/>
      <c r="I117" s="4"/>
      <c r="J117" s="4"/>
      <c r="K117" s="4"/>
      <c r="L117" s="4"/>
      <c r="M117" s="7"/>
      <c r="N117" s="7"/>
      <c r="O117" s="7"/>
      <c r="P117" s="7"/>
      <c r="Q117" s="7"/>
      <c r="R117" s="7"/>
      <c r="S117" s="7"/>
      <c r="T117" s="7"/>
      <c r="U117" s="7"/>
      <c r="V117" s="7"/>
      <c r="W117" s="7"/>
      <c r="X117" s="7"/>
      <c r="Y117" s="7"/>
      <c r="Z117" s="7"/>
    </row>
    <row r="118" ht="12.75" customHeight="1">
      <c r="A118" s="4"/>
      <c r="B118" s="3" t="s">
        <v>43</v>
      </c>
      <c r="C118" s="3">
        <v>1.91</v>
      </c>
      <c r="D118" s="46">
        <f t="shared" si="1"/>
        <v>0.955</v>
      </c>
      <c r="E118" s="49"/>
      <c r="F118" s="4"/>
      <c r="G118" s="4"/>
      <c r="H118" s="24"/>
      <c r="I118" s="4"/>
      <c r="J118" s="4"/>
      <c r="K118" s="4"/>
      <c r="L118" s="4"/>
      <c r="M118" s="7"/>
      <c r="N118" s="7"/>
      <c r="O118" s="7"/>
      <c r="P118" s="7"/>
      <c r="Q118" s="7"/>
      <c r="R118" s="7"/>
      <c r="S118" s="7"/>
      <c r="T118" s="7"/>
      <c r="U118" s="7"/>
      <c r="V118" s="7"/>
      <c r="W118" s="7"/>
      <c r="X118" s="7"/>
      <c r="Y118" s="7"/>
      <c r="Z118" s="7"/>
    </row>
    <row r="119" ht="12.75" customHeight="1">
      <c r="A119" s="4"/>
      <c r="B119" s="4" t="s">
        <v>105</v>
      </c>
      <c r="C119" s="3">
        <v>1.72</v>
      </c>
      <c r="D119" s="46">
        <f t="shared" si="1"/>
        <v>0.86</v>
      </c>
      <c r="E119" s="49"/>
      <c r="F119" s="4"/>
      <c r="G119" s="4"/>
      <c r="H119" s="24"/>
      <c r="I119" s="4"/>
      <c r="J119" s="4"/>
      <c r="K119" s="4"/>
      <c r="L119" s="4"/>
      <c r="M119" s="7"/>
      <c r="N119" s="7"/>
      <c r="O119" s="7"/>
      <c r="P119" s="7"/>
      <c r="Q119" s="7"/>
      <c r="R119" s="7"/>
      <c r="S119" s="7"/>
      <c r="T119" s="7"/>
      <c r="U119" s="7"/>
      <c r="V119" s="7"/>
      <c r="W119" s="7"/>
      <c r="X119" s="7"/>
      <c r="Y119" s="7"/>
      <c r="Z119" s="7"/>
    </row>
    <row r="120" ht="12.75" customHeight="1">
      <c r="A120" s="4"/>
      <c r="B120" s="3" t="s">
        <v>181</v>
      </c>
      <c r="C120" s="3">
        <v>2.49</v>
      </c>
      <c r="D120" s="46">
        <f t="shared" si="1"/>
        <v>1.245</v>
      </c>
      <c r="E120" s="49"/>
      <c r="F120" s="4"/>
      <c r="G120" s="4"/>
      <c r="H120" s="24"/>
      <c r="I120" s="4"/>
      <c r="J120" s="4"/>
      <c r="K120" s="4"/>
      <c r="L120" s="4"/>
      <c r="M120" s="7"/>
      <c r="N120" s="7"/>
      <c r="O120" s="7"/>
      <c r="P120" s="7"/>
      <c r="Q120" s="7"/>
      <c r="R120" s="7"/>
      <c r="S120" s="7"/>
      <c r="T120" s="7"/>
      <c r="U120" s="7"/>
      <c r="V120" s="7"/>
      <c r="W120" s="7"/>
      <c r="X120" s="7"/>
      <c r="Y120" s="7"/>
      <c r="Z120" s="7"/>
    </row>
    <row r="121" ht="12.75" customHeight="1">
      <c r="A121" s="4"/>
      <c r="B121" s="3" t="s">
        <v>112</v>
      </c>
      <c r="C121" s="3">
        <v>1.97</v>
      </c>
      <c r="D121" s="46">
        <f t="shared" si="1"/>
        <v>0.985</v>
      </c>
      <c r="E121" s="49"/>
      <c r="F121" s="4"/>
      <c r="G121" s="4"/>
      <c r="H121" s="24"/>
      <c r="I121" s="4"/>
      <c r="J121" s="4"/>
      <c r="K121" s="4"/>
      <c r="L121" s="4"/>
      <c r="M121" s="7"/>
      <c r="N121" s="7"/>
      <c r="O121" s="7"/>
      <c r="P121" s="7"/>
      <c r="Q121" s="7"/>
      <c r="R121" s="7"/>
      <c r="S121" s="7"/>
      <c r="T121" s="7"/>
      <c r="U121" s="7"/>
      <c r="V121" s="7"/>
      <c r="W121" s="7"/>
      <c r="X121" s="7"/>
      <c r="Y121" s="7"/>
      <c r="Z121" s="7"/>
    </row>
    <row r="122" ht="12.75" customHeight="1">
      <c r="A122" s="4"/>
      <c r="B122" s="3" t="s">
        <v>82</v>
      </c>
      <c r="C122" s="3">
        <v>2.35</v>
      </c>
      <c r="D122" s="46">
        <f t="shared" si="1"/>
        <v>1.175</v>
      </c>
      <c r="E122" s="49"/>
      <c r="F122" s="4"/>
      <c r="G122" s="4"/>
      <c r="H122" s="24"/>
      <c r="I122" s="4"/>
      <c r="J122" s="4"/>
      <c r="K122" s="4"/>
      <c r="L122" s="4"/>
      <c r="M122" s="7"/>
      <c r="N122" s="7"/>
      <c r="O122" s="7"/>
      <c r="P122" s="7"/>
      <c r="Q122" s="7"/>
      <c r="R122" s="7"/>
      <c r="S122" s="7"/>
      <c r="T122" s="7"/>
      <c r="U122" s="7"/>
      <c r="V122" s="7"/>
      <c r="W122" s="7"/>
      <c r="X122" s="7"/>
      <c r="Y122" s="7"/>
      <c r="Z122" s="7"/>
    </row>
    <row r="123" ht="12.75" customHeight="1">
      <c r="A123" s="4"/>
      <c r="B123" s="3" t="s">
        <v>238</v>
      </c>
      <c r="C123" s="3">
        <v>2.58</v>
      </c>
      <c r="D123" s="46">
        <f t="shared" si="1"/>
        <v>1.29</v>
      </c>
      <c r="E123" s="49"/>
      <c r="F123" s="4"/>
      <c r="G123" s="4"/>
      <c r="H123" s="24"/>
      <c r="I123" s="4"/>
      <c r="J123" s="4"/>
      <c r="K123" s="4"/>
      <c r="L123" s="4"/>
      <c r="M123" s="7"/>
      <c r="N123" s="7"/>
      <c r="O123" s="7"/>
      <c r="P123" s="7"/>
      <c r="Q123" s="7"/>
      <c r="R123" s="7"/>
      <c r="S123" s="7"/>
      <c r="T123" s="7"/>
      <c r="U123" s="7"/>
      <c r="V123" s="7"/>
      <c r="W123" s="7"/>
      <c r="X123" s="7"/>
      <c r="Y123" s="7"/>
      <c r="Z123" s="7"/>
    </row>
    <row r="124" ht="12.75" customHeight="1">
      <c r="A124" s="4"/>
      <c r="B124" s="3" t="s">
        <v>93</v>
      </c>
      <c r="C124" s="3">
        <v>2.86</v>
      </c>
      <c r="D124" s="46">
        <f t="shared" si="1"/>
        <v>1.43</v>
      </c>
      <c r="E124" s="49"/>
      <c r="F124" s="4"/>
      <c r="G124" s="4"/>
      <c r="H124" s="24"/>
      <c r="I124" s="4"/>
      <c r="J124" s="4"/>
      <c r="K124" s="4"/>
      <c r="L124" s="4"/>
      <c r="M124" s="7"/>
      <c r="N124" s="7"/>
      <c r="O124" s="7"/>
      <c r="P124" s="7"/>
      <c r="Q124" s="7"/>
      <c r="R124" s="7"/>
      <c r="S124" s="7"/>
      <c r="T124" s="7"/>
      <c r="U124" s="7"/>
      <c r="V124" s="7"/>
      <c r="W124" s="7"/>
      <c r="X124" s="7"/>
      <c r="Y124" s="7"/>
      <c r="Z124" s="7"/>
    </row>
    <row r="125" ht="12.75" customHeight="1">
      <c r="A125" s="4"/>
      <c r="B125" s="3" t="s">
        <v>138</v>
      </c>
      <c r="C125" s="3">
        <v>2.99</v>
      </c>
      <c r="D125" s="46">
        <f t="shared" si="1"/>
        <v>1.495</v>
      </c>
      <c r="E125" s="49"/>
      <c r="F125" s="4"/>
      <c r="G125" s="4"/>
      <c r="H125" s="24"/>
      <c r="I125" s="4"/>
      <c r="J125" s="4"/>
      <c r="K125" s="4"/>
      <c r="L125" s="4"/>
      <c r="M125" s="7"/>
      <c r="N125" s="7"/>
      <c r="O125" s="7"/>
      <c r="P125" s="7"/>
      <c r="Q125" s="7"/>
      <c r="R125" s="7"/>
      <c r="S125" s="7"/>
      <c r="T125" s="7"/>
      <c r="U125" s="7"/>
      <c r="V125" s="7"/>
      <c r="W125" s="7"/>
      <c r="X125" s="7"/>
      <c r="Y125" s="7"/>
      <c r="Z125" s="7"/>
    </row>
    <row r="126" ht="12.75" customHeight="1">
      <c r="A126" s="4"/>
      <c r="B126" s="3" t="s">
        <v>158</v>
      </c>
      <c r="C126" s="3">
        <v>2.94</v>
      </c>
      <c r="D126" s="46">
        <f t="shared" si="1"/>
        <v>1.47</v>
      </c>
      <c r="E126" s="49"/>
      <c r="F126" s="4"/>
      <c r="G126" s="4"/>
      <c r="H126" s="24"/>
      <c r="I126" s="4"/>
      <c r="J126" s="4"/>
      <c r="K126" s="4"/>
      <c r="L126" s="4"/>
      <c r="M126" s="7"/>
      <c r="N126" s="7"/>
      <c r="O126" s="7"/>
      <c r="P126" s="7"/>
      <c r="Q126" s="7"/>
      <c r="R126" s="7"/>
      <c r="S126" s="7"/>
      <c r="T126" s="7"/>
      <c r="U126" s="7"/>
      <c r="V126" s="7"/>
      <c r="W126" s="7"/>
      <c r="X126" s="7"/>
      <c r="Y126" s="7"/>
      <c r="Z126" s="7"/>
    </row>
    <row r="127" ht="12.75" customHeight="1">
      <c r="A127" s="4"/>
      <c r="B127" s="3" t="s">
        <v>117</v>
      </c>
      <c r="C127" s="3">
        <v>1.88</v>
      </c>
      <c r="D127" s="46">
        <f t="shared" si="1"/>
        <v>0.94</v>
      </c>
      <c r="E127" s="49"/>
      <c r="F127" s="4"/>
      <c r="G127" s="4"/>
      <c r="H127" s="24"/>
      <c r="I127" s="4"/>
      <c r="J127" s="4"/>
      <c r="K127" s="4"/>
      <c r="L127" s="4"/>
      <c r="M127" s="7"/>
      <c r="N127" s="7"/>
      <c r="O127" s="7"/>
      <c r="P127" s="7"/>
      <c r="Q127" s="7"/>
      <c r="R127" s="7"/>
      <c r="S127" s="7"/>
      <c r="T127" s="7"/>
      <c r="U127" s="7"/>
      <c r="V127" s="7"/>
      <c r="W127" s="7"/>
      <c r="X127" s="7"/>
      <c r="Y127" s="7"/>
      <c r="Z127" s="7"/>
    </row>
    <row r="128" ht="12.75" customHeight="1">
      <c r="A128" s="4"/>
      <c r="B128" s="3" t="s">
        <v>151</v>
      </c>
      <c r="C128" s="3">
        <v>2.28</v>
      </c>
      <c r="D128" s="46">
        <f t="shared" si="1"/>
        <v>1.14</v>
      </c>
      <c r="E128" s="49"/>
      <c r="F128" s="4"/>
      <c r="G128" s="4"/>
      <c r="H128" s="24"/>
      <c r="I128" s="4"/>
      <c r="J128" s="4"/>
      <c r="K128" s="4"/>
      <c r="L128" s="4"/>
      <c r="M128" s="7"/>
      <c r="N128" s="7"/>
      <c r="O128" s="7"/>
      <c r="P128" s="7"/>
      <c r="Q128" s="7"/>
      <c r="R128" s="7"/>
      <c r="S128" s="7"/>
      <c r="T128" s="7"/>
      <c r="U128" s="7"/>
      <c r="V128" s="7"/>
      <c r="W128" s="7"/>
      <c r="X128" s="7"/>
      <c r="Y128" s="7"/>
      <c r="Z128" s="7"/>
    </row>
    <row r="129" ht="12.75" customHeight="1">
      <c r="A129" s="4"/>
      <c r="B129" s="3" t="s">
        <v>74</v>
      </c>
      <c r="C129" s="3">
        <v>3.1</v>
      </c>
      <c r="D129" s="46">
        <f t="shared" si="1"/>
        <v>1.55</v>
      </c>
      <c r="E129" s="49"/>
      <c r="F129" s="4"/>
      <c r="G129" s="4"/>
      <c r="H129" s="24"/>
      <c r="I129" s="4"/>
      <c r="J129" s="4"/>
      <c r="K129" s="4"/>
      <c r="L129" s="4"/>
      <c r="M129" s="7"/>
      <c r="N129" s="7"/>
      <c r="O129" s="7"/>
      <c r="P129" s="7"/>
      <c r="Q129" s="7"/>
      <c r="R129" s="7"/>
      <c r="S129" s="7"/>
      <c r="T129" s="7"/>
      <c r="U129" s="7"/>
      <c r="V129" s="7"/>
      <c r="W129" s="7"/>
      <c r="X129" s="7"/>
      <c r="Y129" s="7"/>
      <c r="Z129" s="7"/>
    </row>
    <row r="130" ht="12.75" customHeight="1">
      <c r="A130" s="4"/>
      <c r="B130" s="3" t="s">
        <v>175</v>
      </c>
      <c r="C130" s="3">
        <v>2.16</v>
      </c>
      <c r="D130" s="46">
        <f t="shared" si="1"/>
        <v>1.08</v>
      </c>
      <c r="E130" s="49"/>
      <c r="F130" s="4"/>
      <c r="G130" s="4"/>
      <c r="H130" s="24"/>
      <c r="I130" s="4"/>
      <c r="J130" s="4"/>
      <c r="K130" s="4"/>
      <c r="L130" s="4"/>
      <c r="M130" s="7"/>
      <c r="N130" s="7"/>
      <c r="O130" s="7"/>
      <c r="P130" s="7"/>
      <c r="Q130" s="7"/>
      <c r="R130" s="7"/>
      <c r="S130" s="7"/>
      <c r="T130" s="7"/>
      <c r="U130" s="7"/>
      <c r="V130" s="7"/>
      <c r="W130" s="7"/>
      <c r="X130" s="7"/>
      <c r="Y130" s="7"/>
      <c r="Z130" s="7"/>
    </row>
    <row r="131" ht="12.75" customHeight="1">
      <c r="A131" s="4"/>
      <c r="B131" s="3" t="s">
        <v>106</v>
      </c>
      <c r="C131" s="3">
        <v>1.5</v>
      </c>
      <c r="D131" s="46">
        <f t="shared" si="1"/>
        <v>0.75</v>
      </c>
      <c r="E131" s="4"/>
      <c r="F131" s="4"/>
      <c r="G131" s="4"/>
      <c r="H131" s="24"/>
      <c r="I131" s="4"/>
      <c r="J131" s="4"/>
      <c r="K131" s="4"/>
      <c r="L131" s="4"/>
      <c r="M131" s="7"/>
      <c r="N131" s="7"/>
      <c r="O131" s="7"/>
      <c r="P131" s="7"/>
      <c r="Q131" s="7"/>
      <c r="R131" s="7"/>
      <c r="S131" s="7"/>
      <c r="T131" s="7"/>
      <c r="U131" s="7"/>
      <c r="V131" s="7"/>
      <c r="W131" s="7"/>
      <c r="X131" s="7"/>
      <c r="Y131" s="7"/>
      <c r="Z131" s="7"/>
    </row>
    <row r="132" ht="12.75" customHeight="1">
      <c r="A132" s="4"/>
      <c r="B132" s="3" t="s">
        <v>193</v>
      </c>
      <c r="C132" s="3">
        <v>1.5</v>
      </c>
      <c r="D132" s="46">
        <f t="shared" si="1"/>
        <v>0.75</v>
      </c>
      <c r="E132" s="4"/>
      <c r="F132" s="4"/>
      <c r="G132" s="4"/>
      <c r="H132" s="24"/>
      <c r="I132" s="4"/>
      <c r="J132" s="4"/>
      <c r="K132" s="4"/>
      <c r="L132" s="4"/>
      <c r="M132" s="7"/>
      <c r="N132" s="7"/>
      <c r="O132" s="7"/>
      <c r="P132" s="7"/>
      <c r="Q132" s="7"/>
      <c r="R132" s="7"/>
      <c r="S132" s="7"/>
      <c r="T132" s="7"/>
      <c r="U132" s="7"/>
      <c r="V132" s="7"/>
      <c r="W132" s="7"/>
      <c r="X132" s="7"/>
      <c r="Y132" s="7"/>
      <c r="Z132" s="7"/>
    </row>
    <row r="133" ht="12.75" customHeight="1">
      <c r="A133" s="4"/>
      <c r="B133" s="4"/>
      <c r="C133" s="4"/>
      <c r="D133" s="22"/>
      <c r="E133" s="4"/>
      <c r="F133" s="4"/>
      <c r="G133" s="4"/>
      <c r="H133" s="24"/>
      <c r="I133" s="4"/>
      <c r="J133" s="4"/>
      <c r="K133" s="4"/>
      <c r="L133" s="4"/>
      <c r="M133" s="7"/>
      <c r="N133" s="7"/>
      <c r="O133" s="7"/>
      <c r="P133" s="7"/>
      <c r="Q133" s="7"/>
      <c r="R133" s="7"/>
      <c r="S133" s="7"/>
      <c r="T133" s="7"/>
      <c r="U133" s="7"/>
      <c r="V133" s="7"/>
      <c r="W133" s="7"/>
      <c r="X133" s="7"/>
      <c r="Y133" s="7"/>
      <c r="Z133" s="7"/>
    </row>
    <row r="134" ht="12.75" customHeight="1">
      <c r="A134" s="4"/>
      <c r="B134" s="4"/>
      <c r="C134" s="4"/>
      <c r="D134" s="22"/>
      <c r="E134" s="4"/>
      <c r="F134" s="4"/>
      <c r="G134" s="4"/>
      <c r="H134" s="24"/>
      <c r="I134" s="4"/>
      <c r="J134" s="4"/>
      <c r="K134" s="4"/>
      <c r="L134" s="4"/>
      <c r="M134" s="7"/>
      <c r="N134" s="7"/>
      <c r="O134" s="7"/>
      <c r="P134" s="7"/>
      <c r="Q134" s="7"/>
      <c r="R134" s="7"/>
      <c r="S134" s="7"/>
      <c r="T134" s="7"/>
      <c r="U134" s="7"/>
      <c r="V134" s="7"/>
      <c r="W134" s="7"/>
      <c r="X134" s="7"/>
      <c r="Y134" s="7"/>
      <c r="Z134" s="7"/>
    </row>
    <row r="135" ht="12.75" customHeight="1">
      <c r="A135" s="4"/>
      <c r="B135" s="4"/>
      <c r="C135" s="4"/>
      <c r="D135" s="22"/>
      <c r="E135" s="4"/>
      <c r="F135" s="4"/>
      <c r="G135" s="4"/>
      <c r="H135" s="24"/>
      <c r="I135" s="4"/>
      <c r="J135" s="4"/>
      <c r="K135" s="4"/>
      <c r="L135" s="4"/>
      <c r="M135" s="7"/>
      <c r="N135" s="7"/>
      <c r="O135" s="7"/>
      <c r="P135" s="7"/>
      <c r="Q135" s="7"/>
      <c r="R135" s="7"/>
      <c r="S135" s="7"/>
      <c r="T135" s="7"/>
      <c r="U135" s="7"/>
      <c r="V135" s="7"/>
      <c r="W135" s="7"/>
      <c r="X135" s="7"/>
      <c r="Y135" s="7"/>
      <c r="Z135" s="7"/>
    </row>
    <row r="136" ht="12.75" customHeight="1">
      <c r="A136" s="4"/>
      <c r="B136" s="4"/>
      <c r="C136" s="4"/>
      <c r="D136" s="22"/>
      <c r="E136" s="4"/>
      <c r="F136" s="4"/>
      <c r="G136" s="4"/>
      <c r="H136" s="24"/>
      <c r="I136" s="4"/>
      <c r="J136" s="4"/>
      <c r="K136" s="4"/>
      <c r="L136" s="4"/>
      <c r="M136" s="7"/>
      <c r="N136" s="7"/>
      <c r="O136" s="7"/>
      <c r="P136" s="7"/>
      <c r="Q136" s="7"/>
      <c r="R136" s="7"/>
      <c r="S136" s="7"/>
      <c r="T136" s="7"/>
      <c r="U136" s="7"/>
      <c r="V136" s="7"/>
      <c r="W136" s="7"/>
      <c r="X136" s="7"/>
      <c r="Y136" s="7"/>
      <c r="Z136" s="7"/>
    </row>
    <row r="137" ht="12.75" customHeight="1">
      <c r="A137" s="4"/>
      <c r="B137" s="4"/>
      <c r="C137" s="4"/>
      <c r="D137" s="22"/>
      <c r="E137" s="4"/>
      <c r="F137" s="4"/>
      <c r="G137" s="4"/>
      <c r="H137" s="24"/>
      <c r="I137" s="4"/>
      <c r="J137" s="4"/>
      <c r="K137" s="4"/>
      <c r="L137" s="4"/>
      <c r="M137" s="7"/>
      <c r="N137" s="7"/>
      <c r="O137" s="7"/>
      <c r="P137" s="7"/>
      <c r="Q137" s="7"/>
      <c r="R137" s="7"/>
      <c r="S137" s="7"/>
      <c r="T137" s="7"/>
      <c r="U137" s="7"/>
      <c r="V137" s="7"/>
      <c r="W137" s="7"/>
      <c r="X137" s="7"/>
      <c r="Y137" s="7"/>
      <c r="Z137" s="7"/>
    </row>
    <row r="138" ht="12.75" customHeight="1">
      <c r="A138" s="4"/>
      <c r="B138" s="4"/>
      <c r="C138" s="4"/>
      <c r="D138" s="22"/>
      <c r="E138" s="4"/>
      <c r="F138" s="4"/>
      <c r="G138" s="4"/>
      <c r="H138" s="24"/>
      <c r="I138" s="4"/>
      <c r="J138" s="4"/>
      <c r="K138" s="4"/>
      <c r="L138" s="4"/>
      <c r="M138" s="7"/>
      <c r="N138" s="7"/>
      <c r="O138" s="7"/>
      <c r="P138" s="7"/>
      <c r="Q138" s="7"/>
      <c r="R138" s="7"/>
      <c r="S138" s="7"/>
      <c r="T138" s="7"/>
      <c r="U138" s="7"/>
      <c r="V138" s="7"/>
      <c r="W138" s="7"/>
      <c r="X138" s="7"/>
      <c r="Y138" s="7"/>
      <c r="Z138" s="7"/>
    </row>
    <row r="139" ht="12.75" customHeight="1">
      <c r="A139" s="4"/>
      <c r="B139" s="4"/>
      <c r="C139" s="4"/>
      <c r="D139" s="22"/>
      <c r="E139" s="4"/>
      <c r="F139" s="4"/>
      <c r="G139" s="4"/>
      <c r="H139" s="24"/>
      <c r="I139" s="4"/>
      <c r="J139" s="4"/>
      <c r="K139" s="4"/>
      <c r="L139" s="4"/>
      <c r="M139" s="7"/>
      <c r="N139" s="7"/>
      <c r="O139" s="7"/>
      <c r="P139" s="7"/>
      <c r="Q139" s="7"/>
      <c r="R139" s="7"/>
      <c r="S139" s="7"/>
      <c r="T139" s="7"/>
      <c r="U139" s="7"/>
      <c r="V139" s="7"/>
      <c r="W139" s="7"/>
      <c r="X139" s="7"/>
      <c r="Y139" s="7"/>
      <c r="Z139" s="7"/>
    </row>
    <row r="140" ht="12.75" customHeight="1">
      <c r="A140" s="4"/>
      <c r="B140" s="4"/>
      <c r="C140" s="4"/>
      <c r="D140" s="22"/>
      <c r="E140" s="4"/>
      <c r="F140" s="4"/>
      <c r="G140" s="4"/>
      <c r="H140" s="24"/>
      <c r="I140" s="4"/>
      <c r="J140" s="4"/>
      <c r="K140" s="4"/>
      <c r="L140" s="4"/>
      <c r="M140" s="7"/>
      <c r="N140" s="7"/>
      <c r="O140" s="7"/>
      <c r="P140" s="7"/>
      <c r="Q140" s="7"/>
      <c r="R140" s="7"/>
      <c r="S140" s="7"/>
      <c r="T140" s="7"/>
      <c r="U140" s="7"/>
      <c r="V140" s="7"/>
      <c r="W140" s="7"/>
      <c r="X140" s="7"/>
      <c r="Y140" s="7"/>
      <c r="Z140" s="7"/>
    </row>
    <row r="141" ht="12.75" customHeight="1">
      <c r="A141" s="4"/>
      <c r="B141" s="4"/>
      <c r="C141" s="4"/>
      <c r="D141" s="22"/>
      <c r="E141" s="4"/>
      <c r="F141" s="4"/>
      <c r="G141" s="4"/>
      <c r="H141" s="24"/>
      <c r="I141" s="4"/>
      <c r="J141" s="4"/>
      <c r="K141" s="4"/>
      <c r="L141" s="4"/>
      <c r="M141" s="7"/>
      <c r="N141" s="7"/>
      <c r="O141" s="7"/>
      <c r="P141" s="7"/>
      <c r="Q141" s="7"/>
      <c r="R141" s="7"/>
      <c r="S141" s="7"/>
      <c r="T141" s="7"/>
      <c r="U141" s="7"/>
      <c r="V141" s="7"/>
      <c r="W141" s="7"/>
      <c r="X141" s="7"/>
      <c r="Y141" s="7"/>
      <c r="Z141" s="7"/>
    </row>
    <row r="142" ht="12.75" customHeight="1">
      <c r="A142" s="4"/>
      <c r="B142" s="4"/>
      <c r="C142" s="4"/>
      <c r="D142" s="22"/>
      <c r="E142" s="4"/>
      <c r="F142" s="4"/>
      <c r="G142" s="4"/>
      <c r="H142" s="24"/>
      <c r="I142" s="4"/>
      <c r="J142" s="4"/>
      <c r="K142" s="4"/>
      <c r="L142" s="4"/>
      <c r="M142" s="7"/>
      <c r="N142" s="7"/>
      <c r="O142" s="7"/>
      <c r="P142" s="7"/>
      <c r="Q142" s="7"/>
      <c r="R142" s="7"/>
      <c r="S142" s="7"/>
      <c r="T142" s="7"/>
      <c r="U142" s="7"/>
      <c r="V142" s="7"/>
      <c r="W142" s="7"/>
      <c r="X142" s="7"/>
      <c r="Y142" s="7"/>
      <c r="Z142" s="7"/>
    </row>
    <row r="143" ht="12.75" customHeight="1">
      <c r="A143" s="4"/>
      <c r="B143" s="4"/>
      <c r="C143" s="4"/>
      <c r="D143" s="22"/>
      <c r="E143" s="4"/>
      <c r="F143" s="4"/>
      <c r="G143" s="4"/>
      <c r="H143" s="24"/>
      <c r="I143" s="4"/>
      <c r="J143" s="4"/>
      <c r="K143" s="4"/>
      <c r="L143" s="4"/>
      <c r="M143" s="7"/>
      <c r="N143" s="7"/>
      <c r="O143" s="7"/>
      <c r="P143" s="7"/>
      <c r="Q143" s="7"/>
      <c r="R143" s="7"/>
      <c r="S143" s="7"/>
      <c r="T143" s="7"/>
      <c r="U143" s="7"/>
      <c r="V143" s="7"/>
      <c r="W143" s="7"/>
      <c r="X143" s="7"/>
      <c r="Y143" s="7"/>
      <c r="Z143" s="7"/>
    </row>
    <row r="144" ht="12.75" customHeight="1">
      <c r="A144" s="4"/>
      <c r="B144" s="4"/>
      <c r="C144" s="4"/>
      <c r="D144" s="22"/>
      <c r="E144" s="4"/>
      <c r="F144" s="4"/>
      <c r="G144" s="4"/>
      <c r="H144" s="24"/>
      <c r="I144" s="4"/>
      <c r="J144" s="4"/>
      <c r="K144" s="4"/>
      <c r="L144" s="4"/>
      <c r="M144" s="7"/>
      <c r="N144" s="7"/>
      <c r="O144" s="7"/>
      <c r="P144" s="7"/>
      <c r="Q144" s="7"/>
      <c r="R144" s="7"/>
      <c r="S144" s="7"/>
      <c r="T144" s="7"/>
      <c r="U144" s="7"/>
      <c r="V144" s="7"/>
      <c r="W144" s="7"/>
      <c r="X144" s="7"/>
      <c r="Y144" s="7"/>
      <c r="Z144" s="7"/>
    </row>
    <row r="145" ht="12.75" customHeight="1">
      <c r="A145" s="4"/>
      <c r="B145" s="4"/>
      <c r="C145" s="4"/>
      <c r="D145" s="22"/>
      <c r="E145" s="4"/>
      <c r="F145" s="4"/>
      <c r="G145" s="4"/>
      <c r="H145" s="24"/>
      <c r="I145" s="4"/>
      <c r="J145" s="4"/>
      <c r="K145" s="4"/>
      <c r="L145" s="4"/>
      <c r="M145" s="7"/>
      <c r="N145" s="7"/>
      <c r="O145" s="7"/>
      <c r="P145" s="7"/>
      <c r="Q145" s="7"/>
      <c r="R145" s="7"/>
      <c r="S145" s="7"/>
      <c r="T145" s="7"/>
      <c r="U145" s="7"/>
      <c r="V145" s="7"/>
      <c r="W145" s="7"/>
      <c r="X145" s="7"/>
      <c r="Y145" s="7"/>
      <c r="Z145" s="7"/>
    </row>
    <row r="146" ht="12.75" customHeight="1">
      <c r="A146" s="4"/>
      <c r="B146" s="4"/>
      <c r="C146" s="4"/>
      <c r="D146" s="22"/>
      <c r="E146" s="4"/>
      <c r="F146" s="4"/>
      <c r="G146" s="4"/>
      <c r="H146" s="24"/>
      <c r="I146" s="4"/>
      <c r="J146" s="4"/>
      <c r="K146" s="4"/>
      <c r="L146" s="4"/>
      <c r="M146" s="7"/>
      <c r="N146" s="7"/>
      <c r="O146" s="7"/>
      <c r="P146" s="7"/>
      <c r="Q146" s="7"/>
      <c r="R146" s="7"/>
      <c r="S146" s="7"/>
      <c r="T146" s="7"/>
      <c r="U146" s="7"/>
      <c r="V146" s="7"/>
      <c r="W146" s="7"/>
      <c r="X146" s="7"/>
      <c r="Y146" s="7"/>
      <c r="Z146" s="7"/>
    </row>
    <row r="147" ht="12.75" customHeight="1">
      <c r="A147" s="4"/>
      <c r="B147" s="4"/>
      <c r="C147" s="4"/>
      <c r="D147" s="22"/>
      <c r="E147" s="4"/>
      <c r="F147" s="4"/>
      <c r="G147" s="4"/>
      <c r="H147" s="24"/>
      <c r="I147" s="4"/>
      <c r="J147" s="4"/>
      <c r="K147" s="4"/>
      <c r="L147" s="4"/>
      <c r="M147" s="7"/>
      <c r="N147" s="7"/>
      <c r="O147" s="7"/>
      <c r="P147" s="7"/>
      <c r="Q147" s="7"/>
      <c r="R147" s="7"/>
      <c r="S147" s="7"/>
      <c r="T147" s="7"/>
      <c r="U147" s="7"/>
      <c r="V147" s="7"/>
      <c r="W147" s="7"/>
      <c r="X147" s="7"/>
      <c r="Y147" s="7"/>
      <c r="Z147" s="7"/>
    </row>
    <row r="148" ht="12.75" customHeight="1">
      <c r="A148" s="4"/>
      <c r="B148" s="4"/>
      <c r="C148" s="4"/>
      <c r="D148" s="22"/>
      <c r="E148" s="4"/>
      <c r="F148" s="4"/>
      <c r="G148" s="4"/>
      <c r="H148" s="24"/>
      <c r="I148" s="4"/>
      <c r="J148" s="4"/>
      <c r="K148" s="4"/>
      <c r="L148" s="4"/>
      <c r="M148" s="7"/>
      <c r="N148" s="7"/>
      <c r="O148" s="7"/>
      <c r="P148" s="7"/>
      <c r="Q148" s="7"/>
      <c r="R148" s="7"/>
      <c r="S148" s="7"/>
      <c r="T148" s="7"/>
      <c r="U148" s="7"/>
      <c r="V148" s="7"/>
      <c r="W148" s="7"/>
      <c r="X148" s="7"/>
      <c r="Y148" s="7"/>
      <c r="Z148" s="7"/>
    </row>
    <row r="149" ht="12.75" customHeight="1">
      <c r="A149" s="4"/>
      <c r="B149" s="4"/>
      <c r="C149" s="4"/>
      <c r="D149" s="22"/>
      <c r="E149" s="4"/>
      <c r="F149" s="4"/>
      <c r="G149" s="4"/>
      <c r="H149" s="24"/>
      <c r="I149" s="4"/>
      <c r="J149" s="4"/>
      <c r="K149" s="4"/>
      <c r="L149" s="4"/>
      <c r="M149" s="7"/>
      <c r="N149" s="7"/>
      <c r="O149" s="7"/>
      <c r="P149" s="7"/>
      <c r="Q149" s="7"/>
      <c r="R149" s="7"/>
      <c r="S149" s="7"/>
      <c r="T149" s="7"/>
      <c r="U149" s="7"/>
      <c r="V149" s="7"/>
      <c r="W149" s="7"/>
      <c r="X149" s="7"/>
      <c r="Y149" s="7"/>
      <c r="Z149" s="7"/>
    </row>
    <row r="150" ht="12.75" customHeight="1">
      <c r="A150" s="4"/>
      <c r="B150" s="4"/>
      <c r="C150" s="4"/>
      <c r="D150" s="22"/>
      <c r="E150" s="4"/>
      <c r="F150" s="4"/>
      <c r="G150" s="4"/>
      <c r="H150" s="24"/>
      <c r="I150" s="4"/>
      <c r="J150" s="4"/>
      <c r="K150" s="4"/>
      <c r="L150" s="4"/>
      <c r="M150" s="7"/>
      <c r="N150" s="7"/>
      <c r="O150" s="7"/>
      <c r="P150" s="7"/>
      <c r="Q150" s="7"/>
      <c r="R150" s="7"/>
      <c r="S150" s="7"/>
      <c r="T150" s="7"/>
      <c r="U150" s="7"/>
      <c r="V150" s="7"/>
      <c r="W150" s="7"/>
      <c r="X150" s="7"/>
      <c r="Y150" s="7"/>
      <c r="Z150" s="7"/>
    </row>
    <row r="151" ht="12.75" customHeight="1">
      <c r="A151" s="4"/>
      <c r="B151" s="4"/>
      <c r="C151" s="4"/>
      <c r="D151" s="22"/>
      <c r="E151" s="4"/>
      <c r="F151" s="4"/>
      <c r="G151" s="4"/>
      <c r="H151" s="24"/>
      <c r="I151" s="4"/>
      <c r="J151" s="4"/>
      <c r="K151" s="4"/>
      <c r="L151" s="4"/>
      <c r="M151" s="7"/>
      <c r="N151" s="7"/>
      <c r="O151" s="7"/>
      <c r="P151" s="7"/>
      <c r="Q151" s="7"/>
      <c r="R151" s="7"/>
      <c r="S151" s="7"/>
      <c r="T151" s="7"/>
      <c r="U151" s="7"/>
      <c r="V151" s="7"/>
      <c r="W151" s="7"/>
      <c r="X151" s="7"/>
      <c r="Y151" s="7"/>
      <c r="Z151" s="7"/>
    </row>
    <row r="152" ht="12.75" customHeight="1">
      <c r="A152" s="4"/>
      <c r="B152" s="4"/>
      <c r="C152" s="4"/>
      <c r="D152" s="22"/>
      <c r="E152" s="4"/>
      <c r="F152" s="4"/>
      <c r="G152" s="4"/>
      <c r="H152" s="24"/>
      <c r="I152" s="4"/>
      <c r="J152" s="4"/>
      <c r="K152" s="4"/>
      <c r="L152" s="4"/>
      <c r="M152" s="7"/>
      <c r="N152" s="7"/>
      <c r="O152" s="7"/>
      <c r="P152" s="7"/>
      <c r="Q152" s="7"/>
      <c r="R152" s="7"/>
      <c r="S152" s="7"/>
      <c r="T152" s="7"/>
      <c r="U152" s="7"/>
      <c r="V152" s="7"/>
      <c r="W152" s="7"/>
      <c r="X152" s="7"/>
      <c r="Y152" s="7"/>
      <c r="Z152" s="7"/>
    </row>
    <row r="153" ht="12.75" customHeight="1">
      <c r="A153" s="4"/>
      <c r="B153" s="4"/>
      <c r="C153" s="4"/>
      <c r="D153" s="22"/>
      <c r="E153" s="4"/>
      <c r="F153" s="4"/>
      <c r="G153" s="4"/>
      <c r="H153" s="24"/>
      <c r="I153" s="4"/>
      <c r="J153" s="4"/>
      <c r="K153" s="4"/>
      <c r="L153" s="4"/>
      <c r="M153" s="7"/>
      <c r="N153" s="7"/>
      <c r="O153" s="7"/>
      <c r="P153" s="7"/>
      <c r="Q153" s="7"/>
      <c r="R153" s="7"/>
      <c r="S153" s="7"/>
      <c r="T153" s="7"/>
      <c r="U153" s="7"/>
      <c r="V153" s="7"/>
      <c r="W153" s="7"/>
      <c r="X153" s="7"/>
      <c r="Y153" s="7"/>
      <c r="Z153" s="7"/>
    </row>
    <row r="154" ht="12.75" customHeight="1">
      <c r="A154" s="4"/>
      <c r="B154" s="4"/>
      <c r="C154" s="4"/>
      <c r="D154" s="22"/>
      <c r="E154" s="4"/>
      <c r="F154" s="4"/>
      <c r="G154" s="4"/>
      <c r="H154" s="24"/>
      <c r="I154" s="4"/>
      <c r="J154" s="4"/>
      <c r="K154" s="4"/>
      <c r="L154" s="4"/>
      <c r="M154" s="7"/>
      <c r="N154" s="7"/>
      <c r="O154" s="7"/>
      <c r="P154" s="7"/>
      <c r="Q154" s="7"/>
      <c r="R154" s="7"/>
      <c r="S154" s="7"/>
      <c r="T154" s="7"/>
      <c r="U154" s="7"/>
      <c r="V154" s="7"/>
      <c r="W154" s="7"/>
      <c r="X154" s="7"/>
      <c r="Y154" s="7"/>
      <c r="Z154" s="7"/>
    </row>
    <row r="155" ht="12.75" customHeight="1">
      <c r="A155" s="4"/>
      <c r="B155" s="4"/>
      <c r="C155" s="4"/>
      <c r="D155" s="22"/>
      <c r="E155" s="4"/>
      <c r="F155" s="4"/>
      <c r="G155" s="4"/>
      <c r="H155" s="24"/>
      <c r="I155" s="4"/>
      <c r="J155" s="4"/>
      <c r="K155" s="4"/>
      <c r="L155" s="4"/>
      <c r="M155" s="7"/>
      <c r="N155" s="7"/>
      <c r="O155" s="7"/>
      <c r="P155" s="7"/>
      <c r="Q155" s="7"/>
      <c r="R155" s="7"/>
      <c r="S155" s="7"/>
      <c r="T155" s="7"/>
      <c r="U155" s="7"/>
      <c r="V155" s="7"/>
      <c r="W155" s="7"/>
      <c r="X155" s="7"/>
      <c r="Y155" s="7"/>
      <c r="Z155" s="7"/>
    </row>
    <row r="156" ht="12.75" customHeight="1">
      <c r="A156" s="4"/>
      <c r="B156" s="4"/>
      <c r="C156" s="4"/>
      <c r="D156" s="22"/>
      <c r="E156" s="4"/>
      <c r="F156" s="4"/>
      <c r="G156" s="4"/>
      <c r="H156" s="24"/>
      <c r="I156" s="4"/>
      <c r="J156" s="4"/>
      <c r="K156" s="4"/>
      <c r="L156" s="4"/>
      <c r="M156" s="7"/>
      <c r="N156" s="7"/>
      <c r="O156" s="7"/>
      <c r="P156" s="7"/>
      <c r="Q156" s="7"/>
      <c r="R156" s="7"/>
      <c r="S156" s="7"/>
      <c r="T156" s="7"/>
      <c r="U156" s="7"/>
      <c r="V156" s="7"/>
      <c r="W156" s="7"/>
      <c r="X156" s="7"/>
      <c r="Y156" s="7"/>
      <c r="Z156" s="7"/>
    </row>
    <row r="157" ht="12.75" customHeight="1">
      <c r="A157" s="4"/>
      <c r="B157" s="4"/>
      <c r="C157" s="4"/>
      <c r="D157" s="22"/>
      <c r="E157" s="4"/>
      <c r="F157" s="4"/>
      <c r="G157" s="4"/>
      <c r="H157" s="24"/>
      <c r="I157" s="4"/>
      <c r="J157" s="4"/>
      <c r="K157" s="4"/>
      <c r="L157" s="4"/>
      <c r="M157" s="7"/>
      <c r="N157" s="7"/>
      <c r="O157" s="7"/>
      <c r="P157" s="7"/>
      <c r="Q157" s="7"/>
      <c r="R157" s="7"/>
      <c r="S157" s="7"/>
      <c r="T157" s="7"/>
      <c r="U157" s="7"/>
      <c r="V157" s="7"/>
      <c r="W157" s="7"/>
      <c r="X157" s="7"/>
      <c r="Y157" s="7"/>
      <c r="Z157" s="7"/>
    </row>
    <row r="158" ht="12.75" customHeight="1">
      <c r="A158" s="4"/>
      <c r="B158" s="4"/>
      <c r="C158" s="4"/>
      <c r="D158" s="22"/>
      <c r="E158" s="4"/>
      <c r="F158" s="4"/>
      <c r="G158" s="4"/>
      <c r="H158" s="24"/>
      <c r="I158" s="4"/>
      <c r="J158" s="4"/>
      <c r="K158" s="4"/>
      <c r="L158" s="4"/>
      <c r="M158" s="7"/>
      <c r="N158" s="7"/>
      <c r="O158" s="7"/>
      <c r="P158" s="7"/>
      <c r="Q158" s="7"/>
      <c r="R158" s="7"/>
      <c r="S158" s="7"/>
      <c r="T158" s="7"/>
      <c r="U158" s="7"/>
      <c r="V158" s="7"/>
      <c r="W158" s="7"/>
      <c r="X158" s="7"/>
      <c r="Y158" s="7"/>
      <c r="Z158" s="7"/>
    </row>
    <row r="159" ht="12.75" customHeight="1">
      <c r="A159" s="4"/>
      <c r="B159" s="4"/>
      <c r="C159" s="4"/>
      <c r="D159" s="22"/>
      <c r="E159" s="4"/>
      <c r="F159" s="4"/>
      <c r="G159" s="4"/>
      <c r="H159" s="24"/>
      <c r="I159" s="4"/>
      <c r="J159" s="4"/>
      <c r="K159" s="4"/>
      <c r="L159" s="4"/>
      <c r="M159" s="7"/>
      <c r="N159" s="7"/>
      <c r="O159" s="7"/>
      <c r="P159" s="7"/>
      <c r="Q159" s="7"/>
      <c r="R159" s="7"/>
      <c r="S159" s="7"/>
      <c r="T159" s="7"/>
      <c r="U159" s="7"/>
      <c r="V159" s="7"/>
      <c r="W159" s="7"/>
      <c r="X159" s="7"/>
      <c r="Y159" s="7"/>
      <c r="Z159" s="7"/>
    </row>
    <row r="160" ht="12.75" customHeight="1">
      <c r="A160" s="4"/>
      <c r="B160" s="4"/>
      <c r="C160" s="4"/>
      <c r="D160" s="22"/>
      <c r="E160" s="4"/>
      <c r="F160" s="4"/>
      <c r="G160" s="4"/>
      <c r="H160" s="24"/>
      <c r="I160" s="4"/>
      <c r="J160" s="4"/>
      <c r="K160" s="4"/>
      <c r="L160" s="4"/>
      <c r="M160" s="7"/>
      <c r="N160" s="7"/>
      <c r="O160" s="7"/>
      <c r="P160" s="7"/>
      <c r="Q160" s="7"/>
      <c r="R160" s="7"/>
      <c r="S160" s="7"/>
      <c r="T160" s="7"/>
      <c r="U160" s="7"/>
      <c r="V160" s="7"/>
      <c r="W160" s="7"/>
      <c r="X160" s="7"/>
      <c r="Y160" s="7"/>
      <c r="Z160" s="7"/>
    </row>
    <row r="161" ht="12.75" customHeight="1">
      <c r="A161" s="4"/>
      <c r="B161" s="4"/>
      <c r="C161" s="4"/>
      <c r="D161" s="22"/>
      <c r="E161" s="4"/>
      <c r="F161" s="4"/>
      <c r="G161" s="4"/>
      <c r="H161" s="24"/>
      <c r="I161" s="4"/>
      <c r="J161" s="4"/>
      <c r="K161" s="4"/>
      <c r="L161" s="4"/>
      <c r="M161" s="7"/>
      <c r="N161" s="7"/>
      <c r="O161" s="7"/>
      <c r="P161" s="7"/>
      <c r="Q161" s="7"/>
      <c r="R161" s="7"/>
      <c r="S161" s="7"/>
      <c r="T161" s="7"/>
      <c r="U161" s="7"/>
      <c r="V161" s="7"/>
      <c r="W161" s="7"/>
      <c r="X161" s="7"/>
      <c r="Y161" s="7"/>
      <c r="Z161" s="7"/>
    </row>
    <row r="162" ht="12.75" customHeight="1">
      <c r="A162" s="4"/>
      <c r="B162" s="4"/>
      <c r="C162" s="4"/>
      <c r="D162" s="22"/>
      <c r="E162" s="4"/>
      <c r="F162" s="4"/>
      <c r="G162" s="4"/>
      <c r="H162" s="24"/>
      <c r="I162" s="4"/>
      <c r="J162" s="4"/>
      <c r="K162" s="4"/>
      <c r="L162" s="4"/>
      <c r="M162" s="7"/>
      <c r="N162" s="7"/>
      <c r="O162" s="7"/>
      <c r="P162" s="7"/>
      <c r="Q162" s="7"/>
      <c r="R162" s="7"/>
      <c r="S162" s="7"/>
      <c r="T162" s="7"/>
      <c r="U162" s="7"/>
      <c r="V162" s="7"/>
      <c r="W162" s="7"/>
      <c r="X162" s="7"/>
      <c r="Y162" s="7"/>
      <c r="Z162" s="7"/>
    </row>
    <row r="163" ht="12.75" customHeight="1">
      <c r="A163" s="4"/>
      <c r="B163" s="4"/>
      <c r="C163" s="4"/>
      <c r="D163" s="22"/>
      <c r="E163" s="4"/>
      <c r="F163" s="4"/>
      <c r="G163" s="4"/>
      <c r="H163" s="24"/>
      <c r="I163" s="4"/>
      <c r="J163" s="4"/>
      <c r="K163" s="4"/>
      <c r="L163" s="4"/>
      <c r="M163" s="7"/>
      <c r="N163" s="7"/>
      <c r="O163" s="7"/>
      <c r="P163" s="7"/>
      <c r="Q163" s="7"/>
      <c r="R163" s="7"/>
      <c r="S163" s="7"/>
      <c r="T163" s="7"/>
      <c r="U163" s="7"/>
      <c r="V163" s="7"/>
      <c r="W163" s="7"/>
      <c r="X163" s="7"/>
      <c r="Y163" s="7"/>
      <c r="Z163" s="7"/>
    </row>
    <row r="164" ht="12.75" customHeight="1">
      <c r="A164" s="4"/>
      <c r="B164" s="4"/>
      <c r="C164" s="4"/>
      <c r="D164" s="22"/>
      <c r="E164" s="4"/>
      <c r="F164" s="4"/>
      <c r="G164" s="4"/>
      <c r="H164" s="24"/>
      <c r="I164" s="4"/>
      <c r="J164" s="4"/>
      <c r="K164" s="4"/>
      <c r="L164" s="4"/>
      <c r="M164" s="7"/>
      <c r="N164" s="7"/>
      <c r="O164" s="7"/>
      <c r="P164" s="7"/>
      <c r="Q164" s="7"/>
      <c r="R164" s="7"/>
      <c r="S164" s="7"/>
      <c r="T164" s="7"/>
      <c r="U164" s="7"/>
      <c r="V164" s="7"/>
      <c r="W164" s="7"/>
      <c r="X164" s="7"/>
      <c r="Y164" s="7"/>
      <c r="Z164" s="7"/>
    </row>
    <row r="165" ht="12.75" customHeight="1">
      <c r="A165" s="4"/>
      <c r="B165" s="4"/>
      <c r="C165" s="4"/>
      <c r="D165" s="22"/>
      <c r="E165" s="4"/>
      <c r="F165" s="4"/>
      <c r="G165" s="4"/>
      <c r="H165" s="24"/>
      <c r="I165" s="4"/>
      <c r="J165" s="4"/>
      <c r="K165" s="4"/>
      <c r="L165" s="4"/>
      <c r="M165" s="7"/>
      <c r="N165" s="7"/>
      <c r="O165" s="7"/>
      <c r="P165" s="7"/>
      <c r="Q165" s="7"/>
      <c r="R165" s="7"/>
      <c r="S165" s="7"/>
      <c r="T165" s="7"/>
      <c r="U165" s="7"/>
      <c r="V165" s="7"/>
      <c r="W165" s="7"/>
      <c r="X165" s="7"/>
      <c r="Y165" s="7"/>
      <c r="Z165" s="7"/>
    </row>
    <row r="166" ht="12.75" customHeight="1">
      <c r="A166" s="4"/>
      <c r="B166" s="4"/>
      <c r="C166" s="4"/>
      <c r="D166" s="22"/>
      <c r="E166" s="4"/>
      <c r="F166" s="4"/>
      <c r="G166" s="4"/>
      <c r="H166" s="24"/>
      <c r="I166" s="4"/>
      <c r="J166" s="4"/>
      <c r="K166" s="4"/>
      <c r="L166" s="4"/>
      <c r="M166" s="7"/>
      <c r="N166" s="7"/>
      <c r="O166" s="7"/>
      <c r="P166" s="7"/>
      <c r="Q166" s="7"/>
      <c r="R166" s="7"/>
      <c r="S166" s="7"/>
      <c r="T166" s="7"/>
      <c r="U166" s="7"/>
      <c r="V166" s="7"/>
      <c r="W166" s="7"/>
      <c r="X166" s="7"/>
      <c r="Y166" s="7"/>
      <c r="Z166" s="7"/>
    </row>
    <row r="167" ht="12.75" customHeight="1">
      <c r="A167" s="4"/>
      <c r="B167" s="4"/>
      <c r="C167" s="4"/>
      <c r="D167" s="22"/>
      <c r="E167" s="4"/>
      <c r="F167" s="4"/>
      <c r="G167" s="4"/>
      <c r="H167" s="24"/>
      <c r="I167" s="4"/>
      <c r="J167" s="4"/>
      <c r="K167" s="4"/>
      <c r="L167" s="4"/>
      <c r="M167" s="7"/>
      <c r="N167" s="7"/>
      <c r="O167" s="7"/>
      <c r="P167" s="7"/>
      <c r="Q167" s="7"/>
      <c r="R167" s="7"/>
      <c r="S167" s="7"/>
      <c r="T167" s="7"/>
      <c r="U167" s="7"/>
      <c r="V167" s="7"/>
      <c r="W167" s="7"/>
      <c r="X167" s="7"/>
      <c r="Y167" s="7"/>
      <c r="Z167" s="7"/>
    </row>
    <row r="168" ht="12.75" customHeight="1">
      <c r="A168" s="4"/>
      <c r="B168" s="4"/>
      <c r="C168" s="4"/>
      <c r="D168" s="22"/>
      <c r="E168" s="4"/>
      <c r="F168" s="4"/>
      <c r="G168" s="4"/>
      <c r="H168" s="24"/>
      <c r="I168" s="4"/>
      <c r="J168" s="4"/>
      <c r="K168" s="4"/>
      <c r="L168" s="4"/>
      <c r="M168" s="7"/>
      <c r="N168" s="7"/>
      <c r="O168" s="7"/>
      <c r="P168" s="7"/>
      <c r="Q168" s="7"/>
      <c r="R168" s="7"/>
      <c r="S168" s="7"/>
      <c r="T168" s="7"/>
      <c r="U168" s="7"/>
      <c r="V168" s="7"/>
      <c r="W168" s="7"/>
      <c r="X168" s="7"/>
      <c r="Y168" s="7"/>
      <c r="Z168" s="7"/>
    </row>
    <row r="169" ht="12.75" customHeight="1">
      <c r="A169" s="4"/>
      <c r="B169" s="4"/>
      <c r="C169" s="4"/>
      <c r="D169" s="22"/>
      <c r="E169" s="4"/>
      <c r="F169" s="4"/>
      <c r="G169" s="4"/>
      <c r="H169" s="24"/>
      <c r="I169" s="4"/>
      <c r="J169" s="4"/>
      <c r="K169" s="4"/>
      <c r="L169" s="4"/>
      <c r="M169" s="7"/>
      <c r="N169" s="7"/>
      <c r="O169" s="7"/>
      <c r="P169" s="7"/>
      <c r="Q169" s="7"/>
      <c r="R169" s="7"/>
      <c r="S169" s="7"/>
      <c r="T169" s="7"/>
      <c r="U169" s="7"/>
      <c r="V169" s="7"/>
      <c r="W169" s="7"/>
      <c r="X169" s="7"/>
      <c r="Y169" s="7"/>
      <c r="Z169" s="7"/>
    </row>
    <row r="170" ht="12.75" customHeight="1">
      <c r="A170" s="4"/>
      <c r="B170" s="4"/>
      <c r="C170" s="4"/>
      <c r="D170" s="22"/>
      <c r="E170" s="4"/>
      <c r="F170" s="4"/>
      <c r="G170" s="4"/>
      <c r="H170" s="24"/>
      <c r="I170" s="4"/>
      <c r="J170" s="4"/>
      <c r="K170" s="4"/>
      <c r="L170" s="4"/>
      <c r="M170" s="7"/>
      <c r="N170" s="7"/>
      <c r="O170" s="7"/>
      <c r="P170" s="7"/>
      <c r="Q170" s="7"/>
      <c r="R170" s="7"/>
      <c r="S170" s="7"/>
      <c r="T170" s="7"/>
      <c r="U170" s="7"/>
      <c r="V170" s="7"/>
      <c r="W170" s="7"/>
      <c r="X170" s="7"/>
      <c r="Y170" s="7"/>
      <c r="Z170" s="7"/>
    </row>
    <row r="171" ht="12.75" customHeight="1">
      <c r="A171" s="4"/>
      <c r="B171" s="4"/>
      <c r="C171" s="4"/>
      <c r="D171" s="22"/>
      <c r="E171" s="4"/>
      <c r="F171" s="4"/>
      <c r="G171" s="4"/>
      <c r="H171" s="24"/>
      <c r="I171" s="4"/>
      <c r="J171" s="4"/>
      <c r="K171" s="4"/>
      <c r="L171" s="4"/>
      <c r="M171" s="7"/>
      <c r="N171" s="7"/>
      <c r="O171" s="7"/>
      <c r="P171" s="7"/>
      <c r="Q171" s="7"/>
      <c r="R171" s="7"/>
      <c r="S171" s="7"/>
      <c r="T171" s="7"/>
      <c r="U171" s="7"/>
      <c r="V171" s="7"/>
      <c r="W171" s="7"/>
      <c r="X171" s="7"/>
      <c r="Y171" s="7"/>
      <c r="Z171" s="7"/>
    </row>
    <row r="172" ht="12.75" customHeight="1">
      <c r="A172" s="4"/>
      <c r="B172" s="4"/>
      <c r="C172" s="4"/>
      <c r="D172" s="22"/>
      <c r="E172" s="4"/>
      <c r="F172" s="4"/>
      <c r="G172" s="4"/>
      <c r="H172" s="24"/>
      <c r="I172" s="4"/>
      <c r="J172" s="4"/>
      <c r="K172" s="4"/>
      <c r="L172" s="4"/>
      <c r="M172" s="7"/>
      <c r="N172" s="7"/>
      <c r="O172" s="7"/>
      <c r="P172" s="7"/>
      <c r="Q172" s="7"/>
      <c r="R172" s="7"/>
      <c r="S172" s="7"/>
      <c r="T172" s="7"/>
      <c r="U172" s="7"/>
      <c r="V172" s="7"/>
      <c r="W172" s="7"/>
      <c r="X172" s="7"/>
      <c r="Y172" s="7"/>
      <c r="Z172" s="7"/>
    </row>
    <row r="173" ht="12.75" customHeight="1">
      <c r="A173" s="4"/>
      <c r="B173" s="4"/>
      <c r="C173" s="4"/>
      <c r="D173" s="22"/>
      <c r="E173" s="4"/>
      <c r="F173" s="4"/>
      <c r="G173" s="4"/>
      <c r="H173" s="24"/>
      <c r="I173" s="4"/>
      <c r="J173" s="4"/>
      <c r="K173" s="4"/>
      <c r="L173" s="4"/>
      <c r="M173" s="7"/>
      <c r="N173" s="7"/>
      <c r="O173" s="7"/>
      <c r="P173" s="7"/>
      <c r="Q173" s="7"/>
      <c r="R173" s="7"/>
      <c r="S173" s="7"/>
      <c r="T173" s="7"/>
      <c r="U173" s="7"/>
      <c r="V173" s="7"/>
      <c r="W173" s="7"/>
      <c r="X173" s="7"/>
      <c r="Y173" s="7"/>
      <c r="Z173" s="7"/>
    </row>
    <row r="174" ht="12.75" customHeight="1">
      <c r="A174" s="4"/>
      <c r="B174" s="4"/>
      <c r="C174" s="4"/>
      <c r="D174" s="22"/>
      <c r="E174" s="4"/>
      <c r="F174" s="4"/>
      <c r="G174" s="4"/>
      <c r="H174" s="24"/>
      <c r="I174" s="4"/>
      <c r="J174" s="4"/>
      <c r="K174" s="4"/>
      <c r="L174" s="4"/>
      <c r="M174" s="7"/>
      <c r="N174" s="7"/>
      <c r="O174" s="7"/>
      <c r="P174" s="7"/>
      <c r="Q174" s="7"/>
      <c r="R174" s="7"/>
      <c r="S174" s="7"/>
      <c r="T174" s="7"/>
      <c r="U174" s="7"/>
      <c r="V174" s="7"/>
      <c r="W174" s="7"/>
      <c r="X174" s="7"/>
      <c r="Y174" s="7"/>
      <c r="Z174" s="7"/>
    </row>
    <row r="175" ht="12.75" customHeight="1">
      <c r="A175" s="4"/>
      <c r="B175" s="4"/>
      <c r="C175" s="4"/>
      <c r="D175" s="22"/>
      <c r="E175" s="4"/>
      <c r="F175" s="4"/>
      <c r="G175" s="4"/>
      <c r="H175" s="24"/>
      <c r="I175" s="4"/>
      <c r="J175" s="4"/>
      <c r="K175" s="4"/>
      <c r="L175" s="4"/>
      <c r="M175" s="7"/>
      <c r="N175" s="7"/>
      <c r="O175" s="7"/>
      <c r="P175" s="7"/>
      <c r="Q175" s="7"/>
      <c r="R175" s="7"/>
      <c r="S175" s="7"/>
      <c r="T175" s="7"/>
      <c r="U175" s="7"/>
      <c r="V175" s="7"/>
      <c r="W175" s="7"/>
      <c r="X175" s="7"/>
      <c r="Y175" s="7"/>
      <c r="Z175" s="7"/>
    </row>
    <row r="176" ht="12.75" customHeight="1">
      <c r="A176" s="4"/>
      <c r="B176" s="4"/>
      <c r="C176" s="4"/>
      <c r="D176" s="22"/>
      <c r="E176" s="4"/>
      <c r="F176" s="4"/>
      <c r="G176" s="4"/>
      <c r="H176" s="24"/>
      <c r="I176" s="4"/>
      <c r="J176" s="4"/>
      <c r="K176" s="4"/>
      <c r="L176" s="4"/>
      <c r="M176" s="7"/>
      <c r="N176" s="7"/>
      <c r="O176" s="7"/>
      <c r="P176" s="7"/>
      <c r="Q176" s="7"/>
      <c r="R176" s="7"/>
      <c r="S176" s="7"/>
      <c r="T176" s="7"/>
      <c r="U176" s="7"/>
      <c r="V176" s="7"/>
      <c r="W176" s="7"/>
      <c r="X176" s="7"/>
      <c r="Y176" s="7"/>
      <c r="Z176" s="7"/>
    </row>
    <row r="177" ht="12.75" customHeight="1">
      <c r="A177" s="4"/>
      <c r="B177" s="4"/>
      <c r="C177" s="4"/>
      <c r="D177" s="22"/>
      <c r="E177" s="4"/>
      <c r="F177" s="4"/>
      <c r="G177" s="4"/>
      <c r="H177" s="24"/>
      <c r="I177" s="4"/>
      <c r="J177" s="4"/>
      <c r="K177" s="4"/>
      <c r="L177" s="4"/>
      <c r="M177" s="7"/>
      <c r="N177" s="7"/>
      <c r="O177" s="7"/>
      <c r="P177" s="7"/>
      <c r="Q177" s="7"/>
      <c r="R177" s="7"/>
      <c r="S177" s="7"/>
      <c r="T177" s="7"/>
      <c r="U177" s="7"/>
      <c r="V177" s="7"/>
      <c r="W177" s="7"/>
      <c r="X177" s="7"/>
      <c r="Y177" s="7"/>
      <c r="Z177" s="7"/>
    </row>
    <row r="178" ht="12.75" customHeight="1">
      <c r="A178" s="4"/>
      <c r="B178" s="4"/>
      <c r="C178" s="4"/>
      <c r="D178" s="22"/>
      <c r="E178" s="4"/>
      <c r="F178" s="4"/>
      <c r="G178" s="4"/>
      <c r="H178" s="24"/>
      <c r="I178" s="4"/>
      <c r="J178" s="4"/>
      <c r="K178" s="4"/>
      <c r="L178" s="4"/>
      <c r="M178" s="7"/>
      <c r="N178" s="7"/>
      <c r="O178" s="7"/>
      <c r="P178" s="7"/>
      <c r="Q178" s="7"/>
      <c r="R178" s="7"/>
      <c r="S178" s="7"/>
      <c r="T178" s="7"/>
      <c r="U178" s="7"/>
      <c r="V178" s="7"/>
      <c r="W178" s="7"/>
      <c r="X178" s="7"/>
      <c r="Y178" s="7"/>
      <c r="Z178" s="7"/>
    </row>
    <row r="179" ht="12.75" customHeight="1">
      <c r="A179" s="4"/>
      <c r="B179" s="4"/>
      <c r="C179" s="4"/>
      <c r="D179" s="22"/>
      <c r="E179" s="4"/>
      <c r="F179" s="4"/>
      <c r="G179" s="4"/>
      <c r="H179" s="24"/>
      <c r="I179" s="4"/>
      <c r="J179" s="4"/>
      <c r="K179" s="4"/>
      <c r="L179" s="4"/>
      <c r="M179" s="7"/>
      <c r="N179" s="7"/>
      <c r="O179" s="7"/>
      <c r="P179" s="7"/>
      <c r="Q179" s="7"/>
      <c r="R179" s="7"/>
      <c r="S179" s="7"/>
      <c r="T179" s="7"/>
      <c r="U179" s="7"/>
      <c r="V179" s="7"/>
      <c r="W179" s="7"/>
      <c r="X179" s="7"/>
      <c r="Y179" s="7"/>
      <c r="Z179" s="7"/>
    </row>
    <row r="180" ht="12.75" customHeight="1">
      <c r="A180" s="4"/>
      <c r="B180" s="4"/>
      <c r="C180" s="4"/>
      <c r="D180" s="22"/>
      <c r="E180" s="4"/>
      <c r="F180" s="4"/>
      <c r="G180" s="4"/>
      <c r="H180" s="24"/>
      <c r="I180" s="4"/>
      <c r="J180" s="4"/>
      <c r="K180" s="4"/>
      <c r="L180" s="4"/>
      <c r="M180" s="7"/>
      <c r="N180" s="7"/>
      <c r="O180" s="7"/>
      <c r="P180" s="7"/>
      <c r="Q180" s="7"/>
      <c r="R180" s="7"/>
      <c r="S180" s="7"/>
      <c r="T180" s="7"/>
      <c r="U180" s="7"/>
      <c r="V180" s="7"/>
      <c r="W180" s="7"/>
      <c r="X180" s="7"/>
      <c r="Y180" s="7"/>
      <c r="Z180" s="7"/>
    </row>
    <row r="181" ht="12.75" customHeight="1">
      <c r="A181" s="4"/>
      <c r="B181" s="4"/>
      <c r="C181" s="4"/>
      <c r="D181" s="22"/>
      <c r="E181" s="4"/>
      <c r="F181" s="4"/>
      <c r="G181" s="4"/>
      <c r="H181" s="24"/>
      <c r="I181" s="4"/>
      <c r="J181" s="4"/>
      <c r="K181" s="4"/>
      <c r="L181" s="4"/>
      <c r="M181" s="7"/>
      <c r="N181" s="7"/>
      <c r="O181" s="7"/>
      <c r="P181" s="7"/>
      <c r="Q181" s="7"/>
      <c r="R181" s="7"/>
      <c r="S181" s="7"/>
      <c r="T181" s="7"/>
      <c r="U181" s="7"/>
      <c r="V181" s="7"/>
      <c r="W181" s="7"/>
      <c r="X181" s="7"/>
      <c r="Y181" s="7"/>
      <c r="Z181" s="7"/>
    </row>
    <row r="182" ht="12.75" customHeight="1">
      <c r="A182" s="4"/>
      <c r="B182" s="4"/>
      <c r="C182" s="4"/>
      <c r="D182" s="22"/>
      <c r="E182" s="4"/>
      <c r="F182" s="4"/>
      <c r="G182" s="4"/>
      <c r="H182" s="24"/>
      <c r="I182" s="4"/>
      <c r="J182" s="4"/>
      <c r="K182" s="4"/>
      <c r="L182" s="4"/>
      <c r="M182" s="7"/>
      <c r="N182" s="7"/>
      <c r="O182" s="7"/>
      <c r="P182" s="7"/>
      <c r="Q182" s="7"/>
      <c r="R182" s="7"/>
      <c r="S182" s="7"/>
      <c r="T182" s="7"/>
      <c r="U182" s="7"/>
      <c r="V182" s="7"/>
      <c r="W182" s="7"/>
      <c r="X182" s="7"/>
      <c r="Y182" s="7"/>
      <c r="Z182" s="7"/>
    </row>
    <row r="183" ht="12.75" customHeight="1">
      <c r="A183" s="4"/>
      <c r="B183" s="4"/>
      <c r="C183" s="4"/>
      <c r="D183" s="22"/>
      <c r="E183" s="4"/>
      <c r="F183" s="4"/>
      <c r="G183" s="4"/>
      <c r="H183" s="24"/>
      <c r="I183" s="4"/>
      <c r="J183" s="4"/>
      <c r="K183" s="4"/>
      <c r="L183" s="4"/>
      <c r="M183" s="7"/>
      <c r="N183" s="7"/>
      <c r="O183" s="7"/>
      <c r="P183" s="7"/>
      <c r="Q183" s="7"/>
      <c r="R183" s="7"/>
      <c r="S183" s="7"/>
      <c r="T183" s="7"/>
      <c r="U183" s="7"/>
      <c r="V183" s="7"/>
      <c r="W183" s="7"/>
      <c r="X183" s="7"/>
      <c r="Y183" s="7"/>
      <c r="Z183" s="7"/>
    </row>
    <row r="184" ht="12.75" customHeight="1">
      <c r="A184" s="4"/>
      <c r="B184" s="4"/>
      <c r="C184" s="4"/>
      <c r="D184" s="22"/>
      <c r="E184" s="4"/>
      <c r="F184" s="4"/>
      <c r="G184" s="4"/>
      <c r="H184" s="24"/>
      <c r="I184" s="4"/>
      <c r="J184" s="4"/>
      <c r="K184" s="4"/>
      <c r="L184" s="4"/>
      <c r="M184" s="7"/>
      <c r="N184" s="7"/>
      <c r="O184" s="7"/>
      <c r="P184" s="7"/>
      <c r="Q184" s="7"/>
      <c r="R184" s="7"/>
      <c r="S184" s="7"/>
      <c r="T184" s="7"/>
      <c r="U184" s="7"/>
      <c r="V184" s="7"/>
      <c r="W184" s="7"/>
      <c r="X184" s="7"/>
      <c r="Y184" s="7"/>
      <c r="Z184" s="7"/>
    </row>
    <row r="185" ht="12.75" customHeight="1">
      <c r="A185" s="4"/>
      <c r="B185" s="4"/>
      <c r="C185" s="4"/>
      <c r="D185" s="22"/>
      <c r="E185" s="4"/>
      <c r="F185" s="4"/>
      <c r="G185" s="4"/>
      <c r="H185" s="24"/>
      <c r="I185" s="4"/>
      <c r="J185" s="4"/>
      <c r="K185" s="4"/>
      <c r="L185" s="4"/>
      <c r="M185" s="7"/>
      <c r="N185" s="7"/>
      <c r="O185" s="7"/>
      <c r="P185" s="7"/>
      <c r="Q185" s="7"/>
      <c r="R185" s="7"/>
      <c r="S185" s="7"/>
      <c r="T185" s="7"/>
      <c r="U185" s="7"/>
      <c r="V185" s="7"/>
      <c r="W185" s="7"/>
      <c r="X185" s="7"/>
      <c r="Y185" s="7"/>
      <c r="Z185" s="7"/>
    </row>
    <row r="186" ht="12.75" customHeight="1">
      <c r="A186" s="4"/>
      <c r="B186" s="4"/>
      <c r="C186" s="4"/>
      <c r="D186" s="22"/>
      <c r="E186" s="4"/>
      <c r="F186" s="4"/>
      <c r="G186" s="4"/>
      <c r="H186" s="24"/>
      <c r="I186" s="4"/>
      <c r="J186" s="4"/>
      <c r="K186" s="4"/>
      <c r="L186" s="4"/>
      <c r="M186" s="7"/>
      <c r="N186" s="7"/>
      <c r="O186" s="7"/>
      <c r="P186" s="7"/>
      <c r="Q186" s="7"/>
      <c r="R186" s="7"/>
      <c r="S186" s="7"/>
      <c r="T186" s="7"/>
      <c r="U186" s="7"/>
      <c r="V186" s="7"/>
      <c r="W186" s="7"/>
      <c r="X186" s="7"/>
      <c r="Y186" s="7"/>
      <c r="Z186" s="7"/>
    </row>
    <row r="187" ht="12.75" customHeight="1">
      <c r="A187" s="4"/>
      <c r="B187" s="4"/>
      <c r="C187" s="4"/>
      <c r="D187" s="22"/>
      <c r="E187" s="4"/>
      <c r="F187" s="4"/>
      <c r="G187" s="4"/>
      <c r="H187" s="24"/>
      <c r="I187" s="4"/>
      <c r="J187" s="4"/>
      <c r="K187" s="4"/>
      <c r="L187" s="4"/>
      <c r="M187" s="7"/>
      <c r="N187" s="7"/>
      <c r="O187" s="7"/>
      <c r="P187" s="7"/>
      <c r="Q187" s="7"/>
      <c r="R187" s="7"/>
      <c r="S187" s="7"/>
      <c r="T187" s="7"/>
      <c r="U187" s="7"/>
      <c r="V187" s="7"/>
      <c r="W187" s="7"/>
      <c r="X187" s="7"/>
      <c r="Y187" s="7"/>
      <c r="Z187" s="7"/>
    </row>
    <row r="188" ht="12.75" customHeight="1">
      <c r="A188" s="4"/>
      <c r="B188" s="4"/>
      <c r="C188" s="4"/>
      <c r="D188" s="22"/>
      <c r="E188" s="4"/>
      <c r="F188" s="4"/>
      <c r="G188" s="4"/>
      <c r="H188" s="24"/>
      <c r="I188" s="4"/>
      <c r="J188" s="4"/>
      <c r="K188" s="4"/>
      <c r="L188" s="4"/>
      <c r="M188" s="7"/>
      <c r="N188" s="7"/>
      <c r="O188" s="7"/>
      <c r="P188" s="7"/>
      <c r="Q188" s="7"/>
      <c r="R188" s="7"/>
      <c r="S188" s="7"/>
      <c r="T188" s="7"/>
      <c r="U188" s="7"/>
      <c r="V188" s="7"/>
      <c r="W188" s="7"/>
      <c r="X188" s="7"/>
      <c r="Y188" s="7"/>
      <c r="Z188" s="7"/>
    </row>
    <row r="189" ht="12.75" customHeight="1">
      <c r="A189" s="4"/>
      <c r="B189" s="4"/>
      <c r="C189" s="4"/>
      <c r="D189" s="22"/>
      <c r="E189" s="4"/>
      <c r="F189" s="4"/>
      <c r="G189" s="4"/>
      <c r="H189" s="24"/>
      <c r="I189" s="4"/>
      <c r="J189" s="4"/>
      <c r="K189" s="4"/>
      <c r="L189" s="4"/>
      <c r="M189" s="7"/>
      <c r="N189" s="7"/>
      <c r="O189" s="7"/>
      <c r="P189" s="7"/>
      <c r="Q189" s="7"/>
      <c r="R189" s="7"/>
      <c r="S189" s="7"/>
      <c r="T189" s="7"/>
      <c r="U189" s="7"/>
      <c r="V189" s="7"/>
      <c r="W189" s="7"/>
      <c r="X189" s="7"/>
      <c r="Y189" s="7"/>
      <c r="Z189" s="7"/>
    </row>
    <row r="190" ht="12.75" customHeight="1">
      <c r="A190" s="4"/>
      <c r="B190" s="4"/>
      <c r="C190" s="4"/>
      <c r="D190" s="22"/>
      <c r="E190" s="4"/>
      <c r="F190" s="4"/>
      <c r="G190" s="4"/>
      <c r="H190" s="24"/>
      <c r="I190" s="4"/>
      <c r="J190" s="4"/>
      <c r="K190" s="4"/>
      <c r="L190" s="4"/>
      <c r="M190" s="7"/>
      <c r="N190" s="7"/>
      <c r="O190" s="7"/>
      <c r="P190" s="7"/>
      <c r="Q190" s="7"/>
      <c r="R190" s="7"/>
      <c r="S190" s="7"/>
      <c r="T190" s="7"/>
      <c r="U190" s="7"/>
      <c r="V190" s="7"/>
      <c r="W190" s="7"/>
      <c r="X190" s="7"/>
      <c r="Y190" s="7"/>
      <c r="Z190" s="7"/>
    </row>
    <row r="191" ht="12.75" customHeight="1">
      <c r="A191" s="4"/>
      <c r="B191" s="4"/>
      <c r="C191" s="4"/>
      <c r="D191" s="22"/>
      <c r="E191" s="4"/>
      <c r="F191" s="4"/>
      <c r="G191" s="4"/>
      <c r="H191" s="24"/>
      <c r="I191" s="4"/>
      <c r="J191" s="4"/>
      <c r="K191" s="4"/>
      <c r="L191" s="4"/>
      <c r="M191" s="7"/>
      <c r="N191" s="7"/>
      <c r="O191" s="7"/>
      <c r="P191" s="7"/>
      <c r="Q191" s="7"/>
      <c r="R191" s="7"/>
      <c r="S191" s="7"/>
      <c r="T191" s="7"/>
      <c r="U191" s="7"/>
      <c r="V191" s="7"/>
      <c r="W191" s="7"/>
      <c r="X191" s="7"/>
      <c r="Y191" s="7"/>
      <c r="Z191" s="7"/>
    </row>
    <row r="192" ht="12.75" customHeight="1">
      <c r="A192" s="4"/>
      <c r="B192" s="4"/>
      <c r="C192" s="4"/>
      <c r="D192" s="22"/>
      <c r="E192" s="4"/>
      <c r="F192" s="4"/>
      <c r="G192" s="4"/>
      <c r="H192" s="24"/>
      <c r="I192" s="4"/>
      <c r="J192" s="4"/>
      <c r="K192" s="4"/>
      <c r="L192" s="4"/>
      <c r="M192" s="7"/>
      <c r="N192" s="7"/>
      <c r="O192" s="7"/>
      <c r="P192" s="7"/>
      <c r="Q192" s="7"/>
      <c r="R192" s="7"/>
      <c r="S192" s="7"/>
      <c r="T192" s="7"/>
      <c r="U192" s="7"/>
      <c r="V192" s="7"/>
      <c r="W192" s="7"/>
      <c r="X192" s="7"/>
      <c r="Y192" s="7"/>
      <c r="Z192" s="7"/>
    </row>
    <row r="193" ht="12.75" customHeight="1">
      <c r="A193" s="4"/>
      <c r="B193" s="4"/>
      <c r="C193" s="4"/>
      <c r="D193" s="22"/>
      <c r="E193" s="4"/>
      <c r="F193" s="4"/>
      <c r="G193" s="4"/>
      <c r="H193" s="24"/>
      <c r="I193" s="4"/>
      <c r="J193" s="4"/>
      <c r="K193" s="4"/>
      <c r="L193" s="4"/>
      <c r="M193" s="7"/>
      <c r="N193" s="7"/>
      <c r="O193" s="7"/>
      <c r="P193" s="7"/>
      <c r="Q193" s="7"/>
      <c r="R193" s="7"/>
      <c r="S193" s="7"/>
      <c r="T193" s="7"/>
      <c r="U193" s="7"/>
      <c r="V193" s="7"/>
      <c r="W193" s="7"/>
      <c r="X193" s="7"/>
      <c r="Y193" s="7"/>
      <c r="Z193" s="7"/>
    </row>
    <row r="194" ht="12.75" customHeight="1">
      <c r="A194" s="4"/>
      <c r="B194" s="4"/>
      <c r="C194" s="4"/>
      <c r="D194" s="22"/>
      <c r="E194" s="4"/>
      <c r="F194" s="4"/>
      <c r="G194" s="4"/>
      <c r="H194" s="24"/>
      <c r="I194" s="4"/>
      <c r="J194" s="4"/>
      <c r="K194" s="4"/>
      <c r="L194" s="4"/>
      <c r="M194" s="7"/>
      <c r="N194" s="7"/>
      <c r="O194" s="7"/>
      <c r="P194" s="7"/>
      <c r="Q194" s="7"/>
      <c r="R194" s="7"/>
      <c r="S194" s="7"/>
      <c r="T194" s="7"/>
      <c r="U194" s="7"/>
      <c r="V194" s="7"/>
      <c r="W194" s="7"/>
      <c r="X194" s="7"/>
      <c r="Y194" s="7"/>
      <c r="Z194" s="7"/>
    </row>
    <row r="195" ht="12.75" customHeight="1">
      <c r="A195" s="4"/>
      <c r="B195" s="4"/>
      <c r="C195" s="4"/>
      <c r="D195" s="22"/>
      <c r="E195" s="4"/>
      <c r="F195" s="4"/>
      <c r="G195" s="4"/>
      <c r="H195" s="24"/>
      <c r="I195" s="4"/>
      <c r="J195" s="4"/>
      <c r="K195" s="4"/>
      <c r="L195" s="4"/>
      <c r="M195" s="7"/>
      <c r="N195" s="7"/>
      <c r="O195" s="7"/>
      <c r="P195" s="7"/>
      <c r="Q195" s="7"/>
      <c r="R195" s="7"/>
      <c r="S195" s="7"/>
      <c r="T195" s="7"/>
      <c r="U195" s="7"/>
      <c r="V195" s="7"/>
      <c r="W195" s="7"/>
      <c r="X195" s="7"/>
      <c r="Y195" s="7"/>
      <c r="Z195" s="7"/>
    </row>
    <row r="196" ht="12.75" customHeight="1">
      <c r="A196" s="4"/>
      <c r="B196" s="4"/>
      <c r="C196" s="4"/>
      <c r="D196" s="22"/>
      <c r="E196" s="4"/>
      <c r="F196" s="4"/>
      <c r="G196" s="4"/>
      <c r="H196" s="24"/>
      <c r="I196" s="4"/>
      <c r="J196" s="4"/>
      <c r="K196" s="4"/>
      <c r="L196" s="4"/>
      <c r="M196" s="7"/>
      <c r="N196" s="7"/>
      <c r="O196" s="7"/>
      <c r="P196" s="7"/>
      <c r="Q196" s="7"/>
      <c r="R196" s="7"/>
      <c r="S196" s="7"/>
      <c r="T196" s="7"/>
      <c r="U196" s="7"/>
      <c r="V196" s="7"/>
      <c r="W196" s="7"/>
      <c r="X196" s="7"/>
      <c r="Y196" s="7"/>
      <c r="Z196" s="7"/>
    </row>
    <row r="197" ht="12.75" customHeight="1">
      <c r="A197" s="4"/>
      <c r="B197" s="4"/>
      <c r="C197" s="4"/>
      <c r="D197" s="22"/>
      <c r="E197" s="4"/>
      <c r="F197" s="4"/>
      <c r="G197" s="4"/>
      <c r="H197" s="24"/>
      <c r="I197" s="4"/>
      <c r="J197" s="4"/>
      <c r="K197" s="4"/>
      <c r="L197" s="4"/>
      <c r="M197" s="7"/>
      <c r="N197" s="7"/>
      <c r="O197" s="7"/>
      <c r="P197" s="7"/>
      <c r="Q197" s="7"/>
      <c r="R197" s="7"/>
      <c r="S197" s="7"/>
      <c r="T197" s="7"/>
      <c r="U197" s="7"/>
      <c r="V197" s="7"/>
      <c r="W197" s="7"/>
      <c r="X197" s="7"/>
      <c r="Y197" s="7"/>
      <c r="Z197" s="7"/>
    </row>
    <row r="198" ht="12.75" customHeight="1">
      <c r="A198" s="4"/>
      <c r="B198" s="4"/>
      <c r="C198" s="4"/>
      <c r="D198" s="22"/>
      <c r="E198" s="4"/>
      <c r="F198" s="4"/>
      <c r="G198" s="4"/>
      <c r="H198" s="24"/>
      <c r="I198" s="4"/>
      <c r="J198" s="4"/>
      <c r="K198" s="4"/>
      <c r="L198" s="4"/>
      <c r="M198" s="7"/>
      <c r="N198" s="7"/>
      <c r="O198" s="7"/>
      <c r="P198" s="7"/>
      <c r="Q198" s="7"/>
      <c r="R198" s="7"/>
      <c r="S198" s="7"/>
      <c r="T198" s="7"/>
      <c r="U198" s="7"/>
      <c r="V198" s="7"/>
      <c r="W198" s="7"/>
      <c r="X198" s="7"/>
      <c r="Y198" s="7"/>
      <c r="Z198" s="7"/>
    </row>
    <row r="199" ht="12.75" customHeight="1">
      <c r="A199" s="4"/>
      <c r="B199" s="4"/>
      <c r="C199" s="4"/>
      <c r="D199" s="22"/>
      <c r="E199" s="4"/>
      <c r="F199" s="4"/>
      <c r="G199" s="4"/>
      <c r="H199" s="24"/>
      <c r="I199" s="4"/>
      <c r="J199" s="4"/>
      <c r="K199" s="4"/>
      <c r="L199" s="4"/>
      <c r="M199" s="7"/>
      <c r="N199" s="7"/>
      <c r="O199" s="7"/>
      <c r="P199" s="7"/>
      <c r="Q199" s="7"/>
      <c r="R199" s="7"/>
      <c r="S199" s="7"/>
      <c r="T199" s="7"/>
      <c r="U199" s="7"/>
      <c r="V199" s="7"/>
      <c r="W199" s="7"/>
      <c r="X199" s="7"/>
      <c r="Y199" s="7"/>
      <c r="Z199" s="7"/>
    </row>
    <row r="200" ht="12.75" customHeight="1">
      <c r="A200" s="4"/>
      <c r="B200" s="4"/>
      <c r="C200" s="4"/>
      <c r="D200" s="22"/>
      <c r="E200" s="4"/>
      <c r="F200" s="4"/>
      <c r="G200" s="4"/>
      <c r="H200" s="24"/>
      <c r="I200" s="4"/>
      <c r="J200" s="4"/>
      <c r="K200" s="4"/>
      <c r="L200" s="4"/>
      <c r="M200" s="7"/>
      <c r="N200" s="7"/>
      <c r="O200" s="7"/>
      <c r="P200" s="7"/>
      <c r="Q200" s="7"/>
      <c r="R200" s="7"/>
      <c r="S200" s="7"/>
      <c r="T200" s="7"/>
      <c r="U200" s="7"/>
      <c r="V200" s="7"/>
      <c r="W200" s="7"/>
      <c r="X200" s="7"/>
      <c r="Y200" s="7"/>
      <c r="Z200" s="7"/>
    </row>
    <row r="201" ht="12.75" customHeight="1">
      <c r="A201" s="4"/>
      <c r="B201" s="4"/>
      <c r="C201" s="4"/>
      <c r="D201" s="22"/>
      <c r="E201" s="4"/>
      <c r="F201" s="4"/>
      <c r="G201" s="4"/>
      <c r="H201" s="24"/>
      <c r="I201" s="4"/>
      <c r="J201" s="4"/>
      <c r="K201" s="4"/>
      <c r="L201" s="4"/>
      <c r="M201" s="7"/>
      <c r="N201" s="7"/>
      <c r="O201" s="7"/>
      <c r="P201" s="7"/>
      <c r="Q201" s="7"/>
      <c r="R201" s="7"/>
      <c r="S201" s="7"/>
      <c r="T201" s="7"/>
      <c r="U201" s="7"/>
      <c r="V201" s="7"/>
      <c r="W201" s="7"/>
      <c r="X201" s="7"/>
      <c r="Y201" s="7"/>
      <c r="Z201" s="7"/>
    </row>
    <row r="202" ht="12.75" customHeight="1">
      <c r="A202" s="4"/>
      <c r="B202" s="4"/>
      <c r="C202" s="4"/>
      <c r="D202" s="22"/>
      <c r="E202" s="4"/>
      <c r="F202" s="4"/>
      <c r="G202" s="4"/>
      <c r="H202" s="24"/>
      <c r="I202" s="4"/>
      <c r="J202" s="4"/>
      <c r="K202" s="4"/>
      <c r="L202" s="4"/>
      <c r="M202" s="7"/>
      <c r="N202" s="7"/>
      <c r="O202" s="7"/>
      <c r="P202" s="7"/>
      <c r="Q202" s="7"/>
      <c r="R202" s="7"/>
      <c r="S202" s="7"/>
      <c r="T202" s="7"/>
      <c r="U202" s="7"/>
      <c r="V202" s="7"/>
      <c r="W202" s="7"/>
      <c r="X202" s="7"/>
      <c r="Y202" s="7"/>
      <c r="Z202" s="7"/>
    </row>
    <row r="203" ht="12.75" customHeight="1">
      <c r="A203" s="4"/>
      <c r="B203" s="4"/>
      <c r="C203" s="4"/>
      <c r="D203" s="22"/>
      <c r="E203" s="4"/>
      <c r="F203" s="4"/>
      <c r="G203" s="4"/>
      <c r="H203" s="24"/>
      <c r="I203" s="4"/>
      <c r="J203" s="4"/>
      <c r="K203" s="4"/>
      <c r="L203" s="4"/>
      <c r="M203" s="7"/>
      <c r="N203" s="7"/>
      <c r="O203" s="7"/>
      <c r="P203" s="7"/>
      <c r="Q203" s="7"/>
      <c r="R203" s="7"/>
      <c r="S203" s="7"/>
      <c r="T203" s="7"/>
      <c r="U203" s="7"/>
      <c r="V203" s="7"/>
      <c r="W203" s="7"/>
      <c r="X203" s="7"/>
      <c r="Y203" s="7"/>
      <c r="Z203" s="7"/>
    </row>
    <row r="204" ht="12.75" customHeight="1">
      <c r="A204" s="4"/>
      <c r="B204" s="4"/>
      <c r="C204" s="4"/>
      <c r="D204" s="22"/>
      <c r="E204" s="4"/>
      <c r="F204" s="4"/>
      <c r="G204" s="4"/>
      <c r="H204" s="24"/>
      <c r="I204" s="4"/>
      <c r="J204" s="4"/>
      <c r="K204" s="4"/>
      <c r="L204" s="4"/>
      <c r="M204" s="7"/>
      <c r="N204" s="7"/>
      <c r="O204" s="7"/>
      <c r="P204" s="7"/>
      <c r="Q204" s="7"/>
      <c r="R204" s="7"/>
      <c r="S204" s="7"/>
      <c r="T204" s="7"/>
      <c r="U204" s="7"/>
      <c r="V204" s="7"/>
      <c r="W204" s="7"/>
      <c r="X204" s="7"/>
      <c r="Y204" s="7"/>
      <c r="Z204" s="7"/>
    </row>
    <row r="205" ht="12.75" customHeight="1">
      <c r="A205" s="4"/>
      <c r="B205" s="4"/>
      <c r="C205" s="4"/>
      <c r="D205" s="22"/>
      <c r="E205" s="4"/>
      <c r="F205" s="4"/>
      <c r="G205" s="4"/>
      <c r="H205" s="24"/>
      <c r="I205" s="4"/>
      <c r="J205" s="4"/>
      <c r="K205" s="4"/>
      <c r="L205" s="4"/>
      <c r="M205" s="7"/>
      <c r="N205" s="7"/>
      <c r="O205" s="7"/>
      <c r="P205" s="7"/>
      <c r="Q205" s="7"/>
      <c r="R205" s="7"/>
      <c r="S205" s="7"/>
      <c r="T205" s="7"/>
      <c r="U205" s="7"/>
      <c r="V205" s="7"/>
      <c r="W205" s="7"/>
      <c r="X205" s="7"/>
      <c r="Y205" s="7"/>
      <c r="Z205" s="7"/>
    </row>
    <row r="206" ht="12.75" customHeight="1">
      <c r="A206" s="4"/>
      <c r="B206" s="4"/>
      <c r="C206" s="4"/>
      <c r="D206" s="22"/>
      <c r="E206" s="4"/>
      <c r="F206" s="4"/>
      <c r="G206" s="4"/>
      <c r="H206" s="24"/>
      <c r="I206" s="4"/>
      <c r="J206" s="4"/>
      <c r="K206" s="4"/>
      <c r="L206" s="4"/>
      <c r="M206" s="7"/>
      <c r="N206" s="7"/>
      <c r="O206" s="7"/>
      <c r="P206" s="7"/>
      <c r="Q206" s="7"/>
      <c r="R206" s="7"/>
      <c r="S206" s="7"/>
      <c r="T206" s="7"/>
      <c r="U206" s="7"/>
      <c r="V206" s="7"/>
      <c r="W206" s="7"/>
      <c r="X206" s="7"/>
      <c r="Y206" s="7"/>
      <c r="Z206" s="7"/>
    </row>
    <row r="207" ht="12.75" customHeight="1">
      <c r="A207" s="4"/>
      <c r="B207" s="4"/>
      <c r="C207" s="4"/>
      <c r="D207" s="22"/>
      <c r="E207" s="4"/>
      <c r="F207" s="4"/>
      <c r="G207" s="4"/>
      <c r="H207" s="24"/>
      <c r="I207" s="4"/>
      <c r="J207" s="4"/>
      <c r="K207" s="4"/>
      <c r="L207" s="4"/>
      <c r="M207" s="7"/>
      <c r="N207" s="7"/>
      <c r="O207" s="7"/>
      <c r="P207" s="7"/>
      <c r="Q207" s="7"/>
      <c r="R207" s="7"/>
      <c r="S207" s="7"/>
      <c r="T207" s="7"/>
      <c r="U207" s="7"/>
      <c r="V207" s="7"/>
      <c r="W207" s="7"/>
      <c r="X207" s="7"/>
      <c r="Y207" s="7"/>
      <c r="Z207" s="7"/>
    </row>
    <row r="208" ht="12.75" customHeight="1">
      <c r="A208" s="4"/>
      <c r="B208" s="4"/>
      <c r="C208" s="4"/>
      <c r="D208" s="22"/>
      <c r="E208" s="4"/>
      <c r="F208" s="4"/>
      <c r="G208" s="4"/>
      <c r="H208" s="24"/>
      <c r="I208" s="4"/>
      <c r="J208" s="4"/>
      <c r="K208" s="4"/>
      <c r="L208" s="4"/>
      <c r="M208" s="7"/>
      <c r="N208" s="7"/>
      <c r="O208" s="7"/>
      <c r="P208" s="7"/>
      <c r="Q208" s="7"/>
      <c r="R208" s="7"/>
      <c r="S208" s="7"/>
      <c r="T208" s="7"/>
      <c r="U208" s="7"/>
      <c r="V208" s="7"/>
      <c r="W208" s="7"/>
      <c r="X208" s="7"/>
      <c r="Y208" s="7"/>
      <c r="Z208" s="7"/>
    </row>
    <row r="209" ht="12.75" customHeight="1">
      <c r="A209" s="4"/>
      <c r="B209" s="4"/>
      <c r="C209" s="4"/>
      <c r="D209" s="22"/>
      <c r="E209" s="4"/>
      <c r="F209" s="4"/>
      <c r="G209" s="4"/>
      <c r="H209" s="24"/>
      <c r="I209" s="4"/>
      <c r="J209" s="4"/>
      <c r="K209" s="4"/>
      <c r="L209" s="4"/>
      <c r="M209" s="7"/>
      <c r="N209" s="7"/>
      <c r="O209" s="7"/>
      <c r="P209" s="7"/>
      <c r="Q209" s="7"/>
      <c r="R209" s="7"/>
      <c r="S209" s="7"/>
      <c r="T209" s="7"/>
      <c r="U209" s="7"/>
      <c r="V209" s="7"/>
      <c r="W209" s="7"/>
      <c r="X209" s="7"/>
      <c r="Y209" s="7"/>
      <c r="Z209" s="7"/>
    </row>
    <row r="210" ht="12.75" customHeight="1">
      <c r="A210" s="4"/>
      <c r="B210" s="4"/>
      <c r="C210" s="4"/>
      <c r="D210" s="22"/>
      <c r="E210" s="4"/>
      <c r="F210" s="4"/>
      <c r="G210" s="4"/>
      <c r="H210" s="24"/>
      <c r="I210" s="4"/>
      <c r="J210" s="4"/>
      <c r="K210" s="4"/>
      <c r="L210" s="4"/>
      <c r="M210" s="7"/>
      <c r="N210" s="7"/>
      <c r="O210" s="7"/>
      <c r="P210" s="7"/>
      <c r="Q210" s="7"/>
      <c r="R210" s="7"/>
      <c r="S210" s="7"/>
      <c r="T210" s="7"/>
      <c r="U210" s="7"/>
      <c r="V210" s="7"/>
      <c r="W210" s="7"/>
      <c r="X210" s="7"/>
      <c r="Y210" s="7"/>
      <c r="Z210" s="7"/>
    </row>
    <row r="211" ht="12.75" customHeight="1">
      <c r="A211" s="4"/>
      <c r="B211" s="4"/>
      <c r="C211" s="4"/>
      <c r="D211" s="22"/>
      <c r="E211" s="4"/>
      <c r="F211" s="4"/>
      <c r="G211" s="4"/>
      <c r="H211" s="24"/>
      <c r="I211" s="4"/>
      <c r="J211" s="4"/>
      <c r="K211" s="4"/>
      <c r="L211" s="4"/>
      <c r="M211" s="7"/>
      <c r="N211" s="7"/>
      <c r="O211" s="7"/>
      <c r="P211" s="7"/>
      <c r="Q211" s="7"/>
      <c r="R211" s="7"/>
      <c r="S211" s="7"/>
      <c r="T211" s="7"/>
      <c r="U211" s="7"/>
      <c r="V211" s="7"/>
      <c r="W211" s="7"/>
      <c r="X211" s="7"/>
      <c r="Y211" s="7"/>
      <c r="Z211" s="7"/>
    </row>
    <row r="212" ht="12.75" customHeight="1">
      <c r="A212" s="4"/>
      <c r="B212" s="4"/>
      <c r="C212" s="4"/>
      <c r="D212" s="22"/>
      <c r="E212" s="4"/>
      <c r="F212" s="4"/>
      <c r="G212" s="4"/>
      <c r="H212" s="24"/>
      <c r="I212" s="4"/>
      <c r="J212" s="4"/>
      <c r="K212" s="4"/>
      <c r="L212" s="4"/>
      <c r="M212" s="7"/>
      <c r="N212" s="7"/>
      <c r="O212" s="7"/>
      <c r="P212" s="7"/>
      <c r="Q212" s="7"/>
      <c r="R212" s="7"/>
      <c r="S212" s="7"/>
      <c r="T212" s="7"/>
      <c r="U212" s="7"/>
      <c r="V212" s="7"/>
      <c r="W212" s="7"/>
      <c r="X212" s="7"/>
      <c r="Y212" s="7"/>
      <c r="Z212" s="7"/>
    </row>
    <row r="213" ht="12.75" customHeight="1">
      <c r="A213" s="4"/>
      <c r="B213" s="4"/>
      <c r="C213" s="4"/>
      <c r="D213" s="22"/>
      <c r="E213" s="4"/>
      <c r="F213" s="4"/>
      <c r="G213" s="4"/>
      <c r="H213" s="24"/>
      <c r="I213" s="4"/>
      <c r="J213" s="4"/>
      <c r="K213" s="4"/>
      <c r="L213" s="4"/>
      <c r="M213" s="7"/>
      <c r="N213" s="7"/>
      <c r="O213" s="7"/>
      <c r="P213" s="7"/>
      <c r="Q213" s="7"/>
      <c r="R213" s="7"/>
      <c r="S213" s="7"/>
      <c r="T213" s="7"/>
      <c r="U213" s="7"/>
      <c r="V213" s="7"/>
      <c r="W213" s="7"/>
      <c r="X213" s="7"/>
      <c r="Y213" s="7"/>
      <c r="Z213" s="7"/>
    </row>
    <row r="214" ht="12.75" customHeight="1">
      <c r="A214" s="4"/>
      <c r="B214" s="4"/>
      <c r="C214" s="4"/>
      <c r="D214" s="22"/>
      <c r="E214" s="4"/>
      <c r="F214" s="4"/>
      <c r="G214" s="4"/>
      <c r="H214" s="24"/>
      <c r="I214" s="4"/>
      <c r="J214" s="4"/>
      <c r="K214" s="4"/>
      <c r="L214" s="4"/>
      <c r="M214" s="7"/>
      <c r="N214" s="7"/>
      <c r="O214" s="7"/>
      <c r="P214" s="7"/>
      <c r="Q214" s="7"/>
      <c r="R214" s="7"/>
      <c r="S214" s="7"/>
      <c r="T214" s="7"/>
      <c r="U214" s="7"/>
      <c r="V214" s="7"/>
      <c r="W214" s="7"/>
      <c r="X214" s="7"/>
      <c r="Y214" s="7"/>
      <c r="Z214" s="7"/>
    </row>
    <row r="215" ht="12.75" customHeight="1">
      <c r="A215" s="4"/>
      <c r="B215" s="4"/>
      <c r="C215" s="4"/>
      <c r="D215" s="22"/>
      <c r="E215" s="4"/>
      <c r="F215" s="4"/>
      <c r="G215" s="4"/>
      <c r="H215" s="24"/>
      <c r="I215" s="4"/>
      <c r="J215" s="4"/>
      <c r="K215" s="4"/>
      <c r="L215" s="4"/>
      <c r="M215" s="7"/>
      <c r="N215" s="7"/>
      <c r="O215" s="7"/>
      <c r="P215" s="7"/>
      <c r="Q215" s="7"/>
      <c r="R215" s="7"/>
      <c r="S215" s="7"/>
      <c r="T215" s="7"/>
      <c r="U215" s="7"/>
      <c r="V215" s="7"/>
      <c r="W215" s="7"/>
      <c r="X215" s="7"/>
      <c r="Y215" s="7"/>
      <c r="Z215" s="7"/>
    </row>
    <row r="216" ht="12.75" customHeight="1">
      <c r="A216" s="4"/>
      <c r="B216" s="4"/>
      <c r="C216" s="4"/>
      <c r="D216" s="22"/>
      <c r="E216" s="4"/>
      <c r="F216" s="4"/>
      <c r="G216" s="4"/>
      <c r="H216" s="24"/>
      <c r="I216" s="4"/>
      <c r="J216" s="4"/>
      <c r="K216" s="4"/>
      <c r="L216" s="4"/>
      <c r="M216" s="7"/>
      <c r="N216" s="7"/>
      <c r="O216" s="7"/>
      <c r="P216" s="7"/>
      <c r="Q216" s="7"/>
      <c r="R216" s="7"/>
      <c r="S216" s="7"/>
      <c r="T216" s="7"/>
      <c r="U216" s="7"/>
      <c r="V216" s="7"/>
      <c r="W216" s="7"/>
      <c r="X216" s="7"/>
      <c r="Y216" s="7"/>
      <c r="Z216" s="7"/>
    </row>
    <row r="217" ht="12.75" customHeight="1">
      <c r="A217" s="4"/>
      <c r="B217" s="4"/>
      <c r="C217" s="4"/>
      <c r="D217" s="22"/>
      <c r="E217" s="4"/>
      <c r="F217" s="4"/>
      <c r="G217" s="4"/>
      <c r="H217" s="24"/>
      <c r="I217" s="4"/>
      <c r="J217" s="4"/>
      <c r="K217" s="4"/>
      <c r="L217" s="4"/>
      <c r="M217" s="7"/>
      <c r="N217" s="7"/>
      <c r="O217" s="7"/>
      <c r="P217" s="7"/>
      <c r="Q217" s="7"/>
      <c r="R217" s="7"/>
      <c r="S217" s="7"/>
      <c r="T217" s="7"/>
      <c r="U217" s="7"/>
      <c r="V217" s="7"/>
      <c r="W217" s="7"/>
      <c r="X217" s="7"/>
      <c r="Y217" s="7"/>
      <c r="Z217" s="7"/>
    </row>
    <row r="218" ht="12.75" customHeight="1">
      <c r="A218" s="4"/>
      <c r="B218" s="4"/>
      <c r="C218" s="4"/>
      <c r="D218" s="22"/>
      <c r="E218" s="4"/>
      <c r="F218" s="4"/>
      <c r="G218" s="4"/>
      <c r="H218" s="24"/>
      <c r="I218" s="4"/>
      <c r="J218" s="4"/>
      <c r="K218" s="4"/>
      <c r="L218" s="4"/>
      <c r="M218" s="7"/>
      <c r="N218" s="7"/>
      <c r="O218" s="7"/>
      <c r="P218" s="7"/>
      <c r="Q218" s="7"/>
      <c r="R218" s="7"/>
      <c r="S218" s="7"/>
      <c r="T218" s="7"/>
      <c r="U218" s="7"/>
      <c r="V218" s="7"/>
      <c r="W218" s="7"/>
      <c r="X218" s="7"/>
      <c r="Y218" s="7"/>
      <c r="Z218" s="7"/>
    </row>
    <row r="219" ht="12.75" customHeight="1">
      <c r="A219" s="4"/>
      <c r="B219" s="4"/>
      <c r="C219" s="4"/>
      <c r="D219" s="22"/>
      <c r="E219" s="4"/>
      <c r="F219" s="4"/>
      <c r="G219" s="4"/>
      <c r="H219" s="24"/>
      <c r="I219" s="4"/>
      <c r="J219" s="4"/>
      <c r="K219" s="4"/>
      <c r="L219" s="4"/>
      <c r="M219" s="7"/>
      <c r="N219" s="7"/>
      <c r="O219" s="7"/>
      <c r="P219" s="7"/>
      <c r="Q219" s="7"/>
      <c r="R219" s="7"/>
      <c r="S219" s="7"/>
      <c r="T219" s="7"/>
      <c r="U219" s="7"/>
      <c r="V219" s="7"/>
      <c r="W219" s="7"/>
      <c r="X219" s="7"/>
      <c r="Y219" s="7"/>
      <c r="Z219" s="7"/>
    </row>
    <row r="220" ht="12.75" customHeight="1">
      <c r="A220" s="4"/>
      <c r="B220" s="4"/>
      <c r="C220" s="4"/>
      <c r="D220" s="22"/>
      <c r="E220" s="4"/>
      <c r="F220" s="4"/>
      <c r="G220" s="4"/>
      <c r="H220" s="24"/>
      <c r="I220" s="4"/>
      <c r="J220" s="4"/>
      <c r="K220" s="4"/>
      <c r="L220" s="4"/>
      <c r="M220" s="7"/>
      <c r="N220" s="7"/>
      <c r="O220" s="7"/>
      <c r="P220" s="7"/>
      <c r="Q220" s="7"/>
      <c r="R220" s="7"/>
      <c r="S220" s="7"/>
      <c r="T220" s="7"/>
      <c r="U220" s="7"/>
      <c r="V220" s="7"/>
      <c r="W220" s="7"/>
      <c r="X220" s="7"/>
      <c r="Y220" s="7"/>
      <c r="Z220" s="7"/>
    </row>
    <row r="221" ht="12.75" customHeight="1">
      <c r="A221" s="4"/>
      <c r="B221" s="4"/>
      <c r="C221" s="4"/>
      <c r="D221" s="22"/>
      <c r="E221" s="4"/>
      <c r="F221" s="4"/>
      <c r="G221" s="4"/>
      <c r="H221" s="24"/>
      <c r="I221" s="4"/>
      <c r="J221" s="4"/>
      <c r="K221" s="4"/>
      <c r="L221" s="4"/>
      <c r="M221" s="7"/>
      <c r="N221" s="7"/>
      <c r="O221" s="7"/>
      <c r="P221" s="7"/>
      <c r="Q221" s="7"/>
      <c r="R221" s="7"/>
      <c r="S221" s="7"/>
      <c r="T221" s="7"/>
      <c r="U221" s="7"/>
      <c r="V221" s="7"/>
      <c r="W221" s="7"/>
      <c r="X221" s="7"/>
      <c r="Y221" s="7"/>
      <c r="Z221" s="7"/>
    </row>
    <row r="222" ht="12.75" customHeight="1">
      <c r="A222" s="4"/>
      <c r="B222" s="4"/>
      <c r="C222" s="4"/>
      <c r="D222" s="22"/>
      <c r="E222" s="4"/>
      <c r="F222" s="4"/>
      <c r="G222" s="4"/>
      <c r="H222" s="24"/>
      <c r="I222" s="4"/>
      <c r="J222" s="4"/>
      <c r="K222" s="4"/>
      <c r="L222" s="4"/>
      <c r="M222" s="7"/>
      <c r="N222" s="7"/>
      <c r="O222" s="7"/>
      <c r="P222" s="7"/>
      <c r="Q222" s="7"/>
      <c r="R222" s="7"/>
      <c r="S222" s="7"/>
      <c r="T222" s="7"/>
      <c r="U222" s="7"/>
      <c r="V222" s="7"/>
      <c r="W222" s="7"/>
      <c r="X222" s="7"/>
      <c r="Y222" s="7"/>
      <c r="Z222" s="7"/>
    </row>
    <row r="223" ht="12.75" customHeight="1">
      <c r="A223" s="4"/>
      <c r="B223" s="4"/>
      <c r="C223" s="4"/>
      <c r="D223" s="22"/>
      <c r="E223" s="4"/>
      <c r="F223" s="4"/>
      <c r="G223" s="4"/>
      <c r="H223" s="24"/>
      <c r="I223" s="4"/>
      <c r="J223" s="4"/>
      <c r="K223" s="4"/>
      <c r="L223" s="4"/>
      <c r="M223" s="7"/>
      <c r="N223" s="7"/>
      <c r="O223" s="7"/>
      <c r="P223" s="7"/>
      <c r="Q223" s="7"/>
      <c r="R223" s="7"/>
      <c r="S223" s="7"/>
      <c r="T223" s="7"/>
      <c r="U223" s="7"/>
      <c r="V223" s="7"/>
      <c r="W223" s="7"/>
      <c r="X223" s="7"/>
      <c r="Y223" s="7"/>
      <c r="Z223" s="7"/>
    </row>
    <row r="224" ht="12.75" customHeight="1">
      <c r="A224" s="4"/>
      <c r="B224" s="4"/>
      <c r="C224" s="4"/>
      <c r="D224" s="22"/>
      <c r="E224" s="4"/>
      <c r="F224" s="4"/>
      <c r="G224" s="4"/>
      <c r="H224" s="24"/>
      <c r="I224" s="4"/>
      <c r="J224" s="4"/>
      <c r="K224" s="4"/>
      <c r="L224" s="4"/>
      <c r="M224" s="7"/>
      <c r="N224" s="7"/>
      <c r="O224" s="7"/>
      <c r="P224" s="7"/>
      <c r="Q224" s="7"/>
      <c r="R224" s="7"/>
      <c r="S224" s="7"/>
      <c r="T224" s="7"/>
      <c r="U224" s="7"/>
      <c r="V224" s="7"/>
      <c r="W224" s="7"/>
      <c r="X224" s="7"/>
      <c r="Y224" s="7"/>
      <c r="Z224" s="7"/>
    </row>
    <row r="225" ht="12.75" customHeight="1">
      <c r="A225" s="4"/>
      <c r="B225" s="4"/>
      <c r="C225" s="4"/>
      <c r="D225" s="22"/>
      <c r="E225" s="4"/>
      <c r="F225" s="4"/>
      <c r="G225" s="4"/>
      <c r="H225" s="24"/>
      <c r="I225" s="4"/>
      <c r="J225" s="4"/>
      <c r="K225" s="4"/>
      <c r="L225" s="4"/>
      <c r="M225" s="7"/>
      <c r="N225" s="7"/>
      <c r="O225" s="7"/>
      <c r="P225" s="7"/>
      <c r="Q225" s="7"/>
      <c r="R225" s="7"/>
      <c r="S225" s="7"/>
      <c r="T225" s="7"/>
      <c r="U225" s="7"/>
      <c r="V225" s="7"/>
      <c r="W225" s="7"/>
      <c r="X225" s="7"/>
      <c r="Y225" s="7"/>
      <c r="Z225" s="7"/>
    </row>
    <row r="226" ht="12.75" customHeight="1">
      <c r="A226" s="4"/>
      <c r="B226" s="4"/>
      <c r="C226" s="4"/>
      <c r="D226" s="22"/>
      <c r="E226" s="4"/>
      <c r="F226" s="4"/>
      <c r="G226" s="4"/>
      <c r="H226" s="24"/>
      <c r="I226" s="4"/>
      <c r="J226" s="4"/>
      <c r="K226" s="4"/>
      <c r="L226" s="4"/>
      <c r="M226" s="7"/>
      <c r="N226" s="7"/>
      <c r="O226" s="7"/>
      <c r="P226" s="7"/>
      <c r="Q226" s="7"/>
      <c r="R226" s="7"/>
      <c r="S226" s="7"/>
      <c r="T226" s="7"/>
      <c r="U226" s="7"/>
      <c r="V226" s="7"/>
      <c r="W226" s="7"/>
      <c r="X226" s="7"/>
      <c r="Y226" s="7"/>
      <c r="Z226" s="7"/>
    </row>
    <row r="227" ht="12.75" customHeight="1">
      <c r="A227" s="4"/>
      <c r="B227" s="4"/>
      <c r="C227" s="4"/>
      <c r="D227" s="22"/>
      <c r="E227" s="4"/>
      <c r="F227" s="4"/>
      <c r="G227" s="4"/>
      <c r="H227" s="24"/>
      <c r="I227" s="4"/>
      <c r="J227" s="4"/>
      <c r="K227" s="4"/>
      <c r="L227" s="4"/>
      <c r="M227" s="7"/>
      <c r="N227" s="7"/>
      <c r="O227" s="7"/>
      <c r="P227" s="7"/>
      <c r="Q227" s="7"/>
      <c r="R227" s="7"/>
      <c r="S227" s="7"/>
      <c r="T227" s="7"/>
      <c r="U227" s="7"/>
      <c r="V227" s="7"/>
      <c r="W227" s="7"/>
      <c r="X227" s="7"/>
      <c r="Y227" s="7"/>
      <c r="Z227" s="7"/>
    </row>
    <row r="228" ht="12.75" customHeight="1">
      <c r="A228" s="4"/>
      <c r="B228" s="4"/>
      <c r="C228" s="4"/>
      <c r="D228" s="22"/>
      <c r="E228" s="4"/>
      <c r="F228" s="4"/>
      <c r="G228" s="4"/>
      <c r="H228" s="24"/>
      <c r="I228" s="4"/>
      <c r="J228" s="4"/>
      <c r="K228" s="4"/>
      <c r="L228" s="4"/>
      <c r="M228" s="7"/>
      <c r="N228" s="7"/>
      <c r="O228" s="7"/>
      <c r="P228" s="7"/>
      <c r="Q228" s="7"/>
      <c r="R228" s="7"/>
      <c r="S228" s="7"/>
      <c r="T228" s="7"/>
      <c r="U228" s="7"/>
      <c r="V228" s="7"/>
      <c r="W228" s="7"/>
      <c r="X228" s="7"/>
      <c r="Y228" s="7"/>
      <c r="Z228" s="7"/>
    </row>
    <row r="229" ht="12.75" customHeight="1">
      <c r="A229" s="4"/>
      <c r="B229" s="4"/>
      <c r="C229" s="4"/>
      <c r="D229" s="22"/>
      <c r="E229" s="4"/>
      <c r="F229" s="4"/>
      <c r="G229" s="4"/>
      <c r="H229" s="24"/>
      <c r="I229" s="4"/>
      <c r="J229" s="4"/>
      <c r="K229" s="4"/>
      <c r="L229" s="4"/>
      <c r="M229" s="7"/>
      <c r="N229" s="7"/>
      <c r="O229" s="7"/>
      <c r="P229" s="7"/>
      <c r="Q229" s="7"/>
      <c r="R229" s="7"/>
      <c r="S229" s="7"/>
      <c r="T229" s="7"/>
      <c r="U229" s="7"/>
      <c r="V229" s="7"/>
      <c r="W229" s="7"/>
      <c r="X229" s="7"/>
      <c r="Y229" s="7"/>
      <c r="Z229" s="7"/>
    </row>
    <row r="230" ht="12.75" customHeight="1">
      <c r="A230" s="4"/>
      <c r="B230" s="4"/>
      <c r="C230" s="4"/>
      <c r="D230" s="22"/>
      <c r="E230" s="4"/>
      <c r="F230" s="4"/>
      <c r="G230" s="4"/>
      <c r="H230" s="24"/>
      <c r="I230" s="4"/>
      <c r="J230" s="4"/>
      <c r="K230" s="4"/>
      <c r="L230" s="4"/>
      <c r="M230" s="7"/>
      <c r="N230" s="7"/>
      <c r="O230" s="7"/>
      <c r="P230" s="7"/>
      <c r="Q230" s="7"/>
      <c r="R230" s="7"/>
      <c r="S230" s="7"/>
      <c r="T230" s="7"/>
      <c r="U230" s="7"/>
      <c r="V230" s="7"/>
      <c r="W230" s="7"/>
      <c r="X230" s="7"/>
      <c r="Y230" s="7"/>
      <c r="Z230" s="7"/>
    </row>
    <row r="231" ht="12.75" customHeight="1">
      <c r="A231" s="4"/>
      <c r="B231" s="4"/>
      <c r="C231" s="4"/>
      <c r="D231" s="22"/>
      <c r="E231" s="4"/>
      <c r="F231" s="4"/>
      <c r="G231" s="4"/>
      <c r="H231" s="24"/>
      <c r="I231" s="4"/>
      <c r="J231" s="4"/>
      <c r="K231" s="4"/>
      <c r="L231" s="4"/>
      <c r="M231" s="7"/>
      <c r="N231" s="7"/>
      <c r="O231" s="7"/>
      <c r="P231" s="7"/>
      <c r="Q231" s="7"/>
      <c r="R231" s="7"/>
      <c r="S231" s="7"/>
      <c r="T231" s="7"/>
      <c r="U231" s="7"/>
      <c r="V231" s="7"/>
      <c r="W231" s="7"/>
      <c r="X231" s="7"/>
      <c r="Y231" s="7"/>
      <c r="Z231" s="7"/>
    </row>
    <row r="232" ht="12.75" customHeight="1">
      <c r="A232" s="4"/>
      <c r="B232" s="4"/>
      <c r="C232" s="4"/>
      <c r="D232" s="22"/>
      <c r="E232" s="4"/>
      <c r="F232" s="4"/>
      <c r="G232" s="4"/>
      <c r="H232" s="24"/>
      <c r="I232" s="4"/>
      <c r="J232" s="4"/>
      <c r="K232" s="4"/>
      <c r="L232" s="4"/>
      <c r="M232" s="7"/>
      <c r="N232" s="7"/>
      <c r="O232" s="7"/>
      <c r="P232" s="7"/>
      <c r="Q232" s="7"/>
      <c r="R232" s="7"/>
      <c r="S232" s="7"/>
      <c r="T232" s="7"/>
      <c r="U232" s="7"/>
      <c r="V232" s="7"/>
      <c r="W232" s="7"/>
      <c r="X232" s="7"/>
      <c r="Y232" s="7"/>
      <c r="Z232" s="7"/>
    </row>
    <row r="233" ht="12.75" customHeight="1">
      <c r="A233" s="4"/>
      <c r="B233" s="4"/>
      <c r="C233" s="4"/>
      <c r="D233" s="22"/>
      <c r="E233" s="4"/>
      <c r="F233" s="4"/>
      <c r="G233" s="4"/>
      <c r="H233" s="24"/>
      <c r="I233" s="4"/>
      <c r="J233" s="4"/>
      <c r="K233" s="4"/>
      <c r="L233" s="4"/>
      <c r="M233" s="7"/>
      <c r="N233" s="7"/>
      <c r="O233" s="7"/>
      <c r="P233" s="7"/>
      <c r="Q233" s="7"/>
      <c r="R233" s="7"/>
      <c r="S233" s="7"/>
      <c r="T233" s="7"/>
      <c r="U233" s="7"/>
      <c r="V233" s="7"/>
      <c r="W233" s="7"/>
      <c r="X233" s="7"/>
      <c r="Y233" s="7"/>
      <c r="Z233" s="7"/>
    </row>
    <row r="234" ht="12.75" customHeight="1">
      <c r="A234" s="4"/>
      <c r="B234" s="4"/>
      <c r="C234" s="4"/>
      <c r="D234" s="22"/>
      <c r="E234" s="4"/>
      <c r="F234" s="4"/>
      <c r="G234" s="4"/>
      <c r="H234" s="24"/>
      <c r="I234" s="4"/>
      <c r="J234" s="4"/>
      <c r="K234" s="4"/>
      <c r="L234" s="4"/>
      <c r="M234" s="7"/>
      <c r="N234" s="7"/>
      <c r="O234" s="7"/>
      <c r="P234" s="7"/>
      <c r="Q234" s="7"/>
      <c r="R234" s="7"/>
      <c r="S234" s="7"/>
      <c r="T234" s="7"/>
      <c r="U234" s="7"/>
      <c r="V234" s="7"/>
      <c r="W234" s="7"/>
      <c r="X234" s="7"/>
      <c r="Y234" s="7"/>
      <c r="Z234" s="7"/>
    </row>
    <row r="235" ht="12.75" customHeight="1">
      <c r="A235" s="4"/>
      <c r="B235" s="4"/>
      <c r="C235" s="4"/>
      <c r="D235" s="22"/>
      <c r="E235" s="4"/>
      <c r="F235" s="4"/>
      <c r="G235" s="4"/>
      <c r="H235" s="24"/>
      <c r="I235" s="4"/>
      <c r="J235" s="4"/>
      <c r="K235" s="4"/>
      <c r="L235" s="4"/>
      <c r="M235" s="7"/>
      <c r="N235" s="7"/>
      <c r="O235" s="7"/>
      <c r="P235" s="7"/>
      <c r="Q235" s="7"/>
      <c r="R235" s="7"/>
      <c r="S235" s="7"/>
      <c r="T235" s="7"/>
      <c r="U235" s="7"/>
      <c r="V235" s="7"/>
      <c r="W235" s="7"/>
      <c r="X235" s="7"/>
      <c r="Y235" s="7"/>
      <c r="Z235" s="7"/>
    </row>
    <row r="236" ht="12.75" customHeight="1">
      <c r="A236" s="4"/>
      <c r="B236" s="4"/>
      <c r="C236" s="4"/>
      <c r="D236" s="22"/>
      <c r="E236" s="4"/>
      <c r="F236" s="4"/>
      <c r="G236" s="4"/>
      <c r="H236" s="24"/>
      <c r="I236" s="4"/>
      <c r="J236" s="4"/>
      <c r="K236" s="4"/>
      <c r="L236" s="4"/>
      <c r="M236" s="7"/>
      <c r="N236" s="7"/>
      <c r="O236" s="7"/>
      <c r="P236" s="7"/>
      <c r="Q236" s="7"/>
      <c r="R236" s="7"/>
      <c r="S236" s="7"/>
      <c r="T236" s="7"/>
      <c r="U236" s="7"/>
      <c r="V236" s="7"/>
      <c r="W236" s="7"/>
      <c r="X236" s="7"/>
      <c r="Y236" s="7"/>
      <c r="Z236" s="7"/>
    </row>
    <row r="237" ht="12.75" customHeight="1">
      <c r="A237" s="4"/>
      <c r="B237" s="4"/>
      <c r="C237" s="4"/>
      <c r="D237" s="22"/>
      <c r="E237" s="4"/>
      <c r="F237" s="4"/>
      <c r="G237" s="4"/>
      <c r="H237" s="24"/>
      <c r="I237" s="4"/>
      <c r="J237" s="4"/>
      <c r="K237" s="4"/>
      <c r="L237" s="4"/>
      <c r="M237" s="7"/>
      <c r="N237" s="7"/>
      <c r="O237" s="7"/>
      <c r="P237" s="7"/>
      <c r="Q237" s="7"/>
      <c r="R237" s="7"/>
      <c r="S237" s="7"/>
      <c r="T237" s="7"/>
      <c r="U237" s="7"/>
      <c r="V237" s="7"/>
      <c r="W237" s="7"/>
      <c r="X237" s="7"/>
      <c r="Y237" s="7"/>
      <c r="Z237" s="7"/>
    </row>
    <row r="238" ht="12.75" customHeight="1">
      <c r="A238" s="4"/>
      <c r="B238" s="4"/>
      <c r="C238" s="4"/>
      <c r="D238" s="22"/>
      <c r="E238" s="4"/>
      <c r="F238" s="4"/>
      <c r="G238" s="4"/>
      <c r="H238" s="24"/>
      <c r="I238" s="4"/>
      <c r="J238" s="4"/>
      <c r="K238" s="4"/>
      <c r="L238" s="4"/>
      <c r="M238" s="7"/>
      <c r="N238" s="7"/>
      <c r="O238" s="7"/>
      <c r="P238" s="7"/>
      <c r="Q238" s="7"/>
      <c r="R238" s="7"/>
      <c r="S238" s="7"/>
      <c r="T238" s="7"/>
      <c r="U238" s="7"/>
      <c r="V238" s="7"/>
      <c r="W238" s="7"/>
      <c r="X238" s="7"/>
      <c r="Y238" s="7"/>
      <c r="Z238" s="7"/>
    </row>
    <row r="239" ht="12.75" customHeight="1">
      <c r="A239" s="4"/>
      <c r="B239" s="4"/>
      <c r="C239" s="4"/>
      <c r="D239" s="22"/>
      <c r="E239" s="4"/>
      <c r="F239" s="4"/>
      <c r="G239" s="4"/>
      <c r="H239" s="24"/>
      <c r="I239" s="4"/>
      <c r="J239" s="4"/>
      <c r="K239" s="4"/>
      <c r="L239" s="4"/>
      <c r="M239" s="7"/>
      <c r="N239" s="7"/>
      <c r="O239" s="7"/>
      <c r="P239" s="7"/>
      <c r="Q239" s="7"/>
      <c r="R239" s="7"/>
      <c r="S239" s="7"/>
      <c r="T239" s="7"/>
      <c r="U239" s="7"/>
      <c r="V239" s="7"/>
      <c r="W239" s="7"/>
      <c r="X239" s="7"/>
      <c r="Y239" s="7"/>
      <c r="Z239" s="7"/>
    </row>
    <row r="240" ht="12.75" customHeight="1">
      <c r="A240" s="4"/>
      <c r="B240" s="4"/>
      <c r="C240" s="4"/>
      <c r="D240" s="22"/>
      <c r="E240" s="4"/>
      <c r="F240" s="4"/>
      <c r="G240" s="4"/>
      <c r="H240" s="24"/>
      <c r="I240" s="4"/>
      <c r="J240" s="4"/>
      <c r="K240" s="4"/>
      <c r="L240" s="4"/>
      <c r="M240" s="7"/>
      <c r="N240" s="7"/>
      <c r="O240" s="7"/>
      <c r="P240" s="7"/>
      <c r="Q240" s="7"/>
      <c r="R240" s="7"/>
      <c r="S240" s="7"/>
      <c r="T240" s="7"/>
      <c r="U240" s="7"/>
      <c r="V240" s="7"/>
      <c r="W240" s="7"/>
      <c r="X240" s="7"/>
      <c r="Y240" s="7"/>
      <c r="Z240" s="7"/>
    </row>
    <row r="241" ht="12.75" customHeight="1">
      <c r="A241" s="4"/>
      <c r="B241" s="4"/>
      <c r="C241" s="4"/>
      <c r="D241" s="22"/>
      <c r="E241" s="4"/>
      <c r="F241" s="4"/>
      <c r="G241" s="4"/>
      <c r="H241" s="24"/>
      <c r="I241" s="4"/>
      <c r="J241" s="4"/>
      <c r="K241" s="4"/>
      <c r="L241" s="4"/>
      <c r="M241" s="7"/>
      <c r="N241" s="7"/>
      <c r="O241" s="7"/>
      <c r="P241" s="7"/>
      <c r="Q241" s="7"/>
      <c r="R241" s="7"/>
      <c r="S241" s="7"/>
      <c r="T241" s="7"/>
      <c r="U241" s="7"/>
      <c r="V241" s="7"/>
      <c r="W241" s="7"/>
      <c r="X241" s="7"/>
      <c r="Y241" s="7"/>
      <c r="Z241" s="7"/>
    </row>
    <row r="242" ht="12.75" customHeight="1">
      <c r="A242" s="4"/>
      <c r="B242" s="4"/>
      <c r="C242" s="4"/>
      <c r="D242" s="22"/>
      <c r="E242" s="4"/>
      <c r="F242" s="4"/>
      <c r="G242" s="4"/>
      <c r="H242" s="24"/>
      <c r="I242" s="4"/>
      <c r="J242" s="4"/>
      <c r="K242" s="4"/>
      <c r="L242" s="4"/>
      <c r="M242" s="7"/>
      <c r="N242" s="7"/>
      <c r="O242" s="7"/>
      <c r="P242" s="7"/>
      <c r="Q242" s="7"/>
      <c r="R242" s="7"/>
      <c r="S242" s="7"/>
      <c r="T242" s="7"/>
      <c r="U242" s="7"/>
      <c r="V242" s="7"/>
      <c r="W242" s="7"/>
      <c r="X242" s="7"/>
      <c r="Y242" s="7"/>
      <c r="Z242" s="7"/>
    </row>
    <row r="243" ht="12.75" customHeight="1">
      <c r="A243" s="4"/>
      <c r="B243" s="4"/>
      <c r="C243" s="4"/>
      <c r="D243" s="22"/>
      <c r="E243" s="4"/>
      <c r="F243" s="4"/>
      <c r="G243" s="4"/>
      <c r="H243" s="24"/>
      <c r="I243" s="4"/>
      <c r="J243" s="4"/>
      <c r="K243" s="4"/>
      <c r="L243" s="4"/>
      <c r="M243" s="7"/>
      <c r="N243" s="7"/>
      <c r="O243" s="7"/>
      <c r="P243" s="7"/>
      <c r="Q243" s="7"/>
      <c r="R243" s="7"/>
      <c r="S243" s="7"/>
      <c r="T243" s="7"/>
      <c r="U243" s="7"/>
      <c r="V243" s="7"/>
      <c r="W243" s="7"/>
      <c r="X243" s="7"/>
      <c r="Y243" s="7"/>
      <c r="Z243" s="7"/>
    </row>
    <row r="244" ht="12.75" customHeight="1">
      <c r="A244" s="4"/>
      <c r="B244" s="4"/>
      <c r="C244" s="4"/>
      <c r="D244" s="22"/>
      <c r="E244" s="4"/>
      <c r="F244" s="4"/>
      <c r="G244" s="4"/>
      <c r="H244" s="24"/>
      <c r="I244" s="4"/>
      <c r="J244" s="4"/>
      <c r="K244" s="4"/>
      <c r="L244" s="4"/>
      <c r="M244" s="7"/>
      <c r="N244" s="7"/>
      <c r="O244" s="7"/>
      <c r="P244" s="7"/>
      <c r="Q244" s="7"/>
      <c r="R244" s="7"/>
      <c r="S244" s="7"/>
      <c r="T244" s="7"/>
      <c r="U244" s="7"/>
      <c r="V244" s="7"/>
      <c r="W244" s="7"/>
      <c r="X244" s="7"/>
      <c r="Y244" s="7"/>
      <c r="Z244" s="7"/>
    </row>
    <row r="245" ht="12.75" customHeight="1">
      <c r="A245" s="4"/>
      <c r="B245" s="4"/>
      <c r="C245" s="4"/>
      <c r="D245" s="22"/>
      <c r="E245" s="4"/>
      <c r="F245" s="4"/>
      <c r="G245" s="4"/>
      <c r="H245" s="24"/>
      <c r="I245" s="4"/>
      <c r="J245" s="4"/>
      <c r="K245" s="4"/>
      <c r="L245" s="4"/>
      <c r="M245" s="7"/>
      <c r="N245" s="7"/>
      <c r="O245" s="7"/>
      <c r="P245" s="7"/>
      <c r="Q245" s="7"/>
      <c r="R245" s="7"/>
      <c r="S245" s="7"/>
      <c r="T245" s="7"/>
      <c r="U245" s="7"/>
      <c r="V245" s="7"/>
      <c r="W245" s="7"/>
      <c r="X245" s="7"/>
      <c r="Y245" s="7"/>
      <c r="Z245" s="7"/>
    </row>
    <row r="246" ht="12.75" customHeight="1">
      <c r="A246" s="4"/>
      <c r="B246" s="4"/>
      <c r="C246" s="4"/>
      <c r="D246" s="22"/>
      <c r="E246" s="4"/>
      <c r="F246" s="4"/>
      <c r="G246" s="4"/>
      <c r="H246" s="24"/>
      <c r="I246" s="4"/>
      <c r="J246" s="4"/>
      <c r="K246" s="4"/>
      <c r="L246" s="4"/>
      <c r="M246" s="7"/>
      <c r="N246" s="7"/>
      <c r="O246" s="7"/>
      <c r="P246" s="7"/>
      <c r="Q246" s="7"/>
      <c r="R246" s="7"/>
      <c r="S246" s="7"/>
      <c r="T246" s="7"/>
      <c r="U246" s="7"/>
      <c r="V246" s="7"/>
      <c r="W246" s="7"/>
      <c r="X246" s="7"/>
      <c r="Y246" s="7"/>
      <c r="Z246" s="7"/>
    </row>
    <row r="247" ht="12.75" customHeight="1">
      <c r="A247" s="4"/>
      <c r="B247" s="4"/>
      <c r="C247" s="4"/>
      <c r="D247" s="22"/>
      <c r="E247" s="4"/>
      <c r="F247" s="4"/>
      <c r="G247" s="4"/>
      <c r="H247" s="24"/>
      <c r="I247" s="4"/>
      <c r="J247" s="4"/>
      <c r="K247" s="4"/>
      <c r="L247" s="4"/>
      <c r="M247" s="7"/>
      <c r="N247" s="7"/>
      <c r="O247" s="7"/>
      <c r="P247" s="7"/>
      <c r="Q247" s="7"/>
      <c r="R247" s="7"/>
      <c r="S247" s="7"/>
      <c r="T247" s="7"/>
      <c r="U247" s="7"/>
      <c r="V247" s="7"/>
      <c r="W247" s="7"/>
      <c r="X247" s="7"/>
      <c r="Y247" s="7"/>
      <c r="Z247" s="7"/>
    </row>
    <row r="248" ht="12.75" customHeight="1">
      <c r="A248" s="4"/>
      <c r="B248" s="4"/>
      <c r="C248" s="4"/>
      <c r="D248" s="22"/>
      <c r="E248" s="4"/>
      <c r="F248" s="4"/>
      <c r="G248" s="4"/>
      <c r="H248" s="24"/>
      <c r="I248" s="4"/>
      <c r="J248" s="4"/>
      <c r="K248" s="4"/>
      <c r="L248" s="4"/>
      <c r="M248" s="7"/>
      <c r="N248" s="7"/>
      <c r="O248" s="7"/>
      <c r="P248" s="7"/>
      <c r="Q248" s="7"/>
      <c r="R248" s="7"/>
      <c r="S248" s="7"/>
      <c r="T248" s="7"/>
      <c r="U248" s="7"/>
      <c r="V248" s="7"/>
      <c r="W248" s="7"/>
      <c r="X248" s="7"/>
      <c r="Y248" s="7"/>
      <c r="Z248" s="7"/>
    </row>
    <row r="249" ht="12.75" customHeight="1">
      <c r="A249" s="4"/>
      <c r="B249" s="4"/>
      <c r="C249" s="4"/>
      <c r="D249" s="22"/>
      <c r="E249" s="4"/>
      <c r="F249" s="4"/>
      <c r="G249" s="4"/>
      <c r="H249" s="24"/>
      <c r="I249" s="4"/>
      <c r="J249" s="4"/>
      <c r="K249" s="4"/>
      <c r="L249" s="4"/>
      <c r="M249" s="7"/>
      <c r="N249" s="7"/>
      <c r="O249" s="7"/>
      <c r="P249" s="7"/>
      <c r="Q249" s="7"/>
      <c r="R249" s="7"/>
      <c r="S249" s="7"/>
      <c r="T249" s="7"/>
      <c r="U249" s="7"/>
      <c r="V249" s="7"/>
      <c r="W249" s="7"/>
      <c r="X249" s="7"/>
      <c r="Y249" s="7"/>
      <c r="Z249" s="7"/>
    </row>
    <row r="250" ht="12.75" customHeight="1">
      <c r="A250" s="4"/>
      <c r="B250" s="4"/>
      <c r="C250" s="4"/>
      <c r="D250" s="22"/>
      <c r="E250" s="4"/>
      <c r="F250" s="4"/>
      <c r="G250" s="4"/>
      <c r="H250" s="24"/>
      <c r="I250" s="4"/>
      <c r="J250" s="4"/>
      <c r="K250" s="4"/>
      <c r="L250" s="4"/>
      <c r="M250" s="7"/>
      <c r="N250" s="7"/>
      <c r="O250" s="7"/>
      <c r="P250" s="7"/>
      <c r="Q250" s="7"/>
      <c r="R250" s="7"/>
      <c r="S250" s="7"/>
      <c r="T250" s="7"/>
      <c r="U250" s="7"/>
      <c r="V250" s="7"/>
      <c r="W250" s="7"/>
      <c r="X250" s="7"/>
      <c r="Y250" s="7"/>
      <c r="Z250" s="7"/>
    </row>
    <row r="251" ht="12.75" customHeight="1">
      <c r="A251" s="4"/>
      <c r="B251" s="4"/>
      <c r="C251" s="4"/>
      <c r="D251" s="22"/>
      <c r="E251" s="4"/>
      <c r="F251" s="4"/>
      <c r="G251" s="4"/>
      <c r="H251" s="24"/>
      <c r="I251" s="4"/>
      <c r="J251" s="4"/>
      <c r="K251" s="4"/>
      <c r="L251" s="4"/>
      <c r="M251" s="7"/>
      <c r="N251" s="7"/>
      <c r="O251" s="7"/>
      <c r="P251" s="7"/>
      <c r="Q251" s="7"/>
      <c r="R251" s="7"/>
      <c r="S251" s="7"/>
      <c r="T251" s="7"/>
      <c r="U251" s="7"/>
      <c r="V251" s="7"/>
      <c r="W251" s="7"/>
      <c r="X251" s="7"/>
      <c r="Y251" s="7"/>
      <c r="Z251" s="7"/>
    </row>
    <row r="252" ht="12.75" customHeight="1">
      <c r="A252" s="4"/>
      <c r="B252" s="4"/>
      <c r="C252" s="4"/>
      <c r="D252" s="22"/>
      <c r="E252" s="4"/>
      <c r="F252" s="4"/>
      <c r="G252" s="4"/>
      <c r="H252" s="24"/>
      <c r="I252" s="4"/>
      <c r="J252" s="4"/>
      <c r="K252" s="4"/>
      <c r="L252" s="4"/>
      <c r="M252" s="7"/>
      <c r="N252" s="7"/>
      <c r="O252" s="7"/>
      <c r="P252" s="7"/>
      <c r="Q252" s="7"/>
      <c r="R252" s="7"/>
      <c r="S252" s="7"/>
      <c r="T252" s="7"/>
      <c r="U252" s="7"/>
      <c r="V252" s="7"/>
      <c r="W252" s="7"/>
      <c r="X252" s="7"/>
      <c r="Y252" s="7"/>
      <c r="Z252" s="7"/>
    </row>
    <row r="253" ht="12.75" customHeight="1">
      <c r="A253" s="4"/>
      <c r="B253" s="4"/>
      <c r="C253" s="4"/>
      <c r="D253" s="22"/>
      <c r="E253" s="4"/>
      <c r="F253" s="4"/>
      <c r="G253" s="4"/>
      <c r="H253" s="24"/>
      <c r="I253" s="4"/>
      <c r="J253" s="4"/>
      <c r="K253" s="4"/>
      <c r="L253" s="4"/>
      <c r="M253" s="7"/>
      <c r="N253" s="7"/>
      <c r="O253" s="7"/>
      <c r="P253" s="7"/>
      <c r="Q253" s="7"/>
      <c r="R253" s="7"/>
      <c r="S253" s="7"/>
      <c r="T253" s="7"/>
      <c r="U253" s="7"/>
      <c r="V253" s="7"/>
      <c r="W253" s="7"/>
      <c r="X253" s="7"/>
      <c r="Y253" s="7"/>
      <c r="Z253" s="7"/>
    </row>
    <row r="254" ht="12.75" customHeight="1">
      <c r="A254" s="4"/>
      <c r="B254" s="4"/>
      <c r="C254" s="4"/>
      <c r="D254" s="22"/>
      <c r="E254" s="4"/>
      <c r="F254" s="4"/>
      <c r="G254" s="4"/>
      <c r="H254" s="24"/>
      <c r="I254" s="4"/>
      <c r="J254" s="4"/>
      <c r="K254" s="4"/>
      <c r="L254" s="4"/>
      <c r="M254" s="7"/>
      <c r="N254" s="7"/>
      <c r="O254" s="7"/>
      <c r="P254" s="7"/>
      <c r="Q254" s="7"/>
      <c r="R254" s="7"/>
      <c r="S254" s="7"/>
      <c r="T254" s="7"/>
      <c r="U254" s="7"/>
      <c r="V254" s="7"/>
      <c r="W254" s="7"/>
      <c r="X254" s="7"/>
      <c r="Y254" s="7"/>
      <c r="Z254" s="7"/>
    </row>
    <row r="255" ht="12.75" customHeight="1">
      <c r="A255" s="4"/>
      <c r="B255" s="4"/>
      <c r="C255" s="4"/>
      <c r="D255" s="22"/>
      <c r="E255" s="4"/>
      <c r="F255" s="4"/>
      <c r="G255" s="4"/>
      <c r="H255" s="24"/>
      <c r="I255" s="4"/>
      <c r="J255" s="4"/>
      <c r="K255" s="4"/>
      <c r="L255" s="4"/>
      <c r="M255" s="7"/>
      <c r="N255" s="7"/>
      <c r="O255" s="7"/>
      <c r="P255" s="7"/>
      <c r="Q255" s="7"/>
      <c r="R255" s="7"/>
      <c r="S255" s="7"/>
      <c r="T255" s="7"/>
      <c r="U255" s="7"/>
      <c r="V255" s="7"/>
      <c r="W255" s="7"/>
      <c r="X255" s="7"/>
      <c r="Y255" s="7"/>
      <c r="Z255" s="7"/>
    </row>
    <row r="256" ht="12.75" customHeight="1">
      <c r="A256" s="4"/>
      <c r="B256" s="4"/>
      <c r="C256" s="4"/>
      <c r="D256" s="22"/>
      <c r="E256" s="4"/>
      <c r="F256" s="4"/>
      <c r="G256" s="4"/>
      <c r="H256" s="24"/>
      <c r="I256" s="4"/>
      <c r="J256" s="4"/>
      <c r="K256" s="4"/>
      <c r="L256" s="4"/>
      <c r="M256" s="7"/>
      <c r="N256" s="7"/>
      <c r="O256" s="7"/>
      <c r="P256" s="7"/>
      <c r="Q256" s="7"/>
      <c r="R256" s="7"/>
      <c r="S256" s="7"/>
      <c r="T256" s="7"/>
      <c r="U256" s="7"/>
      <c r="V256" s="7"/>
      <c r="W256" s="7"/>
      <c r="X256" s="7"/>
      <c r="Y256" s="7"/>
      <c r="Z256" s="7"/>
    </row>
    <row r="257" ht="12.75" customHeight="1">
      <c r="A257" s="4"/>
      <c r="B257" s="4"/>
      <c r="C257" s="4"/>
      <c r="D257" s="22"/>
      <c r="E257" s="4"/>
      <c r="F257" s="4"/>
      <c r="G257" s="4"/>
      <c r="H257" s="24"/>
      <c r="I257" s="4"/>
      <c r="J257" s="4"/>
      <c r="K257" s="4"/>
      <c r="L257" s="4"/>
      <c r="M257" s="7"/>
      <c r="N257" s="7"/>
      <c r="O257" s="7"/>
      <c r="P257" s="7"/>
      <c r="Q257" s="7"/>
      <c r="R257" s="7"/>
      <c r="S257" s="7"/>
      <c r="T257" s="7"/>
      <c r="U257" s="7"/>
      <c r="V257" s="7"/>
      <c r="W257" s="7"/>
      <c r="X257" s="7"/>
      <c r="Y257" s="7"/>
      <c r="Z257" s="7"/>
    </row>
    <row r="258" ht="12.75" customHeight="1">
      <c r="A258" s="4"/>
      <c r="B258" s="4"/>
      <c r="C258" s="4"/>
      <c r="D258" s="22"/>
      <c r="E258" s="4"/>
      <c r="F258" s="4"/>
      <c r="G258" s="4"/>
      <c r="H258" s="24"/>
      <c r="I258" s="4"/>
      <c r="J258" s="4"/>
      <c r="K258" s="4"/>
      <c r="L258" s="4"/>
      <c r="M258" s="7"/>
      <c r="N258" s="7"/>
      <c r="O258" s="7"/>
      <c r="P258" s="7"/>
      <c r="Q258" s="7"/>
      <c r="R258" s="7"/>
      <c r="S258" s="7"/>
      <c r="T258" s="7"/>
      <c r="U258" s="7"/>
      <c r="V258" s="7"/>
      <c r="W258" s="7"/>
      <c r="X258" s="7"/>
      <c r="Y258" s="7"/>
      <c r="Z258" s="7"/>
    </row>
    <row r="259" ht="12.75" customHeight="1">
      <c r="A259" s="4"/>
      <c r="B259" s="4"/>
      <c r="C259" s="4"/>
      <c r="D259" s="22"/>
      <c r="E259" s="4"/>
      <c r="F259" s="4"/>
      <c r="G259" s="4"/>
      <c r="H259" s="24"/>
      <c r="I259" s="4"/>
      <c r="J259" s="4"/>
      <c r="K259" s="4"/>
      <c r="L259" s="4"/>
      <c r="M259" s="7"/>
      <c r="N259" s="7"/>
      <c r="O259" s="7"/>
      <c r="P259" s="7"/>
      <c r="Q259" s="7"/>
      <c r="R259" s="7"/>
      <c r="S259" s="7"/>
      <c r="T259" s="7"/>
      <c r="U259" s="7"/>
      <c r="V259" s="7"/>
      <c r="W259" s="7"/>
      <c r="X259" s="7"/>
      <c r="Y259" s="7"/>
      <c r="Z259" s="7"/>
    </row>
    <row r="260" ht="12.75" customHeight="1">
      <c r="A260" s="4"/>
      <c r="B260" s="4"/>
      <c r="C260" s="4"/>
      <c r="D260" s="22"/>
      <c r="E260" s="4"/>
      <c r="F260" s="4"/>
      <c r="G260" s="4"/>
      <c r="H260" s="24"/>
      <c r="I260" s="4"/>
      <c r="J260" s="4"/>
      <c r="K260" s="4"/>
      <c r="L260" s="4"/>
      <c r="M260" s="7"/>
      <c r="N260" s="7"/>
      <c r="O260" s="7"/>
      <c r="P260" s="7"/>
      <c r="Q260" s="7"/>
      <c r="R260" s="7"/>
      <c r="S260" s="7"/>
      <c r="T260" s="7"/>
      <c r="U260" s="7"/>
      <c r="V260" s="7"/>
      <c r="W260" s="7"/>
      <c r="X260" s="7"/>
      <c r="Y260" s="7"/>
      <c r="Z260" s="7"/>
    </row>
    <row r="261" ht="12.75" customHeight="1">
      <c r="A261" s="4"/>
      <c r="B261" s="4"/>
      <c r="C261" s="4"/>
      <c r="D261" s="22"/>
      <c r="E261" s="4"/>
      <c r="F261" s="4"/>
      <c r="G261" s="4"/>
      <c r="H261" s="24"/>
      <c r="I261" s="4"/>
      <c r="J261" s="4"/>
      <c r="K261" s="4"/>
      <c r="L261" s="4"/>
      <c r="M261" s="7"/>
      <c r="N261" s="7"/>
      <c r="O261" s="7"/>
      <c r="P261" s="7"/>
      <c r="Q261" s="7"/>
      <c r="R261" s="7"/>
      <c r="S261" s="7"/>
      <c r="T261" s="7"/>
      <c r="U261" s="7"/>
      <c r="V261" s="7"/>
      <c r="W261" s="7"/>
      <c r="X261" s="7"/>
      <c r="Y261" s="7"/>
      <c r="Z261" s="7"/>
    </row>
    <row r="262" ht="12.75" customHeight="1">
      <c r="A262" s="4"/>
      <c r="B262" s="4"/>
      <c r="C262" s="4"/>
      <c r="D262" s="22"/>
      <c r="E262" s="4"/>
      <c r="F262" s="4"/>
      <c r="G262" s="4"/>
      <c r="H262" s="24"/>
      <c r="I262" s="4"/>
      <c r="J262" s="4"/>
      <c r="K262" s="4"/>
      <c r="L262" s="4"/>
      <c r="M262" s="7"/>
      <c r="N262" s="7"/>
      <c r="O262" s="7"/>
      <c r="P262" s="7"/>
      <c r="Q262" s="7"/>
      <c r="R262" s="7"/>
      <c r="S262" s="7"/>
      <c r="T262" s="7"/>
      <c r="U262" s="7"/>
      <c r="V262" s="7"/>
      <c r="W262" s="7"/>
      <c r="X262" s="7"/>
      <c r="Y262" s="7"/>
      <c r="Z262" s="7"/>
    </row>
    <row r="263" ht="12.75" customHeight="1">
      <c r="A263" s="4"/>
      <c r="B263" s="4"/>
      <c r="C263" s="4"/>
      <c r="D263" s="22"/>
      <c r="E263" s="4"/>
      <c r="F263" s="4"/>
      <c r="G263" s="4"/>
      <c r="H263" s="24"/>
      <c r="I263" s="4"/>
      <c r="J263" s="4"/>
      <c r="K263" s="4"/>
      <c r="L263" s="4"/>
      <c r="M263" s="7"/>
      <c r="N263" s="7"/>
      <c r="O263" s="7"/>
      <c r="P263" s="7"/>
      <c r="Q263" s="7"/>
      <c r="R263" s="7"/>
      <c r="S263" s="7"/>
      <c r="T263" s="7"/>
      <c r="U263" s="7"/>
      <c r="V263" s="7"/>
      <c r="W263" s="7"/>
      <c r="X263" s="7"/>
      <c r="Y263" s="7"/>
      <c r="Z263" s="7"/>
    </row>
    <row r="264" ht="12.75" customHeight="1">
      <c r="A264" s="4"/>
      <c r="B264" s="4"/>
      <c r="C264" s="4"/>
      <c r="D264" s="22"/>
      <c r="E264" s="4"/>
      <c r="F264" s="4"/>
      <c r="G264" s="4"/>
      <c r="H264" s="24"/>
      <c r="I264" s="4"/>
      <c r="J264" s="4"/>
      <c r="K264" s="4"/>
      <c r="L264" s="4"/>
      <c r="M264" s="7"/>
      <c r="N264" s="7"/>
      <c r="O264" s="7"/>
      <c r="P264" s="7"/>
      <c r="Q264" s="7"/>
      <c r="R264" s="7"/>
      <c r="S264" s="7"/>
      <c r="T264" s="7"/>
      <c r="U264" s="7"/>
      <c r="V264" s="7"/>
      <c r="W264" s="7"/>
      <c r="X264" s="7"/>
      <c r="Y264" s="7"/>
      <c r="Z264" s="7"/>
    </row>
    <row r="265" ht="12.75" customHeight="1">
      <c r="A265" s="4"/>
      <c r="B265" s="4"/>
      <c r="C265" s="4"/>
      <c r="D265" s="22"/>
      <c r="E265" s="4"/>
      <c r="F265" s="4"/>
      <c r="G265" s="4"/>
      <c r="H265" s="24"/>
      <c r="I265" s="4"/>
      <c r="J265" s="4"/>
      <c r="K265" s="4"/>
      <c r="L265" s="4"/>
      <c r="M265" s="7"/>
      <c r="N265" s="7"/>
      <c r="O265" s="7"/>
      <c r="P265" s="7"/>
      <c r="Q265" s="7"/>
      <c r="R265" s="7"/>
      <c r="S265" s="7"/>
      <c r="T265" s="7"/>
      <c r="U265" s="7"/>
      <c r="V265" s="7"/>
      <c r="W265" s="7"/>
      <c r="X265" s="7"/>
      <c r="Y265" s="7"/>
      <c r="Z265" s="7"/>
    </row>
    <row r="266" ht="12.75" customHeight="1">
      <c r="A266" s="4"/>
      <c r="B266" s="4"/>
      <c r="C266" s="4"/>
      <c r="D266" s="22"/>
      <c r="E266" s="4"/>
      <c r="F266" s="4"/>
      <c r="G266" s="4"/>
      <c r="H266" s="24"/>
      <c r="I266" s="4"/>
      <c r="J266" s="4"/>
      <c r="K266" s="4"/>
      <c r="L266" s="4"/>
      <c r="M266" s="7"/>
      <c r="N266" s="7"/>
      <c r="O266" s="7"/>
      <c r="P266" s="7"/>
      <c r="Q266" s="7"/>
      <c r="R266" s="7"/>
      <c r="S266" s="7"/>
      <c r="T266" s="7"/>
      <c r="U266" s="7"/>
      <c r="V266" s="7"/>
      <c r="W266" s="7"/>
      <c r="X266" s="7"/>
      <c r="Y266" s="7"/>
      <c r="Z266" s="7"/>
    </row>
    <row r="267" ht="12.75" customHeight="1">
      <c r="A267" s="4"/>
      <c r="B267" s="4"/>
      <c r="C267" s="4"/>
      <c r="D267" s="22"/>
      <c r="E267" s="4"/>
      <c r="F267" s="4"/>
      <c r="G267" s="4"/>
      <c r="H267" s="24"/>
      <c r="I267" s="4"/>
      <c r="J267" s="4"/>
      <c r="K267" s="4"/>
      <c r="L267" s="4"/>
      <c r="M267" s="7"/>
      <c r="N267" s="7"/>
      <c r="O267" s="7"/>
      <c r="P267" s="7"/>
      <c r="Q267" s="7"/>
      <c r="R267" s="7"/>
      <c r="S267" s="7"/>
      <c r="T267" s="7"/>
      <c r="U267" s="7"/>
      <c r="V267" s="7"/>
      <c r="W267" s="7"/>
      <c r="X267" s="7"/>
      <c r="Y267" s="7"/>
      <c r="Z267" s="7"/>
    </row>
    <row r="268" ht="12.75" customHeight="1">
      <c r="A268" s="4"/>
      <c r="B268" s="4"/>
      <c r="C268" s="4"/>
      <c r="D268" s="22"/>
      <c r="E268" s="4"/>
      <c r="F268" s="4"/>
      <c r="G268" s="4"/>
      <c r="H268" s="24"/>
      <c r="I268" s="4"/>
      <c r="J268" s="4"/>
      <c r="K268" s="4"/>
      <c r="L268" s="4"/>
      <c r="M268" s="7"/>
      <c r="N268" s="7"/>
      <c r="O268" s="7"/>
      <c r="P268" s="7"/>
      <c r="Q268" s="7"/>
      <c r="R268" s="7"/>
      <c r="S268" s="7"/>
      <c r="T268" s="7"/>
      <c r="U268" s="7"/>
      <c r="V268" s="7"/>
      <c r="W268" s="7"/>
      <c r="X268" s="7"/>
      <c r="Y268" s="7"/>
      <c r="Z268" s="7"/>
    </row>
    <row r="269" ht="12.75" customHeight="1">
      <c r="A269" s="4"/>
      <c r="B269" s="4"/>
      <c r="C269" s="4"/>
      <c r="D269" s="22"/>
      <c r="E269" s="4"/>
      <c r="F269" s="4"/>
      <c r="G269" s="4"/>
      <c r="H269" s="24"/>
      <c r="I269" s="4"/>
      <c r="J269" s="4"/>
      <c r="K269" s="4"/>
      <c r="L269" s="4"/>
      <c r="M269" s="7"/>
      <c r="N269" s="7"/>
      <c r="O269" s="7"/>
      <c r="P269" s="7"/>
      <c r="Q269" s="7"/>
      <c r="R269" s="7"/>
      <c r="S269" s="7"/>
      <c r="T269" s="7"/>
      <c r="U269" s="7"/>
      <c r="V269" s="7"/>
      <c r="W269" s="7"/>
      <c r="X269" s="7"/>
      <c r="Y269" s="7"/>
      <c r="Z269" s="7"/>
    </row>
    <row r="270" ht="12.75" customHeight="1">
      <c r="A270" s="4"/>
      <c r="B270" s="4"/>
      <c r="C270" s="4"/>
      <c r="D270" s="22"/>
      <c r="E270" s="4"/>
      <c r="F270" s="4"/>
      <c r="G270" s="4"/>
      <c r="H270" s="24"/>
      <c r="I270" s="4"/>
      <c r="J270" s="4"/>
      <c r="K270" s="4"/>
      <c r="L270" s="4"/>
      <c r="M270" s="7"/>
      <c r="N270" s="7"/>
      <c r="O270" s="7"/>
      <c r="P270" s="7"/>
      <c r="Q270" s="7"/>
      <c r="R270" s="7"/>
      <c r="S270" s="7"/>
      <c r="T270" s="7"/>
      <c r="U270" s="7"/>
      <c r="V270" s="7"/>
      <c r="W270" s="7"/>
      <c r="X270" s="7"/>
      <c r="Y270" s="7"/>
      <c r="Z270" s="7"/>
    </row>
    <row r="271" ht="12.75" customHeight="1">
      <c r="A271" s="4"/>
      <c r="B271" s="4"/>
      <c r="C271" s="4"/>
      <c r="D271" s="22"/>
      <c r="E271" s="4"/>
      <c r="F271" s="4"/>
      <c r="G271" s="4"/>
      <c r="H271" s="24"/>
      <c r="I271" s="4"/>
      <c r="J271" s="4"/>
      <c r="K271" s="4"/>
      <c r="L271" s="4"/>
      <c r="M271" s="7"/>
      <c r="N271" s="7"/>
      <c r="O271" s="7"/>
      <c r="P271" s="7"/>
      <c r="Q271" s="7"/>
      <c r="R271" s="7"/>
      <c r="S271" s="7"/>
      <c r="T271" s="7"/>
      <c r="U271" s="7"/>
      <c r="V271" s="7"/>
      <c r="W271" s="7"/>
      <c r="X271" s="7"/>
      <c r="Y271" s="7"/>
      <c r="Z271" s="7"/>
    </row>
    <row r="272" ht="12.75" customHeight="1">
      <c r="A272" s="4"/>
      <c r="B272" s="4"/>
      <c r="C272" s="4"/>
      <c r="D272" s="22"/>
      <c r="E272" s="4"/>
      <c r="F272" s="4"/>
      <c r="G272" s="4"/>
      <c r="H272" s="24"/>
      <c r="I272" s="4"/>
      <c r="J272" s="4"/>
      <c r="K272" s="4"/>
      <c r="L272" s="4"/>
      <c r="M272" s="7"/>
      <c r="N272" s="7"/>
      <c r="O272" s="7"/>
      <c r="P272" s="7"/>
      <c r="Q272" s="7"/>
      <c r="R272" s="7"/>
      <c r="S272" s="7"/>
      <c r="T272" s="7"/>
      <c r="U272" s="7"/>
      <c r="V272" s="7"/>
      <c r="W272" s="7"/>
      <c r="X272" s="7"/>
      <c r="Y272" s="7"/>
      <c r="Z272" s="7"/>
    </row>
    <row r="273" ht="12.75" customHeight="1">
      <c r="A273" s="4"/>
      <c r="B273" s="4"/>
      <c r="C273" s="4"/>
      <c r="D273" s="22"/>
      <c r="E273" s="4"/>
      <c r="F273" s="4"/>
      <c r="G273" s="4"/>
      <c r="H273" s="24"/>
      <c r="I273" s="4"/>
      <c r="J273" s="4"/>
      <c r="K273" s="4"/>
      <c r="L273" s="4"/>
      <c r="M273" s="7"/>
      <c r="N273" s="7"/>
      <c r="O273" s="7"/>
      <c r="P273" s="7"/>
      <c r="Q273" s="7"/>
      <c r="R273" s="7"/>
      <c r="S273" s="7"/>
      <c r="T273" s="7"/>
      <c r="U273" s="7"/>
      <c r="V273" s="7"/>
      <c r="W273" s="7"/>
      <c r="X273" s="7"/>
      <c r="Y273" s="7"/>
      <c r="Z273" s="7"/>
    </row>
    <row r="274" ht="12.75" customHeight="1">
      <c r="A274" s="4"/>
      <c r="B274" s="4"/>
      <c r="C274" s="4"/>
      <c r="D274" s="22"/>
      <c r="E274" s="4"/>
      <c r="F274" s="4"/>
      <c r="G274" s="4"/>
      <c r="H274" s="24"/>
      <c r="I274" s="4"/>
      <c r="J274" s="4"/>
      <c r="K274" s="4"/>
      <c r="L274" s="4"/>
      <c r="M274" s="7"/>
      <c r="N274" s="7"/>
      <c r="O274" s="7"/>
      <c r="P274" s="7"/>
      <c r="Q274" s="7"/>
      <c r="R274" s="7"/>
      <c r="S274" s="7"/>
      <c r="T274" s="7"/>
      <c r="U274" s="7"/>
      <c r="V274" s="7"/>
      <c r="W274" s="7"/>
      <c r="X274" s="7"/>
      <c r="Y274" s="7"/>
      <c r="Z274" s="7"/>
    </row>
    <row r="275" ht="12.75" customHeight="1">
      <c r="A275" s="4"/>
      <c r="B275" s="4"/>
      <c r="C275" s="4"/>
      <c r="D275" s="22"/>
      <c r="E275" s="4"/>
      <c r="F275" s="4"/>
      <c r="G275" s="4"/>
      <c r="H275" s="24"/>
      <c r="I275" s="4"/>
      <c r="J275" s="4"/>
      <c r="K275" s="4"/>
      <c r="L275" s="4"/>
      <c r="M275" s="7"/>
      <c r="N275" s="7"/>
      <c r="O275" s="7"/>
      <c r="P275" s="7"/>
      <c r="Q275" s="7"/>
      <c r="R275" s="7"/>
      <c r="S275" s="7"/>
      <c r="T275" s="7"/>
      <c r="U275" s="7"/>
      <c r="V275" s="7"/>
      <c r="W275" s="7"/>
      <c r="X275" s="7"/>
      <c r="Y275" s="7"/>
      <c r="Z275" s="7"/>
    </row>
    <row r="276" ht="12.75" customHeight="1">
      <c r="A276" s="4"/>
      <c r="B276" s="4"/>
      <c r="C276" s="4"/>
      <c r="D276" s="22"/>
      <c r="E276" s="4"/>
      <c r="F276" s="4"/>
      <c r="G276" s="4"/>
      <c r="H276" s="24"/>
      <c r="I276" s="4"/>
      <c r="J276" s="4"/>
      <c r="K276" s="4"/>
      <c r="L276" s="4"/>
      <c r="M276" s="7"/>
      <c r="N276" s="7"/>
      <c r="O276" s="7"/>
      <c r="P276" s="7"/>
      <c r="Q276" s="7"/>
      <c r="R276" s="7"/>
      <c r="S276" s="7"/>
      <c r="T276" s="7"/>
      <c r="U276" s="7"/>
      <c r="V276" s="7"/>
      <c r="W276" s="7"/>
      <c r="X276" s="7"/>
      <c r="Y276" s="7"/>
      <c r="Z276" s="7"/>
    </row>
    <row r="277" ht="12.75" customHeight="1">
      <c r="A277" s="4"/>
      <c r="B277" s="4"/>
      <c r="C277" s="4"/>
      <c r="D277" s="22"/>
      <c r="E277" s="4"/>
      <c r="F277" s="4"/>
      <c r="G277" s="4"/>
      <c r="H277" s="24"/>
      <c r="I277" s="4"/>
      <c r="J277" s="4"/>
      <c r="K277" s="4"/>
      <c r="L277" s="4"/>
      <c r="M277" s="7"/>
      <c r="N277" s="7"/>
      <c r="O277" s="7"/>
      <c r="P277" s="7"/>
      <c r="Q277" s="7"/>
      <c r="R277" s="7"/>
      <c r="S277" s="7"/>
      <c r="T277" s="7"/>
      <c r="U277" s="7"/>
      <c r="V277" s="7"/>
      <c r="W277" s="7"/>
      <c r="X277" s="7"/>
      <c r="Y277" s="7"/>
      <c r="Z277" s="7"/>
    </row>
    <row r="278" ht="12.75" customHeight="1">
      <c r="A278" s="4"/>
      <c r="B278" s="4"/>
      <c r="C278" s="4"/>
      <c r="D278" s="22"/>
      <c r="E278" s="4"/>
      <c r="F278" s="4"/>
      <c r="G278" s="4"/>
      <c r="H278" s="24"/>
      <c r="I278" s="4"/>
      <c r="J278" s="4"/>
      <c r="K278" s="4"/>
      <c r="L278" s="4"/>
      <c r="M278" s="7"/>
      <c r="N278" s="7"/>
      <c r="O278" s="7"/>
      <c r="P278" s="7"/>
      <c r="Q278" s="7"/>
      <c r="R278" s="7"/>
      <c r="S278" s="7"/>
      <c r="T278" s="7"/>
      <c r="U278" s="7"/>
      <c r="V278" s="7"/>
      <c r="W278" s="7"/>
      <c r="X278" s="7"/>
      <c r="Y278" s="7"/>
      <c r="Z278" s="7"/>
    </row>
    <row r="279" ht="12.75" customHeight="1">
      <c r="A279" s="4"/>
      <c r="B279" s="4"/>
      <c r="C279" s="4"/>
      <c r="D279" s="22"/>
      <c r="E279" s="4"/>
      <c r="F279" s="4"/>
      <c r="G279" s="4"/>
      <c r="H279" s="24"/>
      <c r="I279" s="4"/>
      <c r="J279" s="4"/>
      <c r="K279" s="4"/>
      <c r="L279" s="4"/>
      <c r="M279" s="7"/>
      <c r="N279" s="7"/>
      <c r="O279" s="7"/>
      <c r="P279" s="7"/>
      <c r="Q279" s="7"/>
      <c r="R279" s="7"/>
      <c r="S279" s="7"/>
      <c r="T279" s="7"/>
      <c r="U279" s="7"/>
      <c r="V279" s="7"/>
      <c r="W279" s="7"/>
      <c r="X279" s="7"/>
      <c r="Y279" s="7"/>
      <c r="Z279" s="7"/>
    </row>
    <row r="280" ht="12.75" customHeight="1">
      <c r="A280" s="4"/>
      <c r="B280" s="4"/>
      <c r="C280" s="4"/>
      <c r="D280" s="22"/>
      <c r="E280" s="4"/>
      <c r="F280" s="4"/>
      <c r="G280" s="4"/>
      <c r="H280" s="24"/>
      <c r="I280" s="4"/>
      <c r="J280" s="4"/>
      <c r="K280" s="4"/>
      <c r="L280" s="4"/>
      <c r="M280" s="7"/>
      <c r="N280" s="7"/>
      <c r="O280" s="7"/>
      <c r="P280" s="7"/>
      <c r="Q280" s="7"/>
      <c r="R280" s="7"/>
      <c r="S280" s="7"/>
      <c r="T280" s="7"/>
      <c r="U280" s="7"/>
      <c r="V280" s="7"/>
      <c r="W280" s="7"/>
      <c r="X280" s="7"/>
      <c r="Y280" s="7"/>
      <c r="Z280" s="7"/>
    </row>
    <row r="281" ht="12.75" customHeight="1">
      <c r="A281" s="4"/>
      <c r="B281" s="4"/>
      <c r="C281" s="4"/>
      <c r="D281" s="22"/>
      <c r="E281" s="4"/>
      <c r="F281" s="4"/>
      <c r="G281" s="4"/>
      <c r="H281" s="24"/>
      <c r="I281" s="4"/>
      <c r="J281" s="4"/>
      <c r="K281" s="4"/>
      <c r="L281" s="4"/>
      <c r="M281" s="7"/>
      <c r="N281" s="7"/>
      <c r="O281" s="7"/>
      <c r="P281" s="7"/>
      <c r="Q281" s="7"/>
      <c r="R281" s="7"/>
      <c r="S281" s="7"/>
      <c r="T281" s="7"/>
      <c r="U281" s="7"/>
      <c r="V281" s="7"/>
      <c r="W281" s="7"/>
      <c r="X281" s="7"/>
      <c r="Y281" s="7"/>
      <c r="Z281" s="7"/>
    </row>
    <row r="282" ht="12.75" customHeight="1">
      <c r="A282" s="4"/>
      <c r="B282" s="4"/>
      <c r="C282" s="4"/>
      <c r="D282" s="22"/>
      <c r="E282" s="4"/>
      <c r="F282" s="4"/>
      <c r="G282" s="4"/>
      <c r="H282" s="24"/>
      <c r="I282" s="4"/>
      <c r="J282" s="4"/>
      <c r="K282" s="4"/>
      <c r="L282" s="4"/>
      <c r="M282" s="7"/>
      <c r="N282" s="7"/>
      <c r="O282" s="7"/>
      <c r="P282" s="7"/>
      <c r="Q282" s="7"/>
      <c r="R282" s="7"/>
      <c r="S282" s="7"/>
      <c r="T282" s="7"/>
      <c r="U282" s="7"/>
      <c r="V282" s="7"/>
      <c r="W282" s="7"/>
      <c r="X282" s="7"/>
      <c r="Y282" s="7"/>
      <c r="Z282" s="7"/>
    </row>
    <row r="283" ht="12.75" customHeight="1">
      <c r="A283" s="4"/>
      <c r="B283" s="4"/>
      <c r="C283" s="4"/>
      <c r="D283" s="22"/>
      <c r="E283" s="4"/>
      <c r="F283" s="4"/>
      <c r="G283" s="4"/>
      <c r="H283" s="24"/>
      <c r="I283" s="4"/>
      <c r="J283" s="4"/>
      <c r="K283" s="4"/>
      <c r="L283" s="4"/>
      <c r="M283" s="7"/>
      <c r="N283" s="7"/>
      <c r="O283" s="7"/>
      <c r="P283" s="7"/>
      <c r="Q283" s="7"/>
      <c r="R283" s="7"/>
      <c r="S283" s="7"/>
      <c r="T283" s="7"/>
      <c r="U283" s="7"/>
      <c r="V283" s="7"/>
      <c r="W283" s="7"/>
      <c r="X283" s="7"/>
      <c r="Y283" s="7"/>
      <c r="Z283" s="7"/>
    </row>
    <row r="284" ht="12.75" customHeight="1">
      <c r="A284" s="4"/>
      <c r="B284" s="4"/>
      <c r="C284" s="4"/>
      <c r="D284" s="22"/>
      <c r="E284" s="4"/>
      <c r="F284" s="4"/>
      <c r="G284" s="4"/>
      <c r="H284" s="24"/>
      <c r="I284" s="4"/>
      <c r="J284" s="4"/>
      <c r="K284" s="4"/>
      <c r="L284" s="4"/>
      <c r="M284" s="7"/>
      <c r="N284" s="7"/>
      <c r="O284" s="7"/>
      <c r="P284" s="7"/>
      <c r="Q284" s="7"/>
      <c r="R284" s="7"/>
      <c r="S284" s="7"/>
      <c r="T284" s="7"/>
      <c r="U284" s="7"/>
      <c r="V284" s="7"/>
      <c r="W284" s="7"/>
      <c r="X284" s="7"/>
      <c r="Y284" s="7"/>
      <c r="Z284" s="7"/>
    </row>
    <row r="285" ht="12.75" customHeight="1">
      <c r="A285" s="4"/>
      <c r="B285" s="4"/>
      <c r="C285" s="4"/>
      <c r="D285" s="22"/>
      <c r="E285" s="4"/>
      <c r="F285" s="4"/>
      <c r="G285" s="4"/>
      <c r="H285" s="24"/>
      <c r="I285" s="4"/>
      <c r="J285" s="4"/>
      <c r="K285" s="4"/>
      <c r="L285" s="4"/>
      <c r="M285" s="7"/>
      <c r="N285" s="7"/>
      <c r="O285" s="7"/>
      <c r="P285" s="7"/>
      <c r="Q285" s="7"/>
      <c r="R285" s="7"/>
      <c r="S285" s="7"/>
      <c r="T285" s="7"/>
      <c r="U285" s="7"/>
      <c r="V285" s="7"/>
      <c r="W285" s="7"/>
      <c r="X285" s="7"/>
      <c r="Y285" s="7"/>
      <c r="Z285" s="7"/>
    </row>
    <row r="286" ht="12.75" customHeight="1">
      <c r="A286" s="4"/>
      <c r="B286" s="4"/>
      <c r="C286" s="4"/>
      <c r="D286" s="22"/>
      <c r="E286" s="4"/>
      <c r="F286" s="4"/>
      <c r="G286" s="4"/>
      <c r="H286" s="24"/>
      <c r="I286" s="4"/>
      <c r="J286" s="4"/>
      <c r="K286" s="4"/>
      <c r="L286" s="4"/>
      <c r="M286" s="7"/>
      <c r="N286" s="7"/>
      <c r="O286" s="7"/>
      <c r="P286" s="7"/>
      <c r="Q286" s="7"/>
      <c r="R286" s="7"/>
      <c r="S286" s="7"/>
      <c r="T286" s="7"/>
      <c r="U286" s="7"/>
      <c r="V286" s="7"/>
      <c r="W286" s="7"/>
      <c r="X286" s="7"/>
      <c r="Y286" s="7"/>
      <c r="Z286" s="7"/>
    </row>
    <row r="287" ht="12.75" customHeight="1">
      <c r="A287" s="4"/>
      <c r="B287" s="4"/>
      <c r="C287" s="4"/>
      <c r="D287" s="22"/>
      <c r="E287" s="4"/>
      <c r="F287" s="4"/>
      <c r="G287" s="4"/>
      <c r="H287" s="24"/>
      <c r="I287" s="4"/>
      <c r="J287" s="4"/>
      <c r="K287" s="4"/>
      <c r="L287" s="4"/>
      <c r="M287" s="7"/>
      <c r="N287" s="7"/>
      <c r="O287" s="7"/>
      <c r="P287" s="7"/>
      <c r="Q287" s="7"/>
      <c r="R287" s="7"/>
      <c r="S287" s="7"/>
      <c r="T287" s="7"/>
      <c r="U287" s="7"/>
      <c r="V287" s="7"/>
      <c r="W287" s="7"/>
      <c r="X287" s="7"/>
      <c r="Y287" s="7"/>
      <c r="Z287" s="7"/>
    </row>
    <row r="288" ht="12.75" customHeight="1">
      <c r="A288" s="4"/>
      <c r="B288" s="4"/>
      <c r="C288" s="4"/>
      <c r="D288" s="22"/>
      <c r="E288" s="4"/>
      <c r="F288" s="4"/>
      <c r="G288" s="4"/>
      <c r="H288" s="24"/>
      <c r="I288" s="4"/>
      <c r="J288" s="4"/>
      <c r="K288" s="4"/>
      <c r="L288" s="4"/>
      <c r="M288" s="7"/>
      <c r="N288" s="7"/>
      <c r="O288" s="7"/>
      <c r="P288" s="7"/>
      <c r="Q288" s="7"/>
      <c r="R288" s="7"/>
      <c r="S288" s="7"/>
      <c r="T288" s="7"/>
      <c r="U288" s="7"/>
      <c r="V288" s="7"/>
      <c r="W288" s="7"/>
      <c r="X288" s="7"/>
      <c r="Y288" s="7"/>
      <c r="Z288" s="7"/>
    </row>
    <row r="289" ht="12.75" customHeight="1">
      <c r="A289" s="4"/>
      <c r="B289" s="4"/>
      <c r="C289" s="4"/>
      <c r="D289" s="22"/>
      <c r="E289" s="4"/>
      <c r="F289" s="4"/>
      <c r="G289" s="4"/>
      <c r="H289" s="24"/>
      <c r="I289" s="4"/>
      <c r="J289" s="4"/>
      <c r="K289" s="4"/>
      <c r="L289" s="4"/>
      <c r="M289" s="7"/>
      <c r="N289" s="7"/>
      <c r="O289" s="7"/>
      <c r="P289" s="7"/>
      <c r="Q289" s="7"/>
      <c r="R289" s="7"/>
      <c r="S289" s="7"/>
      <c r="T289" s="7"/>
      <c r="U289" s="7"/>
      <c r="V289" s="7"/>
      <c r="W289" s="7"/>
      <c r="X289" s="7"/>
      <c r="Y289" s="7"/>
      <c r="Z289" s="7"/>
    </row>
    <row r="290" ht="12.75" customHeight="1">
      <c r="A290" s="4"/>
      <c r="B290" s="4"/>
      <c r="C290" s="4"/>
      <c r="D290" s="22"/>
      <c r="E290" s="4"/>
      <c r="F290" s="4"/>
      <c r="G290" s="4"/>
      <c r="H290" s="24"/>
      <c r="I290" s="4"/>
      <c r="J290" s="4"/>
      <c r="K290" s="4"/>
      <c r="L290" s="4"/>
      <c r="M290" s="7"/>
      <c r="N290" s="7"/>
      <c r="O290" s="7"/>
      <c r="P290" s="7"/>
      <c r="Q290" s="7"/>
      <c r="R290" s="7"/>
      <c r="S290" s="7"/>
      <c r="T290" s="7"/>
      <c r="U290" s="7"/>
      <c r="V290" s="7"/>
      <c r="W290" s="7"/>
      <c r="X290" s="7"/>
      <c r="Y290" s="7"/>
      <c r="Z290" s="7"/>
    </row>
    <row r="291" ht="12.75" customHeight="1">
      <c r="A291" s="4"/>
      <c r="B291" s="4"/>
      <c r="C291" s="4"/>
      <c r="D291" s="22"/>
      <c r="E291" s="4"/>
      <c r="F291" s="4"/>
      <c r="G291" s="4"/>
      <c r="H291" s="24"/>
      <c r="I291" s="4"/>
      <c r="J291" s="4"/>
      <c r="K291" s="4"/>
      <c r="L291" s="4"/>
      <c r="M291" s="7"/>
      <c r="N291" s="7"/>
      <c r="O291" s="7"/>
      <c r="P291" s="7"/>
      <c r="Q291" s="7"/>
      <c r="R291" s="7"/>
      <c r="S291" s="7"/>
      <c r="T291" s="7"/>
      <c r="U291" s="7"/>
      <c r="V291" s="7"/>
      <c r="W291" s="7"/>
      <c r="X291" s="7"/>
      <c r="Y291" s="7"/>
      <c r="Z291" s="7"/>
    </row>
    <row r="292" ht="12.75" customHeight="1">
      <c r="A292" s="4"/>
      <c r="B292" s="4"/>
      <c r="C292" s="4"/>
      <c r="D292" s="22"/>
      <c r="E292" s="4"/>
      <c r="F292" s="4"/>
      <c r="G292" s="4"/>
      <c r="H292" s="24"/>
      <c r="I292" s="4"/>
      <c r="J292" s="4"/>
      <c r="K292" s="4"/>
      <c r="L292" s="4"/>
      <c r="M292" s="7"/>
      <c r="N292" s="7"/>
      <c r="O292" s="7"/>
      <c r="P292" s="7"/>
      <c r="Q292" s="7"/>
      <c r="R292" s="7"/>
      <c r="S292" s="7"/>
      <c r="T292" s="7"/>
      <c r="U292" s="7"/>
      <c r="V292" s="7"/>
      <c r="W292" s="7"/>
      <c r="X292" s="7"/>
      <c r="Y292" s="7"/>
      <c r="Z292" s="7"/>
    </row>
    <row r="293" ht="12.75" customHeight="1">
      <c r="A293" s="4"/>
      <c r="B293" s="4"/>
      <c r="C293" s="4"/>
      <c r="D293" s="22"/>
      <c r="E293" s="4"/>
      <c r="F293" s="4"/>
      <c r="G293" s="4"/>
      <c r="H293" s="24"/>
      <c r="I293" s="4"/>
      <c r="J293" s="4"/>
      <c r="K293" s="4"/>
      <c r="L293" s="4"/>
      <c r="M293" s="7"/>
      <c r="N293" s="7"/>
      <c r="O293" s="7"/>
      <c r="P293" s="7"/>
      <c r="Q293" s="7"/>
      <c r="R293" s="7"/>
      <c r="S293" s="7"/>
      <c r="T293" s="7"/>
      <c r="U293" s="7"/>
      <c r="V293" s="7"/>
      <c r="W293" s="7"/>
      <c r="X293" s="7"/>
      <c r="Y293" s="7"/>
      <c r="Z293" s="7"/>
    </row>
    <row r="294" ht="12.75" customHeight="1">
      <c r="A294" s="4"/>
      <c r="B294" s="4"/>
      <c r="C294" s="4"/>
      <c r="D294" s="22"/>
      <c r="E294" s="4"/>
      <c r="F294" s="4"/>
      <c r="G294" s="4"/>
      <c r="H294" s="24"/>
      <c r="I294" s="4"/>
      <c r="J294" s="4"/>
      <c r="K294" s="4"/>
      <c r="L294" s="4"/>
      <c r="M294" s="7"/>
      <c r="N294" s="7"/>
      <c r="O294" s="7"/>
      <c r="P294" s="7"/>
      <c r="Q294" s="7"/>
      <c r="R294" s="7"/>
      <c r="S294" s="7"/>
      <c r="T294" s="7"/>
      <c r="U294" s="7"/>
      <c r="V294" s="7"/>
      <c r="W294" s="7"/>
      <c r="X294" s="7"/>
      <c r="Y294" s="7"/>
      <c r="Z294" s="7"/>
    </row>
    <row r="295" ht="12.75" customHeight="1">
      <c r="A295" s="4"/>
      <c r="B295" s="4"/>
      <c r="C295" s="4"/>
      <c r="D295" s="22"/>
      <c r="E295" s="4"/>
      <c r="F295" s="4"/>
      <c r="G295" s="4"/>
      <c r="H295" s="24"/>
      <c r="I295" s="4"/>
      <c r="J295" s="4"/>
      <c r="K295" s="4"/>
      <c r="L295" s="4"/>
      <c r="M295" s="7"/>
      <c r="N295" s="7"/>
      <c r="O295" s="7"/>
      <c r="P295" s="7"/>
      <c r="Q295" s="7"/>
      <c r="R295" s="7"/>
      <c r="S295" s="7"/>
      <c r="T295" s="7"/>
      <c r="U295" s="7"/>
      <c r="V295" s="7"/>
      <c r="W295" s="7"/>
      <c r="X295" s="7"/>
      <c r="Y295" s="7"/>
      <c r="Z295" s="7"/>
    </row>
    <row r="296" ht="12.75" customHeight="1">
      <c r="A296" s="4"/>
      <c r="B296" s="4"/>
      <c r="C296" s="4"/>
      <c r="D296" s="22"/>
      <c r="E296" s="4"/>
      <c r="F296" s="4"/>
      <c r="G296" s="4"/>
      <c r="H296" s="24"/>
      <c r="I296" s="4"/>
      <c r="J296" s="4"/>
      <c r="K296" s="4"/>
      <c r="L296" s="4"/>
      <c r="M296" s="7"/>
      <c r="N296" s="7"/>
      <c r="O296" s="7"/>
      <c r="P296" s="7"/>
      <c r="Q296" s="7"/>
      <c r="R296" s="7"/>
      <c r="S296" s="7"/>
      <c r="T296" s="7"/>
      <c r="U296" s="7"/>
      <c r="V296" s="7"/>
      <c r="W296" s="7"/>
      <c r="X296" s="7"/>
      <c r="Y296" s="7"/>
      <c r="Z296" s="7"/>
    </row>
    <row r="297" ht="12.75" customHeight="1">
      <c r="A297" s="4"/>
      <c r="B297" s="4"/>
      <c r="C297" s="4"/>
      <c r="D297" s="22"/>
      <c r="E297" s="4"/>
      <c r="F297" s="4"/>
      <c r="G297" s="4"/>
      <c r="H297" s="24"/>
      <c r="I297" s="4"/>
      <c r="J297" s="4"/>
      <c r="K297" s="4"/>
      <c r="L297" s="4"/>
      <c r="M297" s="7"/>
      <c r="N297" s="7"/>
      <c r="O297" s="7"/>
      <c r="P297" s="7"/>
      <c r="Q297" s="7"/>
      <c r="R297" s="7"/>
      <c r="S297" s="7"/>
      <c r="T297" s="7"/>
      <c r="U297" s="7"/>
      <c r="V297" s="7"/>
      <c r="W297" s="7"/>
      <c r="X297" s="7"/>
      <c r="Y297" s="7"/>
      <c r="Z297" s="7"/>
    </row>
    <row r="298" ht="12.75" customHeight="1">
      <c r="A298" s="4"/>
      <c r="B298" s="4"/>
      <c r="C298" s="4"/>
      <c r="D298" s="22"/>
      <c r="E298" s="4"/>
      <c r="F298" s="4"/>
      <c r="G298" s="4"/>
      <c r="H298" s="24"/>
      <c r="I298" s="4"/>
      <c r="J298" s="4"/>
      <c r="K298" s="4"/>
      <c r="L298" s="4"/>
      <c r="M298" s="7"/>
      <c r="N298" s="7"/>
      <c r="O298" s="7"/>
      <c r="P298" s="7"/>
      <c r="Q298" s="7"/>
      <c r="R298" s="7"/>
      <c r="S298" s="7"/>
      <c r="T298" s="7"/>
      <c r="U298" s="7"/>
      <c r="V298" s="7"/>
      <c r="W298" s="7"/>
      <c r="X298" s="7"/>
      <c r="Y298" s="7"/>
      <c r="Z298" s="7"/>
    </row>
    <row r="299" ht="12.75" customHeight="1">
      <c r="A299" s="4"/>
      <c r="B299" s="4"/>
      <c r="C299" s="4"/>
      <c r="D299" s="22"/>
      <c r="E299" s="4"/>
      <c r="F299" s="4"/>
      <c r="G299" s="4"/>
      <c r="H299" s="24"/>
      <c r="I299" s="4"/>
      <c r="J299" s="4"/>
      <c r="K299" s="4"/>
      <c r="L299" s="4"/>
      <c r="M299" s="7"/>
      <c r="N299" s="7"/>
      <c r="O299" s="7"/>
      <c r="P299" s="7"/>
      <c r="Q299" s="7"/>
      <c r="R299" s="7"/>
      <c r="S299" s="7"/>
      <c r="T299" s="7"/>
      <c r="U299" s="7"/>
      <c r="V299" s="7"/>
      <c r="W299" s="7"/>
      <c r="X299" s="7"/>
      <c r="Y299" s="7"/>
      <c r="Z299" s="7"/>
    </row>
    <row r="300" ht="12.75" customHeight="1">
      <c r="A300" s="4"/>
      <c r="B300" s="4"/>
      <c r="C300" s="4"/>
      <c r="D300" s="22"/>
      <c r="E300" s="4"/>
      <c r="F300" s="4"/>
      <c r="G300" s="4"/>
      <c r="H300" s="24"/>
      <c r="I300" s="4"/>
      <c r="J300" s="4"/>
      <c r="K300" s="4"/>
      <c r="L300" s="4"/>
      <c r="M300" s="7"/>
      <c r="N300" s="7"/>
      <c r="O300" s="7"/>
      <c r="P300" s="7"/>
      <c r="Q300" s="7"/>
      <c r="R300" s="7"/>
      <c r="S300" s="7"/>
      <c r="T300" s="7"/>
      <c r="U300" s="7"/>
      <c r="V300" s="7"/>
      <c r="W300" s="7"/>
      <c r="X300" s="7"/>
      <c r="Y300" s="7"/>
      <c r="Z300" s="7"/>
    </row>
    <row r="301" ht="12.75" customHeight="1">
      <c r="A301" s="4"/>
      <c r="B301" s="4"/>
      <c r="C301" s="4"/>
      <c r="D301" s="22"/>
      <c r="E301" s="4"/>
      <c r="F301" s="4"/>
      <c r="G301" s="4"/>
      <c r="H301" s="24"/>
      <c r="I301" s="4"/>
      <c r="J301" s="4"/>
      <c r="K301" s="4"/>
      <c r="L301" s="4"/>
      <c r="M301" s="7"/>
      <c r="N301" s="7"/>
      <c r="O301" s="7"/>
      <c r="P301" s="7"/>
      <c r="Q301" s="7"/>
      <c r="R301" s="7"/>
      <c r="S301" s="7"/>
      <c r="T301" s="7"/>
      <c r="U301" s="7"/>
      <c r="V301" s="7"/>
      <c r="W301" s="7"/>
      <c r="X301" s="7"/>
      <c r="Y301" s="7"/>
      <c r="Z301" s="7"/>
    </row>
    <row r="302" ht="12.75" customHeight="1">
      <c r="A302" s="4"/>
      <c r="B302" s="4"/>
      <c r="C302" s="4"/>
      <c r="D302" s="22"/>
      <c r="E302" s="4"/>
      <c r="F302" s="4"/>
      <c r="G302" s="4"/>
      <c r="H302" s="24"/>
      <c r="I302" s="4"/>
      <c r="J302" s="4"/>
      <c r="K302" s="4"/>
      <c r="L302" s="4"/>
      <c r="M302" s="7"/>
      <c r="N302" s="7"/>
      <c r="O302" s="7"/>
      <c r="P302" s="7"/>
      <c r="Q302" s="7"/>
      <c r="R302" s="7"/>
      <c r="S302" s="7"/>
      <c r="T302" s="7"/>
      <c r="U302" s="7"/>
      <c r="V302" s="7"/>
      <c r="W302" s="7"/>
      <c r="X302" s="7"/>
      <c r="Y302" s="7"/>
      <c r="Z302" s="7"/>
    </row>
    <row r="303" ht="12.75" customHeight="1">
      <c r="A303" s="4"/>
      <c r="B303" s="4"/>
      <c r="C303" s="4"/>
      <c r="D303" s="22"/>
      <c r="E303" s="4"/>
      <c r="F303" s="4"/>
      <c r="G303" s="4"/>
      <c r="H303" s="24"/>
      <c r="I303" s="4"/>
      <c r="J303" s="4"/>
      <c r="K303" s="4"/>
      <c r="L303" s="4"/>
      <c r="M303" s="7"/>
      <c r="N303" s="7"/>
      <c r="O303" s="7"/>
      <c r="P303" s="7"/>
      <c r="Q303" s="7"/>
      <c r="R303" s="7"/>
      <c r="S303" s="7"/>
      <c r="T303" s="7"/>
      <c r="U303" s="7"/>
      <c r="V303" s="7"/>
      <c r="W303" s="7"/>
      <c r="X303" s="7"/>
      <c r="Y303" s="7"/>
      <c r="Z303" s="7"/>
    </row>
    <row r="304" ht="12.75" customHeight="1">
      <c r="A304" s="4"/>
      <c r="B304" s="4"/>
      <c r="C304" s="4"/>
      <c r="D304" s="22"/>
      <c r="E304" s="4"/>
      <c r="F304" s="4"/>
      <c r="G304" s="4"/>
      <c r="H304" s="24"/>
      <c r="I304" s="4"/>
      <c r="J304" s="4"/>
      <c r="K304" s="4"/>
      <c r="L304" s="4"/>
      <c r="M304" s="7"/>
      <c r="N304" s="7"/>
      <c r="O304" s="7"/>
      <c r="P304" s="7"/>
      <c r="Q304" s="7"/>
      <c r="R304" s="7"/>
      <c r="S304" s="7"/>
      <c r="T304" s="7"/>
      <c r="U304" s="7"/>
      <c r="V304" s="7"/>
      <c r="W304" s="7"/>
      <c r="X304" s="7"/>
      <c r="Y304" s="7"/>
      <c r="Z304" s="7"/>
    </row>
    <row r="305" ht="12.75" customHeight="1">
      <c r="A305" s="4"/>
      <c r="B305" s="4"/>
      <c r="C305" s="4"/>
      <c r="D305" s="22"/>
      <c r="E305" s="4"/>
      <c r="F305" s="4"/>
      <c r="G305" s="4"/>
      <c r="H305" s="24"/>
      <c r="I305" s="4"/>
      <c r="J305" s="4"/>
      <c r="K305" s="4"/>
      <c r="L305" s="4"/>
      <c r="M305" s="7"/>
      <c r="N305" s="7"/>
      <c r="O305" s="7"/>
      <c r="P305" s="7"/>
      <c r="Q305" s="7"/>
      <c r="R305" s="7"/>
      <c r="S305" s="7"/>
      <c r="T305" s="7"/>
      <c r="U305" s="7"/>
      <c r="V305" s="7"/>
      <c r="W305" s="7"/>
      <c r="X305" s="7"/>
      <c r="Y305" s="7"/>
      <c r="Z305" s="7"/>
    </row>
    <row r="306" ht="12.75" customHeight="1">
      <c r="A306" s="4"/>
      <c r="B306" s="4"/>
      <c r="C306" s="4"/>
      <c r="D306" s="22"/>
      <c r="E306" s="4"/>
      <c r="F306" s="4"/>
      <c r="G306" s="4"/>
      <c r="H306" s="24"/>
      <c r="I306" s="4"/>
      <c r="J306" s="4"/>
      <c r="K306" s="4"/>
      <c r="L306" s="4"/>
      <c r="M306" s="7"/>
      <c r="N306" s="7"/>
      <c r="O306" s="7"/>
      <c r="P306" s="7"/>
      <c r="Q306" s="7"/>
      <c r="R306" s="7"/>
      <c r="S306" s="7"/>
      <c r="T306" s="7"/>
      <c r="U306" s="7"/>
      <c r="V306" s="7"/>
      <c r="W306" s="7"/>
      <c r="X306" s="7"/>
      <c r="Y306" s="7"/>
      <c r="Z306" s="7"/>
    </row>
    <row r="307" ht="12.75" customHeight="1">
      <c r="A307" s="4"/>
      <c r="B307" s="4"/>
      <c r="C307" s="4"/>
      <c r="D307" s="22"/>
      <c r="E307" s="4"/>
      <c r="F307" s="4"/>
      <c r="G307" s="4"/>
      <c r="H307" s="24"/>
      <c r="I307" s="4"/>
      <c r="J307" s="4"/>
      <c r="K307" s="4"/>
      <c r="L307" s="4"/>
      <c r="M307" s="7"/>
      <c r="N307" s="7"/>
      <c r="O307" s="7"/>
      <c r="P307" s="7"/>
      <c r="Q307" s="7"/>
      <c r="R307" s="7"/>
      <c r="S307" s="7"/>
      <c r="T307" s="7"/>
      <c r="U307" s="7"/>
      <c r="V307" s="7"/>
      <c r="W307" s="7"/>
      <c r="X307" s="7"/>
      <c r="Y307" s="7"/>
      <c r="Z307" s="7"/>
    </row>
    <row r="308" ht="12.75" customHeight="1">
      <c r="A308" s="4"/>
      <c r="B308" s="4"/>
      <c r="C308" s="4"/>
      <c r="D308" s="22"/>
      <c r="E308" s="4"/>
      <c r="F308" s="4"/>
      <c r="G308" s="4"/>
      <c r="H308" s="24"/>
      <c r="I308" s="4"/>
      <c r="J308" s="4"/>
      <c r="K308" s="4"/>
      <c r="L308" s="4"/>
      <c r="M308" s="7"/>
      <c r="N308" s="7"/>
      <c r="O308" s="7"/>
      <c r="P308" s="7"/>
      <c r="Q308" s="7"/>
      <c r="R308" s="7"/>
      <c r="S308" s="7"/>
      <c r="T308" s="7"/>
      <c r="U308" s="7"/>
      <c r="V308" s="7"/>
      <c r="W308" s="7"/>
      <c r="X308" s="7"/>
      <c r="Y308" s="7"/>
      <c r="Z308" s="7"/>
    </row>
    <row r="309" ht="12.75" customHeight="1">
      <c r="A309" s="4"/>
      <c r="B309" s="4"/>
      <c r="C309" s="4"/>
      <c r="D309" s="22"/>
      <c r="E309" s="4"/>
      <c r="F309" s="4"/>
      <c r="G309" s="4"/>
      <c r="H309" s="24"/>
      <c r="I309" s="4"/>
      <c r="J309" s="4"/>
      <c r="K309" s="4"/>
      <c r="L309" s="4"/>
      <c r="M309" s="7"/>
      <c r="N309" s="7"/>
      <c r="O309" s="7"/>
      <c r="P309" s="7"/>
      <c r="Q309" s="7"/>
      <c r="R309" s="7"/>
      <c r="S309" s="7"/>
      <c r="T309" s="7"/>
      <c r="U309" s="7"/>
      <c r="V309" s="7"/>
      <c r="W309" s="7"/>
      <c r="X309" s="7"/>
      <c r="Y309" s="7"/>
      <c r="Z309" s="7"/>
    </row>
    <row r="310" ht="12.75" customHeight="1">
      <c r="A310" s="4"/>
      <c r="B310" s="4"/>
      <c r="C310" s="4"/>
      <c r="D310" s="22"/>
      <c r="E310" s="4"/>
      <c r="F310" s="4"/>
      <c r="G310" s="4"/>
      <c r="H310" s="24"/>
      <c r="I310" s="4"/>
      <c r="J310" s="4"/>
      <c r="K310" s="4"/>
      <c r="L310" s="4"/>
      <c r="M310" s="7"/>
      <c r="N310" s="7"/>
      <c r="O310" s="7"/>
      <c r="P310" s="7"/>
      <c r="Q310" s="7"/>
      <c r="R310" s="7"/>
      <c r="S310" s="7"/>
      <c r="T310" s="7"/>
      <c r="U310" s="7"/>
      <c r="V310" s="7"/>
      <c r="W310" s="7"/>
      <c r="X310" s="7"/>
      <c r="Y310" s="7"/>
      <c r="Z310" s="7"/>
    </row>
    <row r="311" ht="12.75" customHeight="1">
      <c r="A311" s="4"/>
      <c r="B311" s="4"/>
      <c r="C311" s="4"/>
      <c r="D311" s="22"/>
      <c r="E311" s="4"/>
      <c r="F311" s="4"/>
      <c r="G311" s="4"/>
      <c r="H311" s="24"/>
      <c r="I311" s="4"/>
      <c r="J311" s="4"/>
      <c r="K311" s="4"/>
      <c r="L311" s="4"/>
      <c r="M311" s="7"/>
      <c r="N311" s="7"/>
      <c r="O311" s="7"/>
      <c r="P311" s="7"/>
      <c r="Q311" s="7"/>
      <c r="R311" s="7"/>
      <c r="S311" s="7"/>
      <c r="T311" s="7"/>
      <c r="U311" s="7"/>
      <c r="V311" s="7"/>
      <c r="W311" s="7"/>
      <c r="X311" s="7"/>
      <c r="Y311" s="7"/>
      <c r="Z311" s="7"/>
    </row>
    <row r="312" ht="12.75" customHeight="1">
      <c r="A312" s="4"/>
      <c r="B312" s="4"/>
      <c r="C312" s="4"/>
      <c r="D312" s="22"/>
      <c r="E312" s="4"/>
      <c r="F312" s="4"/>
      <c r="G312" s="4"/>
      <c r="H312" s="24"/>
      <c r="I312" s="4"/>
      <c r="J312" s="4"/>
      <c r="K312" s="4"/>
      <c r="L312" s="4"/>
      <c r="M312" s="7"/>
      <c r="N312" s="7"/>
      <c r="O312" s="7"/>
      <c r="P312" s="7"/>
      <c r="Q312" s="7"/>
      <c r="R312" s="7"/>
      <c r="S312" s="7"/>
      <c r="T312" s="7"/>
      <c r="U312" s="7"/>
      <c r="V312" s="7"/>
      <c r="W312" s="7"/>
      <c r="X312" s="7"/>
      <c r="Y312" s="7"/>
      <c r="Z312" s="7"/>
    </row>
    <row r="313" ht="12.75" customHeight="1">
      <c r="A313" s="4"/>
      <c r="B313" s="4"/>
      <c r="C313" s="4"/>
      <c r="D313" s="22"/>
      <c r="E313" s="4"/>
      <c r="F313" s="4"/>
      <c r="G313" s="4"/>
      <c r="H313" s="24"/>
      <c r="I313" s="4"/>
      <c r="J313" s="4"/>
      <c r="K313" s="4"/>
      <c r="L313" s="4"/>
      <c r="M313" s="7"/>
      <c r="N313" s="7"/>
      <c r="O313" s="7"/>
      <c r="P313" s="7"/>
      <c r="Q313" s="7"/>
      <c r="R313" s="7"/>
      <c r="S313" s="7"/>
      <c r="T313" s="7"/>
      <c r="U313" s="7"/>
      <c r="V313" s="7"/>
      <c r="W313" s="7"/>
      <c r="X313" s="7"/>
      <c r="Y313" s="7"/>
      <c r="Z313" s="7"/>
    </row>
    <row r="314" ht="12.75" customHeight="1">
      <c r="A314" s="4"/>
      <c r="B314" s="4"/>
      <c r="C314" s="4"/>
      <c r="D314" s="22"/>
      <c r="E314" s="4"/>
      <c r="F314" s="4"/>
      <c r="G314" s="4"/>
      <c r="H314" s="24"/>
      <c r="I314" s="4"/>
      <c r="J314" s="4"/>
      <c r="K314" s="4"/>
      <c r="L314" s="4"/>
      <c r="M314" s="7"/>
      <c r="N314" s="7"/>
      <c r="O314" s="7"/>
      <c r="P314" s="7"/>
      <c r="Q314" s="7"/>
      <c r="R314" s="7"/>
      <c r="S314" s="7"/>
      <c r="T314" s="7"/>
      <c r="U314" s="7"/>
      <c r="V314" s="7"/>
      <c r="W314" s="7"/>
      <c r="X314" s="7"/>
      <c r="Y314" s="7"/>
      <c r="Z314" s="7"/>
    </row>
    <row r="315" ht="12.75" customHeight="1">
      <c r="A315" s="4"/>
      <c r="B315" s="4"/>
      <c r="C315" s="4"/>
      <c r="D315" s="22"/>
      <c r="E315" s="4"/>
      <c r="F315" s="4"/>
      <c r="G315" s="4"/>
      <c r="H315" s="24"/>
      <c r="I315" s="4"/>
      <c r="J315" s="4"/>
      <c r="K315" s="4"/>
      <c r="L315" s="4"/>
      <c r="M315" s="7"/>
      <c r="N315" s="7"/>
      <c r="O315" s="7"/>
      <c r="P315" s="7"/>
      <c r="Q315" s="7"/>
      <c r="R315" s="7"/>
      <c r="S315" s="7"/>
      <c r="T315" s="7"/>
      <c r="U315" s="7"/>
      <c r="V315" s="7"/>
      <c r="W315" s="7"/>
      <c r="X315" s="7"/>
      <c r="Y315" s="7"/>
      <c r="Z315" s="7"/>
    </row>
    <row r="316" ht="12.75" customHeight="1">
      <c r="A316" s="4"/>
      <c r="B316" s="4"/>
      <c r="C316" s="4"/>
      <c r="D316" s="22"/>
      <c r="E316" s="4"/>
      <c r="F316" s="4"/>
      <c r="G316" s="4"/>
      <c r="H316" s="24"/>
      <c r="I316" s="4"/>
      <c r="J316" s="4"/>
      <c r="K316" s="4"/>
      <c r="L316" s="4"/>
      <c r="M316" s="7"/>
      <c r="N316" s="7"/>
      <c r="O316" s="7"/>
      <c r="P316" s="7"/>
      <c r="Q316" s="7"/>
      <c r="R316" s="7"/>
      <c r="S316" s="7"/>
      <c r="T316" s="7"/>
      <c r="U316" s="7"/>
      <c r="V316" s="7"/>
      <c r="W316" s="7"/>
      <c r="X316" s="7"/>
      <c r="Y316" s="7"/>
      <c r="Z316" s="7"/>
    </row>
    <row r="317" ht="12.75" customHeight="1">
      <c r="A317" s="4"/>
      <c r="B317" s="4"/>
      <c r="C317" s="4"/>
      <c r="D317" s="22"/>
      <c r="E317" s="4"/>
      <c r="F317" s="4"/>
      <c r="G317" s="4"/>
      <c r="H317" s="24"/>
      <c r="I317" s="4"/>
      <c r="J317" s="4"/>
      <c r="K317" s="4"/>
      <c r="L317" s="4"/>
      <c r="M317" s="7"/>
      <c r="N317" s="7"/>
      <c r="O317" s="7"/>
      <c r="P317" s="7"/>
      <c r="Q317" s="7"/>
      <c r="R317" s="7"/>
      <c r="S317" s="7"/>
      <c r="T317" s="7"/>
      <c r="U317" s="7"/>
      <c r="V317" s="7"/>
      <c r="W317" s="7"/>
      <c r="X317" s="7"/>
      <c r="Y317" s="7"/>
      <c r="Z317" s="7"/>
    </row>
    <row r="318" ht="12.75" customHeight="1">
      <c r="A318" s="4"/>
      <c r="B318" s="4"/>
      <c r="C318" s="4"/>
      <c r="D318" s="22"/>
      <c r="E318" s="4"/>
      <c r="F318" s="4"/>
      <c r="G318" s="4"/>
      <c r="H318" s="24"/>
      <c r="I318" s="4"/>
      <c r="J318" s="4"/>
      <c r="K318" s="4"/>
      <c r="L318" s="4"/>
      <c r="M318" s="7"/>
      <c r="N318" s="7"/>
      <c r="O318" s="7"/>
      <c r="P318" s="7"/>
      <c r="Q318" s="7"/>
      <c r="R318" s="7"/>
      <c r="S318" s="7"/>
      <c r="T318" s="7"/>
      <c r="U318" s="7"/>
      <c r="V318" s="7"/>
      <c r="W318" s="7"/>
      <c r="X318" s="7"/>
      <c r="Y318" s="7"/>
      <c r="Z318" s="7"/>
    </row>
    <row r="319" ht="12.75" customHeight="1">
      <c r="A319" s="4"/>
      <c r="B319" s="4"/>
      <c r="C319" s="4"/>
      <c r="D319" s="22"/>
      <c r="E319" s="4"/>
      <c r="F319" s="4"/>
      <c r="G319" s="4"/>
      <c r="H319" s="24"/>
      <c r="I319" s="4"/>
      <c r="J319" s="4"/>
      <c r="K319" s="4"/>
      <c r="L319" s="4"/>
      <c r="M319" s="7"/>
      <c r="N319" s="7"/>
      <c r="O319" s="7"/>
      <c r="P319" s="7"/>
      <c r="Q319" s="7"/>
      <c r="R319" s="7"/>
      <c r="S319" s="7"/>
      <c r="T319" s="7"/>
      <c r="U319" s="7"/>
      <c r="V319" s="7"/>
      <c r="W319" s="7"/>
      <c r="X319" s="7"/>
      <c r="Y319" s="7"/>
      <c r="Z319" s="7"/>
    </row>
    <row r="320" ht="12.75" customHeight="1">
      <c r="A320" s="4"/>
      <c r="B320" s="4"/>
      <c r="C320" s="4"/>
      <c r="D320" s="22"/>
      <c r="E320" s="4"/>
      <c r="F320" s="4"/>
      <c r="G320" s="4"/>
      <c r="H320" s="24"/>
      <c r="I320" s="4"/>
      <c r="J320" s="4"/>
      <c r="K320" s="4"/>
      <c r="L320" s="4"/>
      <c r="M320" s="7"/>
      <c r="N320" s="7"/>
      <c r="O320" s="7"/>
      <c r="P320" s="7"/>
      <c r="Q320" s="7"/>
      <c r="R320" s="7"/>
      <c r="S320" s="7"/>
      <c r="T320" s="7"/>
      <c r="U320" s="7"/>
      <c r="V320" s="7"/>
      <c r="W320" s="7"/>
      <c r="X320" s="7"/>
      <c r="Y320" s="7"/>
      <c r="Z320" s="7"/>
    </row>
    <row r="321" ht="12.75" customHeight="1">
      <c r="A321" s="4"/>
      <c r="B321" s="4"/>
      <c r="C321" s="4"/>
      <c r="D321" s="22"/>
      <c r="E321" s="4"/>
      <c r="F321" s="4"/>
      <c r="G321" s="4"/>
      <c r="H321" s="24"/>
      <c r="I321" s="4"/>
      <c r="J321" s="4"/>
      <c r="K321" s="4"/>
      <c r="L321" s="4"/>
      <c r="M321" s="7"/>
      <c r="N321" s="7"/>
      <c r="O321" s="7"/>
      <c r="P321" s="7"/>
      <c r="Q321" s="7"/>
      <c r="R321" s="7"/>
      <c r="S321" s="7"/>
      <c r="T321" s="7"/>
      <c r="U321" s="7"/>
      <c r="V321" s="7"/>
      <c r="W321" s="7"/>
      <c r="X321" s="7"/>
      <c r="Y321" s="7"/>
      <c r="Z321" s="7"/>
    </row>
    <row r="322" ht="12.75" customHeight="1">
      <c r="A322" s="4"/>
      <c r="B322" s="4"/>
      <c r="C322" s="4"/>
      <c r="D322" s="22"/>
      <c r="E322" s="4"/>
      <c r="F322" s="4"/>
      <c r="G322" s="4"/>
      <c r="H322" s="24"/>
      <c r="I322" s="4"/>
      <c r="J322" s="4"/>
      <c r="K322" s="4"/>
      <c r="L322" s="4"/>
      <c r="M322" s="7"/>
      <c r="N322" s="7"/>
      <c r="O322" s="7"/>
      <c r="P322" s="7"/>
      <c r="Q322" s="7"/>
      <c r="R322" s="7"/>
      <c r="S322" s="7"/>
      <c r="T322" s="7"/>
      <c r="U322" s="7"/>
      <c r="V322" s="7"/>
      <c r="W322" s="7"/>
      <c r="X322" s="7"/>
      <c r="Y322" s="7"/>
      <c r="Z322" s="7"/>
    </row>
    <row r="323" ht="12.75" customHeight="1">
      <c r="A323" s="4"/>
      <c r="B323" s="4"/>
      <c r="C323" s="4"/>
      <c r="D323" s="22"/>
      <c r="E323" s="4"/>
      <c r="F323" s="4"/>
      <c r="G323" s="4"/>
      <c r="H323" s="24"/>
      <c r="I323" s="4"/>
      <c r="J323" s="4"/>
      <c r="K323" s="4"/>
      <c r="L323" s="4"/>
      <c r="M323" s="7"/>
      <c r="N323" s="7"/>
      <c r="O323" s="7"/>
      <c r="P323" s="7"/>
      <c r="Q323" s="7"/>
      <c r="R323" s="7"/>
      <c r="S323" s="7"/>
      <c r="T323" s="7"/>
      <c r="U323" s="7"/>
      <c r="V323" s="7"/>
      <c r="W323" s="7"/>
      <c r="X323" s="7"/>
      <c r="Y323" s="7"/>
      <c r="Z323" s="7"/>
    </row>
    <row r="324" ht="12.75" customHeight="1">
      <c r="A324" s="4"/>
      <c r="B324" s="4"/>
      <c r="C324" s="4"/>
      <c r="D324" s="22"/>
      <c r="E324" s="4"/>
      <c r="F324" s="4"/>
      <c r="G324" s="4"/>
      <c r="H324" s="24"/>
      <c r="I324" s="4"/>
      <c r="J324" s="4"/>
      <c r="K324" s="4"/>
      <c r="L324" s="4"/>
      <c r="M324" s="7"/>
      <c r="N324" s="7"/>
      <c r="O324" s="7"/>
      <c r="P324" s="7"/>
      <c r="Q324" s="7"/>
      <c r="R324" s="7"/>
      <c r="S324" s="7"/>
      <c r="T324" s="7"/>
      <c r="U324" s="7"/>
      <c r="V324" s="7"/>
      <c r="W324" s="7"/>
      <c r="X324" s="7"/>
      <c r="Y324" s="7"/>
      <c r="Z324" s="7"/>
    </row>
    <row r="325" ht="12.75" customHeight="1">
      <c r="A325" s="4"/>
      <c r="B325" s="4"/>
      <c r="C325" s="4"/>
      <c r="D325" s="22"/>
      <c r="E325" s="4"/>
      <c r="F325" s="4"/>
      <c r="G325" s="4"/>
      <c r="H325" s="24"/>
      <c r="I325" s="4"/>
      <c r="J325" s="4"/>
      <c r="K325" s="4"/>
      <c r="L325" s="4"/>
      <c r="M325" s="7"/>
      <c r="N325" s="7"/>
      <c r="O325" s="7"/>
      <c r="P325" s="7"/>
      <c r="Q325" s="7"/>
      <c r="R325" s="7"/>
      <c r="S325" s="7"/>
      <c r="T325" s="7"/>
      <c r="U325" s="7"/>
      <c r="V325" s="7"/>
      <c r="W325" s="7"/>
      <c r="X325" s="7"/>
      <c r="Y325" s="7"/>
      <c r="Z325" s="7"/>
    </row>
    <row r="326" ht="12.75" customHeight="1">
      <c r="A326" s="4"/>
      <c r="B326" s="4"/>
      <c r="C326" s="4"/>
      <c r="D326" s="22"/>
      <c r="E326" s="4"/>
      <c r="F326" s="4"/>
      <c r="G326" s="4"/>
      <c r="H326" s="24"/>
      <c r="I326" s="4"/>
      <c r="J326" s="4"/>
      <c r="K326" s="4"/>
      <c r="L326" s="4"/>
      <c r="M326" s="7"/>
      <c r="N326" s="7"/>
      <c r="O326" s="7"/>
      <c r="P326" s="7"/>
      <c r="Q326" s="7"/>
      <c r="R326" s="7"/>
      <c r="S326" s="7"/>
      <c r="T326" s="7"/>
      <c r="U326" s="7"/>
      <c r="V326" s="7"/>
      <c r="W326" s="7"/>
      <c r="X326" s="7"/>
      <c r="Y326" s="7"/>
      <c r="Z326" s="7"/>
    </row>
    <row r="327" ht="12.75" customHeight="1">
      <c r="A327" s="4"/>
      <c r="B327" s="4"/>
      <c r="C327" s="4"/>
      <c r="D327" s="22"/>
      <c r="E327" s="4"/>
      <c r="F327" s="4"/>
      <c r="G327" s="4"/>
      <c r="H327" s="24"/>
      <c r="I327" s="4"/>
      <c r="J327" s="4"/>
      <c r="K327" s="4"/>
      <c r="L327" s="4"/>
      <c r="M327" s="7"/>
      <c r="N327" s="7"/>
      <c r="O327" s="7"/>
      <c r="P327" s="7"/>
      <c r="Q327" s="7"/>
      <c r="R327" s="7"/>
      <c r="S327" s="7"/>
      <c r="T327" s="7"/>
      <c r="U327" s="7"/>
      <c r="V327" s="7"/>
      <c r="W327" s="7"/>
      <c r="X327" s="7"/>
      <c r="Y327" s="7"/>
      <c r="Z327" s="7"/>
    </row>
    <row r="328" ht="12.75" customHeight="1">
      <c r="A328" s="4"/>
      <c r="B328" s="4"/>
      <c r="C328" s="4"/>
      <c r="D328" s="22"/>
      <c r="E328" s="4"/>
      <c r="F328" s="4"/>
      <c r="G328" s="4"/>
      <c r="H328" s="24"/>
      <c r="I328" s="4"/>
      <c r="J328" s="4"/>
      <c r="K328" s="4"/>
      <c r="L328" s="4"/>
      <c r="M328" s="7"/>
      <c r="N328" s="7"/>
      <c r="O328" s="7"/>
      <c r="P328" s="7"/>
      <c r="Q328" s="7"/>
      <c r="R328" s="7"/>
      <c r="S328" s="7"/>
      <c r="T328" s="7"/>
      <c r="U328" s="7"/>
      <c r="V328" s="7"/>
      <c r="W328" s="7"/>
      <c r="X328" s="7"/>
      <c r="Y328" s="7"/>
      <c r="Z328" s="7"/>
    </row>
    <row r="329" ht="12.75" customHeight="1">
      <c r="A329" s="4"/>
      <c r="B329" s="4"/>
      <c r="C329" s="4"/>
      <c r="D329" s="22"/>
      <c r="E329" s="4"/>
      <c r="F329" s="4"/>
      <c r="G329" s="4"/>
      <c r="H329" s="24"/>
      <c r="I329" s="4"/>
      <c r="J329" s="4"/>
      <c r="K329" s="4"/>
      <c r="L329" s="4"/>
      <c r="M329" s="7"/>
      <c r="N329" s="7"/>
      <c r="O329" s="7"/>
      <c r="P329" s="7"/>
      <c r="Q329" s="7"/>
      <c r="R329" s="7"/>
      <c r="S329" s="7"/>
      <c r="T329" s="7"/>
      <c r="U329" s="7"/>
      <c r="V329" s="7"/>
      <c r="W329" s="7"/>
      <c r="X329" s="7"/>
      <c r="Y329" s="7"/>
      <c r="Z329" s="7"/>
    </row>
    <row r="330" ht="12.75" customHeight="1">
      <c r="A330" s="4"/>
      <c r="B330" s="4"/>
      <c r="C330" s="4"/>
      <c r="D330" s="22"/>
      <c r="E330" s="4"/>
      <c r="F330" s="4"/>
      <c r="G330" s="4"/>
      <c r="H330" s="24"/>
      <c r="I330" s="4"/>
      <c r="J330" s="4"/>
      <c r="K330" s="4"/>
      <c r="L330" s="4"/>
      <c r="M330" s="7"/>
      <c r="N330" s="7"/>
      <c r="O330" s="7"/>
      <c r="P330" s="7"/>
      <c r="Q330" s="7"/>
      <c r="R330" s="7"/>
      <c r="S330" s="7"/>
      <c r="T330" s="7"/>
      <c r="U330" s="7"/>
      <c r="V330" s="7"/>
      <c r="W330" s="7"/>
      <c r="X330" s="7"/>
      <c r="Y330" s="7"/>
      <c r="Z330" s="7"/>
    </row>
    <row r="331" ht="12.75" customHeight="1">
      <c r="A331" s="4"/>
      <c r="B331" s="4"/>
      <c r="C331" s="4"/>
      <c r="D331" s="22"/>
      <c r="E331" s="4"/>
      <c r="F331" s="4"/>
      <c r="G331" s="4"/>
      <c r="H331" s="24"/>
      <c r="I331" s="4"/>
      <c r="J331" s="4"/>
      <c r="K331" s="4"/>
      <c r="L331" s="4"/>
      <c r="M331" s="7"/>
      <c r="N331" s="7"/>
      <c r="O331" s="7"/>
      <c r="P331" s="7"/>
      <c r="Q331" s="7"/>
      <c r="R331" s="7"/>
      <c r="S331" s="7"/>
      <c r="T331" s="7"/>
      <c r="U331" s="7"/>
      <c r="V331" s="7"/>
      <c r="W331" s="7"/>
      <c r="X331" s="7"/>
      <c r="Y331" s="7"/>
      <c r="Z331" s="7"/>
    </row>
    <row r="332" ht="12.75" customHeight="1">
      <c r="A332" s="4"/>
      <c r="B332" s="4"/>
      <c r="C332" s="4"/>
      <c r="D332" s="22"/>
      <c r="E332" s="4"/>
      <c r="F332" s="4"/>
      <c r="G332" s="4"/>
      <c r="H332" s="24"/>
      <c r="I332" s="4"/>
      <c r="J332" s="4"/>
      <c r="K332" s="4"/>
      <c r="L332" s="4"/>
      <c r="M332" s="7"/>
      <c r="N332" s="7"/>
      <c r="O332" s="7"/>
      <c r="P332" s="7"/>
      <c r="Q332" s="7"/>
      <c r="R332" s="7"/>
      <c r="S332" s="7"/>
      <c r="T332" s="7"/>
      <c r="U332" s="7"/>
      <c r="V332" s="7"/>
      <c r="W332" s="7"/>
      <c r="X332" s="7"/>
      <c r="Y332" s="7"/>
      <c r="Z332" s="7"/>
    </row>
    <row r="333" ht="12.75" customHeight="1">
      <c r="A333" s="4"/>
      <c r="B333" s="4"/>
      <c r="C333" s="4"/>
      <c r="D333" s="22"/>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4"/>
      <c r="B334" s="4"/>
      <c r="C334" s="4"/>
      <c r="D334" s="22"/>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4"/>
      <c r="B335" s="4"/>
      <c r="C335" s="4"/>
      <c r="D335" s="22"/>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4"/>
      <c r="B336" s="4"/>
      <c r="C336" s="4"/>
      <c r="D336" s="22"/>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4"/>
      <c r="B337" s="4"/>
      <c r="C337" s="4"/>
      <c r="D337" s="22"/>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4"/>
      <c r="B338" s="4"/>
      <c r="C338" s="4"/>
      <c r="D338" s="22"/>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4"/>
      <c r="B339" s="4"/>
      <c r="C339" s="4"/>
      <c r="D339" s="22"/>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4"/>
      <c r="B340" s="4"/>
      <c r="C340" s="4"/>
      <c r="D340" s="22"/>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4"/>
      <c r="B341" s="4"/>
      <c r="C341" s="4"/>
      <c r="D341" s="22"/>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4"/>
      <c r="B342" s="4"/>
      <c r="C342" s="4"/>
      <c r="D342" s="22"/>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4"/>
      <c r="B343" s="4"/>
      <c r="C343" s="4"/>
      <c r="D343" s="22"/>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4"/>
      <c r="B344" s="4"/>
      <c r="C344" s="4"/>
      <c r="D344" s="22"/>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4"/>
      <c r="B345" s="4"/>
      <c r="C345" s="4"/>
      <c r="D345" s="22"/>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4"/>
      <c r="B346" s="4"/>
      <c r="C346" s="4"/>
      <c r="D346" s="22"/>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4"/>
      <c r="B347" s="4"/>
      <c r="C347" s="4"/>
      <c r="D347" s="22"/>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4"/>
      <c r="B348" s="4"/>
      <c r="C348" s="4"/>
      <c r="D348" s="22"/>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4"/>
      <c r="B349" s="4"/>
      <c r="C349" s="4"/>
      <c r="D349" s="22"/>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4"/>
      <c r="B350" s="4"/>
      <c r="C350" s="4"/>
      <c r="D350" s="22"/>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4"/>
      <c r="B351" s="4"/>
      <c r="C351" s="4"/>
      <c r="D351" s="22"/>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4"/>
      <c r="B352" s="4"/>
      <c r="C352" s="4"/>
      <c r="D352" s="22"/>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4"/>
      <c r="B353" s="4"/>
      <c r="C353" s="4"/>
      <c r="D353" s="22"/>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4"/>
      <c r="B354" s="4"/>
      <c r="C354" s="4"/>
      <c r="D354" s="22"/>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4"/>
      <c r="B355" s="4"/>
      <c r="C355" s="4"/>
      <c r="D355" s="22"/>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4"/>
      <c r="B356" s="4"/>
      <c r="C356" s="4"/>
      <c r="D356" s="22"/>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4"/>
      <c r="B357" s="4"/>
      <c r="C357" s="4"/>
      <c r="D357" s="22"/>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4"/>
      <c r="B358" s="4"/>
      <c r="C358" s="4"/>
      <c r="D358" s="22"/>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4"/>
      <c r="B359" s="4"/>
      <c r="C359" s="4"/>
      <c r="D359" s="22"/>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4"/>
      <c r="B360" s="4"/>
      <c r="C360" s="4"/>
      <c r="D360" s="22"/>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4"/>
      <c r="B361" s="4"/>
      <c r="C361" s="4"/>
      <c r="D361" s="22"/>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4"/>
      <c r="B362" s="4"/>
      <c r="C362" s="4"/>
      <c r="D362" s="22"/>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4"/>
      <c r="B363" s="4"/>
      <c r="C363" s="4"/>
      <c r="D363" s="22"/>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4"/>
      <c r="B364" s="4"/>
      <c r="C364" s="4"/>
      <c r="D364" s="22"/>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4"/>
      <c r="B365" s="4"/>
      <c r="C365" s="4"/>
      <c r="D365" s="22"/>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4"/>
      <c r="B366" s="4"/>
      <c r="C366" s="4"/>
      <c r="D366" s="22"/>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4"/>
      <c r="B367" s="4"/>
      <c r="C367" s="4"/>
      <c r="D367" s="22"/>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4"/>
      <c r="B368" s="4"/>
      <c r="C368" s="4"/>
      <c r="D368" s="22"/>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4"/>
      <c r="B369" s="4"/>
      <c r="C369" s="4"/>
      <c r="D369" s="22"/>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4"/>
      <c r="B370" s="4"/>
      <c r="C370" s="4"/>
      <c r="D370" s="22"/>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4"/>
      <c r="B371" s="4"/>
      <c r="C371" s="4"/>
      <c r="D371" s="22"/>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4"/>
      <c r="B372" s="4"/>
      <c r="C372" s="4"/>
      <c r="D372" s="22"/>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4"/>
      <c r="B373" s="4"/>
      <c r="C373" s="4"/>
      <c r="D373" s="22"/>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4"/>
      <c r="B374" s="4"/>
      <c r="C374" s="4"/>
      <c r="D374" s="22"/>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4"/>
      <c r="B375" s="4"/>
      <c r="C375" s="4"/>
      <c r="D375" s="22"/>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4"/>
      <c r="B376" s="4"/>
      <c r="C376" s="4"/>
      <c r="D376" s="22"/>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4"/>
      <c r="B377" s="4"/>
      <c r="C377" s="4"/>
      <c r="D377" s="22"/>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4"/>
      <c r="B378" s="4"/>
      <c r="C378" s="4"/>
      <c r="D378" s="22"/>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4"/>
      <c r="B379" s="4"/>
      <c r="C379" s="4"/>
      <c r="D379" s="22"/>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4"/>
      <c r="B380" s="4"/>
      <c r="C380" s="4"/>
      <c r="D380" s="22"/>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4"/>
      <c r="B381" s="4"/>
      <c r="C381" s="4"/>
      <c r="D381" s="22"/>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4"/>
      <c r="B382" s="4"/>
      <c r="C382" s="4"/>
      <c r="D382" s="22"/>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4"/>
      <c r="B383" s="4"/>
      <c r="C383" s="4"/>
      <c r="D383" s="22"/>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4"/>
      <c r="B384" s="4"/>
      <c r="C384" s="4"/>
      <c r="D384" s="22"/>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4"/>
      <c r="B385" s="4"/>
      <c r="C385" s="4"/>
      <c r="D385" s="22"/>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4"/>
      <c r="B386" s="4"/>
      <c r="C386" s="4"/>
      <c r="D386" s="22"/>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4"/>
      <c r="B387" s="4"/>
      <c r="C387" s="4"/>
      <c r="D387" s="22"/>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4"/>
      <c r="B388" s="4"/>
      <c r="C388" s="4"/>
      <c r="D388" s="22"/>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4"/>
      <c r="B389" s="4"/>
      <c r="C389" s="4"/>
      <c r="D389" s="22"/>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4"/>
      <c r="B390" s="4"/>
      <c r="C390" s="4"/>
      <c r="D390" s="22"/>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4"/>
      <c r="B391" s="4"/>
      <c r="C391" s="4"/>
      <c r="D391" s="22"/>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4"/>
      <c r="B392" s="4"/>
      <c r="C392" s="4"/>
      <c r="D392" s="22"/>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4"/>
      <c r="B393" s="4"/>
      <c r="C393" s="4"/>
      <c r="D393" s="22"/>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4"/>
      <c r="B394" s="4"/>
      <c r="C394" s="4"/>
      <c r="D394" s="22"/>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4"/>
      <c r="B395" s="4"/>
      <c r="C395" s="4"/>
      <c r="D395" s="22"/>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4"/>
      <c r="B396" s="4"/>
      <c r="C396" s="4"/>
      <c r="D396" s="22"/>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4"/>
      <c r="B397" s="4"/>
      <c r="C397" s="4"/>
      <c r="D397" s="22"/>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4"/>
      <c r="B398" s="4"/>
      <c r="C398" s="4"/>
      <c r="D398" s="22"/>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4"/>
      <c r="B399" s="4"/>
      <c r="C399" s="4"/>
      <c r="D399" s="22"/>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4"/>
      <c r="B400" s="4"/>
      <c r="C400" s="4"/>
      <c r="D400" s="22"/>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4"/>
      <c r="B401" s="4"/>
      <c r="C401" s="4"/>
      <c r="D401" s="22"/>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4"/>
      <c r="B402" s="4"/>
      <c r="C402" s="4"/>
      <c r="D402" s="22"/>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4"/>
      <c r="B403" s="4"/>
      <c r="C403" s="4"/>
      <c r="D403" s="22"/>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4"/>
      <c r="B404" s="4"/>
      <c r="C404" s="4"/>
      <c r="D404" s="22"/>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4"/>
      <c r="B405" s="4"/>
      <c r="C405" s="4"/>
      <c r="D405" s="22"/>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4"/>
      <c r="B406" s="4"/>
      <c r="C406" s="4"/>
      <c r="D406" s="22"/>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4"/>
      <c r="B407" s="4"/>
      <c r="C407" s="4"/>
      <c r="D407" s="22"/>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4"/>
      <c r="B408" s="4"/>
      <c r="C408" s="4"/>
      <c r="D408" s="22"/>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4"/>
      <c r="B409" s="4"/>
      <c r="C409" s="4"/>
      <c r="D409" s="22"/>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4"/>
      <c r="B410" s="4"/>
      <c r="C410" s="4"/>
      <c r="D410" s="22"/>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4"/>
      <c r="B411" s="4"/>
      <c r="C411" s="4"/>
      <c r="D411" s="22"/>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4"/>
      <c r="B412" s="4"/>
      <c r="C412" s="4"/>
      <c r="D412" s="22"/>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4"/>
      <c r="B413" s="4"/>
      <c r="C413" s="4"/>
      <c r="D413" s="22"/>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4"/>
      <c r="B414" s="4"/>
      <c r="C414" s="4"/>
      <c r="D414" s="22"/>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4"/>
      <c r="B415" s="4"/>
      <c r="C415" s="4"/>
      <c r="D415" s="22"/>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4"/>
      <c r="B416" s="4"/>
      <c r="C416" s="4"/>
      <c r="D416" s="22"/>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4"/>
      <c r="B417" s="4"/>
      <c r="C417" s="4"/>
      <c r="D417" s="22"/>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4"/>
      <c r="B418" s="4"/>
      <c r="C418" s="4"/>
      <c r="D418" s="22"/>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4"/>
      <c r="B419" s="4"/>
      <c r="C419" s="4"/>
      <c r="D419" s="22"/>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4"/>
      <c r="B420" s="4"/>
      <c r="C420" s="4"/>
      <c r="D420" s="22"/>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4"/>
      <c r="B421" s="4"/>
      <c r="C421" s="4"/>
      <c r="D421" s="22"/>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4"/>
      <c r="B422" s="4"/>
      <c r="C422" s="4"/>
      <c r="D422" s="22"/>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4"/>
      <c r="B423" s="4"/>
      <c r="C423" s="4"/>
      <c r="D423" s="22"/>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4"/>
      <c r="B424" s="4"/>
      <c r="C424" s="4"/>
      <c r="D424" s="22"/>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4"/>
      <c r="B425" s="4"/>
      <c r="C425" s="4"/>
      <c r="D425" s="22"/>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4"/>
      <c r="B426" s="4"/>
      <c r="C426" s="4"/>
      <c r="D426" s="22"/>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4"/>
      <c r="B427" s="4"/>
      <c r="C427" s="4"/>
      <c r="D427" s="22"/>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4"/>
      <c r="B428" s="4"/>
      <c r="C428" s="4"/>
      <c r="D428" s="22"/>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4"/>
      <c r="B429" s="4"/>
      <c r="C429" s="4"/>
      <c r="D429" s="22"/>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4"/>
      <c r="B430" s="4"/>
      <c r="C430" s="4"/>
      <c r="D430" s="22"/>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4"/>
      <c r="B431" s="4"/>
      <c r="C431" s="4"/>
      <c r="D431" s="22"/>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4"/>
      <c r="B432" s="4"/>
      <c r="C432" s="4"/>
      <c r="D432" s="22"/>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4"/>
      <c r="B433" s="4"/>
      <c r="C433" s="4"/>
      <c r="D433" s="22"/>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4"/>
      <c r="B434" s="4"/>
      <c r="C434" s="4"/>
      <c r="D434" s="22"/>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4"/>
      <c r="B435" s="4"/>
      <c r="C435" s="4"/>
      <c r="D435" s="22"/>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4"/>
      <c r="B436" s="4"/>
      <c r="C436" s="4"/>
      <c r="D436" s="22"/>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4"/>
      <c r="B437" s="4"/>
      <c r="C437" s="4"/>
      <c r="D437" s="22"/>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4"/>
      <c r="B438" s="4"/>
      <c r="C438" s="4"/>
      <c r="D438" s="22"/>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4"/>
      <c r="B439" s="4"/>
      <c r="C439" s="4"/>
      <c r="D439" s="22"/>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4"/>
      <c r="B440" s="4"/>
      <c r="C440" s="4"/>
      <c r="D440" s="22"/>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4"/>
      <c r="B441" s="4"/>
      <c r="C441" s="4"/>
      <c r="D441" s="22"/>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4"/>
      <c r="B442" s="4"/>
      <c r="C442" s="4"/>
      <c r="D442" s="22"/>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4"/>
      <c r="B443" s="4"/>
      <c r="C443" s="4"/>
      <c r="D443" s="22"/>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4"/>
      <c r="B444" s="4"/>
      <c r="C444" s="4"/>
      <c r="D444" s="22"/>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4"/>
      <c r="B445" s="4"/>
      <c r="C445" s="4"/>
      <c r="D445" s="22"/>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4"/>
      <c r="B446" s="4"/>
      <c r="C446" s="4"/>
      <c r="D446" s="22"/>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4"/>
      <c r="B447" s="4"/>
      <c r="C447" s="4"/>
      <c r="D447" s="22"/>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4"/>
      <c r="B448" s="4"/>
      <c r="C448" s="4"/>
      <c r="D448" s="22"/>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4"/>
      <c r="B449" s="4"/>
      <c r="C449" s="4"/>
      <c r="D449" s="22"/>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4"/>
      <c r="B450" s="4"/>
      <c r="C450" s="4"/>
      <c r="D450" s="22"/>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4"/>
      <c r="B451" s="4"/>
      <c r="C451" s="4"/>
      <c r="D451" s="22"/>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4"/>
      <c r="B452" s="4"/>
      <c r="C452" s="4"/>
      <c r="D452" s="22"/>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4"/>
      <c r="B453" s="4"/>
      <c r="C453" s="4"/>
      <c r="D453" s="22"/>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4"/>
      <c r="B454" s="4"/>
      <c r="C454" s="4"/>
      <c r="D454" s="22"/>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4"/>
      <c r="B455" s="4"/>
      <c r="C455" s="4"/>
      <c r="D455" s="22"/>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4"/>
      <c r="B456" s="4"/>
      <c r="C456" s="4"/>
      <c r="D456" s="22"/>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4"/>
      <c r="B457" s="4"/>
      <c r="C457" s="4"/>
      <c r="D457" s="22"/>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4"/>
      <c r="B458" s="4"/>
      <c r="C458" s="4"/>
      <c r="D458" s="22"/>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4"/>
      <c r="B459" s="4"/>
      <c r="C459" s="4"/>
      <c r="D459" s="22"/>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4"/>
      <c r="B460" s="4"/>
      <c r="C460" s="4"/>
      <c r="D460" s="22"/>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4"/>
      <c r="B461" s="4"/>
      <c r="C461" s="4"/>
      <c r="D461" s="22"/>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4"/>
      <c r="B462" s="4"/>
      <c r="C462" s="4"/>
      <c r="D462" s="22"/>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4"/>
      <c r="B463" s="4"/>
      <c r="C463" s="4"/>
      <c r="D463" s="22"/>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4"/>
      <c r="B464" s="4"/>
      <c r="C464" s="4"/>
      <c r="D464" s="22"/>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4"/>
      <c r="B465" s="4"/>
      <c r="C465" s="4"/>
      <c r="D465" s="22"/>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4"/>
      <c r="B466" s="4"/>
      <c r="C466" s="4"/>
      <c r="D466" s="22"/>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4"/>
      <c r="B467" s="4"/>
      <c r="C467" s="4"/>
      <c r="D467" s="22"/>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4"/>
      <c r="B468" s="4"/>
      <c r="C468" s="4"/>
      <c r="D468" s="22"/>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4"/>
      <c r="B469" s="4"/>
      <c r="C469" s="4"/>
      <c r="D469" s="22"/>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4"/>
      <c r="B470" s="4"/>
      <c r="C470" s="4"/>
      <c r="D470" s="22"/>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4"/>
      <c r="B471" s="4"/>
      <c r="C471" s="4"/>
      <c r="D471" s="22"/>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4"/>
      <c r="B472" s="4"/>
      <c r="C472" s="4"/>
      <c r="D472" s="22"/>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4"/>
      <c r="B473" s="4"/>
      <c r="C473" s="4"/>
      <c r="D473" s="22"/>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4"/>
      <c r="B474" s="4"/>
      <c r="C474" s="4"/>
      <c r="D474" s="22"/>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4"/>
      <c r="B475" s="4"/>
      <c r="C475" s="4"/>
      <c r="D475" s="22"/>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4"/>
      <c r="B476" s="4"/>
      <c r="C476" s="4"/>
      <c r="D476" s="22"/>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4"/>
      <c r="B477" s="4"/>
      <c r="C477" s="4"/>
      <c r="D477" s="22"/>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4"/>
      <c r="B478" s="4"/>
      <c r="C478" s="4"/>
      <c r="D478" s="22"/>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4"/>
      <c r="B479" s="4"/>
      <c r="C479" s="4"/>
      <c r="D479" s="22"/>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4"/>
      <c r="B480" s="4"/>
      <c r="C480" s="4"/>
      <c r="D480" s="22"/>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4"/>
      <c r="B481" s="4"/>
      <c r="C481" s="4"/>
      <c r="D481" s="22"/>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4"/>
      <c r="B482" s="4"/>
      <c r="C482" s="4"/>
      <c r="D482" s="22"/>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4"/>
      <c r="B483" s="4"/>
      <c r="C483" s="4"/>
      <c r="D483" s="22"/>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4"/>
      <c r="B484" s="4"/>
      <c r="C484" s="4"/>
      <c r="D484" s="22"/>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4"/>
      <c r="B485" s="4"/>
      <c r="C485" s="4"/>
      <c r="D485" s="22"/>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4"/>
      <c r="B486" s="4"/>
      <c r="C486" s="4"/>
      <c r="D486" s="22"/>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4"/>
      <c r="B487" s="4"/>
      <c r="C487" s="4"/>
      <c r="D487" s="22"/>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4"/>
      <c r="B488" s="4"/>
      <c r="C488" s="4"/>
      <c r="D488" s="22"/>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4"/>
      <c r="B489" s="4"/>
      <c r="C489" s="4"/>
      <c r="D489" s="22"/>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4"/>
      <c r="B490" s="4"/>
      <c r="C490" s="4"/>
      <c r="D490" s="22"/>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4"/>
      <c r="B491" s="4"/>
      <c r="C491" s="4"/>
      <c r="D491" s="22"/>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4"/>
      <c r="B492" s="4"/>
      <c r="C492" s="4"/>
      <c r="D492" s="22"/>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4"/>
      <c r="B493" s="4"/>
      <c r="C493" s="4"/>
      <c r="D493" s="22"/>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4"/>
      <c r="B494" s="4"/>
      <c r="C494" s="4"/>
      <c r="D494" s="22"/>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4"/>
      <c r="B495" s="4"/>
      <c r="C495" s="4"/>
      <c r="D495" s="22"/>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4"/>
      <c r="B496" s="4"/>
      <c r="C496" s="4"/>
      <c r="D496" s="22"/>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4"/>
      <c r="B497" s="4"/>
      <c r="C497" s="4"/>
      <c r="D497" s="22"/>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4"/>
      <c r="B498" s="4"/>
      <c r="C498" s="4"/>
      <c r="D498" s="22"/>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4"/>
      <c r="B499" s="4"/>
      <c r="C499" s="4"/>
      <c r="D499" s="22"/>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4"/>
      <c r="B500" s="4"/>
      <c r="C500" s="4"/>
      <c r="D500" s="22"/>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4"/>
      <c r="B501" s="4"/>
      <c r="C501" s="4"/>
      <c r="D501" s="22"/>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4"/>
      <c r="B502" s="4"/>
      <c r="C502" s="4"/>
      <c r="D502" s="22"/>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4"/>
      <c r="B503" s="4"/>
      <c r="C503" s="4"/>
      <c r="D503" s="22"/>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4"/>
      <c r="B504" s="4"/>
      <c r="C504" s="4"/>
      <c r="D504" s="22"/>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4"/>
      <c r="B505" s="4"/>
      <c r="C505" s="4"/>
      <c r="D505" s="22"/>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4"/>
      <c r="B506" s="4"/>
      <c r="C506" s="4"/>
      <c r="D506" s="22"/>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4"/>
      <c r="B507" s="4"/>
      <c r="C507" s="4"/>
      <c r="D507" s="22"/>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4"/>
      <c r="B508" s="4"/>
      <c r="C508" s="4"/>
      <c r="D508" s="22"/>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4"/>
      <c r="B509" s="4"/>
      <c r="C509" s="4"/>
      <c r="D509" s="22"/>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4"/>
      <c r="B510" s="4"/>
      <c r="C510" s="4"/>
      <c r="D510" s="22"/>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4"/>
      <c r="B511" s="4"/>
      <c r="C511" s="4"/>
      <c r="D511" s="22"/>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4"/>
      <c r="B512" s="4"/>
      <c r="C512" s="4"/>
      <c r="D512" s="22"/>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4"/>
      <c r="B513" s="4"/>
      <c r="C513" s="4"/>
      <c r="D513" s="22"/>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4"/>
      <c r="B514" s="4"/>
      <c r="C514" s="4"/>
      <c r="D514" s="22"/>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4"/>
      <c r="B515" s="4"/>
      <c r="C515" s="4"/>
      <c r="D515" s="22"/>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4"/>
      <c r="B516" s="4"/>
      <c r="C516" s="4"/>
      <c r="D516" s="22"/>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4"/>
      <c r="B517" s="4"/>
      <c r="C517" s="4"/>
      <c r="D517" s="22"/>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4"/>
      <c r="B518" s="4"/>
      <c r="C518" s="4"/>
      <c r="D518" s="22"/>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4"/>
      <c r="B519" s="4"/>
      <c r="C519" s="4"/>
      <c r="D519" s="22"/>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4"/>
      <c r="B520" s="4"/>
      <c r="C520" s="4"/>
      <c r="D520" s="22"/>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4"/>
      <c r="B521" s="4"/>
      <c r="C521" s="4"/>
      <c r="D521" s="22"/>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4"/>
      <c r="B522" s="4"/>
      <c r="C522" s="4"/>
      <c r="D522" s="22"/>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4"/>
      <c r="B523" s="4"/>
      <c r="C523" s="4"/>
      <c r="D523" s="22"/>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4"/>
      <c r="B524" s="4"/>
      <c r="C524" s="4"/>
      <c r="D524" s="22"/>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4"/>
      <c r="B525" s="4"/>
      <c r="C525" s="4"/>
      <c r="D525" s="22"/>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4"/>
      <c r="B526" s="4"/>
      <c r="C526" s="4"/>
      <c r="D526" s="22"/>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4"/>
      <c r="B527" s="4"/>
      <c r="C527" s="4"/>
      <c r="D527" s="22"/>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4"/>
      <c r="B528" s="4"/>
      <c r="C528" s="4"/>
      <c r="D528" s="22"/>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4"/>
      <c r="B529" s="4"/>
      <c r="C529" s="4"/>
      <c r="D529" s="22"/>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4"/>
      <c r="B530" s="4"/>
      <c r="C530" s="4"/>
      <c r="D530" s="22"/>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4"/>
      <c r="B531" s="4"/>
      <c r="C531" s="4"/>
      <c r="D531" s="22"/>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4"/>
      <c r="B532" s="4"/>
      <c r="C532" s="4"/>
      <c r="D532" s="22"/>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4"/>
      <c r="B533" s="4"/>
      <c r="C533" s="4"/>
      <c r="D533" s="22"/>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4"/>
      <c r="B534" s="4"/>
      <c r="C534" s="4"/>
      <c r="D534" s="22"/>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4"/>
      <c r="B535" s="4"/>
      <c r="C535" s="4"/>
      <c r="D535" s="22"/>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4"/>
      <c r="B536" s="4"/>
      <c r="C536" s="4"/>
      <c r="D536" s="22"/>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4"/>
      <c r="B537" s="4"/>
      <c r="C537" s="4"/>
      <c r="D537" s="22"/>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4"/>
      <c r="B538" s="4"/>
      <c r="C538" s="4"/>
      <c r="D538" s="22"/>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4"/>
      <c r="B539" s="4"/>
      <c r="C539" s="4"/>
      <c r="D539" s="22"/>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4"/>
      <c r="B540" s="4"/>
      <c r="C540" s="4"/>
      <c r="D540" s="22"/>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4"/>
      <c r="B541" s="4"/>
      <c r="C541" s="4"/>
      <c r="D541" s="22"/>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4"/>
      <c r="B542" s="4"/>
      <c r="C542" s="4"/>
      <c r="D542" s="22"/>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4"/>
      <c r="B543" s="4"/>
      <c r="C543" s="4"/>
      <c r="D543" s="22"/>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4"/>
      <c r="B544" s="4"/>
      <c r="C544" s="4"/>
      <c r="D544" s="22"/>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4"/>
      <c r="B545" s="4"/>
      <c r="C545" s="4"/>
      <c r="D545" s="22"/>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4"/>
      <c r="B546" s="4"/>
      <c r="C546" s="4"/>
      <c r="D546" s="22"/>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4"/>
      <c r="B547" s="4"/>
      <c r="C547" s="4"/>
      <c r="D547" s="22"/>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4"/>
      <c r="B548" s="4"/>
      <c r="C548" s="4"/>
      <c r="D548" s="22"/>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4"/>
      <c r="B549" s="4"/>
      <c r="C549" s="4"/>
      <c r="D549" s="22"/>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4"/>
      <c r="B550" s="4"/>
      <c r="C550" s="4"/>
      <c r="D550" s="22"/>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4"/>
      <c r="B551" s="4"/>
      <c r="C551" s="4"/>
      <c r="D551" s="22"/>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4"/>
      <c r="B552" s="4"/>
      <c r="C552" s="4"/>
      <c r="D552" s="22"/>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4"/>
      <c r="B553" s="4"/>
      <c r="C553" s="4"/>
      <c r="D553" s="22"/>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4"/>
      <c r="B554" s="4"/>
      <c r="C554" s="4"/>
      <c r="D554" s="22"/>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4"/>
      <c r="B555" s="4"/>
      <c r="C555" s="4"/>
      <c r="D555" s="22"/>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4"/>
      <c r="B556" s="4"/>
      <c r="C556" s="4"/>
      <c r="D556" s="22"/>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4"/>
      <c r="B557" s="4"/>
      <c r="C557" s="4"/>
      <c r="D557" s="22"/>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4"/>
      <c r="B558" s="4"/>
      <c r="C558" s="4"/>
      <c r="D558" s="22"/>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4"/>
      <c r="B559" s="4"/>
      <c r="C559" s="4"/>
      <c r="D559" s="22"/>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4"/>
      <c r="B560" s="4"/>
      <c r="C560" s="4"/>
      <c r="D560" s="22"/>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4"/>
      <c r="B561" s="4"/>
      <c r="C561" s="4"/>
      <c r="D561" s="22"/>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4"/>
      <c r="B562" s="4"/>
      <c r="C562" s="4"/>
      <c r="D562" s="22"/>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4"/>
      <c r="B563" s="4"/>
      <c r="C563" s="4"/>
      <c r="D563" s="22"/>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4"/>
      <c r="B564" s="4"/>
      <c r="C564" s="4"/>
      <c r="D564" s="22"/>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4"/>
      <c r="B565" s="4"/>
      <c r="C565" s="4"/>
      <c r="D565" s="22"/>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4"/>
      <c r="B566" s="4"/>
      <c r="C566" s="4"/>
      <c r="D566" s="22"/>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4"/>
      <c r="B567" s="4"/>
      <c r="C567" s="4"/>
      <c r="D567" s="22"/>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4"/>
      <c r="B568" s="4"/>
      <c r="C568" s="4"/>
      <c r="D568" s="22"/>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4"/>
      <c r="B569" s="4"/>
      <c r="C569" s="4"/>
      <c r="D569" s="22"/>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4"/>
      <c r="B570" s="4"/>
      <c r="C570" s="4"/>
      <c r="D570" s="22"/>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4"/>
      <c r="B571" s="4"/>
      <c r="C571" s="4"/>
      <c r="D571" s="22"/>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4"/>
      <c r="B572" s="4"/>
      <c r="C572" s="4"/>
      <c r="D572" s="22"/>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4"/>
      <c r="B573" s="4"/>
      <c r="C573" s="4"/>
      <c r="D573" s="22"/>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4"/>
      <c r="B574" s="4"/>
      <c r="C574" s="4"/>
      <c r="D574" s="22"/>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4"/>
      <c r="B575" s="4"/>
      <c r="C575" s="4"/>
      <c r="D575" s="22"/>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4"/>
      <c r="B576" s="4"/>
      <c r="C576" s="4"/>
      <c r="D576" s="22"/>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4"/>
      <c r="B577" s="4"/>
      <c r="C577" s="4"/>
      <c r="D577" s="22"/>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4"/>
      <c r="B578" s="4"/>
      <c r="C578" s="4"/>
      <c r="D578" s="22"/>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4"/>
      <c r="B579" s="4"/>
      <c r="C579" s="4"/>
      <c r="D579" s="22"/>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4"/>
      <c r="B580" s="4"/>
      <c r="C580" s="4"/>
      <c r="D580" s="22"/>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4"/>
      <c r="B581" s="4"/>
      <c r="C581" s="4"/>
      <c r="D581" s="22"/>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4"/>
      <c r="B582" s="4"/>
      <c r="C582" s="4"/>
      <c r="D582" s="22"/>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4"/>
      <c r="B583" s="4"/>
      <c r="C583" s="4"/>
      <c r="D583" s="22"/>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4"/>
      <c r="B584" s="4"/>
      <c r="C584" s="4"/>
      <c r="D584" s="22"/>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4"/>
      <c r="B585" s="4"/>
      <c r="C585" s="4"/>
      <c r="D585" s="22"/>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4"/>
      <c r="B586" s="4"/>
      <c r="C586" s="4"/>
      <c r="D586" s="22"/>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4"/>
      <c r="B587" s="4"/>
      <c r="C587" s="4"/>
      <c r="D587" s="22"/>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4"/>
      <c r="B588" s="4"/>
      <c r="C588" s="4"/>
      <c r="D588" s="22"/>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4"/>
      <c r="B589" s="4"/>
      <c r="C589" s="4"/>
      <c r="D589" s="22"/>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4"/>
      <c r="B590" s="4"/>
      <c r="C590" s="4"/>
      <c r="D590" s="22"/>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4"/>
      <c r="B591" s="4"/>
      <c r="C591" s="4"/>
      <c r="D591" s="22"/>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4"/>
      <c r="B592" s="4"/>
      <c r="C592" s="4"/>
      <c r="D592" s="22"/>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4"/>
      <c r="B593" s="4"/>
      <c r="C593" s="4"/>
      <c r="D593" s="22"/>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4"/>
      <c r="B594" s="4"/>
      <c r="C594" s="4"/>
      <c r="D594" s="22"/>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4"/>
      <c r="B595" s="4"/>
      <c r="C595" s="4"/>
      <c r="D595" s="22"/>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4"/>
      <c r="B596" s="4"/>
      <c r="C596" s="4"/>
      <c r="D596" s="22"/>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4"/>
      <c r="B597" s="4"/>
      <c r="C597" s="4"/>
      <c r="D597" s="22"/>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4"/>
      <c r="B598" s="4"/>
      <c r="C598" s="4"/>
      <c r="D598" s="22"/>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4"/>
      <c r="B599" s="4"/>
      <c r="C599" s="4"/>
      <c r="D599" s="22"/>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4"/>
      <c r="B600" s="4"/>
      <c r="C600" s="4"/>
      <c r="D600" s="22"/>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4"/>
      <c r="B601" s="4"/>
      <c r="C601" s="4"/>
      <c r="D601" s="22"/>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4"/>
      <c r="B602" s="4"/>
      <c r="C602" s="4"/>
      <c r="D602" s="22"/>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4"/>
      <c r="B603" s="4"/>
      <c r="C603" s="4"/>
      <c r="D603" s="22"/>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4"/>
      <c r="B604" s="4"/>
      <c r="C604" s="4"/>
      <c r="D604" s="22"/>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4"/>
      <c r="B605" s="4"/>
      <c r="C605" s="4"/>
      <c r="D605" s="22"/>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4"/>
      <c r="B606" s="4"/>
      <c r="C606" s="4"/>
      <c r="D606" s="22"/>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4"/>
      <c r="B607" s="4"/>
      <c r="C607" s="4"/>
      <c r="D607" s="22"/>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4"/>
      <c r="B608" s="4"/>
      <c r="C608" s="4"/>
      <c r="D608" s="22"/>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4"/>
      <c r="B609" s="4"/>
      <c r="C609" s="4"/>
      <c r="D609" s="22"/>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4"/>
      <c r="B610" s="4"/>
      <c r="C610" s="4"/>
      <c r="D610" s="22"/>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4"/>
      <c r="B611" s="4"/>
      <c r="C611" s="4"/>
      <c r="D611" s="22"/>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4"/>
      <c r="B612" s="4"/>
      <c r="C612" s="4"/>
      <c r="D612" s="22"/>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4"/>
      <c r="B613" s="4"/>
      <c r="C613" s="4"/>
      <c r="D613" s="22"/>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4"/>
      <c r="B614" s="4"/>
      <c r="C614" s="4"/>
      <c r="D614" s="22"/>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4"/>
      <c r="B615" s="4"/>
      <c r="C615" s="4"/>
      <c r="D615" s="22"/>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4"/>
      <c r="B616" s="4"/>
      <c r="C616" s="4"/>
      <c r="D616" s="22"/>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4"/>
      <c r="B617" s="4"/>
      <c r="C617" s="4"/>
      <c r="D617" s="22"/>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4"/>
      <c r="B618" s="4"/>
      <c r="C618" s="4"/>
      <c r="D618" s="22"/>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4"/>
      <c r="B619" s="4"/>
      <c r="C619" s="4"/>
      <c r="D619" s="22"/>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4"/>
      <c r="B620" s="4"/>
      <c r="C620" s="4"/>
      <c r="D620" s="22"/>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4"/>
      <c r="B621" s="4"/>
      <c r="C621" s="4"/>
      <c r="D621" s="22"/>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4"/>
      <c r="B622" s="4"/>
      <c r="C622" s="4"/>
      <c r="D622" s="22"/>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4"/>
      <c r="B623" s="4"/>
      <c r="C623" s="4"/>
      <c r="D623" s="22"/>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4"/>
      <c r="B624" s="4"/>
      <c r="C624" s="4"/>
      <c r="D624" s="22"/>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4"/>
      <c r="B625" s="4"/>
      <c r="C625" s="4"/>
      <c r="D625" s="22"/>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4"/>
      <c r="B626" s="4"/>
      <c r="C626" s="4"/>
      <c r="D626" s="22"/>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4"/>
      <c r="B627" s="4"/>
      <c r="C627" s="4"/>
      <c r="D627" s="22"/>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4"/>
      <c r="B628" s="4"/>
      <c r="C628" s="4"/>
      <c r="D628" s="22"/>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4"/>
      <c r="B629" s="4"/>
      <c r="C629" s="4"/>
      <c r="D629" s="22"/>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4"/>
      <c r="B630" s="4"/>
      <c r="C630" s="4"/>
      <c r="D630" s="22"/>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4"/>
      <c r="B631" s="4"/>
      <c r="C631" s="4"/>
      <c r="D631" s="22"/>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4"/>
      <c r="B632" s="4"/>
      <c r="C632" s="4"/>
      <c r="D632" s="22"/>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4"/>
      <c r="B633" s="4"/>
      <c r="C633" s="4"/>
      <c r="D633" s="22"/>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4"/>
      <c r="B634" s="4"/>
      <c r="C634" s="4"/>
      <c r="D634" s="22"/>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4"/>
      <c r="B635" s="4"/>
      <c r="C635" s="4"/>
      <c r="D635" s="22"/>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4"/>
      <c r="B636" s="4"/>
      <c r="C636" s="4"/>
      <c r="D636" s="22"/>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4"/>
      <c r="B637" s="4"/>
      <c r="C637" s="4"/>
      <c r="D637" s="22"/>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4"/>
      <c r="B638" s="4"/>
      <c r="C638" s="4"/>
      <c r="D638" s="22"/>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4"/>
      <c r="B639" s="4"/>
      <c r="C639" s="4"/>
      <c r="D639" s="22"/>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4"/>
      <c r="B640" s="4"/>
      <c r="C640" s="4"/>
      <c r="D640" s="22"/>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4"/>
      <c r="B641" s="4"/>
      <c r="C641" s="4"/>
      <c r="D641" s="22"/>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4"/>
      <c r="B642" s="4"/>
      <c r="C642" s="4"/>
      <c r="D642" s="22"/>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4"/>
      <c r="B643" s="4"/>
      <c r="C643" s="4"/>
      <c r="D643" s="22"/>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4"/>
      <c r="B644" s="4"/>
      <c r="C644" s="4"/>
      <c r="D644" s="22"/>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4"/>
      <c r="B645" s="4"/>
      <c r="C645" s="4"/>
      <c r="D645" s="22"/>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4"/>
      <c r="B646" s="4"/>
      <c r="C646" s="4"/>
      <c r="D646" s="22"/>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4"/>
      <c r="B647" s="4"/>
      <c r="C647" s="4"/>
      <c r="D647" s="22"/>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4"/>
      <c r="B648" s="4"/>
      <c r="C648" s="4"/>
      <c r="D648" s="22"/>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4"/>
      <c r="B649" s="4"/>
      <c r="C649" s="4"/>
      <c r="D649" s="22"/>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4"/>
      <c r="B650" s="4"/>
      <c r="C650" s="4"/>
      <c r="D650" s="22"/>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4"/>
      <c r="B651" s="4"/>
      <c r="C651" s="4"/>
      <c r="D651" s="22"/>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4"/>
      <c r="B652" s="4"/>
      <c r="C652" s="4"/>
      <c r="D652" s="22"/>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4"/>
      <c r="B653" s="4"/>
      <c r="C653" s="4"/>
      <c r="D653" s="22"/>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4"/>
      <c r="B654" s="4"/>
      <c r="C654" s="4"/>
      <c r="D654" s="22"/>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4"/>
      <c r="B655" s="4"/>
      <c r="C655" s="4"/>
      <c r="D655" s="22"/>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4"/>
      <c r="B656" s="4"/>
      <c r="C656" s="4"/>
      <c r="D656" s="22"/>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4"/>
      <c r="B657" s="4"/>
      <c r="C657" s="4"/>
      <c r="D657" s="22"/>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4"/>
      <c r="B658" s="4"/>
      <c r="C658" s="4"/>
      <c r="D658" s="22"/>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4"/>
      <c r="B659" s="4"/>
      <c r="C659" s="4"/>
      <c r="D659" s="22"/>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4"/>
      <c r="B660" s="4"/>
      <c r="C660" s="4"/>
      <c r="D660" s="22"/>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4"/>
      <c r="B661" s="4"/>
      <c r="C661" s="4"/>
      <c r="D661" s="22"/>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4"/>
      <c r="B662" s="4"/>
      <c r="C662" s="4"/>
      <c r="D662" s="22"/>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4"/>
      <c r="B663" s="4"/>
      <c r="C663" s="4"/>
      <c r="D663" s="22"/>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4"/>
      <c r="B664" s="4"/>
      <c r="C664" s="4"/>
      <c r="D664" s="22"/>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4"/>
      <c r="B665" s="4"/>
      <c r="C665" s="4"/>
      <c r="D665" s="22"/>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4"/>
      <c r="B666" s="4"/>
      <c r="C666" s="4"/>
      <c r="D666" s="22"/>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4"/>
      <c r="B667" s="4"/>
      <c r="C667" s="4"/>
      <c r="D667" s="22"/>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4"/>
      <c r="B668" s="4"/>
      <c r="C668" s="4"/>
      <c r="D668" s="22"/>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4"/>
      <c r="B669" s="4"/>
      <c r="C669" s="4"/>
      <c r="D669" s="22"/>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4"/>
      <c r="B670" s="4"/>
      <c r="C670" s="4"/>
      <c r="D670" s="22"/>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4"/>
      <c r="B671" s="4"/>
      <c r="C671" s="4"/>
      <c r="D671" s="22"/>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4"/>
      <c r="B672" s="4"/>
      <c r="C672" s="4"/>
      <c r="D672" s="22"/>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4"/>
      <c r="B673" s="4"/>
      <c r="C673" s="4"/>
      <c r="D673" s="22"/>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4"/>
      <c r="B674" s="4"/>
      <c r="C674" s="4"/>
      <c r="D674" s="22"/>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4"/>
      <c r="B675" s="4"/>
      <c r="C675" s="4"/>
      <c r="D675" s="22"/>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4"/>
      <c r="B676" s="4"/>
      <c r="C676" s="4"/>
      <c r="D676" s="22"/>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4"/>
      <c r="B677" s="4"/>
      <c r="C677" s="4"/>
      <c r="D677" s="22"/>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4"/>
      <c r="B678" s="4"/>
      <c r="C678" s="4"/>
      <c r="D678" s="22"/>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4"/>
      <c r="B679" s="4"/>
      <c r="C679" s="4"/>
      <c r="D679" s="22"/>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4"/>
      <c r="B680" s="4"/>
      <c r="C680" s="4"/>
      <c r="D680" s="22"/>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4"/>
      <c r="B681" s="4"/>
      <c r="C681" s="4"/>
      <c r="D681" s="22"/>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4"/>
      <c r="B682" s="4"/>
      <c r="C682" s="4"/>
      <c r="D682" s="22"/>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4"/>
      <c r="B683" s="4"/>
      <c r="C683" s="4"/>
      <c r="D683" s="22"/>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4"/>
      <c r="B684" s="4"/>
      <c r="C684" s="4"/>
      <c r="D684" s="22"/>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4"/>
      <c r="B685" s="4"/>
      <c r="C685" s="4"/>
      <c r="D685" s="22"/>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4"/>
      <c r="B686" s="4"/>
      <c r="C686" s="4"/>
      <c r="D686" s="22"/>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4"/>
      <c r="B687" s="4"/>
      <c r="C687" s="4"/>
      <c r="D687" s="22"/>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4"/>
      <c r="B688" s="4"/>
      <c r="C688" s="4"/>
      <c r="D688" s="22"/>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4"/>
      <c r="B689" s="4"/>
      <c r="C689" s="4"/>
      <c r="D689" s="22"/>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4"/>
      <c r="B690" s="4"/>
      <c r="C690" s="4"/>
      <c r="D690" s="22"/>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4"/>
      <c r="B691" s="4"/>
      <c r="C691" s="4"/>
      <c r="D691" s="22"/>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4"/>
      <c r="B692" s="4"/>
      <c r="C692" s="4"/>
      <c r="D692" s="22"/>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4"/>
      <c r="B693" s="4"/>
      <c r="C693" s="4"/>
      <c r="D693" s="22"/>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4"/>
      <c r="B694" s="4"/>
      <c r="C694" s="4"/>
      <c r="D694" s="22"/>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4"/>
      <c r="B695" s="4"/>
      <c r="C695" s="4"/>
      <c r="D695" s="22"/>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4"/>
      <c r="B696" s="4"/>
      <c r="C696" s="4"/>
      <c r="D696" s="22"/>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4"/>
      <c r="B697" s="4"/>
      <c r="C697" s="4"/>
      <c r="D697" s="22"/>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4"/>
      <c r="B698" s="4"/>
      <c r="C698" s="4"/>
      <c r="D698" s="22"/>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4"/>
      <c r="B699" s="4"/>
      <c r="C699" s="4"/>
      <c r="D699" s="22"/>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4"/>
      <c r="B700" s="4"/>
      <c r="C700" s="4"/>
      <c r="D700" s="22"/>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4"/>
      <c r="B701" s="4"/>
      <c r="C701" s="4"/>
      <c r="D701" s="22"/>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4"/>
      <c r="B702" s="4"/>
      <c r="C702" s="4"/>
      <c r="D702" s="22"/>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4"/>
      <c r="B703" s="4"/>
      <c r="C703" s="4"/>
      <c r="D703" s="22"/>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4"/>
      <c r="B704" s="4"/>
      <c r="C704" s="4"/>
      <c r="D704" s="22"/>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4"/>
      <c r="B705" s="4"/>
      <c r="C705" s="4"/>
      <c r="D705" s="22"/>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4"/>
      <c r="B706" s="4"/>
      <c r="C706" s="4"/>
      <c r="D706" s="22"/>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4"/>
      <c r="B707" s="4"/>
      <c r="C707" s="4"/>
      <c r="D707" s="22"/>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4"/>
      <c r="B708" s="4"/>
      <c r="C708" s="4"/>
      <c r="D708" s="22"/>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4"/>
      <c r="B709" s="4"/>
      <c r="C709" s="4"/>
      <c r="D709" s="22"/>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4"/>
      <c r="B710" s="4"/>
      <c r="C710" s="4"/>
      <c r="D710" s="22"/>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4"/>
      <c r="B711" s="4"/>
      <c r="C711" s="4"/>
      <c r="D711" s="22"/>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4"/>
      <c r="B712" s="4"/>
      <c r="C712" s="4"/>
      <c r="D712" s="22"/>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4"/>
      <c r="B713" s="4"/>
      <c r="C713" s="4"/>
      <c r="D713" s="22"/>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4"/>
      <c r="B714" s="4"/>
      <c r="C714" s="4"/>
      <c r="D714" s="22"/>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4"/>
      <c r="B715" s="4"/>
      <c r="C715" s="4"/>
      <c r="D715" s="22"/>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4"/>
      <c r="B716" s="4"/>
      <c r="C716" s="4"/>
      <c r="D716" s="22"/>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4"/>
      <c r="B717" s="4"/>
      <c r="C717" s="4"/>
      <c r="D717" s="22"/>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4"/>
      <c r="B718" s="4"/>
      <c r="C718" s="4"/>
      <c r="D718" s="22"/>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4"/>
      <c r="B719" s="4"/>
      <c r="C719" s="4"/>
      <c r="D719" s="22"/>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4"/>
      <c r="B720" s="4"/>
      <c r="C720" s="4"/>
      <c r="D720" s="22"/>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4"/>
      <c r="B721" s="4"/>
      <c r="C721" s="4"/>
      <c r="D721" s="22"/>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4"/>
      <c r="B722" s="4"/>
      <c r="C722" s="4"/>
      <c r="D722" s="22"/>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4"/>
      <c r="B723" s="4"/>
      <c r="C723" s="4"/>
      <c r="D723" s="22"/>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4"/>
      <c r="B724" s="4"/>
      <c r="C724" s="4"/>
      <c r="D724" s="22"/>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4"/>
      <c r="B725" s="4"/>
      <c r="C725" s="4"/>
      <c r="D725" s="22"/>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4"/>
      <c r="B726" s="4"/>
      <c r="C726" s="4"/>
      <c r="D726" s="22"/>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4"/>
      <c r="B727" s="4"/>
      <c r="C727" s="4"/>
      <c r="D727" s="22"/>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4"/>
      <c r="B728" s="4"/>
      <c r="C728" s="4"/>
      <c r="D728" s="22"/>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4"/>
      <c r="B729" s="4"/>
      <c r="C729" s="4"/>
      <c r="D729" s="22"/>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4"/>
      <c r="B730" s="4"/>
      <c r="C730" s="4"/>
      <c r="D730" s="22"/>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4"/>
      <c r="B731" s="4"/>
      <c r="C731" s="4"/>
      <c r="D731" s="22"/>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4"/>
      <c r="B732" s="4"/>
      <c r="C732" s="4"/>
      <c r="D732" s="22"/>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4"/>
      <c r="B733" s="4"/>
      <c r="C733" s="4"/>
      <c r="D733" s="22"/>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4"/>
      <c r="B734" s="4"/>
      <c r="C734" s="4"/>
      <c r="D734" s="22"/>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4"/>
      <c r="B735" s="4"/>
      <c r="C735" s="4"/>
      <c r="D735" s="22"/>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4"/>
      <c r="B736" s="4"/>
      <c r="C736" s="4"/>
      <c r="D736" s="22"/>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4"/>
      <c r="B737" s="4"/>
      <c r="C737" s="4"/>
      <c r="D737" s="22"/>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4"/>
      <c r="B738" s="4"/>
      <c r="C738" s="4"/>
      <c r="D738" s="22"/>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4"/>
      <c r="B739" s="4"/>
      <c r="C739" s="4"/>
      <c r="D739" s="22"/>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4"/>
      <c r="B740" s="4"/>
      <c r="C740" s="4"/>
      <c r="D740" s="22"/>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4"/>
      <c r="B741" s="4"/>
      <c r="C741" s="4"/>
      <c r="D741" s="22"/>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4"/>
      <c r="B742" s="4"/>
      <c r="C742" s="4"/>
      <c r="D742" s="22"/>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4"/>
      <c r="B743" s="4"/>
      <c r="C743" s="4"/>
      <c r="D743" s="22"/>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4"/>
      <c r="B744" s="4"/>
      <c r="C744" s="4"/>
      <c r="D744" s="22"/>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4"/>
      <c r="B745" s="4"/>
      <c r="C745" s="4"/>
      <c r="D745" s="22"/>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4"/>
      <c r="B746" s="4"/>
      <c r="C746" s="4"/>
      <c r="D746" s="22"/>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4"/>
      <c r="B747" s="4"/>
      <c r="C747" s="4"/>
      <c r="D747" s="22"/>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4"/>
      <c r="B748" s="4"/>
      <c r="C748" s="4"/>
      <c r="D748" s="22"/>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4"/>
      <c r="B749" s="4"/>
      <c r="C749" s="4"/>
      <c r="D749" s="22"/>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4"/>
      <c r="B750" s="4"/>
      <c r="C750" s="4"/>
      <c r="D750" s="22"/>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4"/>
      <c r="B751" s="4"/>
      <c r="C751" s="4"/>
      <c r="D751" s="22"/>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4"/>
      <c r="B752" s="4"/>
      <c r="C752" s="4"/>
      <c r="D752" s="22"/>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4"/>
      <c r="B753" s="4"/>
      <c r="C753" s="4"/>
      <c r="D753" s="22"/>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4"/>
      <c r="B754" s="4"/>
      <c r="C754" s="4"/>
      <c r="D754" s="22"/>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4"/>
      <c r="B755" s="4"/>
      <c r="C755" s="4"/>
      <c r="D755" s="22"/>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4"/>
      <c r="B756" s="4"/>
      <c r="C756" s="4"/>
      <c r="D756" s="22"/>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4"/>
      <c r="B757" s="4"/>
      <c r="C757" s="4"/>
      <c r="D757" s="22"/>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4"/>
      <c r="B758" s="4"/>
      <c r="C758" s="4"/>
      <c r="D758" s="22"/>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4"/>
      <c r="B759" s="4"/>
      <c r="C759" s="4"/>
      <c r="D759" s="22"/>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4"/>
      <c r="B760" s="4"/>
      <c r="C760" s="4"/>
      <c r="D760" s="22"/>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4"/>
      <c r="B761" s="4"/>
      <c r="C761" s="4"/>
      <c r="D761" s="22"/>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4"/>
      <c r="B762" s="4"/>
      <c r="C762" s="4"/>
      <c r="D762" s="22"/>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4"/>
      <c r="B763" s="4"/>
      <c r="C763" s="4"/>
      <c r="D763" s="22"/>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4"/>
      <c r="B764" s="4"/>
      <c r="C764" s="4"/>
      <c r="D764" s="22"/>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4"/>
      <c r="B765" s="4"/>
      <c r="C765" s="4"/>
      <c r="D765" s="22"/>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4"/>
      <c r="B766" s="4"/>
      <c r="C766" s="4"/>
      <c r="D766" s="22"/>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4"/>
      <c r="B767" s="4"/>
      <c r="C767" s="4"/>
      <c r="D767" s="22"/>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4"/>
      <c r="B768" s="4"/>
      <c r="C768" s="4"/>
      <c r="D768" s="22"/>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4"/>
      <c r="B769" s="4"/>
      <c r="C769" s="4"/>
      <c r="D769" s="22"/>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4"/>
      <c r="B770" s="4"/>
      <c r="C770" s="4"/>
      <c r="D770" s="22"/>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4"/>
      <c r="B771" s="4"/>
      <c r="C771" s="4"/>
      <c r="D771" s="22"/>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4"/>
      <c r="B772" s="4"/>
      <c r="C772" s="4"/>
      <c r="D772" s="22"/>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4"/>
      <c r="B773" s="4"/>
      <c r="C773" s="4"/>
      <c r="D773" s="22"/>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4"/>
      <c r="B774" s="4"/>
      <c r="C774" s="4"/>
      <c r="D774" s="22"/>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4"/>
      <c r="B775" s="4"/>
      <c r="C775" s="4"/>
      <c r="D775" s="22"/>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4"/>
      <c r="B776" s="4"/>
      <c r="C776" s="4"/>
      <c r="D776" s="22"/>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4"/>
      <c r="B777" s="4"/>
      <c r="C777" s="4"/>
      <c r="D777" s="22"/>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4"/>
      <c r="B778" s="4"/>
      <c r="C778" s="4"/>
      <c r="D778" s="22"/>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4"/>
      <c r="B779" s="4"/>
      <c r="C779" s="4"/>
      <c r="D779" s="22"/>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4"/>
      <c r="B780" s="4"/>
      <c r="C780" s="4"/>
      <c r="D780" s="22"/>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4"/>
      <c r="B781" s="4"/>
      <c r="C781" s="4"/>
      <c r="D781" s="22"/>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4"/>
      <c r="B782" s="4"/>
      <c r="C782" s="4"/>
      <c r="D782" s="22"/>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4"/>
      <c r="B783" s="4"/>
      <c r="C783" s="4"/>
      <c r="D783" s="22"/>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4"/>
      <c r="B784" s="4"/>
      <c r="C784" s="4"/>
      <c r="D784" s="22"/>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4"/>
      <c r="B785" s="4"/>
      <c r="C785" s="4"/>
      <c r="D785" s="22"/>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4"/>
      <c r="B786" s="4"/>
      <c r="C786" s="4"/>
      <c r="D786" s="22"/>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4"/>
      <c r="B787" s="4"/>
      <c r="C787" s="4"/>
      <c r="D787" s="22"/>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4"/>
      <c r="B788" s="4"/>
      <c r="C788" s="4"/>
      <c r="D788" s="22"/>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4"/>
      <c r="B789" s="4"/>
      <c r="C789" s="4"/>
      <c r="D789" s="22"/>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4"/>
      <c r="B790" s="4"/>
      <c r="C790" s="4"/>
      <c r="D790" s="22"/>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4"/>
      <c r="B791" s="4"/>
      <c r="C791" s="4"/>
      <c r="D791" s="22"/>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4"/>
      <c r="B792" s="4"/>
      <c r="C792" s="4"/>
      <c r="D792" s="22"/>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4"/>
      <c r="B793" s="4"/>
      <c r="C793" s="4"/>
      <c r="D793" s="22"/>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4"/>
      <c r="B794" s="4"/>
      <c r="C794" s="4"/>
      <c r="D794" s="22"/>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4"/>
      <c r="B795" s="4"/>
      <c r="C795" s="4"/>
      <c r="D795" s="22"/>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4"/>
      <c r="B796" s="4"/>
      <c r="C796" s="4"/>
      <c r="D796" s="22"/>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4"/>
      <c r="B797" s="4"/>
      <c r="C797" s="4"/>
      <c r="D797" s="22"/>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4"/>
      <c r="B798" s="4"/>
      <c r="C798" s="4"/>
      <c r="D798" s="22"/>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4"/>
      <c r="B799" s="4"/>
      <c r="C799" s="4"/>
      <c r="D799" s="22"/>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4"/>
      <c r="B800" s="4"/>
      <c r="C800" s="4"/>
      <c r="D800" s="22"/>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4"/>
      <c r="B801" s="4"/>
      <c r="C801" s="4"/>
      <c r="D801" s="22"/>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4"/>
      <c r="B802" s="4"/>
      <c r="C802" s="4"/>
      <c r="D802" s="22"/>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4"/>
      <c r="B803" s="4"/>
      <c r="C803" s="4"/>
      <c r="D803" s="22"/>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4"/>
      <c r="B804" s="4"/>
      <c r="C804" s="4"/>
      <c r="D804" s="22"/>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4"/>
      <c r="B805" s="4"/>
      <c r="C805" s="4"/>
      <c r="D805" s="22"/>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4"/>
      <c r="B806" s="4"/>
      <c r="C806" s="4"/>
      <c r="D806" s="22"/>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4"/>
      <c r="B807" s="4"/>
      <c r="C807" s="4"/>
      <c r="D807" s="22"/>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4"/>
      <c r="B808" s="4"/>
      <c r="C808" s="4"/>
      <c r="D808" s="22"/>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4"/>
      <c r="B809" s="4"/>
      <c r="C809" s="4"/>
      <c r="D809" s="22"/>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4"/>
      <c r="B810" s="4"/>
      <c r="C810" s="4"/>
      <c r="D810" s="22"/>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4"/>
      <c r="B811" s="4"/>
      <c r="C811" s="4"/>
      <c r="D811" s="22"/>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4"/>
      <c r="B812" s="4"/>
      <c r="C812" s="4"/>
      <c r="D812" s="22"/>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4"/>
      <c r="B813" s="4"/>
      <c r="C813" s="4"/>
      <c r="D813" s="22"/>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4"/>
      <c r="B814" s="4"/>
      <c r="C814" s="4"/>
      <c r="D814" s="22"/>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4"/>
      <c r="B815" s="4"/>
      <c r="C815" s="4"/>
      <c r="D815" s="22"/>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4"/>
      <c r="B816" s="4"/>
      <c r="C816" s="4"/>
      <c r="D816" s="22"/>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4"/>
      <c r="B817" s="4"/>
      <c r="C817" s="4"/>
      <c r="D817" s="22"/>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4"/>
      <c r="B818" s="4"/>
      <c r="C818" s="4"/>
      <c r="D818" s="22"/>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4"/>
      <c r="B819" s="4"/>
      <c r="C819" s="4"/>
      <c r="D819" s="22"/>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4"/>
      <c r="B820" s="4"/>
      <c r="C820" s="4"/>
      <c r="D820" s="22"/>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4"/>
      <c r="B821" s="4"/>
      <c r="C821" s="4"/>
      <c r="D821" s="22"/>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4"/>
      <c r="B822" s="4"/>
      <c r="C822" s="4"/>
      <c r="D822" s="22"/>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4"/>
      <c r="B823" s="4"/>
      <c r="C823" s="4"/>
      <c r="D823" s="22"/>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4"/>
      <c r="B824" s="4"/>
      <c r="C824" s="4"/>
      <c r="D824" s="22"/>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4"/>
      <c r="B825" s="4"/>
      <c r="C825" s="4"/>
      <c r="D825" s="22"/>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4"/>
      <c r="B826" s="4"/>
      <c r="C826" s="4"/>
      <c r="D826" s="22"/>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4"/>
      <c r="B827" s="4"/>
      <c r="C827" s="4"/>
      <c r="D827" s="22"/>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4"/>
      <c r="B828" s="4"/>
      <c r="C828" s="4"/>
      <c r="D828" s="22"/>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4"/>
      <c r="B829" s="4"/>
      <c r="C829" s="4"/>
      <c r="D829" s="22"/>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4"/>
      <c r="B830" s="4"/>
      <c r="C830" s="4"/>
      <c r="D830" s="22"/>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4"/>
      <c r="B831" s="4"/>
      <c r="C831" s="4"/>
      <c r="D831" s="22"/>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4"/>
      <c r="B832" s="4"/>
      <c r="C832" s="4"/>
      <c r="D832" s="22"/>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4"/>
      <c r="B833" s="4"/>
      <c r="C833" s="4"/>
      <c r="D833" s="22"/>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4"/>
      <c r="B834" s="4"/>
      <c r="C834" s="4"/>
      <c r="D834" s="22"/>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4"/>
      <c r="B835" s="4"/>
      <c r="C835" s="4"/>
      <c r="D835" s="22"/>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4"/>
      <c r="B836" s="4"/>
      <c r="C836" s="4"/>
      <c r="D836" s="22"/>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4"/>
      <c r="B837" s="4"/>
      <c r="C837" s="4"/>
      <c r="D837" s="22"/>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4"/>
      <c r="B838" s="4"/>
      <c r="C838" s="4"/>
      <c r="D838" s="22"/>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4"/>
      <c r="B839" s="4"/>
      <c r="C839" s="4"/>
      <c r="D839" s="22"/>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4"/>
      <c r="B840" s="4"/>
      <c r="C840" s="4"/>
      <c r="D840" s="22"/>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4"/>
      <c r="B841" s="4"/>
      <c r="C841" s="4"/>
      <c r="D841" s="22"/>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4"/>
      <c r="B842" s="4"/>
      <c r="C842" s="4"/>
      <c r="D842" s="22"/>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4"/>
      <c r="B843" s="4"/>
      <c r="C843" s="4"/>
      <c r="D843" s="22"/>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4"/>
      <c r="B844" s="4"/>
      <c r="C844" s="4"/>
      <c r="D844" s="22"/>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4"/>
      <c r="B845" s="4"/>
      <c r="C845" s="4"/>
      <c r="D845" s="22"/>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4"/>
      <c r="B846" s="4"/>
      <c r="C846" s="4"/>
      <c r="D846" s="22"/>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4"/>
      <c r="B847" s="4"/>
      <c r="C847" s="4"/>
      <c r="D847" s="22"/>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4"/>
      <c r="B848" s="4"/>
      <c r="C848" s="4"/>
      <c r="D848" s="22"/>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4"/>
      <c r="B849" s="4"/>
      <c r="C849" s="4"/>
      <c r="D849" s="22"/>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4"/>
      <c r="B850" s="4"/>
      <c r="C850" s="4"/>
      <c r="D850" s="22"/>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4"/>
      <c r="B851" s="4"/>
      <c r="C851" s="4"/>
      <c r="D851" s="22"/>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4"/>
      <c r="B852" s="4"/>
      <c r="C852" s="4"/>
      <c r="D852" s="22"/>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4"/>
      <c r="B853" s="4"/>
      <c r="C853" s="4"/>
      <c r="D853" s="22"/>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4"/>
      <c r="B854" s="4"/>
      <c r="C854" s="4"/>
      <c r="D854" s="22"/>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4"/>
      <c r="B855" s="4"/>
      <c r="C855" s="4"/>
      <c r="D855" s="22"/>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4"/>
      <c r="B856" s="4"/>
      <c r="C856" s="4"/>
      <c r="D856" s="22"/>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4"/>
      <c r="B857" s="4"/>
      <c r="C857" s="4"/>
      <c r="D857" s="22"/>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4"/>
      <c r="B858" s="4"/>
      <c r="C858" s="4"/>
      <c r="D858" s="22"/>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4"/>
      <c r="B859" s="4"/>
      <c r="C859" s="4"/>
      <c r="D859" s="22"/>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4"/>
      <c r="B860" s="4"/>
      <c r="C860" s="4"/>
      <c r="D860" s="22"/>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4"/>
      <c r="B861" s="4"/>
      <c r="C861" s="4"/>
      <c r="D861" s="22"/>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4"/>
      <c r="B862" s="4"/>
      <c r="C862" s="4"/>
      <c r="D862" s="22"/>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4"/>
      <c r="B863" s="4"/>
      <c r="C863" s="4"/>
      <c r="D863" s="22"/>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4"/>
      <c r="B864" s="4"/>
      <c r="C864" s="4"/>
      <c r="D864" s="22"/>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4"/>
      <c r="B865" s="4"/>
      <c r="C865" s="4"/>
      <c r="D865" s="22"/>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4"/>
      <c r="B866" s="4"/>
      <c r="C866" s="4"/>
      <c r="D866" s="22"/>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4"/>
      <c r="B867" s="4"/>
      <c r="C867" s="4"/>
      <c r="D867" s="22"/>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4"/>
      <c r="B868" s="4"/>
      <c r="C868" s="4"/>
      <c r="D868" s="22"/>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4"/>
      <c r="B869" s="4"/>
      <c r="C869" s="4"/>
      <c r="D869" s="22"/>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4"/>
      <c r="B870" s="4"/>
      <c r="C870" s="4"/>
      <c r="D870" s="22"/>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4"/>
      <c r="B871" s="4"/>
      <c r="C871" s="4"/>
      <c r="D871" s="22"/>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4"/>
      <c r="B872" s="4"/>
      <c r="C872" s="4"/>
      <c r="D872" s="22"/>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4"/>
      <c r="B873" s="4"/>
      <c r="C873" s="4"/>
      <c r="D873" s="22"/>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4"/>
      <c r="B874" s="4"/>
      <c r="C874" s="4"/>
      <c r="D874" s="22"/>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4"/>
      <c r="B875" s="4"/>
      <c r="C875" s="4"/>
      <c r="D875" s="22"/>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4"/>
      <c r="B876" s="4"/>
      <c r="C876" s="4"/>
      <c r="D876" s="22"/>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4"/>
      <c r="B877" s="4"/>
      <c r="C877" s="4"/>
      <c r="D877" s="22"/>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4"/>
      <c r="B878" s="4"/>
      <c r="C878" s="4"/>
      <c r="D878" s="22"/>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4"/>
      <c r="B879" s="4"/>
      <c r="C879" s="4"/>
      <c r="D879" s="22"/>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4"/>
      <c r="B880" s="4"/>
      <c r="C880" s="4"/>
      <c r="D880" s="22"/>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4"/>
      <c r="B881" s="4"/>
      <c r="C881" s="4"/>
      <c r="D881" s="22"/>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4"/>
      <c r="B882" s="4"/>
      <c r="C882" s="4"/>
      <c r="D882" s="22"/>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4"/>
      <c r="B883" s="4"/>
      <c r="C883" s="4"/>
      <c r="D883" s="22"/>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4"/>
      <c r="B884" s="4"/>
      <c r="C884" s="4"/>
      <c r="D884" s="22"/>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4"/>
      <c r="B885" s="4"/>
      <c r="C885" s="4"/>
      <c r="D885" s="22"/>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4"/>
      <c r="B886" s="4"/>
      <c r="C886" s="4"/>
      <c r="D886" s="22"/>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4"/>
      <c r="B887" s="4"/>
      <c r="C887" s="4"/>
      <c r="D887" s="22"/>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4"/>
      <c r="B888" s="4"/>
      <c r="C888" s="4"/>
      <c r="D888" s="22"/>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4"/>
      <c r="B889" s="4"/>
      <c r="C889" s="4"/>
      <c r="D889" s="22"/>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4"/>
      <c r="B890" s="4"/>
      <c r="C890" s="4"/>
      <c r="D890" s="22"/>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4"/>
      <c r="B891" s="4"/>
      <c r="C891" s="4"/>
      <c r="D891" s="22"/>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4"/>
      <c r="B892" s="4"/>
      <c r="C892" s="4"/>
      <c r="D892" s="22"/>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4"/>
      <c r="B893" s="4"/>
      <c r="C893" s="4"/>
      <c r="D893" s="22"/>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4"/>
      <c r="B894" s="4"/>
      <c r="C894" s="4"/>
      <c r="D894" s="22"/>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4"/>
      <c r="B895" s="4"/>
      <c r="C895" s="4"/>
      <c r="D895" s="22"/>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4"/>
      <c r="B896" s="4"/>
      <c r="C896" s="4"/>
      <c r="D896" s="22"/>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4"/>
      <c r="B897" s="4"/>
      <c r="C897" s="4"/>
      <c r="D897" s="22"/>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4"/>
      <c r="B898" s="4"/>
      <c r="C898" s="4"/>
      <c r="D898" s="22"/>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4"/>
      <c r="B899" s="4"/>
      <c r="C899" s="4"/>
      <c r="D899" s="22"/>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4"/>
      <c r="B900" s="4"/>
      <c r="C900" s="4"/>
      <c r="D900" s="22"/>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4"/>
      <c r="B901" s="4"/>
      <c r="C901" s="4"/>
      <c r="D901" s="22"/>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4"/>
      <c r="B902" s="4"/>
      <c r="C902" s="4"/>
      <c r="D902" s="22"/>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4"/>
      <c r="B903" s="4"/>
      <c r="C903" s="4"/>
      <c r="D903" s="22"/>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4"/>
      <c r="B904" s="4"/>
      <c r="C904" s="4"/>
      <c r="D904" s="22"/>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4"/>
      <c r="B905" s="4"/>
      <c r="C905" s="4"/>
      <c r="D905" s="22"/>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4"/>
      <c r="B906" s="4"/>
      <c r="C906" s="4"/>
      <c r="D906" s="22"/>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4"/>
      <c r="B907" s="4"/>
      <c r="C907" s="4"/>
      <c r="D907" s="22"/>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4"/>
      <c r="B908" s="4"/>
      <c r="C908" s="4"/>
      <c r="D908" s="22"/>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4"/>
      <c r="B909" s="4"/>
      <c r="C909" s="4"/>
      <c r="D909" s="22"/>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4"/>
      <c r="B910" s="4"/>
      <c r="C910" s="4"/>
      <c r="D910" s="22"/>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4"/>
      <c r="B911" s="4"/>
      <c r="C911" s="4"/>
      <c r="D911" s="22"/>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4"/>
      <c r="B912" s="4"/>
      <c r="C912" s="4"/>
      <c r="D912" s="22"/>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4"/>
      <c r="B913" s="4"/>
      <c r="C913" s="4"/>
      <c r="D913" s="22"/>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4"/>
      <c r="B914" s="4"/>
      <c r="C914" s="4"/>
      <c r="D914" s="22"/>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4"/>
      <c r="B915" s="4"/>
      <c r="C915" s="4"/>
      <c r="D915" s="22"/>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4"/>
      <c r="B916" s="4"/>
      <c r="C916" s="4"/>
      <c r="D916" s="22"/>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4"/>
      <c r="B917" s="4"/>
      <c r="C917" s="4"/>
      <c r="D917" s="22"/>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4"/>
      <c r="B918" s="4"/>
      <c r="C918" s="4"/>
      <c r="D918" s="22"/>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4"/>
      <c r="B919" s="4"/>
      <c r="C919" s="4"/>
      <c r="D919" s="22"/>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4"/>
      <c r="B920" s="4"/>
      <c r="C920" s="4"/>
      <c r="D920" s="22"/>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4"/>
      <c r="B921" s="4"/>
      <c r="C921" s="4"/>
      <c r="D921" s="22"/>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4"/>
      <c r="B922" s="4"/>
      <c r="C922" s="4"/>
      <c r="D922" s="22"/>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4"/>
      <c r="B923" s="4"/>
      <c r="C923" s="4"/>
      <c r="D923" s="22"/>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4"/>
      <c r="B924" s="4"/>
      <c r="C924" s="4"/>
      <c r="D924" s="22"/>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4"/>
      <c r="B925" s="4"/>
      <c r="C925" s="4"/>
      <c r="D925" s="22"/>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4"/>
      <c r="B926" s="4"/>
      <c r="C926" s="4"/>
      <c r="D926" s="22"/>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4"/>
      <c r="B927" s="4"/>
      <c r="C927" s="4"/>
      <c r="D927" s="22"/>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4"/>
      <c r="B928" s="4"/>
      <c r="C928" s="4"/>
      <c r="D928" s="22"/>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4"/>
      <c r="B929" s="4"/>
      <c r="C929" s="4"/>
      <c r="D929" s="22"/>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4"/>
      <c r="B930" s="4"/>
      <c r="C930" s="4"/>
      <c r="D930" s="22"/>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4"/>
      <c r="B931" s="4"/>
      <c r="C931" s="4"/>
      <c r="D931" s="22"/>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4"/>
      <c r="B932" s="4"/>
      <c r="C932" s="4"/>
      <c r="D932" s="22"/>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4"/>
      <c r="B933" s="4"/>
      <c r="C933" s="4"/>
      <c r="D933" s="22"/>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4"/>
      <c r="B934" s="4"/>
      <c r="C934" s="4"/>
      <c r="D934" s="22"/>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4"/>
      <c r="B935" s="4"/>
      <c r="C935" s="4"/>
      <c r="D935" s="22"/>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4"/>
      <c r="B936" s="4"/>
      <c r="C936" s="4"/>
      <c r="D936" s="22"/>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4"/>
      <c r="B937" s="4"/>
      <c r="C937" s="4"/>
      <c r="D937" s="22"/>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4"/>
      <c r="B938" s="4"/>
      <c r="C938" s="4"/>
      <c r="D938" s="22"/>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4"/>
      <c r="B939" s="4"/>
      <c r="C939" s="4"/>
      <c r="D939" s="22"/>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4"/>
      <c r="B940" s="4"/>
      <c r="C940" s="4"/>
      <c r="D940" s="22"/>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4"/>
      <c r="B941" s="4"/>
      <c r="C941" s="4"/>
      <c r="D941" s="22"/>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4"/>
      <c r="B942" s="4"/>
      <c r="C942" s="4"/>
      <c r="D942" s="22"/>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4"/>
      <c r="B943" s="4"/>
      <c r="C943" s="4"/>
      <c r="D943" s="22"/>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4"/>
      <c r="B944" s="4"/>
      <c r="C944" s="4"/>
      <c r="D944" s="22"/>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4"/>
      <c r="B945" s="4"/>
      <c r="C945" s="4"/>
      <c r="D945" s="22"/>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4"/>
      <c r="B946" s="4"/>
      <c r="C946" s="4"/>
      <c r="D946" s="22"/>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4"/>
      <c r="B947" s="4"/>
      <c r="C947" s="4"/>
      <c r="D947" s="22"/>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4"/>
      <c r="B948" s="4"/>
      <c r="C948" s="4"/>
      <c r="D948" s="22"/>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4"/>
      <c r="B949" s="4"/>
      <c r="C949" s="4"/>
      <c r="D949" s="22"/>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4"/>
      <c r="B950" s="4"/>
      <c r="C950" s="4"/>
      <c r="D950" s="22"/>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4"/>
      <c r="B951" s="4"/>
      <c r="C951" s="4"/>
      <c r="D951" s="22"/>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4"/>
      <c r="B952" s="4"/>
      <c r="C952" s="4"/>
      <c r="D952" s="22"/>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4"/>
      <c r="B953" s="4"/>
      <c r="C953" s="4"/>
      <c r="D953" s="22"/>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4"/>
      <c r="B954" s="4"/>
      <c r="C954" s="4"/>
      <c r="D954" s="22"/>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4"/>
      <c r="B955" s="4"/>
      <c r="C955" s="4"/>
      <c r="D955" s="22"/>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4"/>
      <c r="B956" s="4"/>
      <c r="C956" s="4"/>
      <c r="D956" s="22"/>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4"/>
      <c r="B957" s="4"/>
      <c r="C957" s="4"/>
      <c r="D957" s="22"/>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4"/>
      <c r="B958" s="4"/>
      <c r="C958" s="4"/>
      <c r="D958" s="22"/>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4"/>
      <c r="B959" s="4"/>
      <c r="C959" s="4"/>
      <c r="D959" s="22"/>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4"/>
      <c r="B960" s="4"/>
      <c r="C960" s="4"/>
      <c r="D960" s="22"/>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4"/>
      <c r="B961" s="4"/>
      <c r="C961" s="4"/>
      <c r="D961" s="22"/>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4"/>
      <c r="B962" s="4"/>
      <c r="C962" s="4"/>
      <c r="D962" s="22"/>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4"/>
      <c r="B963" s="4"/>
      <c r="C963" s="4"/>
      <c r="D963" s="22"/>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4"/>
      <c r="B964" s="4"/>
      <c r="C964" s="4"/>
      <c r="D964" s="22"/>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4"/>
      <c r="B965" s="4"/>
      <c r="C965" s="4"/>
      <c r="D965" s="22"/>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4"/>
      <c r="B966" s="4"/>
      <c r="C966" s="4"/>
      <c r="D966" s="22"/>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4"/>
      <c r="B967" s="4"/>
      <c r="C967" s="4"/>
      <c r="D967" s="22"/>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4"/>
      <c r="B968" s="4"/>
      <c r="C968" s="4"/>
      <c r="D968" s="22"/>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4"/>
      <c r="B969" s="4"/>
      <c r="C969" s="4"/>
      <c r="D969" s="22"/>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4"/>
      <c r="B970" s="4"/>
      <c r="C970" s="4"/>
      <c r="D970" s="22"/>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4"/>
      <c r="B971" s="4"/>
      <c r="C971" s="4"/>
      <c r="D971" s="22"/>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4"/>
      <c r="B972" s="4"/>
      <c r="C972" s="4"/>
      <c r="D972" s="22"/>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4"/>
      <c r="B973" s="4"/>
      <c r="C973" s="4"/>
      <c r="D973" s="22"/>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4"/>
      <c r="B974" s="4"/>
      <c r="C974" s="4"/>
      <c r="D974" s="22"/>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4"/>
      <c r="B975" s="4"/>
      <c r="C975" s="4"/>
      <c r="D975" s="22"/>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4"/>
      <c r="B976" s="4"/>
      <c r="C976" s="4"/>
      <c r="D976" s="22"/>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4"/>
      <c r="B977" s="4"/>
      <c r="C977" s="4"/>
      <c r="D977" s="22"/>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4"/>
      <c r="B978" s="4"/>
      <c r="C978" s="4"/>
      <c r="D978" s="22"/>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4"/>
      <c r="B979" s="4"/>
      <c r="C979" s="4"/>
      <c r="D979" s="22"/>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4"/>
      <c r="B980" s="4"/>
      <c r="C980" s="4"/>
      <c r="D980" s="22"/>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4"/>
      <c r="B981" s="4"/>
      <c r="C981" s="4"/>
      <c r="D981" s="22"/>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4"/>
      <c r="B982" s="4"/>
      <c r="C982" s="4"/>
      <c r="D982" s="22"/>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4"/>
      <c r="B983" s="4"/>
      <c r="C983" s="4"/>
      <c r="D983" s="22"/>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4"/>
      <c r="B984" s="4"/>
      <c r="C984" s="4"/>
      <c r="D984" s="22"/>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4"/>
      <c r="B985" s="4"/>
      <c r="C985" s="4"/>
      <c r="D985" s="22"/>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4"/>
      <c r="B986" s="4"/>
      <c r="C986" s="4"/>
      <c r="D986" s="22"/>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4"/>
      <c r="B987" s="4"/>
      <c r="C987" s="4"/>
      <c r="D987" s="22"/>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4"/>
      <c r="B988" s="4"/>
      <c r="C988" s="4"/>
      <c r="D988" s="22"/>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4"/>
      <c r="B989" s="4"/>
      <c r="C989" s="4"/>
      <c r="D989" s="22"/>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4"/>
      <c r="B990" s="4"/>
      <c r="C990" s="4"/>
      <c r="D990" s="22"/>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4"/>
      <c r="B991" s="4"/>
      <c r="C991" s="4"/>
      <c r="D991" s="22"/>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4"/>
      <c r="B992" s="4"/>
      <c r="C992" s="4"/>
      <c r="D992" s="22"/>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4"/>
      <c r="B993" s="4"/>
      <c r="C993" s="4"/>
      <c r="D993" s="22"/>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4"/>
      <c r="B994" s="4"/>
      <c r="C994" s="4"/>
      <c r="D994" s="22"/>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4"/>
      <c r="B995" s="4"/>
      <c r="C995" s="4"/>
      <c r="D995" s="22"/>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4"/>
      <c r="B996" s="4"/>
      <c r="C996" s="4"/>
      <c r="D996" s="22"/>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4"/>
      <c r="B997" s="4"/>
      <c r="C997" s="4"/>
      <c r="D997" s="22"/>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4"/>
      <c r="B998" s="4"/>
      <c r="C998" s="4"/>
      <c r="D998" s="22"/>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4"/>
      <c r="B999" s="4"/>
      <c r="C999" s="4"/>
      <c r="D999" s="22"/>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4"/>
      <c r="B1000" s="4"/>
      <c r="C1000" s="4"/>
      <c r="D1000" s="22"/>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2.75" customHeight="1">
      <c r="A1001" s="4"/>
      <c r="B1001" s="4"/>
      <c r="C1001" s="4"/>
      <c r="D1001" s="22"/>
      <c r="E1001" s="7"/>
      <c r="F1001" s="7"/>
      <c r="G1001" s="7"/>
      <c r="H1001" s="7"/>
      <c r="I1001" s="7"/>
      <c r="J1001" s="7"/>
      <c r="K1001" s="7"/>
      <c r="L1001" s="7"/>
      <c r="M1001" s="7"/>
      <c r="N1001" s="7"/>
      <c r="O1001" s="7"/>
      <c r="P1001" s="7"/>
      <c r="Q1001" s="7"/>
      <c r="R1001" s="7"/>
      <c r="S1001" s="7"/>
      <c r="T1001" s="7"/>
      <c r="U1001" s="7"/>
      <c r="V1001" s="7"/>
      <c r="W1001" s="7"/>
      <c r="X1001" s="7"/>
      <c r="Y1001" s="7"/>
      <c r="Z1001" s="7"/>
    </row>
  </sheetData>
  <conditionalFormatting sqref="D1:D1001 E1:Z43 A2:A1001 B2:C130 B132:C1002 M139:Z1001">
    <cfRule type="containsText" dxfId="80" priority="1" operator="containsText" text="Liberty">
      <formula>NOT(ISERROR(SEARCH(("Liberty"),(D1))))</formula>
    </cfRule>
  </conditionalFormatting>
  <conditionalFormatting sqref="D1:D1001 E1:Z43 A2:A1001 B2:C130 B132:C1002 M139:Z1001">
    <cfRule type="containsText" dxfId="0" priority="2" operator="containsText" text="Wyoming">
      <formula>NOT(ISERROR(SEARCH(("Wyoming"),(D1))))</formula>
    </cfRule>
  </conditionalFormatting>
  <conditionalFormatting sqref="D1:D1001 E1:Z43 A2:A1001 B2:C130 B132:C1002 M139:Z1001">
    <cfRule type="containsText" dxfId="134" priority="3" operator="containsText" text="Wisconsin">
      <formula>NOT(ISERROR(SEARCH(("Wisconsin"),(D1))))</formula>
    </cfRule>
  </conditionalFormatting>
  <conditionalFormatting sqref="D1:D1001 E1:Z43 A2:A1001 B2:C130 B132:C1002 M139:Z1001">
    <cfRule type="containsText" dxfId="2" priority="4" operator="containsText" text="Western Michigan">
      <formula>NOT(ISERROR(SEARCH(("Western Michigan"),(D1))))</formula>
    </cfRule>
  </conditionalFormatting>
  <conditionalFormatting sqref="D1:D1001 E1:Z43 A2:A1001 B2:C130 B132:C1002 M139:Z1001">
    <cfRule type="containsText" dxfId="3" priority="5" operator="containsText" text="Western Kentucky">
      <formula>NOT(ISERROR(SEARCH(("Western Kentucky"),(D1))))</formula>
    </cfRule>
  </conditionalFormatting>
  <conditionalFormatting sqref="D1:D1001 E1:Z43 A2:A1001 B2:C130 B132:C1002 M139:Z1001">
    <cfRule type="containsText" dxfId="4" priority="6" operator="containsText" text="West Virginia">
      <formula>NOT(ISERROR(SEARCH(("West Virginia"),(D1))))</formula>
    </cfRule>
  </conditionalFormatting>
  <conditionalFormatting sqref="D1:D1001 E1:Z43 A2:A1001 B2:C130 B132:C1002 M139:Z1001">
    <cfRule type="containsText" dxfId="5" priority="7" operator="containsText" text="Washington State">
      <formula>NOT(ISERROR(SEARCH(("Washington State"),(D1))))</formula>
    </cfRule>
  </conditionalFormatting>
  <conditionalFormatting sqref="D1:D1001 E1:Z43 A2:A1001 B2:C130 B132:C1002 M139:Z1001">
    <cfRule type="containsText" dxfId="6" priority="8" operator="containsText" text="Washington">
      <formula>NOT(ISERROR(SEARCH(("Washington"),(D1))))</formula>
    </cfRule>
  </conditionalFormatting>
  <conditionalFormatting sqref="D1:D1001 E1:Z43 A2:A1001 B2:C130 B132:C1002 M139:Z1001">
    <cfRule type="containsText" dxfId="7" priority="9" operator="containsText" text="Wake Forest">
      <formula>NOT(ISERROR(SEARCH(("Wake Forest"),(D1))))</formula>
    </cfRule>
  </conditionalFormatting>
  <conditionalFormatting sqref="D1:D1001 E1:Z43 A2:A1001 B2:C130 B132:C1002 M139:Z1001">
    <cfRule type="containsText" dxfId="8" priority="10" operator="containsText" text="Virginia Tech">
      <formula>NOT(ISERROR(SEARCH(("Virginia Tech"),(D1))))</formula>
    </cfRule>
  </conditionalFormatting>
  <conditionalFormatting sqref="D1:D1001 E1:Z43 A2:A1001 B2:C130 B132:C1002 M139:Z1001">
    <cfRule type="containsText" dxfId="9" priority="11" operator="containsText" text="Virginia">
      <formula>NOT(ISERROR(SEARCH(("Virginia"),(D1))))</formula>
    </cfRule>
  </conditionalFormatting>
  <conditionalFormatting sqref="D1:D1001 E1:Z43 A2:A1001 B2:C130 B132:C1002 M139:Z1001">
    <cfRule type="containsText" dxfId="10" priority="12" operator="containsText" text="Vanderbilt">
      <formula>NOT(ISERROR(SEARCH(("Vanderbilt"),(D1))))</formula>
    </cfRule>
  </conditionalFormatting>
  <conditionalFormatting sqref="D1:D1001 E1:Z43 A2:A1001 B2:C130 B132:C1002 M139:Z1001">
    <cfRule type="containsText" dxfId="12" priority="13" operator="containsText" text="Utah State">
      <formula>NOT(ISERROR(SEARCH(("Utah State"),(D1))))</formula>
    </cfRule>
  </conditionalFormatting>
  <conditionalFormatting sqref="D1:D1001 E1:Z43 A2:A1001 B2:C130 B132:C1002 M139:Z1001">
    <cfRule type="containsText" dxfId="13" priority="14" operator="containsText" text="Utah">
      <formula>NOT(ISERROR(SEARCH(("Utah"),(D1))))</formula>
    </cfRule>
  </conditionalFormatting>
  <conditionalFormatting sqref="D1:D1001 E1:Z43 A2:A1001 B2:C130 B132:C1002 M139:Z1001">
    <cfRule type="containsText" dxfId="18" priority="15" operator="containsText" text="UAB">
      <formula>NOT(ISERROR(SEARCH(("UAB"),(D1))))</formula>
    </cfRule>
  </conditionalFormatting>
  <conditionalFormatting sqref="D1:D1001 E1:Z43 A2:A1001 B2:C130 B132:C1002 M139:Z1001">
    <cfRule type="containsText" dxfId="19" priority="16" operator="containsText" text="Tulsa">
      <formula>NOT(ISERROR(SEARCH(("Tulsa"),(D1))))</formula>
    </cfRule>
  </conditionalFormatting>
  <conditionalFormatting sqref="D1:D1001 E1:Z43 A2:A1001 B2:C130 B132:C1002 M139:Z1001">
    <cfRule type="containsText" dxfId="20" priority="17" operator="containsText" text="Tulane">
      <formula>NOT(ISERROR(SEARCH(("Tulane"),(D1))))</formula>
    </cfRule>
  </conditionalFormatting>
  <conditionalFormatting sqref="D1:D1001 E1:Z43 A2:A1001 B2:C130 B132:C1002 M139:Z1001">
    <cfRule type="containsText" dxfId="21" priority="18" operator="containsText" text="Troy">
      <formula>NOT(ISERROR(SEARCH(("Troy"),(D1))))</formula>
    </cfRule>
  </conditionalFormatting>
  <conditionalFormatting sqref="D1:D1001 E1:Z43 A2:A1001 B2:C130 B132:C1002 M139:Z1001">
    <cfRule type="containsText" dxfId="22" priority="19" operator="containsText" text="Toledo">
      <formula>NOT(ISERROR(SEARCH(("Toledo"),(D1))))</formula>
    </cfRule>
  </conditionalFormatting>
  <conditionalFormatting sqref="D1:D1001 E1:Z43 A2:A1001 B2:C130 B132:C1002 M139:Z1001">
    <cfRule type="containsText" dxfId="23" priority="20" operator="containsText" text="UTSA">
      <formula>NOT(ISERROR(SEARCH(("UTSA"),(D1))))</formula>
    </cfRule>
  </conditionalFormatting>
  <conditionalFormatting sqref="D1:D1001 E1:Z43 A2:A1001 B2:C130 B132:C1002 M139:Z1001">
    <cfRule type="containsText" dxfId="11" priority="21" operator="containsText" text="UTEP">
      <formula>NOT(ISERROR(SEARCH(("UTEP"),(D1))))</formula>
    </cfRule>
  </conditionalFormatting>
  <conditionalFormatting sqref="D1:D1001 E1:Z43 A2:A1001 B2:C130 B132:C1002 M139:Z1001">
    <cfRule type="containsText" dxfId="135" priority="22" operator="containsText" text="North Texas">
      <formula>NOT(ISERROR(SEARCH(("North Texas"),(D1))))</formula>
    </cfRule>
  </conditionalFormatting>
  <conditionalFormatting sqref="D1:D1001 E1:Z43 A2:A1001 B2:C130 B132:C1002 M139:Z1001">
    <cfRule type="containsText" dxfId="24" priority="23" operator="containsText" text="Texas Tech">
      <formula>NOT(ISERROR(SEARCH(("Texas Tech"),(D1))))</formula>
    </cfRule>
  </conditionalFormatting>
  <conditionalFormatting sqref="D1:D1001 E1:Z43 A2:A1001 B2:C130 B132:C1002 M139:Z1001">
    <cfRule type="containsText" dxfId="25" priority="24" operator="containsText" text="Texas State">
      <formula>NOT(ISERROR(SEARCH(("Texas State"),(D1))))</formula>
    </cfRule>
  </conditionalFormatting>
  <conditionalFormatting sqref="D1:D1001 E1:Z43 A2:A1001 B2:C130 B132:C1002 M139:Z1001">
    <cfRule type="containsText" dxfId="136" priority="25" operator="containsText" text="TCU">
      <formula>NOT(ISERROR(SEARCH(("TCU"),(D1))))</formula>
    </cfRule>
  </conditionalFormatting>
  <conditionalFormatting sqref="D1:D1001 E1:Z43 A2:A1001 B2:C130 B132:C1002 M139:Z1001">
    <cfRule type="containsText" dxfId="68" priority="26" operator="containsText" text="Middle Tennessee">
      <formula>NOT(ISERROR(SEARCH(("Middle Tennessee"),(D1))))</formula>
    </cfRule>
  </conditionalFormatting>
  <conditionalFormatting sqref="D1:D1001 E1:Z43 A2:A1001 B2:C130 B132:C1002 M139:Z1001">
    <cfRule type="containsText" dxfId="26" priority="27" operator="containsText" text="Texas A&amp;M">
      <formula>NOT(ISERROR(SEARCH(("Texas A&amp;M"),(D1))))</formula>
    </cfRule>
  </conditionalFormatting>
  <conditionalFormatting sqref="D1:D1001 E1:Z43 A2:A1001 B2:C130 B132:C1002 M139:Z1001">
    <cfRule type="containsText" dxfId="27" priority="28" operator="containsText" text="Texas">
      <formula>NOT(ISERROR(SEARCH(("Texas"),(D1))))</formula>
    </cfRule>
  </conditionalFormatting>
  <conditionalFormatting sqref="D1:D1001 E1:Z43 A2:A1001 B2:C130 B132:C1002 M139:Z1001">
    <cfRule type="containsText" dxfId="137" priority="29" operator="containsText" text="Tennessee">
      <formula>NOT(ISERROR(SEARCH(("Tennessee"),(D1))))</formula>
    </cfRule>
  </conditionalFormatting>
  <conditionalFormatting sqref="D1:D1001 E1:Z43 A2:A1001 B2:C130 B132:C1002 M139:Z1001">
    <cfRule type="containsText" dxfId="29" priority="30" operator="containsText" text="Temple">
      <formula>NOT(ISERROR(SEARCH(("Temple"),(D1))))</formula>
    </cfRule>
  </conditionalFormatting>
  <conditionalFormatting sqref="D1:D1001 E1:Z43 A2:A1001 B2:C130 B132:C1002 M139:Z1001">
    <cfRule type="containsText" dxfId="31" priority="31" operator="containsText" text="Syracuse">
      <formula>NOT(ISERROR(SEARCH(("Syracuse"),(D1))))</formula>
    </cfRule>
  </conditionalFormatting>
  <conditionalFormatting sqref="D1:D1001 E1:Z43 A2:A1001 B2:C130 B132:C1002 M139:Z1001">
    <cfRule type="containsText" dxfId="138" priority="32" operator="containsText" text="Stanford">
      <formula>NOT(ISERROR(SEARCH(("Stanford"),(D1))))</formula>
    </cfRule>
  </conditionalFormatting>
  <conditionalFormatting sqref="D1:D1001 E1:Z43 A2:A1001 B2:C130 B132:C1002 M139:Z1001">
    <cfRule type="containsText" dxfId="33" priority="33" operator="containsText" text="Southern Mississippi">
      <formula>NOT(ISERROR(SEARCH(("Southern Mississippi"),(D1))))</formula>
    </cfRule>
  </conditionalFormatting>
  <conditionalFormatting sqref="D1:D1001 E1:Z43 A2:A1001 B2:C130 B132:C1002 M139:Z1001">
    <cfRule type="containsText" dxfId="139" priority="34" operator="containsText" text="Southern Methodist">
      <formula>NOT(ISERROR(SEARCH(("Southern Methodist"),(D1))))</formula>
    </cfRule>
  </conditionalFormatting>
  <conditionalFormatting sqref="D1:D1001 E1:Z43 A2:A1001 B2:C130 B132:C1002 M139:Z1001">
    <cfRule type="containsText" dxfId="35" priority="35" operator="containsText" text="Southern Cal">
      <formula>NOT(ISERROR(SEARCH(("Southern Cal"),(D1))))</formula>
    </cfRule>
  </conditionalFormatting>
  <conditionalFormatting sqref="D1:D1001 E1:Z43 A2:A1001 B2:C130 B132:C1002 M139:Z1001">
    <cfRule type="containsText" dxfId="36" priority="36" operator="containsText" text="South Florida">
      <formula>NOT(ISERROR(SEARCH(("South Florida"),(D1))))</formula>
    </cfRule>
  </conditionalFormatting>
  <conditionalFormatting sqref="D1:D1001 E1:Z43 A2:A1001 B2:C130 B132:C1002 M139:Z1001">
    <cfRule type="containsText" dxfId="140" priority="37" operator="containsText" text="South Carolina">
      <formula>NOT(ISERROR(SEARCH(("South Carolina"),(D1))))</formula>
    </cfRule>
  </conditionalFormatting>
  <conditionalFormatting sqref="D1:D1001 E1:Z43 A2:A1001 B2:C130 B132:C1002 M139:Z1001">
    <cfRule type="containsText" dxfId="38" priority="38" operator="containsText" text="South Alabama">
      <formula>NOT(ISERROR(SEARCH(("South Alabama"),(D1))))</formula>
    </cfRule>
  </conditionalFormatting>
  <conditionalFormatting sqref="D1:D1001 E1:Z43 A2:A1001 B2:C130 B132:C1002 M139:Z1001">
    <cfRule type="containsText" dxfId="39" priority="39" operator="containsText" text="San Jose State">
      <formula>NOT(ISERROR(SEARCH(("San Jose State"),(D1))))</formula>
    </cfRule>
  </conditionalFormatting>
  <conditionalFormatting sqref="D1:D1001 E1:Z43 A2:A1001 B2:C130 B132:C1002 M139:Z1001">
    <cfRule type="containsText" dxfId="40" priority="40" operator="containsText" text="San Diego State">
      <formula>NOT(ISERROR(SEARCH(("San Diego State"),(D1))))</formula>
    </cfRule>
  </conditionalFormatting>
  <conditionalFormatting sqref="D1:D1001 E1:Z43 A2:A1001 B2:C130 B132:C1002 M139:Z1001">
    <cfRule type="containsText" dxfId="141" priority="41" operator="containsText" text="Rutgers">
      <formula>NOT(ISERROR(SEARCH(("Rutgers"),(D1))))</formula>
    </cfRule>
  </conditionalFormatting>
  <conditionalFormatting sqref="D1:D1001 E1:Z43 A2:A1001 B2:C130 B132:C1002 M139:Z1001">
    <cfRule type="containsText" dxfId="142" priority="42" operator="containsText" text="Rice">
      <formula>NOT(ISERROR(SEARCH(("Rice"),(D1))))</formula>
    </cfRule>
  </conditionalFormatting>
  <conditionalFormatting sqref="D1:D1001 E1:Z43 A2:A1001 B2:C130 B132:C1002 M139:Z1001">
    <cfRule type="containsText" dxfId="43" priority="43" operator="containsText" text="Purdue">
      <formula>NOT(ISERROR(SEARCH(("Purdue"),(D1))))</formula>
    </cfRule>
  </conditionalFormatting>
  <conditionalFormatting sqref="D1:D1001 E1:Z43 A2:A1001 B2:C130 B132:C1002 M139:Z1001">
    <cfRule type="containsText" dxfId="44" priority="44" operator="containsText" text="Pittsburgh">
      <formula>NOT(ISERROR(SEARCH(("Pittsburgh"),(D1))))</formula>
    </cfRule>
  </conditionalFormatting>
  <conditionalFormatting sqref="D1:D1001 E1:Z43 A2:A1001 B2:C130 B132:C1002 M139:Z1001">
    <cfRule type="containsText" dxfId="143" priority="45" operator="containsText" text="Penn State">
      <formula>NOT(ISERROR(SEARCH(("Penn State"),(D1))))</formula>
    </cfRule>
  </conditionalFormatting>
  <conditionalFormatting sqref="D1:D1001 E1:Z43 A2:A1001 B2:C130 B132:C1002 M139:Z1001">
    <cfRule type="containsText" dxfId="46" priority="46" operator="containsText" text="Oregon State">
      <formula>NOT(ISERROR(SEARCH(("Oregon State"),(D1))))</formula>
    </cfRule>
  </conditionalFormatting>
  <conditionalFormatting sqref="D1:D1001 E1:Z43 A2:A1001 B2:C130 B132:C1002 M139:Z1001">
    <cfRule type="containsText" dxfId="47" priority="47" operator="containsText" text="Oregon">
      <formula>NOT(ISERROR(SEARCH(("Oregon"),(D1))))</formula>
    </cfRule>
  </conditionalFormatting>
  <conditionalFormatting sqref="D1:D1001 E1:Z43 A2:A1001 B2:C130 B132:C1002 M139:Z1001">
    <cfRule type="containsText" dxfId="48" priority="48" operator="containsText" text="Old Dominion">
      <formula>NOT(ISERROR(SEARCH(("Old Dominion"),(D1))))</formula>
    </cfRule>
  </conditionalFormatting>
  <conditionalFormatting sqref="D1:D1001 E1:Z43 A2:A1001 B2:C130 B132:C1002 M139:Z1001">
    <cfRule type="containsText" dxfId="144" priority="49" operator="containsText" text="Oklahoma State">
      <formula>NOT(ISERROR(SEARCH(("Oklahoma State"),(D1))))</formula>
    </cfRule>
  </conditionalFormatting>
  <conditionalFormatting sqref="D1:D1001 E1:Z43 A2:A1001 B2:C130 B132:C1002 M139:Z1001">
    <cfRule type="containsText" dxfId="50" priority="50" operator="containsText" text="Oklahoma">
      <formula>NOT(ISERROR(SEARCH(("Oklahoma"),(D1))))</formula>
    </cfRule>
  </conditionalFormatting>
  <conditionalFormatting sqref="D1:D1001 E1:Z43 A2:A1001 B2:C130 B132:C1002 M139:Z1001">
    <cfRule type="containsText" dxfId="51" priority="51" operator="containsText" text="Ohio State">
      <formula>NOT(ISERROR(SEARCH(("Ohio State"),(D1))))</formula>
    </cfRule>
  </conditionalFormatting>
  <conditionalFormatting sqref="D1:D1001 E1:Z43 A2:A1001 B2:C130 B132:C1002 M139:Z1001">
    <cfRule type="containsText" dxfId="52" priority="52" operator="containsText" text="Ohio">
      <formula>NOT(ISERROR(SEARCH(("Ohio"),(D1))))</formula>
    </cfRule>
  </conditionalFormatting>
  <conditionalFormatting sqref="D1:D1001 E1:Z43 A2:A1001 B2:C130 B132:C1002 M139:Z1001">
    <cfRule type="containsText" dxfId="53" priority="53" operator="containsText" text="Notre Dame">
      <formula>NOT(ISERROR(SEARCH(("Notre Dame"),(D1))))</formula>
    </cfRule>
  </conditionalFormatting>
  <conditionalFormatting sqref="D1:D1001 E1:Z43 A2:A1001 B2:C130 B132:C1002 M139:Z1001">
    <cfRule type="containsText" dxfId="145" priority="54" operator="containsText" text="Northwestern">
      <formula>NOT(ISERROR(SEARCH(("Northwestern"),(D1))))</formula>
    </cfRule>
  </conditionalFormatting>
  <conditionalFormatting sqref="D1:D1001 E1:Z43 A2:A1001 B2:C130 B132:C1002 M139:Z1001">
    <cfRule type="containsText" dxfId="55" priority="55" operator="containsText" text="Northern Illinois">
      <formula>NOT(ISERROR(SEARCH(("Northern Illinois"),(D1))))</formula>
    </cfRule>
  </conditionalFormatting>
  <conditionalFormatting sqref="D1:D1001 E1:Z43 A2:A1001 B2:C130 B132:C1002 M139:Z1001">
    <cfRule type="containsText" dxfId="110" priority="56" operator="containsText" text="Charlotte">
      <formula>NOT(ISERROR(SEARCH(("Charlotte"),(D1))))</formula>
    </cfRule>
  </conditionalFormatting>
  <conditionalFormatting sqref="A1:Z1000">
    <cfRule type="cellIs" dxfId="62" priority="57" operator="equal">
      <formula>"North Carolina State"</formula>
    </cfRule>
  </conditionalFormatting>
  <conditionalFormatting sqref="D1:D1001 E1:Z43 A2:A1001 B2:C130 B132:C1002 M139:Z1001">
    <cfRule type="containsText" dxfId="57" priority="58" operator="containsText" text="North Carolina">
      <formula>NOT(ISERROR(SEARCH(("North Carolina"),(D1))))</formula>
    </cfRule>
  </conditionalFormatting>
  <conditionalFormatting sqref="D1:D1001 E1:Z43 A2:A1001 B2:C130 B132:C1002 M139:Z1001">
    <cfRule type="containsText" dxfId="58" priority="59" operator="containsText" text="New Mexico State">
      <formula>NOT(ISERROR(SEARCH(("New Mexico State"),(D1))))</formula>
    </cfRule>
  </conditionalFormatting>
  <conditionalFormatting sqref="D1:D1001 E1:Z43 A2:A1001 B2:C130 B132:C1002 M139:Z1001">
    <cfRule type="containsText" dxfId="59" priority="60" operator="containsText" text="New Mexico">
      <formula>NOT(ISERROR(SEARCH(("New Mexico"),(D1))))</formula>
    </cfRule>
  </conditionalFormatting>
  <conditionalFormatting sqref="D1:D1001 E1:Z43 A2:A1001 B2:C130 B132:C1002 M139:Z1001">
    <cfRule type="containsText" dxfId="146" priority="61" operator="containsText" text="UNLV">
      <formula>NOT(ISERROR(SEARCH(("UNLV"),(D1))))</formula>
    </cfRule>
  </conditionalFormatting>
  <conditionalFormatting sqref="D1:D1001 E1:Z43 A2:A1001 B2:C130 B132:C1002 M139:Z1001">
    <cfRule type="containsText" dxfId="111" priority="62" operator="containsText" text="Central Michigan">
      <formula>NOT(ISERROR(SEARCH(("Central Michigan"),(D1))))</formula>
    </cfRule>
  </conditionalFormatting>
  <conditionalFormatting sqref="D1:D1001 E1:Z43 A2:A1001 B2:C130 B132:C1002 M139:Z1001">
    <cfRule type="containsText" dxfId="60" priority="63" operator="containsText" text="Nevada">
      <formula>NOT(ISERROR(SEARCH(("Nevada"),(D1))))</formula>
    </cfRule>
  </conditionalFormatting>
  <conditionalFormatting sqref="D1:D1001 E1:Z43 A2:A1001 B2:C130 B132:C1002 M139:Z1001">
    <cfRule type="containsText" dxfId="61" priority="64" operator="containsText" text="Nebraska">
      <formula>NOT(ISERROR(SEARCH(("Nebraska"),(D1))))</formula>
    </cfRule>
  </conditionalFormatting>
  <conditionalFormatting sqref="D1:D1001 E1:Z43 A2:A1001 B2:C130 B132:C1002 M139:Z1001">
    <cfRule type="containsText" dxfId="63" priority="65" operator="containsText" text="Navy">
      <formula>NOT(ISERROR(SEARCH(("Navy"),(D1))))</formula>
    </cfRule>
  </conditionalFormatting>
  <conditionalFormatting sqref="D1:D1001 E1:Z43 A2:A1001 B2:C130 B132:C1002 M139:Z1001">
    <cfRule type="containsText" dxfId="64" priority="66" operator="containsText" text="Missouri">
      <formula>NOT(ISERROR(SEARCH(("Missouri"),(D1))))</formula>
    </cfRule>
  </conditionalFormatting>
  <conditionalFormatting sqref="D1:D1001 E1:Z43 A2:A1001 B2:C130 B132:C1002 M139:Z1001">
    <cfRule type="containsText" dxfId="147" priority="67" operator="containsText" text="Mississippi State">
      <formula>NOT(ISERROR(SEARCH(("Mississippi State"),(D1))))</formula>
    </cfRule>
  </conditionalFormatting>
  <conditionalFormatting sqref="D1:D1001 E1:Z43 A2:A1001 B2:C130 B132:C1002 M139:Z1001">
    <cfRule type="containsText" dxfId="66" priority="68" operator="containsText" text="Mississippi">
      <formula>NOT(ISERROR(SEARCH(("Mississippi"),(D1))))</formula>
    </cfRule>
  </conditionalFormatting>
  <conditionalFormatting sqref="D1:D1001 E1:Z43 A2:A1001 B2:C130 B132:C1002 M139:Z1001">
    <cfRule type="containsText" dxfId="67" priority="69" operator="containsText" text="Minnesota">
      <formula>NOT(ISERROR(SEARCH(("Minnesota"),(D1))))</formula>
    </cfRule>
  </conditionalFormatting>
  <conditionalFormatting sqref="D1:D1001 E1:Z43 A2:A1001 B2:C130 B132:C1002 M139:Z1001">
    <cfRule type="containsText" dxfId="69" priority="70" operator="containsText" text="Michigan State">
      <formula>NOT(ISERROR(SEARCH(("Michigan State"),(D1))))</formula>
    </cfRule>
  </conditionalFormatting>
  <conditionalFormatting sqref="D1:D1001 E1:Z43 A2:A1001 B2:C130 B132:C1002 M139:Z1001">
    <cfRule type="containsText" dxfId="71" priority="71" operator="containsText" text="Miami (OH)">
      <formula>NOT(ISERROR(SEARCH(("Miami (OH)"),(D1))))</formula>
    </cfRule>
  </conditionalFormatting>
  <conditionalFormatting sqref="D1:D1001 E1:Z43 A2:A1001 B2:C130 B132:C1002 M139:Z1001">
    <cfRule type="containsText" dxfId="72" priority="72" operator="containsText" text="Miami">
      <formula>NOT(ISERROR(SEARCH(("Miami"),(D1))))</formula>
    </cfRule>
  </conditionalFormatting>
  <conditionalFormatting sqref="D1:D1001 E1:Z43 A2:A1001 B2:C130 B132:C1002 M139:Z1001">
    <cfRule type="containsText" dxfId="73" priority="73" operator="containsText" text="Memphis">
      <formula>NOT(ISERROR(SEARCH(("Memphis"),(D1))))</formula>
    </cfRule>
  </conditionalFormatting>
  <conditionalFormatting sqref="D1:D1001 E1:Z43 A2:A1001 B2:C130 B132:C1002 M139:Z1001">
    <cfRule type="containsText" dxfId="74" priority="74" operator="containsText" text="Massachusetts">
      <formula>NOT(ISERROR(SEARCH(("Massachusetts"),(D1))))</formula>
    </cfRule>
  </conditionalFormatting>
  <conditionalFormatting sqref="D1:D1001 E1:Z43 A2:A1001 B2:C130 B132:C1002 M139:Z1001">
    <cfRule type="containsText" dxfId="75" priority="75" operator="containsText" text="Maryland">
      <formula>NOT(ISERROR(SEARCH(("Maryland"),(D1))))</formula>
    </cfRule>
  </conditionalFormatting>
  <conditionalFormatting sqref="D1:D1001 E1:Z43 A2:A1001 B2:C130 B132:C1002 M139:Z1001">
    <cfRule type="containsText" dxfId="148" priority="76" operator="containsText" text="Marshall">
      <formula>NOT(ISERROR(SEARCH(("Marshall"),(D1))))</formula>
    </cfRule>
  </conditionalFormatting>
  <conditionalFormatting sqref="D1:D1001 E1:Z43 A2:A1001 B2:C130 B132:C1002 M139:Z1001">
    <cfRule type="containsText" dxfId="149" priority="77" operator="containsText" text="Louisville">
      <formula>NOT(ISERROR(SEARCH(("Louisville"),(D1))))</formula>
    </cfRule>
  </conditionalFormatting>
  <conditionalFormatting sqref="D1:D1001 E1:Z43 A2:A1001 B2:C130 B132:C1002 M139:Z1001">
    <cfRule type="containsText" dxfId="15" priority="78" operator="containsText" text="UL-Monroe">
      <formula>NOT(ISERROR(SEARCH(("UL-Monroe"),(D1))))</formula>
    </cfRule>
  </conditionalFormatting>
  <conditionalFormatting sqref="D1:D1001 E1:Z43 A2:A1001 B2:C130 B132:C1002 M139:Z1001">
    <cfRule type="containsText" dxfId="16" priority="79" operator="containsText" text="UL-Lafayette">
      <formula>NOT(ISERROR(SEARCH(("UL-Lafayette"),(D1))))</formula>
    </cfRule>
  </conditionalFormatting>
  <conditionalFormatting sqref="D1:D1001 E1:Z43 A2:A1001 B2:C130 B132:C1002 M139:Z1001">
    <cfRule type="containsText" dxfId="79" priority="80" operator="containsText" text="Louisiana Tech">
      <formula>NOT(ISERROR(SEARCH(("Louisiana Tech"),(D1))))</formula>
    </cfRule>
  </conditionalFormatting>
  <conditionalFormatting sqref="D1:D1001 E1:Z43 A2:A1001 B2:C130 B132:C1002 M139:Z1001">
    <cfRule type="containsText" dxfId="77" priority="81" operator="containsText" text="LSU">
      <formula>NOT(ISERROR(SEARCH(("LSU"),(D1))))</formula>
    </cfRule>
  </conditionalFormatting>
  <conditionalFormatting sqref="D1:D1001 E1:Z43 A2:A1001 B2:C130 B132:C1002 M139:Z1001">
    <cfRule type="containsText" dxfId="81" priority="82" operator="containsText" text="Kentucky">
      <formula>NOT(ISERROR(SEARCH(("Kentucky"),(D1))))</formula>
    </cfRule>
  </conditionalFormatting>
  <conditionalFormatting sqref="D1:D1001 E1:Z43 A2:A1001 B2:C130 B132:C1002 M139:Z1001">
    <cfRule type="containsText" dxfId="82" priority="83" operator="containsText" text="Kent State">
      <formula>NOT(ISERROR(SEARCH(("Kent State"),(D1))))</formula>
    </cfRule>
  </conditionalFormatting>
  <conditionalFormatting sqref="D1:D1001 E1:Z43 A2:A1001 B2:C130 B132:C1002 M139:Z1001">
    <cfRule type="containsText" dxfId="85" priority="84" operator="containsText" text="Iowa State">
      <formula>NOT(ISERROR(SEARCH(("Iowa State"),(D1))))</formula>
    </cfRule>
  </conditionalFormatting>
  <conditionalFormatting sqref="D1:D1001 E1:Z43 A2:A1001 B2:C130 B132:C1002 M139:Z1001">
    <cfRule type="containsText" dxfId="86" priority="85" operator="containsText" text="Iowa">
      <formula>NOT(ISERROR(SEARCH(("Iowa"),(D1))))</formula>
    </cfRule>
  </conditionalFormatting>
  <conditionalFormatting sqref="D1:D1001 E1:Z43 A2:A1001 B2:C130 B132:C1002 M139:Z1001">
    <cfRule type="containsText" dxfId="150" priority="86" operator="containsText" text="Indiana">
      <formula>NOT(ISERROR(SEARCH(("Indiana"),(D1))))</formula>
    </cfRule>
  </conditionalFormatting>
  <conditionalFormatting sqref="D1:D1001 E1:Z43 A2:A1001 B2:C130 B132:C1002 M139:Z1001">
    <cfRule type="containsText" dxfId="88" priority="87" operator="containsText" text="Illinois">
      <formula>NOT(ISERROR(SEARCH(("Illinois"),(D1))))</formula>
    </cfRule>
  </conditionalFormatting>
  <conditionalFormatting sqref="D1:D1001 E1:Z43 A2:A1001 B2:C130 B132:C1002 M139:Z1001">
    <cfRule type="containsText" dxfId="151" priority="88" operator="containsText" text="Idaho">
      <formula>NOT(ISERROR(SEARCH(("Idaho"),(D1))))</formula>
    </cfRule>
  </conditionalFormatting>
  <conditionalFormatting sqref="D1:D1001 E1:Z43 A2:A1001 B2:C130 B132:C1002 M139:Z1001">
    <cfRule type="containsText" dxfId="152" priority="89" operator="containsText" text="Houston">
      <formula>NOT(ISERROR(SEARCH(("Houston"),(D1))))</formula>
    </cfRule>
  </conditionalFormatting>
  <conditionalFormatting sqref="D1:D1001 E1:Z43 A2:A1001 B2:C130 B132:C1002 M139:Z1001">
    <cfRule type="containsText" dxfId="153" priority="90" operator="containsText" text="Eastern Michigan">
      <formula>NOT(ISERROR(SEARCH(("Eastern Michigan"),(D1))))</formula>
    </cfRule>
  </conditionalFormatting>
  <conditionalFormatting sqref="D1:D1001 E1:Z43 A2:A1001 B2:C130 B132:C1002 M139:Z1001">
    <cfRule type="containsText" dxfId="70" priority="91" operator="containsText" text="Michigan">
      <formula>NOT(ISERROR(SEARCH(("Michigan"),(D1))))</formula>
    </cfRule>
  </conditionalFormatting>
  <conditionalFormatting sqref="D1:D1001 E1:Z43 A2:A1001 B2:C130 B132:C1002 M139:Z1001">
    <cfRule type="containsText" dxfId="154" priority="92" operator="containsText" text="Hawaii">
      <formula>NOT(ISERROR(SEARCH(("Hawaii"),(D1))))</formula>
    </cfRule>
  </conditionalFormatting>
  <conditionalFormatting sqref="D1:D1001 E1:Z43 A2:A1001 B2:C130 B132:C1002 M139:Z1001">
    <cfRule type="containsText" dxfId="92" priority="93" operator="containsText" text="Georgia Tech">
      <formula>NOT(ISERROR(SEARCH(("Georgia Tech"),(D1))))</formula>
    </cfRule>
  </conditionalFormatting>
  <conditionalFormatting sqref="D1:D1001 E1:Z43 A2:A1001 B2:C130 B132:C1002 M139:Z1001">
    <cfRule type="containsText" dxfId="155" priority="94" operator="containsText" text="Georgia State">
      <formula>NOT(ISERROR(SEARCH(("Georgia State"),(D1))))</formula>
    </cfRule>
  </conditionalFormatting>
  <conditionalFormatting sqref="D1:D1001 E1:Z43 A2:A1001 B2:C130 B132:C1002 M139:Z1001">
    <cfRule type="containsText" dxfId="94" priority="95" operator="containsText" text="Georgia Southern">
      <formula>NOT(ISERROR(SEARCH(("Georgia Southern"),(D1))))</formula>
    </cfRule>
  </conditionalFormatting>
  <conditionalFormatting sqref="D1:D1001 E1:Z43 A2:A1001 B2:C130 B132:C1002 M139:Z1001">
    <cfRule type="containsText" dxfId="95" priority="96" operator="containsText" text="Georgia">
      <formula>NOT(ISERROR(SEARCH(("Georgia"),(D1))))</formula>
    </cfRule>
  </conditionalFormatting>
  <conditionalFormatting sqref="D1:D1001 E1:Z43 A2:A1001 B2:C130 B132:C1002 M139:Z1001">
    <cfRule type="containsText" dxfId="97" priority="97" operator="containsText" text="Florida State">
      <formula>NOT(ISERROR(SEARCH(("Florida State"),(D1))))</formula>
    </cfRule>
  </conditionalFormatting>
  <conditionalFormatting sqref="D1:D1001 E1:Z43 A2:A1001 B2:C130 B132:C1002 M139:Z1001">
    <cfRule type="containsText" dxfId="98" priority="98" operator="containsText" text="Florida International">
      <formula>NOT(ISERROR(SEARCH(("Florida International"),(D1))))</formula>
    </cfRule>
  </conditionalFormatting>
  <conditionalFormatting sqref="D1:D1001 E1:Z43 A2:A1001 B2:C130 B132:C1002 M139:Z1001">
    <cfRule type="containsText" dxfId="99" priority="99" operator="containsText" text="Florida Atlantic">
      <formula>NOT(ISERROR(SEARCH(("Florida Atlantic"),(D1))))</formula>
    </cfRule>
  </conditionalFormatting>
  <conditionalFormatting sqref="D1:D1001 E1:Z43 A2:A1001 B2:C130 B132:C1002 M139:Z1001">
    <cfRule type="containsText" dxfId="156" priority="100" operator="containsText" text="Central Florida">
      <formula>NOT(ISERROR(SEARCH(("Central Florida"),(D1))))</formula>
    </cfRule>
  </conditionalFormatting>
  <conditionalFormatting sqref="D1:D1001 E1:Z43 A2:A1001 B2:C130 B132:C1002 M139:Z1001">
    <cfRule type="containsText" dxfId="157" priority="101" operator="containsText" text="Arkansas State">
      <formula>NOT(ISERROR(SEARCH(("Arkansas State"),(D1))))</formula>
    </cfRule>
  </conditionalFormatting>
  <conditionalFormatting sqref="D1:D1001 E1:Z43 A2:A1001 B2:C130 B132:C1002 M139:Z1001">
    <cfRule type="containsText" dxfId="83" priority="102" operator="containsText" text="Kansas State">
      <formula>NOT(ISERROR(SEARCH(("Kansas State"),(D1))))</formula>
    </cfRule>
  </conditionalFormatting>
  <conditionalFormatting sqref="D1:D1001 E1:Z43 A2:A1001 B2:C130 B132:C1002 M139:Z1001">
    <cfRule type="containsText" dxfId="100" priority="103" operator="containsText" text="Florida">
      <formula>NOT(ISERROR(SEARCH(("Florida"),(D1))))</formula>
    </cfRule>
  </conditionalFormatting>
  <conditionalFormatting sqref="D1:D1001 E1:Z43 A2:A1001 B2:C130 B132:C1002 M139:Z1001">
    <cfRule type="containsText" dxfId="102" priority="104" operator="containsText" text="East Carolina">
      <formula>NOT(ISERROR(SEARCH(("East Carolina"),(D1))))</formula>
    </cfRule>
  </conditionalFormatting>
  <conditionalFormatting sqref="D1:D1001 E1:Z43 A2:A1001 B2:C130 B132:C1002 M139:Z1001">
    <cfRule type="containsText" dxfId="158" priority="105" operator="containsText" text="Duke">
      <formula>NOT(ISERROR(SEARCH(("Duke"),(D1))))</formula>
    </cfRule>
  </conditionalFormatting>
  <conditionalFormatting sqref="D1:D1001 E1:Z43 A2:A1001 B2:C130 B132:C1002 M139:Z1001">
    <cfRule type="containsText" dxfId="104" priority="106" operator="containsText" text="Connecticut">
      <formula>NOT(ISERROR(SEARCH(("Connecticut"),(D1))))</formula>
    </cfRule>
  </conditionalFormatting>
  <conditionalFormatting sqref="D1:D1001 E1:Z43 A2:A1001 B2:C130 B132:C1002 M139:Z1001">
    <cfRule type="containsText" dxfId="159" priority="107" operator="containsText" text="Colorado State">
      <formula>NOT(ISERROR(SEARCH(("Colorado State"),(D1))))</formula>
    </cfRule>
  </conditionalFormatting>
  <conditionalFormatting sqref="D1:D1001 E1:Z43 A2:A1001 B2:C130 B132:C1002 M139:Z1001">
    <cfRule type="containsText" dxfId="106" priority="108" operator="containsText" text="Colorado">
      <formula>NOT(ISERROR(SEARCH(("Colorado"),(D1))))</formula>
    </cfRule>
  </conditionalFormatting>
  <conditionalFormatting sqref="D1:D1001 E1:Z43 A2:A1001 B2:C130 B132:C1002 M139:Z1001">
    <cfRule type="containsText" dxfId="160" priority="109" operator="containsText" text="Coastal Carolina">
      <formula>NOT(ISERROR(SEARCH(("Coastal Carolina"),(D1))))</formula>
    </cfRule>
  </conditionalFormatting>
  <conditionalFormatting sqref="D1:D1001 E1:Z43 A2:A1001 B2:C130 B132:C1002 M139:Z1001">
    <cfRule type="containsText" dxfId="108" priority="110" operator="containsText" text="Clemson">
      <formula>NOT(ISERROR(SEARCH(("Clemson"),(D1))))</formula>
    </cfRule>
  </conditionalFormatting>
  <conditionalFormatting sqref="D1:D1001 E1:Z43 A2:A1001 B2:C130 B132:C1002 M139:Z1001">
    <cfRule type="containsText" dxfId="109" priority="111" operator="containsText" text="Cincinnati">
      <formula>NOT(ISERROR(SEARCH(("Cincinnati"),(D1))))</formula>
    </cfRule>
  </conditionalFormatting>
  <conditionalFormatting sqref="D1:D1001 E1:Z43 A2:A1001 B2:C130 B132:C1002 M139:Z1001">
    <cfRule type="containsText" dxfId="17" priority="112" operator="containsText" text="UCLA">
      <formula>NOT(ISERROR(SEARCH(("UCLA"),(D1))))</formula>
    </cfRule>
  </conditionalFormatting>
  <conditionalFormatting sqref="D1:D1001 E1:Z43 A2:A1001 B2:C130 B132:C1002 M139:Z1001">
    <cfRule type="containsText" dxfId="96" priority="113" operator="containsText" text="Fresno State">
      <formula>NOT(ISERROR(SEARCH(("Fresno State"),(D1))))</formula>
    </cfRule>
  </conditionalFormatting>
  <conditionalFormatting sqref="D1:D1001 E1:Z43 A2:A1001 B2:C130 B132:C1002 M139:Z1001">
    <cfRule type="containsText" dxfId="113" priority="114" operator="containsText" text="California">
      <formula>NOT(ISERROR(SEARCH(("California"),(D1))))</formula>
    </cfRule>
  </conditionalFormatting>
  <conditionalFormatting sqref="D1:D1001 E1:Z43 A2:A1001 B2:C130 B132:C1002 M139:Z1001">
    <cfRule type="containsText" dxfId="161" priority="115" operator="containsText" text="BYU">
      <formula>NOT(ISERROR(SEARCH(("BYU"),(D1))))</formula>
    </cfRule>
  </conditionalFormatting>
  <conditionalFormatting sqref="D1:D1001 E1:Z43 A2:A1001 B2:C130 B132:C1002 M139:Z1001">
    <cfRule type="containsText" dxfId="162" priority="116" operator="containsText" text="Buffalo">
      <formula>NOT(ISERROR(SEARCH(("Buffalo"),(D1))))</formula>
    </cfRule>
  </conditionalFormatting>
  <conditionalFormatting sqref="D1:D1001 E1:Z43 A2:A1001 B2:C130 B132:C1002 M139:Z1001">
    <cfRule type="containsText" dxfId="116" priority="117" operator="containsText" text="Bowling Green">
      <formula>NOT(ISERROR(SEARCH(("Bowling Green"),(D1))))</formula>
    </cfRule>
  </conditionalFormatting>
  <conditionalFormatting sqref="D1:D1001 E1:Z43 A2:A1001 B2:C130 B132:C1002 M139:Z1001">
    <cfRule type="containsText" dxfId="117" priority="118" operator="containsText" text="Boston College">
      <formula>NOT(ISERROR(SEARCH(("Boston College"),(D1))))</formula>
    </cfRule>
  </conditionalFormatting>
  <conditionalFormatting sqref="D1:D1001 E1:Z43 A2:A1001 B2:C130 B132:C1002 M139:Z1001">
    <cfRule type="containsText" dxfId="118" priority="119" operator="containsText" text="Boise State">
      <formula>NOT(ISERROR(SEARCH(("Boise State"),(D1))))</formula>
    </cfRule>
  </conditionalFormatting>
  <conditionalFormatting sqref="D1:D1001 E1:Z43 A2:A1001 B2:C130 B132:C1002 M139:Z1001">
    <cfRule type="containsText" dxfId="119" priority="120" operator="containsText" text="Baylor">
      <formula>NOT(ISERROR(SEARCH(("Baylor"),(D1))))</formula>
    </cfRule>
  </conditionalFormatting>
  <conditionalFormatting sqref="D1:D1001 E1:Z43 A2:A1001 B2:C130 B132:C1002 M139:Z1001">
    <cfRule type="containsText" dxfId="120" priority="121" operator="containsText" text="Ball State">
      <formula>NOT(ISERROR(SEARCH(("Ball State"),(D1))))</formula>
    </cfRule>
  </conditionalFormatting>
  <conditionalFormatting sqref="D1:D1001 E1:Z43 A2:A1001 B2:C130 B132:C1002 M139:Z1001">
    <cfRule type="containsText" dxfId="121" priority="122" operator="containsText" text="Auburn">
      <formula>NOT(ISERROR(SEARCH(("Auburn"),(D1))))</formula>
    </cfRule>
  </conditionalFormatting>
  <conditionalFormatting sqref="D1:D1001 E1:Z43 A2:A1001 B2:C130 B132:C1002 M139:Z1001">
    <cfRule type="containsText" dxfId="163" priority="123" operator="containsText" text="Army">
      <formula>NOT(ISERROR(SEARCH(("Army"),(D1))))</formula>
    </cfRule>
  </conditionalFormatting>
  <conditionalFormatting sqref="D1:D1001 E1:Z43 A2:A1001 B2:C130 B132:C1002 M139:Z1001">
    <cfRule type="cellIs" dxfId="164" priority="124" operator="equal">
      <formula>"Arkansas"</formula>
    </cfRule>
  </conditionalFormatting>
  <conditionalFormatting sqref="D1:D1001 E1:Z43 A2:A1001 B2:C130 B132:C1002 M139:Z1001">
    <cfRule type="containsText" dxfId="125" priority="125" operator="containsText" text="Arizona State">
      <formula>NOT(ISERROR(SEARCH(("Arizona State"),(D1))))</formula>
    </cfRule>
  </conditionalFormatting>
  <conditionalFormatting sqref="D1:D1001 E1:Z43 A2:A1001 B2:C130 B132:C1002 M139:Z1001">
    <cfRule type="containsText" dxfId="126" priority="126" operator="containsText" text="Arizona">
      <formula>NOT(ISERROR(SEARCH(("Arizona"),(D1))))</formula>
    </cfRule>
  </conditionalFormatting>
  <conditionalFormatting sqref="D1:D1001 E1:Z43 A2:A1001 B2:C130 B132:C1002 M139:Z1001">
    <cfRule type="containsText" dxfId="165" priority="127" operator="containsText" text="Appalachian State">
      <formula>NOT(ISERROR(SEARCH(("Appalachian State"),(D1))))</formula>
    </cfRule>
  </conditionalFormatting>
  <conditionalFormatting sqref="D1:D1001 E1:Z43 A2:A1001 B2:C130 B132:C1002 M139:Z1001">
    <cfRule type="containsText" dxfId="128" priority="128" operator="containsText" text="Alabama">
      <formula>NOT(ISERROR(SEARCH(("Alabama"),(D1))))</formula>
    </cfRule>
  </conditionalFormatting>
  <conditionalFormatting sqref="D1:D1001 E1:Z43 A2:A1001 B2:C130 B132:C1002 M139:Z1001">
    <cfRule type="containsText" dxfId="129" priority="129" operator="containsText" text="Akron">
      <formula>NOT(ISERROR(SEARCH(("Akron"),(D1))))</formula>
    </cfRule>
  </conditionalFormatting>
  <conditionalFormatting sqref="D1:D1001 E1:Z43 A2:A1001 B2:C130 B132:C1002 M139:Z1001">
    <cfRule type="containsText" dxfId="130" priority="130" operator="containsText" text="Air Force">
      <formula>NOT(ISERROR(SEARCH(("Air Force"),(D1))))</formula>
    </cfRule>
  </conditionalFormatting>
  <conditionalFormatting sqref="E139:L1001 E45:Z138 I44:Z44">
    <cfRule type="cellIs" dxfId="80" priority="131" operator="equal">
      <formula>"Liberty"</formula>
    </cfRule>
  </conditionalFormatting>
  <conditionalFormatting sqref="E139:L1001 E45:Z138 I44:Z44">
    <cfRule type="cellIs" dxfId="0" priority="132" operator="equal">
      <formula>"Wyoming"</formula>
    </cfRule>
  </conditionalFormatting>
  <conditionalFormatting sqref="E139:L1001 E45:Z138 I44:Z44">
    <cfRule type="cellIs" dxfId="134" priority="133" operator="equal">
      <formula>"Wisconsin"</formula>
    </cfRule>
  </conditionalFormatting>
  <conditionalFormatting sqref="E139:L1001 E45:Z138 I44:Z44">
    <cfRule type="cellIs" dxfId="2" priority="134" operator="equal">
      <formula>"Western Michigan"</formula>
    </cfRule>
  </conditionalFormatting>
  <conditionalFormatting sqref="E139:L1001 E45:Z138 I44:Z44">
    <cfRule type="cellIs" dxfId="3" priority="135" operator="equal">
      <formula>"Western Kentucky"</formula>
    </cfRule>
  </conditionalFormatting>
  <conditionalFormatting sqref="E139:L1001 E45:Z138 I44:Z44">
    <cfRule type="cellIs" dxfId="4" priority="136" operator="equal">
      <formula>"West Virginia"</formula>
    </cfRule>
  </conditionalFormatting>
  <conditionalFormatting sqref="E139:L1001 E45:Z138 I44:Z44">
    <cfRule type="cellIs" dxfId="5" priority="137" operator="equal">
      <formula>"Washington State"</formula>
    </cfRule>
  </conditionalFormatting>
  <conditionalFormatting sqref="E139:L1001 E45:Z138 I44:Z44">
    <cfRule type="cellIs" dxfId="6" priority="138" operator="equal">
      <formula>"Washington"</formula>
    </cfRule>
  </conditionalFormatting>
  <conditionalFormatting sqref="E139:L1001 E45:Z138 I44:Z44">
    <cfRule type="cellIs" dxfId="7" priority="139" operator="equal">
      <formula>"Wake Forest"</formula>
    </cfRule>
  </conditionalFormatting>
  <conditionalFormatting sqref="E139:L1001 E45:Z138 I44:Z44">
    <cfRule type="cellIs" dxfId="8" priority="140" operator="equal">
      <formula>"Virginia Tech"</formula>
    </cfRule>
  </conditionalFormatting>
  <conditionalFormatting sqref="E139:L1001 E45:Z138 I44:Z44">
    <cfRule type="cellIs" dxfId="9" priority="141" operator="equal">
      <formula>"Virginia"</formula>
    </cfRule>
  </conditionalFormatting>
  <conditionalFormatting sqref="E139:L1001 E45:Z138 I44:Z44">
    <cfRule type="cellIs" dxfId="10" priority="142" operator="equal">
      <formula>"Vanderbilt"</formula>
    </cfRule>
  </conditionalFormatting>
  <conditionalFormatting sqref="E139:L1001 E45:Z138 I44:Z44">
    <cfRule type="cellIs" dxfId="12" priority="143" operator="equal">
      <formula>"Utah State"</formula>
    </cfRule>
  </conditionalFormatting>
  <conditionalFormatting sqref="E139:L1001 E45:Z138 I44:Z44">
    <cfRule type="cellIs" dxfId="13" priority="144" operator="equal">
      <formula>"Utah"</formula>
    </cfRule>
  </conditionalFormatting>
  <conditionalFormatting sqref="E139:L1001 E45:Z138 I44:Z44">
    <cfRule type="cellIs" dxfId="18" priority="145" operator="equal">
      <formula>"UAB"</formula>
    </cfRule>
  </conditionalFormatting>
  <conditionalFormatting sqref="E139:L1001 E45:Z138 I44:Z44">
    <cfRule type="cellIs" dxfId="19" priority="146" operator="equal">
      <formula>"Tulsa"</formula>
    </cfRule>
  </conditionalFormatting>
  <conditionalFormatting sqref="E139:L1001 E45:Z138 I44:Z44">
    <cfRule type="cellIs" dxfId="20" priority="147" operator="equal">
      <formula>"Tulane"</formula>
    </cfRule>
  </conditionalFormatting>
  <conditionalFormatting sqref="E139:L1001 E45:Z138 I44:Z44">
    <cfRule type="cellIs" dxfId="21" priority="148" operator="equal">
      <formula>"Troy"</formula>
    </cfRule>
  </conditionalFormatting>
  <conditionalFormatting sqref="E139:L1001 E45:Z138 I44:Z44">
    <cfRule type="cellIs" dxfId="22" priority="149" operator="equal">
      <formula>"Toledo"</formula>
    </cfRule>
  </conditionalFormatting>
  <conditionalFormatting sqref="E139:L1001 E45:Z138 I44:Z44">
    <cfRule type="cellIs" dxfId="23" priority="150" operator="equal">
      <formula>"Texas-San Antonio"</formula>
    </cfRule>
  </conditionalFormatting>
  <conditionalFormatting sqref="E139:L1001 E45:Z138 I44:Z44">
    <cfRule type="cellIs" dxfId="11" priority="151" operator="equal">
      <formula>"UTEP"</formula>
    </cfRule>
  </conditionalFormatting>
  <conditionalFormatting sqref="E139:L1001 E45:Z138 I44:Z44">
    <cfRule type="cellIs" dxfId="135" priority="152" operator="equal">
      <formula>"North Texas"</formula>
    </cfRule>
  </conditionalFormatting>
  <conditionalFormatting sqref="E139:L1001 E45:Z138 I44:Z44">
    <cfRule type="cellIs" dxfId="24" priority="153" operator="equal">
      <formula>"Texas Tech"</formula>
    </cfRule>
  </conditionalFormatting>
  <conditionalFormatting sqref="E139:L1001 E45:Z138 I44:Z44">
    <cfRule type="cellIs" dxfId="25" priority="154" operator="equal">
      <formula>"Texas State"</formula>
    </cfRule>
  </conditionalFormatting>
  <conditionalFormatting sqref="E139:L1001 E45:Z138 I44:Z44">
    <cfRule type="cellIs" dxfId="136" priority="155" operator="equal">
      <formula>"TCU"</formula>
    </cfRule>
  </conditionalFormatting>
  <conditionalFormatting sqref="E139:L1001 E45:Z138 I44:Z44">
    <cfRule type="cellIs" dxfId="68" priority="156" operator="equal">
      <formula>"Middle Tennessee"</formula>
    </cfRule>
  </conditionalFormatting>
  <conditionalFormatting sqref="E139:L1001 E45:Z138 I44:Z44">
    <cfRule type="cellIs" dxfId="26" priority="157" operator="equal">
      <formula>"Texas A&amp;M"</formula>
    </cfRule>
  </conditionalFormatting>
  <conditionalFormatting sqref="E139:L1001 E45:Z138 I44:Z44">
    <cfRule type="cellIs" dxfId="27" priority="158" operator="equal">
      <formula>"Texas"</formula>
    </cfRule>
  </conditionalFormatting>
  <conditionalFormatting sqref="E139:L1001 E45:Z138 I44:Z44">
    <cfRule type="cellIs" dxfId="137" priority="159" operator="equal">
      <formula>"Tennessee"</formula>
    </cfRule>
  </conditionalFormatting>
  <conditionalFormatting sqref="E139:L1001 E45:Z138 I44:Z44">
    <cfRule type="cellIs" dxfId="29" priority="160" operator="equal">
      <formula>"Temple"</formula>
    </cfRule>
  </conditionalFormatting>
  <conditionalFormatting sqref="E139:L1001 E45:Z138 I44:Z44">
    <cfRule type="cellIs" dxfId="31" priority="161" operator="equal">
      <formula>"Syracuse"</formula>
    </cfRule>
  </conditionalFormatting>
  <conditionalFormatting sqref="E139:L1001 E45:Z138 I44:Z44">
    <cfRule type="cellIs" dxfId="138" priority="162" operator="equal">
      <formula>"Stanford"</formula>
    </cfRule>
  </conditionalFormatting>
  <conditionalFormatting sqref="E139:L1001 E45:Z138 I44:Z44">
    <cfRule type="cellIs" dxfId="33" priority="163" operator="equal">
      <formula>"Southern Mississippi"</formula>
    </cfRule>
  </conditionalFormatting>
  <conditionalFormatting sqref="E139:L1001 E45:Z138 I44:Z44">
    <cfRule type="cellIs" dxfId="139" priority="164" operator="equal">
      <formula>"Southern Methodist"</formula>
    </cfRule>
  </conditionalFormatting>
  <conditionalFormatting sqref="E139:L1001 E45:Z138 I44:Z44">
    <cfRule type="cellIs" dxfId="35" priority="165" operator="equal">
      <formula>"Southern Cal"</formula>
    </cfRule>
  </conditionalFormatting>
  <conditionalFormatting sqref="E139:L1001 E45:Z138 I44:Z44">
    <cfRule type="cellIs" dxfId="36" priority="166" operator="equal">
      <formula>"South Florida"</formula>
    </cfRule>
  </conditionalFormatting>
  <conditionalFormatting sqref="E139:L1001 E45:Z138 I44:Z44">
    <cfRule type="cellIs" dxfId="140" priority="167" operator="equal">
      <formula>"South Carolina"</formula>
    </cfRule>
  </conditionalFormatting>
  <conditionalFormatting sqref="E139:L1001 E45:Z138 I44:Z44">
    <cfRule type="cellIs" dxfId="38" priority="168" operator="equal">
      <formula>"South Alabama"</formula>
    </cfRule>
  </conditionalFormatting>
  <conditionalFormatting sqref="E139:L1001 E45:Z138 I44:Z44">
    <cfRule type="cellIs" dxfId="39" priority="169" operator="equal">
      <formula>"San Jose State"</formula>
    </cfRule>
  </conditionalFormatting>
  <conditionalFormatting sqref="E139:L1001 E45:Z138 I44:Z44">
    <cfRule type="cellIs" dxfId="40" priority="170" operator="equal">
      <formula>"San Diego State"</formula>
    </cfRule>
  </conditionalFormatting>
  <conditionalFormatting sqref="E139:L1001 E45:Z138 I44:Z44">
    <cfRule type="cellIs" dxfId="141" priority="171" operator="equal">
      <formula>"Rutgers"</formula>
    </cfRule>
  </conditionalFormatting>
  <conditionalFormatting sqref="E139:L1001 E45:Z138 I44:Z44">
    <cfRule type="cellIs" dxfId="142" priority="172" operator="equal">
      <formula>"Rice"</formula>
    </cfRule>
  </conditionalFormatting>
  <conditionalFormatting sqref="E139:L1001 E45:Z138 I44:Z44">
    <cfRule type="cellIs" dxfId="43" priority="173" operator="equal">
      <formula>"Purdue"</formula>
    </cfRule>
  </conditionalFormatting>
  <conditionalFormatting sqref="E139:L1001 E45:Z138 I44:Z44">
    <cfRule type="cellIs" dxfId="44" priority="174" operator="equal">
      <formula>"Pittsburgh"</formula>
    </cfRule>
  </conditionalFormatting>
  <conditionalFormatting sqref="E139:L1001 E45:Z138 I44:Z44">
    <cfRule type="cellIs" dxfId="143" priority="175" operator="equal">
      <formula>"Penn State"</formula>
    </cfRule>
  </conditionalFormatting>
  <conditionalFormatting sqref="E139:L1001 E45:Z138 I44:Z44">
    <cfRule type="cellIs" dxfId="46" priority="176" operator="equal">
      <formula>"Oregon State"</formula>
    </cfRule>
  </conditionalFormatting>
  <conditionalFormatting sqref="E139:L1001 E45:Z138 I44:Z44">
    <cfRule type="cellIs" dxfId="47" priority="177" operator="equal">
      <formula>"Oregon"</formula>
    </cfRule>
  </conditionalFormatting>
  <conditionalFormatting sqref="E139:L1001 E45:Z138 I44:Z44">
    <cfRule type="cellIs" dxfId="48" priority="178" operator="equal">
      <formula>"Old Dominion"</formula>
    </cfRule>
  </conditionalFormatting>
  <conditionalFormatting sqref="E139:L1001 E45:Z138 I44:Z44">
    <cfRule type="cellIs" dxfId="144" priority="179" operator="equal">
      <formula>"Oklahoma State"</formula>
    </cfRule>
  </conditionalFormatting>
  <conditionalFormatting sqref="E139:L1001 E45:Z138 I44:Z44">
    <cfRule type="cellIs" dxfId="50" priority="180" operator="equal">
      <formula>"Oklahoma"</formula>
    </cfRule>
  </conditionalFormatting>
  <conditionalFormatting sqref="E139:L1001 E45:Z138 I44:Z44">
    <cfRule type="cellIs" dxfId="51" priority="181" operator="equal">
      <formula>"Ohio State"</formula>
    </cfRule>
  </conditionalFormatting>
  <conditionalFormatting sqref="E139:L1001 E45:Z138 I44:Z44">
    <cfRule type="cellIs" dxfId="52" priority="182" operator="equal">
      <formula>"Ohio"</formula>
    </cfRule>
  </conditionalFormatting>
  <conditionalFormatting sqref="E139:L1001 E45:Z138 I44:Z44">
    <cfRule type="cellIs" dxfId="53" priority="183" operator="equal">
      <formula>"Notre Dame"</formula>
    </cfRule>
  </conditionalFormatting>
  <conditionalFormatting sqref="E139:L1001 E45:Z138 I44:Z44">
    <cfRule type="cellIs" dxfId="145" priority="184" operator="equal">
      <formula>"Northwestern"</formula>
    </cfRule>
  </conditionalFormatting>
  <conditionalFormatting sqref="E139:L1001 E45:Z138 I44:Z44">
    <cfRule type="cellIs" dxfId="55" priority="185" operator="equal">
      <formula>"Northern Illinois"</formula>
    </cfRule>
  </conditionalFormatting>
  <conditionalFormatting sqref="E139:L1001 E45:Z138 I44:Z44">
    <cfRule type="cellIs" dxfId="110" priority="186" operator="equal">
      <formula>"Charlotte"</formula>
    </cfRule>
  </conditionalFormatting>
  <conditionalFormatting sqref="E139:L1001 E45:Z138 I44:Z44">
    <cfRule type="cellIs" dxfId="62" priority="187" operator="equal">
      <formula>"NC State"</formula>
    </cfRule>
  </conditionalFormatting>
  <conditionalFormatting sqref="E139:L1001 E45:Z138 I44:Z44">
    <cfRule type="cellIs" dxfId="57" priority="188" operator="equal">
      <formula>"North Carolina"</formula>
    </cfRule>
  </conditionalFormatting>
  <conditionalFormatting sqref="E139:L1001 E45:Z138 I44:Z44">
    <cfRule type="cellIs" dxfId="58" priority="189" operator="equal">
      <formula>"New Mexico State"</formula>
    </cfRule>
  </conditionalFormatting>
  <conditionalFormatting sqref="E139:L1001 E45:Z138 I44:Z44">
    <cfRule type="cellIs" dxfId="59" priority="190" operator="equal">
      <formula>"New Mexico"</formula>
    </cfRule>
  </conditionalFormatting>
  <conditionalFormatting sqref="E139:L1001 E45:Z138 I44:Z44">
    <cfRule type="cellIs" dxfId="146" priority="191" operator="equal">
      <formula>"UNLV"</formula>
    </cfRule>
  </conditionalFormatting>
  <conditionalFormatting sqref="E139:L1001 E45:Z138 I44:Z44">
    <cfRule type="cellIs" dxfId="111" priority="192" operator="equal">
      <formula>"Central Michigan"</formula>
    </cfRule>
  </conditionalFormatting>
  <conditionalFormatting sqref="E139:L1001 E45:Z138 I44:Z44">
    <cfRule type="cellIs" dxfId="60" priority="193" operator="equal">
      <formula>"Nevada"</formula>
    </cfRule>
  </conditionalFormatting>
  <conditionalFormatting sqref="E139:L1001 E45:Z138 I44:Z44">
    <cfRule type="cellIs" dxfId="61" priority="194" operator="equal">
      <formula>"Nebraska"</formula>
    </cfRule>
  </conditionalFormatting>
  <conditionalFormatting sqref="E139:L1001 E45:Z138 I44:Z44">
    <cfRule type="cellIs" dxfId="63" priority="195" operator="equal">
      <formula>"Navy"</formula>
    </cfRule>
  </conditionalFormatting>
  <conditionalFormatting sqref="E139:L1001 E45:Z138 I44:Z44">
    <cfRule type="cellIs" dxfId="64" priority="196" operator="equal">
      <formula>"Missouri"</formula>
    </cfRule>
  </conditionalFormatting>
  <conditionalFormatting sqref="E139:L1001 E45:Z138 I44:Z44">
    <cfRule type="cellIs" dxfId="147" priority="197" operator="equal">
      <formula>"Mississippi State"</formula>
    </cfRule>
  </conditionalFormatting>
  <conditionalFormatting sqref="E139:L1001 E45:Z138 I44:Z44">
    <cfRule type="cellIs" dxfId="66" priority="198" operator="equal">
      <formula>"Mississippi"</formula>
    </cfRule>
  </conditionalFormatting>
  <conditionalFormatting sqref="E139:L1001 E45:Z138 I44:Z44">
    <cfRule type="cellIs" dxfId="67" priority="199" operator="equal">
      <formula>"Minnesota"</formula>
    </cfRule>
  </conditionalFormatting>
  <conditionalFormatting sqref="E139:L1001 E45:Z138 I44:Z44">
    <cfRule type="cellIs" dxfId="69" priority="200" operator="equal">
      <formula>"Michigan State"</formula>
    </cfRule>
  </conditionalFormatting>
  <conditionalFormatting sqref="E139:L1001 E45:Z138 I44:Z44">
    <cfRule type="cellIs" dxfId="71" priority="201" operator="equal">
      <formula>"Miami (OH)"</formula>
    </cfRule>
  </conditionalFormatting>
  <conditionalFormatting sqref="E139:L1001 E45:Z138 I44:Z44">
    <cfRule type="cellIs" dxfId="72" priority="202" operator="equal">
      <formula>"Miami"</formula>
    </cfRule>
  </conditionalFormatting>
  <conditionalFormatting sqref="E139:L1001 E45:Z138 I44:Z44">
    <cfRule type="cellIs" dxfId="73" priority="203" operator="equal">
      <formula>"Memphis"</formula>
    </cfRule>
  </conditionalFormatting>
  <conditionalFormatting sqref="E139:L1001 E45:Z138 I44:Z44">
    <cfRule type="cellIs" dxfId="74" priority="204" operator="equal">
      <formula>"Massachusetts"</formula>
    </cfRule>
  </conditionalFormatting>
  <conditionalFormatting sqref="E139:L1001 E45:Z138 I44:Z44">
    <cfRule type="cellIs" dxfId="75" priority="205" operator="equal">
      <formula>"Maryland"</formula>
    </cfRule>
  </conditionalFormatting>
  <conditionalFormatting sqref="E139:L1001 E45:Z138 I44:Z44">
    <cfRule type="cellIs" dxfId="148" priority="206" operator="equal">
      <formula>"Marshall"</formula>
    </cfRule>
  </conditionalFormatting>
  <conditionalFormatting sqref="E139:L1001 E45:Z138 I44:Z44">
    <cfRule type="cellIs" dxfId="149" priority="207" operator="equal">
      <formula>"Louisville"</formula>
    </cfRule>
  </conditionalFormatting>
  <conditionalFormatting sqref="E139:L1001 E45:Z138 I44:Z44">
    <cfRule type="cellIs" dxfId="15" priority="208" operator="equal">
      <formula>"UL-Monroe"</formula>
    </cfRule>
  </conditionalFormatting>
  <conditionalFormatting sqref="E139:L1001 E45:Z138 I44:Z44">
    <cfRule type="cellIs" dxfId="16" priority="209" operator="equal">
      <formula>"UL-Lafayette"</formula>
    </cfRule>
  </conditionalFormatting>
  <conditionalFormatting sqref="E139:L1001 E45:Z138 I44:Z44">
    <cfRule type="cellIs" dxfId="79" priority="210" operator="equal">
      <formula>"Louisiana Tech"</formula>
    </cfRule>
  </conditionalFormatting>
  <conditionalFormatting sqref="E139:L1001 E45:Z138 I44:Z44">
    <cfRule type="cellIs" dxfId="77" priority="211" operator="equal">
      <formula>"LSU"</formula>
    </cfRule>
  </conditionalFormatting>
  <conditionalFormatting sqref="E139:L1001 E45:Z138 I44:Z44">
    <cfRule type="cellIs" dxfId="81" priority="212" operator="equal">
      <formula>"Kentucky"</formula>
    </cfRule>
  </conditionalFormatting>
  <conditionalFormatting sqref="E139:L1001 E45:Z138 I44:Z44">
    <cfRule type="cellIs" dxfId="82" priority="213" operator="equal">
      <formula>"Kent State"</formula>
    </cfRule>
  </conditionalFormatting>
  <conditionalFormatting sqref="E139:L1001 E45:Z138 I44:Z44">
    <cfRule type="cellIs" dxfId="83" priority="214" operator="equal">
      <formula>"Kansas State"</formula>
    </cfRule>
  </conditionalFormatting>
  <conditionalFormatting sqref="E139:L1001 E45:Z138 I44:Z44">
    <cfRule type="cellIs" dxfId="85" priority="215" operator="equal">
      <formula>"Iowa State"</formula>
    </cfRule>
  </conditionalFormatting>
  <conditionalFormatting sqref="E139:L1001 E45:Z138 I44:Z44">
    <cfRule type="cellIs" dxfId="86" priority="216" operator="equal">
      <formula>"Iowa"</formula>
    </cfRule>
  </conditionalFormatting>
  <conditionalFormatting sqref="E139:L1001 E45:Z138 I44:Z44">
    <cfRule type="cellIs" dxfId="150" priority="217" operator="equal">
      <formula>"Indiana"</formula>
    </cfRule>
  </conditionalFormatting>
  <conditionalFormatting sqref="E139:L1001 E45:Z138 I44:Z44">
    <cfRule type="cellIs" dxfId="88" priority="218" operator="equal">
      <formula>"Illinois"</formula>
    </cfRule>
  </conditionalFormatting>
  <conditionalFormatting sqref="E139:L1001 E45:Z138 I44:Z44">
    <cfRule type="cellIs" dxfId="151" priority="219" operator="equal">
      <formula>"Idaho"</formula>
    </cfRule>
  </conditionalFormatting>
  <conditionalFormatting sqref="E139:L1001 E45:Z138 I44:Z44">
    <cfRule type="cellIs" dxfId="152" priority="220" operator="equal">
      <formula>"Houston"</formula>
    </cfRule>
  </conditionalFormatting>
  <conditionalFormatting sqref="E139:L1001 E45:Z138 I44:Z44">
    <cfRule type="cellIs" dxfId="153" priority="221" operator="equal">
      <formula>"Eastern Michigan"</formula>
    </cfRule>
  </conditionalFormatting>
  <conditionalFormatting sqref="E139:L1001 E45:Z138 I44:Z44">
    <cfRule type="cellIs" dxfId="70" priority="222" operator="equal">
      <formula>"Michigan"</formula>
    </cfRule>
  </conditionalFormatting>
  <conditionalFormatting sqref="E139:L1001 E45:Z138 I44:Z44">
    <cfRule type="cellIs" dxfId="154" priority="223" operator="equal">
      <formula>"Hawaii"</formula>
    </cfRule>
  </conditionalFormatting>
  <conditionalFormatting sqref="E139:L1001 E45:Z138 I44:Z44">
    <cfRule type="cellIs" dxfId="92" priority="224" operator="equal">
      <formula>"Georgia Tech"</formula>
    </cfRule>
  </conditionalFormatting>
  <conditionalFormatting sqref="E139:L1001 E45:Z138 I44:Z44">
    <cfRule type="cellIs" dxfId="164" priority="225" operator="equal">
      <formula>"Arkansas"</formula>
    </cfRule>
  </conditionalFormatting>
  <conditionalFormatting sqref="E139:L1001 E45:Z138 I44:Z44">
    <cfRule type="cellIs" dxfId="155" priority="226" operator="equal">
      <formula>"Georgia State"</formula>
    </cfRule>
  </conditionalFormatting>
  <conditionalFormatting sqref="E139:L1001 E45:Z138 I44:Z44">
    <cfRule type="cellIs" dxfId="94" priority="227" operator="equal">
      <formula>"Georgia Southern"</formula>
    </cfRule>
  </conditionalFormatting>
  <conditionalFormatting sqref="E139:L1001 E45:Z138 I44:Z44">
    <cfRule type="cellIs" dxfId="95" priority="228" operator="equal">
      <formula>"Georgia"</formula>
    </cfRule>
  </conditionalFormatting>
  <conditionalFormatting sqref="E139:L1001 E45:Z138 I44:Z44">
    <cfRule type="cellIs" dxfId="97" priority="229" operator="equal">
      <formula>"Florida State"</formula>
    </cfRule>
  </conditionalFormatting>
  <conditionalFormatting sqref="E139:L1001 E45:Z138 I44:Z44">
    <cfRule type="cellIs" dxfId="98" priority="230" operator="equal">
      <formula>"Florida International"</formula>
    </cfRule>
  </conditionalFormatting>
  <conditionalFormatting sqref="E139:L1001 E45:Z138 I44:Z44">
    <cfRule type="cellIs" dxfId="99" priority="231" operator="equal">
      <formula>"Florida Atlantic"</formula>
    </cfRule>
  </conditionalFormatting>
  <conditionalFormatting sqref="E139:L1001 E45:Z138 I44:Z44">
    <cfRule type="cellIs" dxfId="100" priority="232" operator="equal">
      <formula>"Florida"</formula>
    </cfRule>
  </conditionalFormatting>
  <conditionalFormatting sqref="E139:L1001 E45:Z138 I44:Z44">
    <cfRule type="cellIs" dxfId="102" priority="233" operator="equal">
      <formula>"East Carolina"</formula>
    </cfRule>
  </conditionalFormatting>
  <conditionalFormatting sqref="E139:L1001 E45:Z138 I44:Z44">
    <cfRule type="cellIs" dxfId="158" priority="234" operator="equal">
      <formula>"Duke"</formula>
    </cfRule>
  </conditionalFormatting>
  <conditionalFormatting sqref="E139:L1001 E45:Z138 I44:Z44">
    <cfRule type="cellIs" dxfId="104" priority="235" operator="equal">
      <formula>"Connecticut"</formula>
    </cfRule>
  </conditionalFormatting>
  <conditionalFormatting sqref="E139:L1001 E45:Z138 I44:Z44">
    <cfRule type="cellIs" dxfId="159" priority="236" operator="equal">
      <formula>"Colorado State"</formula>
    </cfRule>
  </conditionalFormatting>
  <conditionalFormatting sqref="E139:L1001 E45:Z138 I44:Z44">
    <cfRule type="cellIs" dxfId="106" priority="237" operator="equal">
      <formula>"Colorado"</formula>
    </cfRule>
  </conditionalFormatting>
  <conditionalFormatting sqref="E139:L1001 E45:Z138 I44:Z44">
    <cfRule type="cellIs" dxfId="160" priority="238" operator="equal">
      <formula>"Coastal Carolina"</formula>
    </cfRule>
  </conditionalFormatting>
  <conditionalFormatting sqref="E139:L1001 E45:Z138 I44:Z44">
    <cfRule type="cellIs" dxfId="108" priority="239" operator="equal">
      <formula>"Clemson"</formula>
    </cfRule>
  </conditionalFormatting>
  <conditionalFormatting sqref="E139:L1001 E45:Z138 I44:Z44">
    <cfRule type="cellIs" dxfId="109" priority="240" operator="equal">
      <formula>"Cincinnati"</formula>
    </cfRule>
  </conditionalFormatting>
  <conditionalFormatting sqref="E139:L1001 E45:Z138 I44:Z44">
    <cfRule type="cellIs" dxfId="156" priority="241" operator="equal">
      <formula>"Central Florida"</formula>
    </cfRule>
  </conditionalFormatting>
  <conditionalFormatting sqref="E139:L1001 E45:Z138 I44:Z44">
    <cfRule type="cellIs" dxfId="17" priority="242" operator="equal">
      <formula>"UCLA"</formula>
    </cfRule>
  </conditionalFormatting>
  <conditionalFormatting sqref="E139:L1001 E45:Z138 I44:Z44">
    <cfRule type="cellIs" dxfId="96" priority="243" operator="equal">
      <formula>"Fresno State"</formula>
    </cfRule>
  </conditionalFormatting>
  <conditionalFormatting sqref="E139:L1001 E45:Z138 I44:Z44">
    <cfRule type="cellIs" dxfId="113" priority="244" operator="equal">
      <formula>"California"</formula>
    </cfRule>
  </conditionalFormatting>
  <conditionalFormatting sqref="E139:L1001 E45:Z138 I44:Z44">
    <cfRule type="cellIs" dxfId="161" priority="245" operator="equal">
      <formula>"BYU"</formula>
    </cfRule>
  </conditionalFormatting>
  <conditionalFormatting sqref="E139:L1001 E45:Z138 I44:Z44">
    <cfRule type="cellIs" dxfId="162" priority="246" operator="equal">
      <formula>"Buffalo"</formula>
    </cfRule>
  </conditionalFormatting>
  <conditionalFormatting sqref="E139:L1001 E45:Z138 I44:Z44">
    <cfRule type="cellIs" dxfId="116" priority="247" operator="equal">
      <formula>"Bowling Green"</formula>
    </cfRule>
  </conditionalFormatting>
  <conditionalFormatting sqref="E139:L1001 E45:Z138 I44:Z44">
    <cfRule type="cellIs" dxfId="117" priority="248" operator="equal">
      <formula>"Boston College"</formula>
    </cfRule>
  </conditionalFormatting>
  <conditionalFormatting sqref="E139:L1001 E45:Z138 I44:Z44">
    <cfRule type="cellIs" dxfId="118" priority="249" operator="equal">
      <formula>"Boise State"</formula>
    </cfRule>
  </conditionalFormatting>
  <conditionalFormatting sqref="E139:L1001 E45:Z138 I44:Z44">
    <cfRule type="cellIs" dxfId="119" priority="250" operator="equal">
      <formula>"Baylor"</formula>
    </cfRule>
  </conditionalFormatting>
  <conditionalFormatting sqref="E139:L1001 E45:Z138 I44:Z44">
    <cfRule type="cellIs" dxfId="120" priority="251" operator="equal">
      <formula>"Ball State"</formula>
    </cfRule>
  </conditionalFormatting>
  <conditionalFormatting sqref="E139:L1001 E45:Z138 I44:Z44">
    <cfRule type="cellIs" dxfId="121" priority="252" operator="equal">
      <formula>"Auburn"</formula>
    </cfRule>
  </conditionalFormatting>
  <conditionalFormatting sqref="E139:L1001 E45:Z138 I44:Z44">
    <cfRule type="cellIs" dxfId="163" priority="253" operator="equal">
      <formula>"Army"</formula>
    </cfRule>
  </conditionalFormatting>
  <conditionalFormatting sqref="E139:L1001 E45:Z138 I44:Z44">
    <cfRule type="cellIs" dxfId="157" priority="254" operator="equal">
      <formula>"Arkansas State"</formula>
    </cfRule>
  </conditionalFormatting>
  <conditionalFormatting sqref="E139:L1001 E45:Z138 I44:Z44">
    <cfRule type="cellIs" dxfId="125" priority="255" operator="equal">
      <formula>"Arizona State"</formula>
    </cfRule>
  </conditionalFormatting>
  <conditionalFormatting sqref="E139:L1001 E45:Z138 I44:Z44">
    <cfRule type="cellIs" dxfId="126" priority="256" operator="equal">
      <formula>"Arizona"</formula>
    </cfRule>
  </conditionalFormatting>
  <conditionalFormatting sqref="E139:L1001 E45:Z138 I44:Z44">
    <cfRule type="cellIs" dxfId="165" priority="257" operator="equal">
      <formula>"Appalachian State"</formula>
    </cfRule>
  </conditionalFormatting>
  <conditionalFormatting sqref="E139:L1001 E45:Z138 I44:Z44">
    <cfRule type="cellIs" dxfId="128" priority="258" operator="equal">
      <formula>"Alabama"</formula>
    </cfRule>
  </conditionalFormatting>
  <conditionalFormatting sqref="E139:L1001 E45:Z138 I44:Z44">
    <cfRule type="cellIs" dxfId="129" priority="259" operator="equal">
      <formula>"Akron"</formula>
    </cfRule>
  </conditionalFormatting>
  <conditionalFormatting sqref="E139:L1001 E45:Z138 I44:Z44">
    <cfRule type="cellIs" dxfId="130" priority="260" operator="equal">
      <formula>"Air Force"</formula>
    </cfRule>
  </conditionalFormatting>
  <conditionalFormatting sqref="I44:I1001">
    <cfRule type="cellIs" dxfId="166" priority="261" operator="equal">
      <formula>1</formula>
    </cfRule>
  </conditionalFormatting>
  <conditionalFormatting sqref="A1:A1001 D1:Z1001 B2:C130 B132:C1002">
    <cfRule type="cellIs" dxfId="84" priority="262" operator="equal">
      <formula>"Kansas"</formula>
    </cfRule>
  </conditionalFormatting>
  <conditionalFormatting sqref="C2:C130">
    <cfRule type="colorScale" priority="263">
      <colorScale>
        <cfvo type="min"/>
        <cfvo type="percentile" val="50"/>
        <cfvo type="max"/>
        <color rgb="FFC00000"/>
        <color rgb="FFFFEB84"/>
        <color rgb="FF92D050"/>
      </colorScale>
    </cfRule>
  </conditionalFormatting>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29"/>
    <col customWidth="1" min="2" max="2" width="5.86"/>
    <col customWidth="1" min="3" max="3" width="17.29"/>
    <col customWidth="1" min="4" max="4" width="5.86"/>
    <col customWidth="1" min="5" max="5" width="17.29"/>
    <col customWidth="1" min="6" max="6" width="5.86"/>
    <col customWidth="1" min="7" max="7" width="17.29"/>
    <col customWidth="1" min="8" max="8" width="7.29"/>
    <col customWidth="1" min="9" max="9" width="17.29"/>
    <col customWidth="1" min="10" max="10" width="7.29"/>
    <col customWidth="1" min="11" max="11" width="17.29"/>
    <col customWidth="1" min="12" max="12" width="7.29"/>
    <col customWidth="1" min="13" max="13" width="17.29"/>
    <col customWidth="1" min="14" max="14" width="5.86"/>
    <col customWidth="1" min="15" max="15" width="17.29"/>
    <col customWidth="1" min="16" max="16" width="5.86"/>
    <col customWidth="1" min="17" max="17" width="17.29"/>
    <col customWidth="1" min="18" max="18" width="5.86"/>
    <col customWidth="1" min="19" max="19" width="17.29"/>
    <col customWidth="1" min="20" max="20" width="5.86"/>
    <col customWidth="1" min="21" max="21" width="17.29"/>
    <col customWidth="1" min="22" max="22" width="7.29"/>
    <col customWidth="1" min="33" max="33" width="17.29"/>
  </cols>
  <sheetData>
    <row r="1">
      <c r="A1" s="3" t="s">
        <v>44</v>
      </c>
      <c r="B1" s="3" t="s">
        <v>41</v>
      </c>
      <c r="C1" s="3" t="s">
        <v>120</v>
      </c>
      <c r="D1" s="3" t="s">
        <v>41</v>
      </c>
      <c r="E1" s="3" t="s">
        <v>239</v>
      </c>
      <c r="F1" s="3" t="s">
        <v>41</v>
      </c>
      <c r="G1" s="3" t="s">
        <v>240</v>
      </c>
      <c r="H1" s="3" t="s">
        <v>41</v>
      </c>
      <c r="I1" s="3" t="s">
        <v>84</v>
      </c>
      <c r="J1" s="3" t="s">
        <v>41</v>
      </c>
      <c r="K1" s="3" t="s">
        <v>49</v>
      </c>
      <c r="L1" s="3" t="s">
        <v>41</v>
      </c>
      <c r="M1" s="3" t="s">
        <v>121</v>
      </c>
      <c r="N1" s="3" t="s">
        <v>41</v>
      </c>
      <c r="O1" s="3" t="s">
        <v>241</v>
      </c>
      <c r="P1" s="3" t="s">
        <v>41</v>
      </c>
      <c r="Q1" s="3" t="s">
        <v>198</v>
      </c>
      <c r="R1" s="3" t="s">
        <v>41</v>
      </c>
      <c r="S1" s="3" t="s">
        <v>242</v>
      </c>
      <c r="T1" s="3" t="s">
        <v>41</v>
      </c>
      <c r="U1" s="3" t="s">
        <v>243</v>
      </c>
      <c r="V1" s="3" t="s">
        <v>41</v>
      </c>
      <c r="W1" s="3" t="s">
        <v>44</v>
      </c>
      <c r="X1" s="3" t="s">
        <v>41</v>
      </c>
      <c r="Y1" s="3" t="s">
        <v>120</v>
      </c>
      <c r="Z1" s="3" t="s">
        <v>41</v>
      </c>
      <c r="AA1" s="3" t="s">
        <v>239</v>
      </c>
      <c r="AB1" s="3" t="s">
        <v>41</v>
      </c>
      <c r="AC1" s="3" t="s">
        <v>240</v>
      </c>
      <c r="AD1" s="3" t="s">
        <v>41</v>
      </c>
      <c r="AE1" s="3" t="s">
        <v>84</v>
      </c>
      <c r="AF1" s="3" t="s">
        <v>41</v>
      </c>
      <c r="AG1" s="3" t="s">
        <v>49</v>
      </c>
      <c r="AH1" s="3" t="s">
        <v>41</v>
      </c>
      <c r="AI1" s="3" t="s">
        <v>121</v>
      </c>
      <c r="AJ1" s="3" t="s">
        <v>41</v>
      </c>
      <c r="AK1" s="3" t="s">
        <v>241</v>
      </c>
      <c r="AL1" s="3" t="s">
        <v>41</v>
      </c>
      <c r="AM1" s="3" t="s">
        <v>198</v>
      </c>
      <c r="AN1" s="3" t="s">
        <v>41</v>
      </c>
      <c r="AO1" s="3" t="s">
        <v>242</v>
      </c>
      <c r="AP1" s="3" t="s">
        <v>41</v>
      </c>
      <c r="AQ1" s="3" t="s">
        <v>243</v>
      </c>
      <c r="AR1" s="3" t="s">
        <v>41</v>
      </c>
      <c r="AS1" s="20"/>
      <c r="AT1" s="20"/>
      <c r="AU1" s="20"/>
      <c r="AV1" s="20"/>
      <c r="AW1" s="20"/>
      <c r="AX1" s="20"/>
    </row>
    <row r="2">
      <c r="E2" s="3"/>
      <c r="F2" s="3"/>
      <c r="K2" s="3" t="s">
        <v>184</v>
      </c>
      <c r="L2" s="3">
        <f>IFERROR(VLOOKUP(K2,CurrentRank!$B$2:$C$132,2,FALSE),0)</f>
        <v>28.91</v>
      </c>
      <c r="S2" s="3" t="s">
        <v>98</v>
      </c>
      <c r="T2" s="3">
        <f>IFERROR(VLOOKUP(S2,CurrentRank!$B$2:$C$132,2,FALSE),0)</f>
        <v>37.44</v>
      </c>
      <c r="U2" s="3" t="s">
        <v>88</v>
      </c>
      <c r="V2" s="3">
        <f>IFERROR(VLOOKUP(U2,CurrentRank!$B$2:$C$132,2,FALSE),0)</f>
        <v>33.11</v>
      </c>
      <c r="W2" s="3" t="s">
        <v>47</v>
      </c>
      <c r="X2" s="3">
        <f>IFERROR(VLOOKUP(W2,CurrentRank!$B$2:$C$132,2,FALSE),0)</f>
        <v>41.86</v>
      </c>
      <c r="Y2" s="3" t="s">
        <v>101</v>
      </c>
      <c r="Z2" s="3">
        <f>IFERROR(VLOOKUP(Y2,CurrentRank!$B$2:$C$132,2,FALSE),0)</f>
        <v>36.62</v>
      </c>
      <c r="AA2" s="3" t="s">
        <v>104</v>
      </c>
      <c r="AB2" s="3">
        <f>IFERROR(VLOOKUP(AA2,CurrentRank!$B$2:$C$132,2,FALSE),0)</f>
        <v>31.08</v>
      </c>
      <c r="AC2" s="3" t="s">
        <v>137</v>
      </c>
      <c r="AD2" s="3">
        <f>IFERROR(VLOOKUP(AC2,CurrentRank!$B$2:$C$132,2,FALSE),0)</f>
        <v>31.52</v>
      </c>
      <c r="AE2" s="3" t="s">
        <v>140</v>
      </c>
      <c r="AF2" s="3">
        <f>IFERROR(VLOOKUP(AE2,CurrentRank!$B$2:$C$132,2,FALSE),0)</f>
        <v>22.5</v>
      </c>
      <c r="AG2" s="3" t="s">
        <v>184</v>
      </c>
      <c r="AH2" s="3">
        <f>IFERROR(VLOOKUP(AG2,CurrentRank!$B$2:$C$132,2,FALSE),0)</f>
        <v>28.91</v>
      </c>
      <c r="AI2" s="3" t="s">
        <v>107</v>
      </c>
      <c r="AJ2" s="3">
        <f>IFERROR(VLOOKUP(AI2,CurrentRank!$B$2:$C$132,2,FALSE),0)</f>
        <v>35.54</v>
      </c>
      <c r="AK2" s="3" t="s">
        <v>168</v>
      </c>
      <c r="AL2" s="3">
        <f>IFERROR(VLOOKUP(AK2,CurrentRank!$B$2:$C$132,2,FALSE),0)</f>
        <v>27.16</v>
      </c>
      <c r="AM2" s="3" t="s">
        <v>48</v>
      </c>
      <c r="AN2" s="3">
        <f>IFERROR(VLOOKUP(AM2,CurrentRank!$B$2:$C$132,2,FALSE),0)</f>
        <v>68.03</v>
      </c>
      <c r="AO2" s="3" t="s">
        <v>98</v>
      </c>
      <c r="AP2" s="3">
        <f>IFERROR(VLOOKUP(AO2,CurrentRank!$B$2:$C$132,2,FALSE),0)</f>
        <v>37.44</v>
      </c>
      <c r="AQ2" s="3" t="s">
        <v>88</v>
      </c>
      <c r="AR2" s="3">
        <f>IFERROR(VLOOKUP(AQ2,CurrentRank!$B$2:$C$132,2,FALSE),0)</f>
        <v>33.11</v>
      </c>
      <c r="AS2" s="20"/>
      <c r="AT2" s="20"/>
      <c r="AU2" s="20"/>
      <c r="AV2" s="20"/>
      <c r="AW2" s="20"/>
      <c r="AX2" s="20"/>
    </row>
    <row r="3">
      <c r="E3" s="3"/>
      <c r="F3" s="3"/>
      <c r="I3" s="3" t="s">
        <v>124</v>
      </c>
      <c r="J3" s="3">
        <f>IFERROR(VLOOKUP(I3,CurrentRank!$B$2:$C$132,2,FALSE),0)</f>
        <v>33.33</v>
      </c>
      <c r="K3" s="3" t="s">
        <v>134</v>
      </c>
      <c r="L3" s="3">
        <f>IFERROR(VLOOKUP(K3,CurrentRank!$B$2:$C$132,2,FALSE),0)</f>
        <v>60.69</v>
      </c>
      <c r="M3" s="3" t="s">
        <v>176</v>
      </c>
      <c r="N3" s="3">
        <f>IFERROR(VLOOKUP(M3,CurrentRank!$B$2:$C$132,2,FALSE),0)</f>
        <v>38.02</v>
      </c>
      <c r="S3" s="3" t="s">
        <v>115</v>
      </c>
      <c r="T3" s="3">
        <f>IFERROR(VLOOKUP(S3,CurrentRank!$B$2:$C$132,2,FALSE),0)</f>
        <v>32.29</v>
      </c>
      <c r="W3" s="3" t="s">
        <v>69</v>
      </c>
      <c r="X3" s="3">
        <f>IFERROR(VLOOKUP(W3,CurrentRank!$B$2:$C$132,2,FALSE),0)</f>
        <v>72.9</v>
      </c>
      <c r="Y3" s="3" t="s">
        <v>18</v>
      </c>
      <c r="Z3" s="3">
        <f>IFERROR(VLOOKUP(Y3,CurrentRank!$B$2:$C$132,2,FALSE),0)</f>
        <v>84.24</v>
      </c>
      <c r="AA3" s="3" t="s">
        <v>92</v>
      </c>
      <c r="AB3" s="3">
        <f>IFERROR(VLOOKUP(AA3,CurrentRank!$B$2:$C$132,2,FALSE),0)</f>
        <v>73.64</v>
      </c>
      <c r="AC3" s="3" t="s">
        <v>174</v>
      </c>
      <c r="AD3" s="3">
        <f>IFERROR(VLOOKUP(AC3,CurrentRank!$B$2:$C$132,2,FALSE),0)</f>
        <v>69.98</v>
      </c>
      <c r="AE3" s="3" t="s">
        <v>124</v>
      </c>
      <c r="AF3" s="3">
        <f>IFERROR(VLOOKUP(AE3,CurrentRank!$B$2:$C$132,2,FALSE),0)</f>
        <v>33.33</v>
      </c>
      <c r="AG3" s="3" t="s">
        <v>134</v>
      </c>
      <c r="AH3" s="3">
        <f>IFERROR(VLOOKUP(AG3,CurrentRank!$B$2:$C$132,2,FALSE),0)</f>
        <v>60.69</v>
      </c>
      <c r="AI3" s="3" t="s">
        <v>176</v>
      </c>
      <c r="AJ3" s="3">
        <f>IFERROR(VLOOKUP(AI3,CurrentRank!$B$2:$C$132,2,FALSE),0)</f>
        <v>38.02</v>
      </c>
      <c r="AK3" s="3" t="s">
        <v>194</v>
      </c>
      <c r="AL3" s="3">
        <f>IFERROR(VLOOKUP(AK3,CurrentRank!$B$2:$C$132,2,FALSE),0)</f>
        <v>44.06</v>
      </c>
      <c r="AM3" s="3" t="s">
        <v>33</v>
      </c>
      <c r="AN3" s="3">
        <f>IFERROR(VLOOKUP(AM3,CurrentRank!$B$2:$C$132,2,FALSE),0)</f>
        <v>79.21</v>
      </c>
      <c r="AO3" s="3" t="s">
        <v>115</v>
      </c>
      <c r="AP3" s="3">
        <f>IFERROR(VLOOKUP(AO3,CurrentRank!$B$2:$C$132,2,FALSE),0)</f>
        <v>32.29</v>
      </c>
      <c r="AQ3" s="3" t="s">
        <v>73</v>
      </c>
      <c r="AR3" s="3">
        <f>IFERROR(VLOOKUP(AQ3,CurrentRank!$B$2:$C$132,2,FALSE),0)</f>
        <v>69.33</v>
      </c>
      <c r="AS3" s="20"/>
      <c r="AT3" s="20"/>
      <c r="AU3" s="20"/>
      <c r="AV3" s="20"/>
      <c r="AW3" s="20"/>
      <c r="AX3" s="20"/>
    </row>
    <row r="4">
      <c r="E4" s="3"/>
      <c r="F4" s="3"/>
      <c r="I4" s="3" t="s">
        <v>141</v>
      </c>
      <c r="J4" s="3">
        <f>IFERROR(VLOOKUP(I4,CurrentRank!$B$2:$C$132,2,FALSE),0)</f>
        <v>30.89</v>
      </c>
      <c r="K4" s="3" t="s">
        <v>177</v>
      </c>
      <c r="L4" s="3">
        <f>IFERROR(VLOOKUP(K4,CurrentRank!$B$2:$C$132,2,FALSE),0)</f>
        <v>29.15</v>
      </c>
      <c r="M4" s="3" t="s">
        <v>144</v>
      </c>
      <c r="N4" s="3">
        <f>IFERROR(VLOOKUP(M4,CurrentRank!$B$2:$C$132,2,FALSE),0)</f>
        <v>35.51</v>
      </c>
      <c r="U4" s="3" t="s">
        <v>106</v>
      </c>
      <c r="V4" s="3">
        <f>IFERROR(VLOOKUP(U4,CurrentRank!$B$2:$C$132,2,FALSE),0)</f>
        <v>65.58</v>
      </c>
      <c r="W4" s="3" t="s">
        <v>148</v>
      </c>
      <c r="X4" s="3">
        <f>IFERROR(VLOOKUP(W4,CurrentRank!$B$2:$C$132,2,FALSE),0)</f>
        <v>32.94</v>
      </c>
      <c r="Y4" s="3" t="s">
        <v>187</v>
      </c>
      <c r="Z4" s="3">
        <f>IFERROR(VLOOKUP(Y4,CurrentRank!$B$2:$C$132,2,FALSE),0)</f>
        <v>28.66</v>
      </c>
      <c r="AA4" s="3" t="s">
        <v>192</v>
      </c>
      <c r="AB4" s="3">
        <f>IFERROR(VLOOKUP(AA4,CurrentRank!$B$2:$C$132,2,FALSE),0)</f>
        <v>21.55</v>
      </c>
      <c r="AC4" s="3" t="s">
        <v>97</v>
      </c>
      <c r="AD4" s="3">
        <f>IFERROR(VLOOKUP(AC4,CurrentRank!$B$2:$C$132,2,FALSE),0)</f>
        <v>71.81</v>
      </c>
      <c r="AE4" s="3" t="s">
        <v>141</v>
      </c>
      <c r="AF4" s="3">
        <f>IFERROR(VLOOKUP(AE4,CurrentRank!$B$2:$C$132,2,FALSE),0)</f>
        <v>30.89</v>
      </c>
      <c r="AG4" s="3" t="s">
        <v>177</v>
      </c>
      <c r="AH4" s="3">
        <f>IFERROR(VLOOKUP(AG4,CurrentRank!$B$2:$C$132,2,FALSE),0)</f>
        <v>29.15</v>
      </c>
      <c r="AI4" s="3" t="s">
        <v>144</v>
      </c>
      <c r="AJ4" s="3">
        <f>IFERROR(VLOOKUP(AI4,CurrentRank!$B$2:$C$132,2,FALSE),0)</f>
        <v>35.51</v>
      </c>
      <c r="AK4" s="3" t="s">
        <v>171</v>
      </c>
      <c r="AL4" s="3">
        <f>IFERROR(VLOOKUP(AK4,CurrentRank!$B$2:$C$132,2,FALSE),0)</f>
        <v>36.35</v>
      </c>
      <c r="AM4" s="3" t="s">
        <v>99</v>
      </c>
      <c r="AN4" s="3">
        <f>IFERROR(VLOOKUP(AM4,CurrentRank!$B$2:$C$132,2,FALSE),0)</f>
        <v>36.94</v>
      </c>
      <c r="AO4" s="3" t="s">
        <v>100</v>
      </c>
      <c r="AP4" s="3">
        <f>IFERROR(VLOOKUP(AO4,CurrentRank!$B$2:$C$132,2,FALSE),0)</f>
        <v>69.98</v>
      </c>
      <c r="AQ4" s="3" t="s">
        <v>106</v>
      </c>
      <c r="AR4" s="3">
        <f>IFERROR(VLOOKUP(AQ4,CurrentRank!$B$2:$C$132,2,FALSE),0)</f>
        <v>65.58</v>
      </c>
      <c r="AS4" s="20"/>
      <c r="AT4" s="20"/>
      <c r="AU4" s="20"/>
      <c r="AV4" s="20"/>
      <c r="AW4" s="20"/>
      <c r="AX4" s="20"/>
    </row>
    <row r="5">
      <c r="A5" s="3"/>
      <c r="B5" s="3"/>
      <c r="E5" s="3"/>
      <c r="F5" s="3"/>
      <c r="I5" s="3" t="s">
        <v>110</v>
      </c>
      <c r="J5" s="3">
        <f>IFERROR(VLOOKUP(I5,CurrentRank!$B$2:$C$132,2,FALSE),0)</f>
        <v>20.47</v>
      </c>
      <c r="K5" s="3" t="s">
        <v>162</v>
      </c>
      <c r="L5" s="3">
        <f>IFERROR(VLOOKUP(K5,CurrentRank!$B$2:$C$132,2,FALSE),0)</f>
        <v>51.75</v>
      </c>
      <c r="S5" s="3" t="s">
        <v>131</v>
      </c>
      <c r="T5" s="3">
        <f>IFERROR(VLOOKUP(S5,CurrentRank!$B$2:$C$132,2,FALSE),0)</f>
        <v>33.34</v>
      </c>
      <c r="U5" s="3" t="s">
        <v>188</v>
      </c>
      <c r="V5" s="3">
        <f>IFERROR(VLOOKUP(U5,CurrentRank!$B$2:$C$132,2,FALSE),0)</f>
        <v>30.77</v>
      </c>
      <c r="W5" s="3" t="s">
        <v>196</v>
      </c>
      <c r="X5" s="3">
        <f>IFERROR(VLOOKUP(W5,CurrentRank!$B$2:$C$132,2,FALSE),0)</f>
        <v>33.03</v>
      </c>
      <c r="Y5" s="3" t="s">
        <v>147</v>
      </c>
      <c r="Z5" s="3">
        <f>IFERROR(VLOOKUP(Y5,CurrentRank!$B$2:$C$132,2,FALSE),0)</f>
        <v>32.08</v>
      </c>
      <c r="AA5" s="3" t="s">
        <v>116</v>
      </c>
      <c r="AB5" s="3">
        <f>IFERROR(VLOOKUP(AA5,CurrentRank!$B$2:$C$132,2,FALSE),0)</f>
        <v>31.6</v>
      </c>
      <c r="AC5" s="3" t="s">
        <v>150</v>
      </c>
      <c r="AD5" s="3">
        <f>IFERROR(VLOOKUP(AC5,CurrentRank!$B$2:$C$132,2,FALSE),0)</f>
        <v>33.72</v>
      </c>
      <c r="AE5" s="3" t="s">
        <v>110</v>
      </c>
      <c r="AF5" s="3">
        <f>IFERROR(VLOOKUP(AE5,CurrentRank!$B$2:$C$132,2,FALSE),0)</f>
        <v>20.47</v>
      </c>
      <c r="AG5" s="3" t="s">
        <v>162</v>
      </c>
      <c r="AH5" s="3">
        <f>IFERROR(VLOOKUP(AG5,CurrentRank!$B$2:$C$132,2,FALSE),0)</f>
        <v>51.75</v>
      </c>
      <c r="AI5" s="3" t="s">
        <v>133</v>
      </c>
      <c r="AJ5" s="3">
        <f>IFERROR(VLOOKUP(AI5,CurrentRank!$B$2:$C$132,2,FALSE),0)</f>
        <v>34.63</v>
      </c>
      <c r="AK5" s="3" t="s">
        <v>125</v>
      </c>
      <c r="AL5" s="3">
        <f>IFERROR(VLOOKUP(AK5,CurrentRank!$B$2:$C$132,2,FALSE),0)</f>
        <v>41.14</v>
      </c>
      <c r="AM5" s="3" t="s">
        <v>149</v>
      </c>
      <c r="AN5" s="3">
        <f>IFERROR(VLOOKUP(AM5,CurrentRank!$B$2:$C$132,2,FALSE),0)</f>
        <v>36.59</v>
      </c>
      <c r="AO5" s="3" t="s">
        <v>131</v>
      </c>
      <c r="AP5" s="3">
        <f>IFERROR(VLOOKUP(AO5,CurrentRank!$B$2:$C$132,2,FALSE),0)</f>
        <v>33.34</v>
      </c>
      <c r="AQ5" s="3" t="s">
        <v>188</v>
      </c>
      <c r="AR5" s="3">
        <f>IFERROR(VLOOKUP(AQ5,CurrentRank!$B$2:$C$132,2,FALSE),0)</f>
        <v>30.77</v>
      </c>
      <c r="AS5" s="20"/>
      <c r="AT5" s="20"/>
      <c r="AU5" s="20"/>
      <c r="AV5" s="20"/>
      <c r="AW5" s="20"/>
      <c r="AX5" s="20"/>
    </row>
    <row r="6">
      <c r="E6" s="3"/>
      <c r="F6" s="3"/>
      <c r="I6" s="3" t="s">
        <v>95</v>
      </c>
      <c r="J6" s="3">
        <f>IFERROR(VLOOKUP(I6,CurrentRank!$B$2:$C$132,2,FALSE),0)</f>
        <v>33.45</v>
      </c>
      <c r="K6" s="3" t="s">
        <v>157</v>
      </c>
      <c r="L6" s="3">
        <f>IFERROR(VLOOKUP(K6,CurrentRank!$B$2:$C$132,2,FALSE),0)</f>
        <v>33.69</v>
      </c>
      <c r="M6" s="3" t="s">
        <v>164</v>
      </c>
      <c r="N6" s="3">
        <f>IFERROR(VLOOKUP(M6,CurrentRank!$B$2:$C$132,2,FALSE),0)</f>
        <v>37.5</v>
      </c>
      <c r="S6" s="3" t="s">
        <v>136</v>
      </c>
      <c r="T6" s="3">
        <f>IFERROR(VLOOKUP(S6,CurrentRank!$B$2:$C$132,2,FALSE),0)</f>
        <v>35.33</v>
      </c>
      <c r="W6" s="3" t="s">
        <v>60</v>
      </c>
      <c r="X6" s="3">
        <f>IFERROR(VLOOKUP(W6,CurrentRank!$B$2:$C$132,2,FALSE),0)</f>
        <v>35.34</v>
      </c>
      <c r="Y6" s="3" t="s">
        <v>108</v>
      </c>
      <c r="Z6" s="3">
        <f>IFERROR(VLOOKUP(Y6,CurrentRank!$B$2:$C$132,2,FALSE),0)</f>
        <v>30.15</v>
      </c>
      <c r="AA6" s="3" t="s">
        <v>51</v>
      </c>
      <c r="AB6" s="3">
        <f>IFERROR(VLOOKUP(AA6,CurrentRank!$B$2:$C$132,2,FALSE),0)</f>
        <v>81.57</v>
      </c>
      <c r="AC6" s="3" t="s">
        <v>87</v>
      </c>
      <c r="AD6" s="3">
        <f>IFERROR(VLOOKUP(AC6,CurrentRank!$B$2:$C$132,2,FALSE),0)</f>
        <v>31.54</v>
      </c>
      <c r="AE6" s="3" t="s">
        <v>95</v>
      </c>
      <c r="AF6" s="3">
        <f>IFERROR(VLOOKUP(AE6,CurrentRank!$B$2:$C$132,2,FALSE),0)</f>
        <v>33.45</v>
      </c>
      <c r="AG6" s="3" t="s">
        <v>157</v>
      </c>
      <c r="AH6" s="3">
        <f>IFERROR(VLOOKUP(AG6,CurrentRank!$B$2:$C$132,2,FALSE),0)</f>
        <v>33.69</v>
      </c>
      <c r="AI6" s="3" t="s">
        <v>164</v>
      </c>
      <c r="AJ6" s="3">
        <f>IFERROR(VLOOKUP(AI6,CurrentRank!$B$2:$C$132,2,FALSE),0)</f>
        <v>37.5</v>
      </c>
      <c r="AK6" s="3" t="s">
        <v>180</v>
      </c>
      <c r="AL6" s="3">
        <f>IFERROR(VLOOKUP(AK6,CurrentRank!$B$2:$C$132,2,FALSE),0)</f>
        <v>35.77</v>
      </c>
      <c r="AM6" s="3" t="s">
        <v>161</v>
      </c>
      <c r="AN6" s="3">
        <f>IFERROR(VLOOKUP(AM6,CurrentRank!$B$2:$C$132,2,FALSE),0)</f>
        <v>31.11</v>
      </c>
      <c r="AO6" s="3" t="s">
        <v>136</v>
      </c>
      <c r="AP6" s="3">
        <f>IFERROR(VLOOKUP(AO6,CurrentRank!$B$2:$C$132,2,FALSE),0)</f>
        <v>35.33</v>
      </c>
      <c r="AQ6" s="3" t="s">
        <v>28</v>
      </c>
      <c r="AR6" s="3">
        <f>IFERROR(VLOOKUP(AQ6,CurrentRank!$B$2:$C$132,2,FALSE),0)</f>
        <v>78.79</v>
      </c>
      <c r="AS6" s="20"/>
      <c r="AT6" s="20"/>
      <c r="AU6" s="20"/>
      <c r="AV6" s="20"/>
      <c r="AW6" s="20"/>
      <c r="AX6" s="20"/>
    </row>
    <row r="7">
      <c r="A7" s="3"/>
      <c r="B7" s="3"/>
      <c r="E7" s="3"/>
      <c r="F7" s="3"/>
      <c r="I7" s="3" t="s">
        <v>200</v>
      </c>
      <c r="J7" s="3">
        <f>IFERROR(VLOOKUP(I7,CurrentRank!$B$2:$C$132,2,FALSE),0)</f>
        <v>32.76</v>
      </c>
      <c r="K7" s="3" t="s">
        <v>169</v>
      </c>
      <c r="L7" s="3">
        <f>IFERROR(VLOOKUP(K7,CurrentRank!$B$2:$C$132,2,FALSE),0)</f>
        <v>34.3</v>
      </c>
      <c r="M7" s="8" t="s">
        <v>167</v>
      </c>
      <c r="N7" s="3">
        <f>IFERROR(VLOOKUP(M7,CurrentRank!$B$2:$C$132,2,FALSE),0)</f>
        <v>29.87</v>
      </c>
      <c r="S7" s="3" t="s">
        <v>58</v>
      </c>
      <c r="T7" s="3">
        <f>IFERROR(VLOOKUP(S7,CurrentRank!$B$2:$C$132,2,FALSE),0)</f>
        <v>72.87</v>
      </c>
      <c r="U7" s="3" t="s">
        <v>155</v>
      </c>
      <c r="V7" s="3">
        <f>IFERROR(VLOOKUP(U7,CurrentRank!$B$2:$C$132,2,FALSE),0)</f>
        <v>30.77</v>
      </c>
      <c r="W7" s="3" t="s">
        <v>123</v>
      </c>
      <c r="X7" s="3">
        <f>IFERROR(VLOOKUP(W7,CurrentRank!$B$2:$C$132,2,FALSE),0)</f>
        <v>13.91</v>
      </c>
      <c r="Y7" s="3" t="s">
        <v>94</v>
      </c>
      <c r="Z7" s="3">
        <f>IFERROR(VLOOKUP(Y7,CurrentRank!$B$2:$C$132,2,FALSE),0)</f>
        <v>36.87</v>
      </c>
      <c r="AA7" s="3" t="s">
        <v>55</v>
      </c>
      <c r="AB7" s="3">
        <f>IFERROR(VLOOKUP(AA7,CurrentRank!$B$2:$C$132,2,FALSE),0)</f>
        <v>59.34</v>
      </c>
      <c r="AC7" s="3" t="s">
        <v>145</v>
      </c>
      <c r="AD7" s="3">
        <f>IFERROR(VLOOKUP(AC7,CurrentRank!$B$2:$C$132,2,FALSE),0)</f>
        <v>29.42</v>
      </c>
      <c r="AE7" s="3" t="s">
        <v>200</v>
      </c>
      <c r="AF7" s="3">
        <f>IFERROR(VLOOKUP(AE7,CurrentRank!$B$2:$C$132,2,FALSE),0)</f>
        <v>32.76</v>
      </c>
      <c r="AG7" s="3" t="s">
        <v>169</v>
      </c>
      <c r="AH7" s="3">
        <f>IFERROR(VLOOKUP(AG7,CurrentRank!$B$2:$C$132,2,FALSE),0)</f>
        <v>34.3</v>
      </c>
      <c r="AI7" s="8" t="s">
        <v>167</v>
      </c>
      <c r="AJ7" s="3">
        <f>IFERROR(VLOOKUP(AI7,CurrentRank!$B$2:$C$132,2,FALSE),0)</f>
        <v>29.87</v>
      </c>
      <c r="AK7" s="3" t="s">
        <v>62</v>
      </c>
      <c r="AL7" s="3">
        <f>IFERROR(VLOOKUP(AK7,CurrentRank!$B$2:$C$132,2,FALSE),0)</f>
        <v>37.34</v>
      </c>
      <c r="AM7" s="3" t="s">
        <v>65</v>
      </c>
      <c r="AN7" s="3">
        <f>IFERROR(VLOOKUP(AM7,CurrentRank!$B$2:$C$132,2,FALSE),0)</f>
        <v>34.09</v>
      </c>
      <c r="AO7" s="3" t="s">
        <v>58</v>
      </c>
      <c r="AP7" s="3">
        <f>IFERROR(VLOOKUP(AO7,CurrentRank!$B$2:$C$132,2,FALSE),0)</f>
        <v>72.87</v>
      </c>
      <c r="AQ7" s="3" t="s">
        <v>155</v>
      </c>
      <c r="AR7" s="3">
        <f>IFERROR(VLOOKUP(AQ7,CurrentRank!$B$2:$C$132,2,FALSE),0)</f>
        <v>30.77</v>
      </c>
      <c r="AS7" s="20"/>
      <c r="AT7" s="20"/>
      <c r="AU7" s="20"/>
      <c r="AV7" s="20"/>
      <c r="AW7" s="20"/>
      <c r="AX7" s="20"/>
    </row>
    <row r="8">
      <c r="E8" s="3"/>
      <c r="F8" s="3"/>
      <c r="I8" s="3" t="s">
        <v>114</v>
      </c>
      <c r="J8" s="3">
        <f>IFERROR(VLOOKUP(I8,CurrentRank!$B$2:$C$132,2,FALSE),0)</f>
        <v>29.9</v>
      </c>
      <c r="K8" s="3" t="s">
        <v>191</v>
      </c>
      <c r="L8" s="3">
        <f>IFERROR(VLOOKUP(K8,CurrentRank!$B$2:$C$132,2,FALSE),0)</f>
        <v>34.71</v>
      </c>
      <c r="S8" s="3" t="s">
        <v>122</v>
      </c>
      <c r="T8" s="3">
        <f>IFERROR(VLOOKUP(S8,CurrentRank!$B$2:$C$132,2,FALSE),0)</f>
        <v>25.95</v>
      </c>
      <c r="U8" s="3" t="s">
        <v>146</v>
      </c>
      <c r="V8" s="3">
        <f>IFERROR(VLOOKUP(U8,CurrentRank!$B$2:$C$132,2,FALSE),0)</f>
        <v>29.48</v>
      </c>
      <c r="W8" s="3" t="s">
        <v>86</v>
      </c>
      <c r="X8" s="3">
        <f>IFERROR(VLOOKUP(W8,CurrentRank!$B$2:$C$132,2,FALSE),0)</f>
        <v>33.56</v>
      </c>
      <c r="Y8" s="3" t="s">
        <v>40</v>
      </c>
      <c r="Z8" s="3">
        <f>IFERROR(VLOOKUP(Y8,CurrentRank!$B$2:$C$132,2,FALSE),0)</f>
        <v>57.15</v>
      </c>
      <c r="AA8" s="3" t="s">
        <v>113</v>
      </c>
      <c r="AB8" s="3">
        <f>IFERROR(VLOOKUP(AA8,CurrentRank!$B$2:$C$132,2,FALSE),0)</f>
        <v>41.9</v>
      </c>
      <c r="AC8" s="3" t="s">
        <v>91</v>
      </c>
      <c r="AD8" s="3">
        <f>IFERROR(VLOOKUP(AC8,CurrentRank!$B$2:$C$132,2,FALSE),0)</f>
        <v>35.39</v>
      </c>
      <c r="AE8" s="3" t="s">
        <v>114</v>
      </c>
      <c r="AF8" s="3">
        <f>IFERROR(VLOOKUP(AE8,CurrentRank!$B$2:$C$132,2,FALSE),0)</f>
        <v>29.9</v>
      </c>
      <c r="AG8" s="3" t="s">
        <v>191</v>
      </c>
      <c r="AH8" s="3">
        <f>IFERROR(VLOOKUP(AG8,CurrentRank!$B$2:$C$132,2,FALSE),0)</f>
        <v>34.71</v>
      </c>
      <c r="AI8" s="3" t="s">
        <v>185</v>
      </c>
      <c r="AJ8" s="3">
        <f>IFERROR(VLOOKUP(AI8,CurrentRank!$B$2:$C$132,2,FALSE),0)</f>
        <v>33.22</v>
      </c>
      <c r="AK8" s="3" t="s">
        <v>160</v>
      </c>
      <c r="AL8" s="3">
        <f>IFERROR(VLOOKUP(AK8,CurrentRank!$B$2:$C$132,2,FALSE),0)</f>
        <v>34.87</v>
      </c>
      <c r="AM8" s="3" t="s">
        <v>181</v>
      </c>
      <c r="AN8" s="3">
        <f>IFERROR(VLOOKUP(AM8,CurrentRank!$B$2:$C$132,2,FALSE),0)</f>
        <v>25.47</v>
      </c>
      <c r="AO8" s="3" t="s">
        <v>122</v>
      </c>
      <c r="AP8" s="3">
        <f>IFERROR(VLOOKUP(AO8,CurrentRank!$B$2:$C$132,2,FALSE),0)</f>
        <v>25.95</v>
      </c>
      <c r="AQ8" s="3" t="s">
        <v>146</v>
      </c>
      <c r="AR8" s="3">
        <f>IFERROR(VLOOKUP(AQ8,CurrentRank!$B$2:$C$132,2,FALSE),0)</f>
        <v>29.48</v>
      </c>
      <c r="AS8" s="20"/>
      <c r="AT8" s="20"/>
      <c r="AU8" s="20"/>
      <c r="AV8" s="20"/>
      <c r="AW8" s="20"/>
      <c r="AX8" s="20"/>
    </row>
    <row r="9">
      <c r="E9" s="3"/>
      <c r="F9" s="3"/>
      <c r="I9" s="3" t="s">
        <v>154</v>
      </c>
      <c r="J9" s="3">
        <f>IFERROR(VLOOKUP(I9,CurrentRank!$B$2:$C$132,2,FALSE),0)</f>
        <v>30.77</v>
      </c>
      <c r="K9" s="3" t="s">
        <v>179</v>
      </c>
      <c r="L9" s="3">
        <f>IFERROR(VLOOKUP(K9,CurrentRank!$B$2:$C$132,2,FALSE),0)</f>
        <v>37.85</v>
      </c>
      <c r="S9" s="3" t="s">
        <v>102</v>
      </c>
      <c r="T9" s="3">
        <f>IFERROR(VLOOKUP(S9,CurrentRank!$B$2:$C$132,2,FALSE),0)</f>
        <v>31.07</v>
      </c>
      <c r="U9" s="20"/>
      <c r="V9" s="3"/>
      <c r="W9" s="3" t="s">
        <v>178</v>
      </c>
      <c r="X9" s="3">
        <f>IFERROR(VLOOKUP(W9,CurrentRank!$B$2:$C$132,2,FALSE),0)</f>
        <v>30.84</v>
      </c>
      <c r="Y9" s="3" t="s">
        <v>38</v>
      </c>
      <c r="Z9" s="3">
        <f>IFERROR(VLOOKUP(Y9,CurrentRank!$B$2:$C$132,2,FALSE),0)</f>
        <v>63.1</v>
      </c>
      <c r="AA9" s="3" t="s">
        <v>46</v>
      </c>
      <c r="AB9" s="3">
        <f>IFERROR(VLOOKUP(AA9,CurrentRank!$B$2:$C$132,2,FALSE),0)</f>
        <v>62.29</v>
      </c>
      <c r="AC9" s="3" t="s">
        <v>153</v>
      </c>
      <c r="AD9" s="3">
        <f>IFERROR(VLOOKUP(AC9,CurrentRank!$B$2:$C$132,2,FALSE),0)</f>
        <v>35.51</v>
      </c>
      <c r="AE9" s="3" t="s">
        <v>154</v>
      </c>
      <c r="AF9" s="3">
        <f>IFERROR(VLOOKUP(AE9,CurrentRank!$B$2:$C$132,2,FALSE),0)</f>
        <v>30.77</v>
      </c>
      <c r="AG9" s="3" t="s">
        <v>179</v>
      </c>
      <c r="AH9" s="3">
        <f>IFERROR(VLOOKUP(AG9,CurrentRank!$B$2:$C$132,2,FALSE),0)</f>
        <v>37.85</v>
      </c>
      <c r="AI9" s="3" t="s">
        <v>173</v>
      </c>
      <c r="AJ9" s="3">
        <f>IFERROR(VLOOKUP(AI9,CurrentRank!$B$2:$C$132,2,FALSE),0)</f>
        <v>34.13</v>
      </c>
      <c r="AK9" s="3" t="s">
        <v>90</v>
      </c>
      <c r="AL9" s="3">
        <f>IFERROR(VLOOKUP(AK9,CurrentRank!$B$2:$C$132,2,FALSE),0)</f>
        <v>62.48</v>
      </c>
      <c r="AM9" s="3" t="s">
        <v>23</v>
      </c>
      <c r="AN9" s="3">
        <f>IFERROR(VLOOKUP(AM9,CurrentRank!$B$2:$C$132,2,FALSE),0)</f>
        <v>96.59</v>
      </c>
      <c r="AO9" s="3" t="s">
        <v>102</v>
      </c>
      <c r="AP9" s="3">
        <f>IFERROR(VLOOKUP(AO9,CurrentRank!$B$2:$C$132,2,FALSE),0)</f>
        <v>31.07</v>
      </c>
      <c r="AQ9" s="20"/>
      <c r="AR9" s="3"/>
      <c r="AS9" s="20"/>
      <c r="AT9" s="20"/>
      <c r="AU9" s="20"/>
      <c r="AV9" s="20"/>
      <c r="AW9" s="20"/>
      <c r="AX9" s="20"/>
    </row>
    <row r="10">
      <c r="E10" s="3"/>
      <c r="F10" s="3"/>
      <c r="I10" s="3" t="s">
        <v>172</v>
      </c>
      <c r="J10" s="3">
        <f>IFERROR(VLOOKUP(I10,CurrentRank!$B$2:$C$132,2,FALSE),0)</f>
        <v>33.49</v>
      </c>
      <c r="K10" s="3" t="s">
        <v>143</v>
      </c>
      <c r="L10" s="3">
        <f>IFERROR(VLOOKUP(K10,CurrentRank!$B$2:$C$132,2,FALSE),0)</f>
        <v>30.67</v>
      </c>
      <c r="M10" s="3" t="s">
        <v>182</v>
      </c>
      <c r="N10" s="3">
        <f>IFERROR(VLOOKUP(M10,CurrentRank!$B$2:$C$132,2,FALSE),0)</f>
        <v>51.02</v>
      </c>
      <c r="S10" s="3" t="s">
        <v>139</v>
      </c>
      <c r="T10" s="3">
        <f>IFERROR(VLOOKUP(S10,CurrentRank!$B$2:$C$132,2,FALSE),0)</f>
        <v>28.86</v>
      </c>
      <c r="U10" s="20"/>
      <c r="V10" s="3"/>
      <c r="W10" s="3" t="s">
        <v>103</v>
      </c>
      <c r="X10" s="3">
        <f>IFERROR(VLOOKUP(W10,CurrentRank!$B$2:$C$132,2,FALSE),0)</f>
        <v>34.42</v>
      </c>
      <c r="Y10" s="3" t="s">
        <v>109</v>
      </c>
      <c r="Z10" s="3">
        <f>IFERROR(VLOOKUP(Y10,CurrentRank!$B$2:$C$132,2,FALSE),0)</f>
        <v>37.82</v>
      </c>
      <c r="AA10" s="3" t="s">
        <v>127</v>
      </c>
      <c r="AB10" s="3">
        <f>IFERROR(VLOOKUP(AA10,CurrentRank!$B$2:$C$132,2,FALSE),0)</f>
        <v>35.27</v>
      </c>
      <c r="AC10" s="3" t="s">
        <v>189</v>
      </c>
      <c r="AD10" s="3">
        <f>IFERROR(VLOOKUP(AC10,CurrentRank!$B$2:$C$132,2,FALSE),0)</f>
        <v>72.23</v>
      </c>
      <c r="AE10" s="3" t="s">
        <v>172</v>
      </c>
      <c r="AF10" s="3">
        <f>IFERROR(VLOOKUP(AE10,CurrentRank!$B$2:$C$132,2,FALSE),0)</f>
        <v>33.49</v>
      </c>
      <c r="AG10" s="3" t="s">
        <v>143</v>
      </c>
      <c r="AH10" s="3">
        <f>IFERROR(VLOOKUP(AG10,CurrentRank!$B$2:$C$132,2,FALSE),0)</f>
        <v>30.67</v>
      </c>
      <c r="AI10" s="3" t="s">
        <v>182</v>
      </c>
      <c r="AJ10" s="3">
        <f>IFERROR(VLOOKUP(AI10,CurrentRank!$B$2:$C$132,2,FALSE),0)</f>
        <v>51.02</v>
      </c>
      <c r="AK10" s="3" t="s">
        <v>190</v>
      </c>
      <c r="AL10" s="3">
        <f>IFERROR(VLOOKUP(AK10,CurrentRank!$B$2:$C$132,2,FALSE),0)</f>
        <v>42.24</v>
      </c>
      <c r="AM10" s="3" t="s">
        <v>118</v>
      </c>
      <c r="AN10" s="3">
        <f>IFERROR(VLOOKUP(AM10,CurrentRank!$B$2:$C$132,2,FALSE),0)</f>
        <v>35.17</v>
      </c>
      <c r="AO10" s="3" t="s">
        <v>139</v>
      </c>
      <c r="AP10" s="3">
        <f>IFERROR(VLOOKUP(AO10,CurrentRank!$B$2:$C$132,2,FALSE),0)</f>
        <v>28.86</v>
      </c>
      <c r="AQ10" s="20"/>
      <c r="AR10" s="3"/>
      <c r="AS10" s="20"/>
      <c r="AT10" s="20"/>
      <c r="AU10" s="20"/>
      <c r="AV10" s="20"/>
      <c r="AW10" s="20"/>
      <c r="AX10" s="20"/>
    </row>
    <row r="11">
      <c r="E11" s="3"/>
      <c r="F11" s="3"/>
      <c r="I11" s="3" t="s">
        <v>170</v>
      </c>
      <c r="J11" s="3">
        <f>IFERROR(VLOOKUP(I11,CurrentRank!$B$2:$C$132,2,FALSE),0)</f>
        <v>28.08</v>
      </c>
      <c r="K11" s="3" t="s">
        <v>142</v>
      </c>
      <c r="L11" s="3">
        <f>IFERROR(VLOOKUP(K11,CurrentRank!$B$2:$C$132,2,FALSE),0)</f>
        <v>35.28</v>
      </c>
      <c r="S11" s="3" t="s">
        <v>111</v>
      </c>
      <c r="T11" s="3">
        <f>IFERROR(VLOOKUP(S11,CurrentRank!$B$2:$C$132,2,FALSE),0)</f>
        <v>29.75</v>
      </c>
      <c r="U11" s="20"/>
      <c r="V11" s="3"/>
      <c r="W11" s="3" t="s">
        <v>132</v>
      </c>
      <c r="X11" s="3">
        <f>IFERROR(VLOOKUP(W11,CurrentRank!$B$2:$C$132,2,FALSE),0)</f>
        <v>37.38</v>
      </c>
      <c r="Y11" s="3" t="s">
        <v>89</v>
      </c>
      <c r="Z11" s="3">
        <f>IFERROR(VLOOKUP(Y11,CurrentRank!$B$2:$C$132,2,FALSE),0)</f>
        <v>35.74</v>
      </c>
      <c r="AA11" s="3" t="s">
        <v>117</v>
      </c>
      <c r="AB11" s="3">
        <f>IFERROR(VLOOKUP(AA11,CurrentRank!$B$2:$C$132,2,FALSE),0)</f>
        <v>38.08</v>
      </c>
      <c r="AC11" s="3" t="s">
        <v>26</v>
      </c>
      <c r="AD11" s="3">
        <f>IFERROR(VLOOKUP(AC11,CurrentRank!$B$2:$C$132,2,FALSE),0)</f>
        <v>87.05</v>
      </c>
      <c r="AE11" s="3" t="s">
        <v>170</v>
      </c>
      <c r="AF11" s="3">
        <f>IFERROR(VLOOKUP(AE11,CurrentRank!$B$2:$C$132,2,FALSE),0)</f>
        <v>28.08</v>
      </c>
      <c r="AG11" s="3" t="s">
        <v>142</v>
      </c>
      <c r="AH11" s="3">
        <f>IFERROR(VLOOKUP(AG11,CurrentRank!$B$2:$C$132,2,FALSE),0)</f>
        <v>35.28</v>
      </c>
      <c r="AI11" s="3" t="s">
        <v>156</v>
      </c>
      <c r="AJ11" s="3">
        <f>IFERROR(VLOOKUP(AI11,CurrentRank!$B$2:$C$132,2,FALSE),0)</f>
        <v>32.81</v>
      </c>
      <c r="AK11" s="3" t="s">
        <v>96</v>
      </c>
      <c r="AL11" s="3">
        <f>IFERROR(VLOOKUP(AK11,CurrentRank!$B$2:$C$132,2,FALSE),0)</f>
        <v>43.66</v>
      </c>
      <c r="AM11" s="3" t="s">
        <v>64</v>
      </c>
      <c r="AN11" s="3">
        <f>IFERROR(VLOOKUP(AM11,CurrentRank!$B$2:$C$132,2,FALSE),0)</f>
        <v>39.11</v>
      </c>
      <c r="AO11" s="3" t="s">
        <v>111</v>
      </c>
      <c r="AP11" s="3">
        <f>IFERROR(VLOOKUP(AO11,CurrentRank!$B$2:$C$132,2,FALSE),0)</f>
        <v>29.75</v>
      </c>
      <c r="AQ11" s="20"/>
      <c r="AR11" s="3"/>
      <c r="AS11" s="20"/>
      <c r="AT11" s="20"/>
      <c r="AU11" s="20"/>
      <c r="AV11" s="20"/>
      <c r="AW11" s="20"/>
      <c r="AX11" s="20"/>
    </row>
    <row r="12">
      <c r="A12" s="3"/>
      <c r="B12" s="3"/>
      <c r="E12" s="20"/>
      <c r="F12" s="3"/>
      <c r="I12" s="3" t="s">
        <v>105</v>
      </c>
      <c r="J12" s="3">
        <f>IFERROR(VLOOKUP(I12,CurrentRank!$B$2:$C$132,2,FALSE),0)</f>
        <v>32.43</v>
      </c>
      <c r="K12" s="3" t="s">
        <v>126</v>
      </c>
      <c r="L12" s="3">
        <f>IFERROR(VLOOKUP(K12,CurrentRank!$B$2:$C$132,2,FALSE),0)</f>
        <v>36.79</v>
      </c>
      <c r="M12" s="3" t="s">
        <v>175</v>
      </c>
      <c r="N12" s="3">
        <f>IFERROR(VLOOKUP(M12,CurrentRank!$B$2:$C$132,2,FALSE),0)</f>
        <v>31.85</v>
      </c>
      <c r="S12" s="20"/>
      <c r="T12" s="3"/>
      <c r="U12" s="20"/>
      <c r="V12" s="20"/>
      <c r="W12" s="3"/>
      <c r="X12" s="3"/>
      <c r="Y12" s="3" t="s">
        <v>128</v>
      </c>
      <c r="Z12" s="3">
        <f>IFERROR(VLOOKUP(Y12,CurrentRank!$B$2:$C$132,2,FALSE),0)</f>
        <v>26.74</v>
      </c>
      <c r="AA12" s="20"/>
      <c r="AB12" s="3"/>
      <c r="AC12" s="3" t="s">
        <v>57</v>
      </c>
      <c r="AD12" s="3">
        <f>IFERROR(VLOOKUP(AC12,CurrentRank!$B$2:$C$132,2,FALSE),0)</f>
        <v>40.05</v>
      </c>
      <c r="AE12" s="3" t="s">
        <v>105</v>
      </c>
      <c r="AF12" s="3">
        <f>IFERROR(VLOOKUP(AE12,CurrentRank!$B$2:$C$132,2,FALSE),0)</f>
        <v>32.43</v>
      </c>
      <c r="AG12" s="3" t="s">
        <v>126</v>
      </c>
      <c r="AH12" s="3">
        <f>IFERROR(VLOOKUP(AG12,CurrentRank!$B$2:$C$132,2,FALSE),0)</f>
        <v>36.79</v>
      </c>
      <c r="AI12" s="3" t="s">
        <v>175</v>
      </c>
      <c r="AJ12" s="3">
        <f>IFERROR(VLOOKUP(AI12,CurrentRank!$B$2:$C$132,2,FALSE),0)</f>
        <v>31.85</v>
      </c>
      <c r="AK12" s="3" t="s">
        <v>138</v>
      </c>
      <c r="AL12" s="3">
        <f>IFERROR(VLOOKUP(AK12,CurrentRank!$B$2:$C$132,2,FALSE),0)</f>
        <v>40.47</v>
      </c>
      <c r="AM12" s="3" t="s">
        <v>53</v>
      </c>
      <c r="AN12" s="3">
        <f>IFERROR(VLOOKUP(AM12,CurrentRank!$B$2:$C$132,2,FALSE),0)</f>
        <v>37.27</v>
      </c>
      <c r="AO12" s="20"/>
      <c r="AP12" s="3"/>
      <c r="AQ12" s="20"/>
      <c r="AR12" s="20"/>
      <c r="AS12" s="20"/>
      <c r="AT12" s="20"/>
      <c r="AU12" s="20"/>
      <c r="AV12" s="20"/>
      <c r="AW12" s="20"/>
      <c r="AX12" s="20"/>
    </row>
    <row r="13">
      <c r="A13" s="20"/>
      <c r="B13" s="20"/>
      <c r="E13" s="20"/>
      <c r="F13" s="3"/>
      <c r="I13" s="3" t="s">
        <v>119</v>
      </c>
      <c r="J13" s="3">
        <f>IFERROR(VLOOKUP(I13,CurrentRank!$B$2:$C$132,2,FALSE),0)</f>
        <v>31.96</v>
      </c>
      <c r="K13" s="3" t="s">
        <v>151</v>
      </c>
      <c r="L13" s="3">
        <f>IFERROR(VLOOKUP(K13,CurrentRank!$B$2:$C$132,2,FALSE),0)</f>
        <v>34.83</v>
      </c>
      <c r="M13" s="3" t="s">
        <v>186</v>
      </c>
      <c r="N13" s="3">
        <f>IFERROR(VLOOKUP(M13,CurrentRank!$B$2:$C$132,2,FALSE),0)</f>
        <v>33.49</v>
      </c>
      <c r="S13" s="20"/>
      <c r="T13" s="3"/>
      <c r="U13" s="20"/>
      <c r="V13" s="20"/>
      <c r="W13" s="20"/>
      <c r="X13" s="20"/>
      <c r="Y13" s="3" t="s">
        <v>112</v>
      </c>
      <c r="Z13" s="3">
        <f>IFERROR(VLOOKUP(Y13,CurrentRank!$B$2:$C$132,2,FALSE),0)</f>
        <v>36.98</v>
      </c>
      <c r="AA13" s="20"/>
      <c r="AB13" s="3"/>
      <c r="AC13" s="3" t="s">
        <v>152</v>
      </c>
      <c r="AD13" s="3">
        <f>IFERROR(VLOOKUP(AC13,CurrentRank!$B$2:$C$132,2,FALSE),0)</f>
        <v>32.23</v>
      </c>
      <c r="AE13" s="3" t="s">
        <v>119</v>
      </c>
      <c r="AF13" s="3">
        <f>IFERROR(VLOOKUP(AE13,CurrentRank!$B$2:$C$132,2,FALSE),0)</f>
        <v>31.96</v>
      </c>
      <c r="AG13" s="3" t="s">
        <v>151</v>
      </c>
      <c r="AH13" s="3">
        <f>IFERROR(VLOOKUP(AG13,CurrentRank!$B$2:$C$132,2,FALSE),0)</f>
        <v>34.83</v>
      </c>
      <c r="AI13" s="3" t="s">
        <v>186</v>
      </c>
      <c r="AJ13" s="3">
        <f>IFERROR(VLOOKUP(AI13,CurrentRank!$B$2:$C$132,2,FALSE),0)</f>
        <v>33.49</v>
      </c>
      <c r="AK13" s="3" t="s">
        <v>158</v>
      </c>
      <c r="AL13" s="3">
        <f>IFERROR(VLOOKUP(AK13,CurrentRank!$B$2:$C$132,2,FALSE),0)</f>
        <v>34.21</v>
      </c>
      <c r="AM13" s="3" t="s">
        <v>129</v>
      </c>
      <c r="AN13" s="3">
        <f>IFERROR(VLOOKUP(AM13,CurrentRank!$B$2:$C$132,2,FALSE),0)</f>
        <v>39.96</v>
      </c>
      <c r="AO13" s="20"/>
      <c r="AP13" s="3"/>
      <c r="AQ13" s="20"/>
      <c r="AR13" s="20"/>
      <c r="AS13" s="20"/>
      <c r="AT13" s="20"/>
      <c r="AU13" s="20"/>
      <c r="AV13" s="20"/>
      <c r="AW13" s="20"/>
      <c r="AX13" s="20"/>
    </row>
    <row r="14">
      <c r="A14" s="20"/>
      <c r="B14" s="20"/>
      <c r="E14" s="20"/>
      <c r="F14" s="3"/>
      <c r="I14" s="3" t="s">
        <v>43</v>
      </c>
      <c r="J14" s="3">
        <f>IFERROR(VLOOKUP(I14,CurrentRank!$B$2:$C$132,2,FALSE),0)</f>
        <v>11.84</v>
      </c>
      <c r="K14" s="20"/>
      <c r="L14" s="3"/>
      <c r="M14" s="20"/>
      <c r="N14" s="3"/>
      <c r="O14" s="20"/>
      <c r="P14" s="3"/>
      <c r="S14" s="20"/>
      <c r="T14" s="3"/>
      <c r="U14" s="20"/>
      <c r="V14" s="20"/>
      <c r="W14" s="20"/>
      <c r="X14" s="20"/>
      <c r="Y14" s="3" t="s">
        <v>82</v>
      </c>
      <c r="Z14" s="3">
        <f>IFERROR(VLOOKUP(Y14,CurrentRank!$B$2:$C$132,2,FALSE),0)</f>
        <v>36.12</v>
      </c>
      <c r="AA14" s="20"/>
      <c r="AB14" s="3"/>
      <c r="AC14" s="3" t="s">
        <v>166</v>
      </c>
      <c r="AD14" s="3">
        <f>IFERROR(VLOOKUP(AC14,CurrentRank!$B$2:$C$132,2,FALSE),0)</f>
        <v>31.48</v>
      </c>
      <c r="AE14" s="3" t="s">
        <v>43</v>
      </c>
      <c r="AF14" s="3">
        <f>IFERROR(VLOOKUP(AE14,CurrentRank!$B$2:$C$132,2,FALSE),0)</f>
        <v>11.84</v>
      </c>
      <c r="AG14" s="20"/>
      <c r="AH14" s="3"/>
      <c r="AI14" s="20"/>
      <c r="AJ14" s="3"/>
      <c r="AK14" s="20"/>
      <c r="AL14" s="3"/>
      <c r="AM14" s="3" t="s">
        <v>81</v>
      </c>
      <c r="AN14" s="3">
        <f>IFERROR(VLOOKUP(AM14,CurrentRank!$B$2:$C$132,2,FALSE),0)</f>
        <v>33.91</v>
      </c>
      <c r="AO14" s="20"/>
      <c r="AP14" s="3"/>
      <c r="AQ14" s="20"/>
      <c r="AR14" s="20"/>
      <c r="AS14" s="20"/>
      <c r="AT14" s="20"/>
      <c r="AU14" s="20"/>
      <c r="AV14" s="20"/>
      <c r="AW14" s="20"/>
      <c r="AX14" s="20"/>
    </row>
    <row r="15">
      <c r="A15" s="20"/>
      <c r="B15" s="20"/>
      <c r="E15" s="20"/>
      <c r="F15" s="3"/>
      <c r="I15" s="3" t="s">
        <v>193</v>
      </c>
      <c r="J15" s="3">
        <f>IFERROR(VLOOKUP(I15,CurrentRank!$B$2:$C$132,2,FALSE),0)</f>
        <v>29.31</v>
      </c>
      <c r="K15" s="20"/>
      <c r="L15" s="3"/>
      <c r="M15" s="20"/>
      <c r="N15" s="3"/>
      <c r="O15" s="20"/>
      <c r="P15" s="3"/>
      <c r="S15" s="20"/>
      <c r="T15" s="3"/>
      <c r="U15" s="20"/>
      <c r="V15" s="20"/>
      <c r="W15" s="20"/>
      <c r="X15" s="20"/>
      <c r="Y15" s="3" t="s">
        <v>93</v>
      </c>
      <c r="Z15" s="3">
        <f>IFERROR(VLOOKUP(Y15,CurrentRank!$B$2:$C$132,2,FALSE),0)</f>
        <v>36.48</v>
      </c>
      <c r="AA15" s="20"/>
      <c r="AB15" s="3"/>
      <c r="AC15" s="3" t="s">
        <v>74</v>
      </c>
      <c r="AD15" s="3">
        <f>IFERROR(VLOOKUP(AC15,CurrentRank!$B$2:$C$132,2,FALSE),0)</f>
        <v>41.11</v>
      </c>
      <c r="AE15" s="3" t="s">
        <v>193</v>
      </c>
      <c r="AF15" s="3">
        <f>IFERROR(VLOOKUP(AE15,CurrentRank!$B$2:$C$132,2,FALSE),0)</f>
        <v>29.31</v>
      </c>
      <c r="AG15" s="20"/>
      <c r="AH15" s="3"/>
      <c r="AI15" s="20"/>
      <c r="AJ15" s="3"/>
      <c r="AK15" s="20"/>
      <c r="AL15" s="3"/>
      <c r="AM15" s="3" t="s">
        <v>79</v>
      </c>
      <c r="AN15" s="3">
        <f>IFERROR(VLOOKUP(AM15,CurrentRank!$B$2:$C$132,2,FALSE),0)</f>
        <v>85.31</v>
      </c>
      <c r="AO15" s="20"/>
      <c r="AP15" s="3"/>
      <c r="AQ15" s="20"/>
      <c r="AR15" s="20"/>
      <c r="AS15" s="20"/>
      <c r="AT15" s="20"/>
      <c r="AU15" s="20"/>
      <c r="AV15" s="20"/>
      <c r="AW15" s="20"/>
      <c r="AX15" s="20"/>
    </row>
    <row r="16">
      <c r="A16" s="3" t="s">
        <v>44</v>
      </c>
      <c r="B16" s="19" t="str">
        <f>AVERAGE(B2:B15)</f>
        <v>#DIV/0!</v>
      </c>
      <c r="C16" s="3" t="s">
        <v>120</v>
      </c>
      <c r="D16" s="19">
        <f>AVERAGE(D17:D30)</f>
        <v>41.33928571</v>
      </c>
      <c r="E16" s="3" t="s">
        <v>239</v>
      </c>
      <c r="F16" s="19" t="str">
        <f>AVERAGE(F2:F15)</f>
        <v>#DIV/0!</v>
      </c>
      <c r="G16" s="3" t="s">
        <v>240</v>
      </c>
      <c r="H16" s="19">
        <f>AVERAGE(H17:H30)</f>
        <v>45.93142857</v>
      </c>
      <c r="I16" s="3" t="s">
        <v>84</v>
      </c>
      <c r="J16" s="19">
        <f>AVERAGE(J2:J15)</f>
        <v>29.12923077</v>
      </c>
      <c r="K16" s="3" t="s">
        <v>49</v>
      </c>
      <c r="L16" s="19">
        <f>AVERAGE(L2:L15)</f>
        <v>37.385</v>
      </c>
      <c r="M16" s="3" t="s">
        <v>121</v>
      </c>
      <c r="N16" s="19">
        <f>AVERAGE(N2:N15)</f>
        <v>36.75142857</v>
      </c>
      <c r="O16" s="3" t="s">
        <v>241</v>
      </c>
      <c r="P16" s="19" t="str">
        <f>AVERAGE(P14:P15)</f>
        <v>#DIV/0!</v>
      </c>
      <c r="Q16" s="3" t="s">
        <v>198</v>
      </c>
      <c r="R16" s="19">
        <f>AVERAGE(R17:R30)</f>
        <v>48.48285714</v>
      </c>
      <c r="S16" s="3" t="s">
        <v>242</v>
      </c>
      <c r="T16" s="19">
        <f>AVERAGE(T2:T15)</f>
        <v>36.32222222</v>
      </c>
      <c r="U16" s="3" t="s">
        <v>243</v>
      </c>
      <c r="V16" s="19">
        <f>AVERAGE(V2:V15)</f>
        <v>37.942</v>
      </c>
      <c r="W16" s="3" t="s">
        <v>44</v>
      </c>
      <c r="X16" s="19">
        <f>AVERAGE(X2:X15)</f>
        <v>36.618</v>
      </c>
      <c r="Y16" s="3" t="s">
        <v>120</v>
      </c>
      <c r="Z16" s="19">
        <f>AVERAGE(Z2:Z15)</f>
        <v>41.33928571</v>
      </c>
      <c r="AA16" s="3" t="s">
        <v>239</v>
      </c>
      <c r="AB16" s="19">
        <f>AVERAGE(AB2:AB15)</f>
        <v>47.632</v>
      </c>
      <c r="AC16" s="3" t="s">
        <v>240</v>
      </c>
      <c r="AD16" s="19">
        <f>AVERAGE(AD2:AD15)</f>
        <v>45.93142857</v>
      </c>
      <c r="AE16" s="3" t="s">
        <v>84</v>
      </c>
      <c r="AF16" s="19">
        <f>AVERAGE(AF2:AF15)</f>
        <v>28.65571429</v>
      </c>
      <c r="AG16" s="3" t="s">
        <v>49</v>
      </c>
      <c r="AH16" s="19">
        <f>AVERAGE(AH2:AH15)</f>
        <v>37.385</v>
      </c>
      <c r="AI16" s="3" t="s">
        <v>121</v>
      </c>
      <c r="AJ16" s="19">
        <f>AVERAGE(AJ2:AJ15)</f>
        <v>35.6325</v>
      </c>
      <c r="AK16" s="3" t="s">
        <v>241</v>
      </c>
      <c r="AL16" s="19">
        <f>AVERAGE(AL2:AL15)</f>
        <v>39.97916667</v>
      </c>
      <c r="AM16" s="3" t="s">
        <v>198</v>
      </c>
      <c r="AN16" s="19">
        <f>AVERAGE(AN2:AN15)</f>
        <v>48.48285714</v>
      </c>
      <c r="AO16" s="3" t="s">
        <v>242</v>
      </c>
      <c r="AP16" s="19">
        <f>AVERAGE(AP2:AP15)</f>
        <v>39.688</v>
      </c>
      <c r="AQ16" s="3" t="s">
        <v>243</v>
      </c>
      <c r="AR16" s="19">
        <f>AVERAGE(AR2:AR15)</f>
        <v>48.26142857</v>
      </c>
      <c r="AS16" s="20"/>
      <c r="AT16" s="20"/>
      <c r="AU16" s="20"/>
      <c r="AV16" s="20"/>
      <c r="AW16" s="20"/>
      <c r="AX16" s="20"/>
    </row>
    <row r="17">
      <c r="A17" s="3" t="s">
        <v>148</v>
      </c>
      <c r="B17" s="3">
        <f>IFERROR(VLOOKUP(A17,CurrentRank!$B$2:$C$132,2,FALSE),0)</f>
        <v>32.94</v>
      </c>
      <c r="C17" s="3" t="s">
        <v>101</v>
      </c>
      <c r="D17" s="3">
        <f>IFERROR(VLOOKUP(C17,CurrentRank!$B$2:$C$132,2,FALSE),0)</f>
        <v>36.62</v>
      </c>
      <c r="E17" s="3" t="s">
        <v>104</v>
      </c>
      <c r="F17" s="3">
        <f>IFERROR(VLOOKUP(E17,CurrentRank!$B$2:$C$132,2,FALSE),0)</f>
        <v>31.08</v>
      </c>
      <c r="G17" s="3" t="s">
        <v>137</v>
      </c>
      <c r="H17" s="3">
        <f>IFERROR(VLOOKUP(G17,CurrentRank!$B$2:$C$132,2,FALSE),0)</f>
        <v>31.52</v>
      </c>
      <c r="I17" s="20"/>
      <c r="J17" s="20"/>
      <c r="K17" s="20"/>
      <c r="L17" s="20"/>
      <c r="M17" s="20"/>
      <c r="N17" s="20"/>
      <c r="O17" s="3" t="s">
        <v>168</v>
      </c>
      <c r="P17" s="3">
        <f>IFERROR(VLOOKUP(O17,CurrentRank!$B$2:$C$132,2,FALSE),0)</f>
        <v>27.16</v>
      </c>
      <c r="Q17" s="3" t="s">
        <v>48</v>
      </c>
      <c r="R17" s="3">
        <f>IFERROR(VLOOKUP(Q17,CurrentRank!$B$2:$C$132,2,FALSE),0)</f>
        <v>68.03</v>
      </c>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c r="A18" s="3" t="s">
        <v>60</v>
      </c>
      <c r="B18" s="3">
        <f>IFERROR(VLOOKUP(A18,CurrentRank!$B$2:$C$132,2,FALSE),0)</f>
        <v>35.34</v>
      </c>
      <c r="C18" s="3" t="s">
        <v>18</v>
      </c>
      <c r="D18" s="3">
        <f>IFERROR(VLOOKUP(C18,CurrentRank!$B$2:$C$132,2,FALSE),0)</f>
        <v>84.24</v>
      </c>
      <c r="E18" s="3" t="s">
        <v>92</v>
      </c>
      <c r="F18" s="3">
        <f>IFERROR(VLOOKUP(E18,CurrentRank!$B$2:$C$132,2,FALSE),0)</f>
        <v>73.64</v>
      </c>
      <c r="G18" s="3" t="s">
        <v>174</v>
      </c>
      <c r="H18" s="3">
        <f>IFERROR(VLOOKUP(G18,CurrentRank!$B$2:$C$132,2,FALSE),0)</f>
        <v>69.98</v>
      </c>
      <c r="I18" s="20"/>
      <c r="J18" s="20"/>
      <c r="K18" s="20"/>
      <c r="L18" s="20"/>
      <c r="M18" s="20"/>
      <c r="N18" s="20"/>
      <c r="O18" s="3" t="s">
        <v>194</v>
      </c>
      <c r="P18" s="3">
        <f>IFERROR(VLOOKUP(O18,CurrentRank!$B$2:$C$132,2,FALSE),0)</f>
        <v>44.06</v>
      </c>
      <c r="Q18" s="3" t="s">
        <v>33</v>
      </c>
      <c r="R18" s="3">
        <f>IFERROR(VLOOKUP(Q18,CurrentRank!$B$2:$C$132,2,FALSE),0)</f>
        <v>79.21</v>
      </c>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c r="A19" s="3" t="s">
        <v>86</v>
      </c>
      <c r="B19" s="3">
        <f>IFERROR(VLOOKUP(A19,CurrentRank!$B$2:$C$132,2,FALSE),0)</f>
        <v>33.56</v>
      </c>
      <c r="C19" s="3" t="s">
        <v>187</v>
      </c>
      <c r="D19" s="3">
        <f>IFERROR(VLOOKUP(C19,CurrentRank!$B$2:$C$132,2,FALSE),0)</f>
        <v>28.66</v>
      </c>
      <c r="E19" s="3" t="s">
        <v>192</v>
      </c>
      <c r="F19" s="3">
        <f>IFERROR(VLOOKUP(E19,CurrentRank!$B$2:$C$132,2,FALSE),0)</f>
        <v>21.55</v>
      </c>
      <c r="G19" s="3" t="s">
        <v>97</v>
      </c>
      <c r="H19" s="3">
        <f>IFERROR(VLOOKUP(G19,CurrentRank!$B$2:$C$132,2,FALSE),0)</f>
        <v>71.81</v>
      </c>
      <c r="I19" s="3"/>
      <c r="J19" s="3"/>
      <c r="K19" s="3"/>
      <c r="L19" s="3"/>
      <c r="M19" s="3"/>
      <c r="N19" s="3"/>
      <c r="O19" s="3" t="s">
        <v>171</v>
      </c>
      <c r="P19" s="3">
        <f>IFERROR(VLOOKUP(O19,CurrentRank!$B$2:$C$132,2,FALSE),0)</f>
        <v>36.35</v>
      </c>
      <c r="Q19" s="3" t="s">
        <v>99</v>
      </c>
      <c r="R19" s="3">
        <f>IFERROR(VLOOKUP(Q19,CurrentRank!$B$2:$C$132,2,FALSE),0)</f>
        <v>36.94</v>
      </c>
      <c r="S19" s="3"/>
      <c r="T19" s="3"/>
      <c r="U19" s="3"/>
      <c r="V19" s="20"/>
      <c r="W19" s="20"/>
      <c r="X19" s="20"/>
      <c r="Y19" s="20"/>
      <c r="Z19" s="20"/>
      <c r="AA19" s="20"/>
      <c r="AB19" s="20"/>
      <c r="AC19" s="20"/>
      <c r="AD19" s="20"/>
      <c r="AE19" s="20"/>
      <c r="AF19" s="20"/>
      <c r="AG19" s="3"/>
      <c r="AH19" s="20"/>
      <c r="AI19" s="20"/>
      <c r="AJ19" s="20"/>
      <c r="AK19" s="20"/>
      <c r="AL19" s="20"/>
      <c r="AM19" s="20"/>
      <c r="AN19" s="20"/>
      <c r="AO19" s="20"/>
      <c r="AP19" s="20"/>
      <c r="AQ19" s="20"/>
      <c r="AR19" s="20"/>
      <c r="AS19" s="20"/>
      <c r="AT19" s="20"/>
      <c r="AU19" s="20"/>
      <c r="AV19" s="20"/>
      <c r="AW19" s="20"/>
      <c r="AX19" s="20"/>
    </row>
    <row r="20">
      <c r="A20" s="3" t="s">
        <v>100</v>
      </c>
      <c r="B20" s="3">
        <f>IFERROR(VLOOKUP(A20,CurrentRank!$B$2:$C$132,2,FALSE),0)</f>
        <v>69.98</v>
      </c>
      <c r="C20" s="3" t="s">
        <v>147</v>
      </c>
      <c r="D20" s="3">
        <f>IFERROR(VLOOKUP(C20,CurrentRank!$B$2:$C$132,2,FALSE),0)</f>
        <v>32.08</v>
      </c>
      <c r="E20" s="3" t="s">
        <v>116</v>
      </c>
      <c r="F20" s="3">
        <f>IFERROR(VLOOKUP(E20,CurrentRank!$B$2:$C$132,2,FALSE),0)</f>
        <v>31.6</v>
      </c>
      <c r="G20" s="3" t="s">
        <v>150</v>
      </c>
      <c r="H20" s="3">
        <f>IFERROR(VLOOKUP(G20,CurrentRank!$B$2:$C$132,2,FALSE),0)</f>
        <v>33.72</v>
      </c>
      <c r="I20" s="3"/>
      <c r="J20" s="3"/>
      <c r="K20" s="3"/>
      <c r="L20" s="3"/>
      <c r="M20" s="3"/>
      <c r="N20" s="3"/>
      <c r="O20" s="3" t="s">
        <v>125</v>
      </c>
      <c r="P20" s="3">
        <f>IFERROR(VLOOKUP(O20,CurrentRank!$B$2:$C$132,2,FALSE),0)</f>
        <v>41.14</v>
      </c>
      <c r="Q20" s="3" t="s">
        <v>149</v>
      </c>
      <c r="R20" s="3">
        <f>IFERROR(VLOOKUP(Q20,CurrentRank!$B$2:$C$132,2,FALSE),0)</f>
        <v>36.59</v>
      </c>
      <c r="S20" s="3"/>
      <c r="T20" s="3"/>
      <c r="U20" s="3"/>
      <c r="V20" s="20"/>
      <c r="W20" s="20"/>
      <c r="X20" s="20"/>
      <c r="Y20" s="20"/>
      <c r="Z20" s="20"/>
      <c r="AA20" s="20"/>
      <c r="AB20" s="20"/>
      <c r="AC20" s="20"/>
      <c r="AD20" s="20"/>
      <c r="AE20" s="20"/>
      <c r="AF20" s="20"/>
      <c r="AG20" s="3"/>
      <c r="AH20" s="20"/>
      <c r="AI20" s="20"/>
      <c r="AJ20" s="20"/>
      <c r="AK20" s="20"/>
      <c r="AL20" s="20"/>
      <c r="AM20" s="20"/>
      <c r="AN20" s="20"/>
      <c r="AO20" s="20"/>
      <c r="AP20" s="20"/>
      <c r="AQ20" s="20"/>
      <c r="AR20" s="20"/>
      <c r="AS20" s="20"/>
      <c r="AT20" s="20"/>
      <c r="AU20" s="20"/>
      <c r="AV20" s="20"/>
      <c r="AW20" s="20"/>
      <c r="AX20" s="20"/>
    </row>
    <row r="21">
      <c r="A21" s="3" t="s">
        <v>140</v>
      </c>
      <c r="B21" s="3">
        <f>IFERROR(VLOOKUP(A21,CurrentRank!$B$2:$C$132,2,FALSE),0)</f>
        <v>22.5</v>
      </c>
      <c r="C21" s="3" t="s">
        <v>108</v>
      </c>
      <c r="D21" s="3">
        <f>IFERROR(VLOOKUP(C21,CurrentRank!$B$2:$C$132,2,FALSE),0)</f>
        <v>30.15</v>
      </c>
      <c r="E21" s="3" t="s">
        <v>51</v>
      </c>
      <c r="F21" s="3">
        <f>IFERROR(VLOOKUP(E21,CurrentRank!$B$2:$C$132,2,FALSE),0)</f>
        <v>81.57</v>
      </c>
      <c r="G21" s="3" t="s">
        <v>87</v>
      </c>
      <c r="H21" s="3">
        <f>IFERROR(VLOOKUP(G21,CurrentRank!$B$2:$C$132,2,FALSE),0)</f>
        <v>31.54</v>
      </c>
      <c r="I21" s="3"/>
      <c r="J21" s="3"/>
      <c r="K21" s="3"/>
      <c r="L21" s="3"/>
      <c r="M21" s="3"/>
      <c r="N21" s="3"/>
      <c r="O21" s="3" t="s">
        <v>180</v>
      </c>
      <c r="P21" s="3">
        <f>IFERROR(VLOOKUP(O21,CurrentRank!$B$2:$C$132,2,FALSE),0)</f>
        <v>35.77</v>
      </c>
      <c r="Q21" s="3" t="s">
        <v>161</v>
      </c>
      <c r="R21" s="3">
        <f>IFERROR(VLOOKUP(Q21,CurrentRank!$B$2:$C$132,2,FALSE),0)</f>
        <v>31.11</v>
      </c>
      <c r="S21" s="3"/>
      <c r="T21" s="3"/>
      <c r="U21" s="3"/>
      <c r="V21" s="20"/>
      <c r="W21" s="20"/>
      <c r="X21" s="20"/>
      <c r="Y21" s="20"/>
      <c r="Z21" s="20"/>
      <c r="AA21" s="20"/>
      <c r="AB21" s="20"/>
      <c r="AC21" s="20"/>
      <c r="AD21" s="20"/>
      <c r="AE21" s="20"/>
      <c r="AF21" s="20"/>
      <c r="AG21" s="3"/>
      <c r="AH21" s="20"/>
      <c r="AI21" s="20"/>
      <c r="AJ21" s="20"/>
      <c r="AK21" s="20"/>
      <c r="AL21" s="20"/>
      <c r="AM21" s="20"/>
      <c r="AN21" s="20"/>
      <c r="AO21" s="20"/>
      <c r="AP21" s="20"/>
      <c r="AQ21" s="20"/>
      <c r="AR21" s="20"/>
      <c r="AS21" s="20"/>
      <c r="AT21" s="20"/>
      <c r="AU21" s="20"/>
      <c r="AV21" s="20"/>
      <c r="AW21" s="20"/>
      <c r="AX21" s="20"/>
    </row>
    <row r="22">
      <c r="A22" s="3"/>
      <c r="B22" s="3"/>
      <c r="C22" s="3" t="s">
        <v>94</v>
      </c>
      <c r="D22" s="3">
        <f>IFERROR(VLOOKUP(C22,CurrentRank!$B$2:$C$132,2,FALSE),0)</f>
        <v>36.87</v>
      </c>
      <c r="E22" s="3" t="s">
        <v>55</v>
      </c>
      <c r="F22" s="3">
        <f>IFERROR(VLOOKUP(E22,CurrentRank!$B$2:$C$132,2,FALSE),0)</f>
        <v>59.34</v>
      </c>
      <c r="G22" s="3" t="s">
        <v>145</v>
      </c>
      <c r="H22" s="3">
        <f>IFERROR(VLOOKUP(G22,CurrentRank!$B$2:$C$132,2,FALSE),0)</f>
        <v>29.42</v>
      </c>
      <c r="I22" s="3"/>
      <c r="J22" s="3"/>
      <c r="K22" s="3"/>
      <c r="L22" s="3"/>
      <c r="M22" s="3"/>
      <c r="N22" s="3"/>
      <c r="O22" s="3" t="s">
        <v>62</v>
      </c>
      <c r="P22" s="3">
        <f>IFERROR(VLOOKUP(O22,CurrentRank!$B$2:$C$132,2,FALSE),0)</f>
        <v>37.34</v>
      </c>
      <c r="Q22" s="3" t="s">
        <v>65</v>
      </c>
      <c r="R22" s="3">
        <f>IFERROR(VLOOKUP(Q22,CurrentRank!$B$2:$C$132,2,FALSE),0)</f>
        <v>34.09</v>
      </c>
      <c r="S22" s="3"/>
      <c r="T22" s="3"/>
      <c r="U22" s="3"/>
      <c r="V22" s="20"/>
      <c r="W22" s="20"/>
      <c r="X22" s="20"/>
      <c r="Y22" s="20"/>
      <c r="Z22" s="20"/>
      <c r="AA22" s="20"/>
      <c r="AB22" s="20"/>
      <c r="AC22" s="20"/>
      <c r="AD22" s="20"/>
      <c r="AE22" s="20"/>
      <c r="AF22" s="20"/>
      <c r="AG22" s="3"/>
      <c r="AH22" s="20"/>
      <c r="AI22" s="20"/>
      <c r="AJ22" s="20"/>
      <c r="AK22" s="20"/>
      <c r="AL22" s="20"/>
      <c r="AM22" s="20"/>
      <c r="AN22" s="20"/>
      <c r="AO22" s="20"/>
      <c r="AP22" s="20"/>
      <c r="AQ22" s="20"/>
      <c r="AR22" s="20"/>
      <c r="AS22" s="20"/>
      <c r="AT22" s="20"/>
      <c r="AU22" s="20"/>
      <c r="AV22" s="20"/>
      <c r="AW22" s="20"/>
      <c r="AX22" s="20"/>
    </row>
    <row r="23">
      <c r="A23" s="3"/>
      <c r="B23" s="3"/>
      <c r="C23" s="3" t="s">
        <v>40</v>
      </c>
      <c r="D23" s="3">
        <f>IFERROR(VLOOKUP(C23,CurrentRank!$B$2:$C$132,2,FALSE),0)</f>
        <v>57.15</v>
      </c>
      <c r="E23" s="3" t="s">
        <v>113</v>
      </c>
      <c r="F23" s="3">
        <f>IFERROR(VLOOKUP(E23,CurrentRank!$B$2:$C$132,2,FALSE),0)</f>
        <v>41.9</v>
      </c>
      <c r="G23" s="3" t="s">
        <v>91</v>
      </c>
      <c r="H23" s="3">
        <f>IFERROR(VLOOKUP(G23,CurrentRank!$B$2:$C$132,2,FALSE),0)</f>
        <v>35.39</v>
      </c>
      <c r="I23" s="3"/>
      <c r="J23" s="3"/>
      <c r="K23" s="3"/>
      <c r="L23" s="3"/>
      <c r="M23" s="3"/>
      <c r="N23" s="3"/>
      <c r="O23" s="3" t="s">
        <v>160</v>
      </c>
      <c r="P23" s="3">
        <f>IFERROR(VLOOKUP(O23,CurrentRank!$B$2:$C$132,2,FALSE),0)</f>
        <v>34.87</v>
      </c>
      <c r="Q23" s="3" t="s">
        <v>181</v>
      </c>
      <c r="R23" s="3">
        <f>IFERROR(VLOOKUP(Q23,CurrentRank!$B$2:$C$132,2,FALSE),0)</f>
        <v>25.47</v>
      </c>
      <c r="S23" s="3"/>
      <c r="T23" s="3"/>
      <c r="U23" s="3"/>
      <c r="V23" s="20"/>
      <c r="W23" s="20"/>
      <c r="X23" s="20"/>
      <c r="Y23" s="20"/>
      <c r="Z23" s="20"/>
      <c r="AA23" s="20"/>
      <c r="AB23" s="20"/>
      <c r="AC23" s="20"/>
      <c r="AD23" s="20"/>
      <c r="AE23" s="20"/>
      <c r="AF23" s="20"/>
      <c r="AG23" s="3"/>
      <c r="AH23" s="20"/>
      <c r="AI23" s="20"/>
      <c r="AJ23" s="20"/>
      <c r="AK23" s="20"/>
      <c r="AL23" s="20"/>
      <c r="AM23" s="20"/>
      <c r="AN23" s="20"/>
      <c r="AO23" s="20"/>
      <c r="AP23" s="20"/>
      <c r="AQ23" s="20"/>
      <c r="AR23" s="20"/>
      <c r="AS23" s="20"/>
      <c r="AT23" s="20"/>
      <c r="AU23" s="20"/>
      <c r="AV23" s="20"/>
      <c r="AW23" s="20"/>
      <c r="AX23" s="20"/>
    </row>
    <row r="24">
      <c r="A24" s="3"/>
      <c r="B24" s="3"/>
      <c r="C24" s="3" t="s">
        <v>38</v>
      </c>
      <c r="D24" s="3">
        <f>IFERROR(VLOOKUP(C24,CurrentRank!$B$2:$C$132,2,FALSE),0)</f>
        <v>63.1</v>
      </c>
      <c r="E24" s="3" t="s">
        <v>46</v>
      </c>
      <c r="F24" s="3">
        <f>IFERROR(VLOOKUP(E24,CurrentRank!$B$2:$C$132,2,FALSE),0)</f>
        <v>62.29</v>
      </c>
      <c r="G24" s="3" t="s">
        <v>153</v>
      </c>
      <c r="H24" s="3">
        <f>IFERROR(VLOOKUP(G24,CurrentRank!$B$2:$C$132,2,FALSE),0)</f>
        <v>35.51</v>
      </c>
      <c r="I24" s="3"/>
      <c r="J24" s="3"/>
      <c r="K24" s="3"/>
      <c r="L24" s="3"/>
      <c r="M24" s="8"/>
      <c r="N24" s="8"/>
      <c r="O24" s="3" t="s">
        <v>90</v>
      </c>
      <c r="P24" s="3">
        <f>IFERROR(VLOOKUP(O24,CurrentRank!$B$2:$C$132,2,FALSE),0)</f>
        <v>62.48</v>
      </c>
      <c r="Q24" s="3" t="s">
        <v>23</v>
      </c>
      <c r="R24" s="3">
        <f>IFERROR(VLOOKUP(Q24,CurrentRank!$B$2:$C$132,2,FALSE),0)</f>
        <v>96.59</v>
      </c>
      <c r="S24" s="3"/>
      <c r="T24" s="3"/>
      <c r="U24" s="3"/>
      <c r="V24" s="20"/>
      <c r="W24" s="20"/>
      <c r="X24" s="20"/>
      <c r="Y24" s="20"/>
      <c r="Z24" s="20"/>
      <c r="AA24" s="20"/>
      <c r="AB24" s="20"/>
      <c r="AC24" s="20"/>
      <c r="AD24" s="20"/>
      <c r="AE24" s="20"/>
      <c r="AF24" s="20"/>
      <c r="AG24" s="3"/>
      <c r="AH24" s="20"/>
      <c r="AI24" s="20"/>
      <c r="AJ24" s="20"/>
      <c r="AK24" s="20"/>
      <c r="AL24" s="20"/>
      <c r="AM24" s="20"/>
      <c r="AN24" s="20"/>
      <c r="AO24" s="20"/>
      <c r="AP24" s="20"/>
      <c r="AQ24" s="20"/>
      <c r="AR24" s="20"/>
      <c r="AS24" s="20"/>
      <c r="AT24" s="20"/>
      <c r="AU24" s="20"/>
      <c r="AV24" s="20"/>
      <c r="AW24" s="20"/>
      <c r="AX24" s="20"/>
    </row>
    <row r="25">
      <c r="A25" s="3"/>
      <c r="B25" s="3"/>
      <c r="C25" s="3" t="s">
        <v>109</v>
      </c>
      <c r="D25" s="3">
        <f>IFERROR(VLOOKUP(C25,CurrentRank!$B$2:$C$132,2,FALSE),0)</f>
        <v>37.82</v>
      </c>
      <c r="E25" s="3" t="s">
        <v>127</v>
      </c>
      <c r="F25" s="3">
        <f>IFERROR(VLOOKUP(E25,CurrentRank!$B$2:$C$132,2,FALSE),0)</f>
        <v>35.27</v>
      </c>
      <c r="G25" s="3" t="s">
        <v>189</v>
      </c>
      <c r="H25" s="3">
        <f>IFERROR(VLOOKUP(G25,CurrentRank!$B$2:$C$132,2,FALSE),0)</f>
        <v>72.23</v>
      </c>
      <c r="I25" s="3"/>
      <c r="J25" s="3"/>
      <c r="K25" s="3"/>
      <c r="L25" s="3"/>
      <c r="M25" s="3"/>
      <c r="N25" s="3"/>
      <c r="O25" s="3" t="s">
        <v>190</v>
      </c>
      <c r="P25" s="3">
        <f>IFERROR(VLOOKUP(O25,CurrentRank!$B$2:$C$132,2,FALSE),0)</f>
        <v>42.24</v>
      </c>
      <c r="Q25" s="3" t="s">
        <v>118</v>
      </c>
      <c r="R25" s="3">
        <f>IFERROR(VLOOKUP(Q25,CurrentRank!$B$2:$C$132,2,FALSE),0)</f>
        <v>35.17</v>
      </c>
      <c r="S25" s="3"/>
      <c r="T25" s="3"/>
      <c r="V25" s="20"/>
      <c r="W25" s="20"/>
      <c r="X25" s="20"/>
      <c r="Y25" s="20"/>
      <c r="Z25" s="20"/>
      <c r="AA25" s="20"/>
      <c r="AB25" s="20"/>
      <c r="AC25" s="20"/>
      <c r="AD25" s="20"/>
      <c r="AE25" s="20"/>
      <c r="AF25" s="20"/>
      <c r="AG25" s="3"/>
      <c r="AH25" s="20"/>
      <c r="AI25" s="20"/>
      <c r="AJ25" s="20"/>
      <c r="AK25" s="20"/>
      <c r="AL25" s="20"/>
      <c r="AM25" s="20"/>
      <c r="AN25" s="20"/>
      <c r="AO25" s="20"/>
      <c r="AP25" s="20"/>
      <c r="AQ25" s="20"/>
      <c r="AR25" s="20"/>
      <c r="AS25" s="20"/>
      <c r="AT25" s="20"/>
      <c r="AU25" s="20"/>
      <c r="AV25" s="20"/>
      <c r="AW25" s="20"/>
      <c r="AX25" s="20"/>
    </row>
    <row r="26">
      <c r="A26" s="3"/>
      <c r="B26" s="3"/>
      <c r="C26" s="3" t="s">
        <v>89</v>
      </c>
      <c r="D26" s="3">
        <f>IFERROR(VLOOKUP(C26,CurrentRank!$B$2:$C$132,2,FALSE),0)</f>
        <v>35.74</v>
      </c>
      <c r="E26" s="3" t="s">
        <v>117</v>
      </c>
      <c r="F26" s="3">
        <f>IFERROR(VLOOKUP(E26,CurrentRank!$B$2:$C$132,2,FALSE),0)</f>
        <v>38.08</v>
      </c>
      <c r="G26" s="3" t="s">
        <v>26</v>
      </c>
      <c r="H26" s="3">
        <f>IFERROR(VLOOKUP(G26,CurrentRank!$B$2:$C$132,2,FALSE),0)</f>
        <v>87.05</v>
      </c>
      <c r="I26" s="3"/>
      <c r="J26" s="3"/>
      <c r="K26" s="3"/>
      <c r="L26" s="3"/>
      <c r="M26" s="3"/>
      <c r="N26" s="3"/>
      <c r="O26" s="3" t="s">
        <v>96</v>
      </c>
      <c r="P26" s="3">
        <f>IFERROR(VLOOKUP(O26,CurrentRank!$B$2:$C$132,2,FALSE),0)</f>
        <v>43.66</v>
      </c>
      <c r="Q26" s="3" t="s">
        <v>64</v>
      </c>
      <c r="R26" s="3">
        <f>IFERROR(VLOOKUP(Q26,CurrentRank!$B$2:$C$132,2,FALSE),0)</f>
        <v>39.11</v>
      </c>
      <c r="S26" s="3"/>
      <c r="T26" s="3"/>
      <c r="V26" s="20"/>
      <c r="W26" s="20"/>
      <c r="X26" s="20"/>
      <c r="Y26" s="20"/>
      <c r="Z26" s="20"/>
      <c r="AA26" s="20"/>
      <c r="AB26" s="20"/>
      <c r="AC26" s="20"/>
      <c r="AD26" s="20"/>
      <c r="AE26" s="20"/>
      <c r="AF26" s="20"/>
      <c r="AG26" s="3"/>
      <c r="AH26" s="20"/>
      <c r="AI26" s="20"/>
      <c r="AJ26" s="20"/>
      <c r="AK26" s="20"/>
      <c r="AL26" s="20"/>
      <c r="AM26" s="20"/>
      <c r="AN26" s="20"/>
      <c r="AO26" s="20"/>
      <c r="AP26" s="20"/>
      <c r="AQ26" s="20"/>
      <c r="AR26" s="20"/>
      <c r="AS26" s="20"/>
      <c r="AT26" s="20"/>
      <c r="AU26" s="20"/>
      <c r="AV26" s="20"/>
      <c r="AW26" s="20"/>
      <c r="AX26" s="20"/>
    </row>
    <row r="27">
      <c r="A27" s="3"/>
      <c r="B27" s="3"/>
      <c r="C27" s="3" t="s">
        <v>128</v>
      </c>
      <c r="D27" s="3">
        <f>IFERROR(VLOOKUP(C27,CurrentRank!$B$2:$C$132,2,FALSE),0)</f>
        <v>26.74</v>
      </c>
      <c r="E27" s="3" t="s">
        <v>47</v>
      </c>
      <c r="F27" s="3">
        <f>IFERROR(VLOOKUP(E27,CurrentRank!$B$2:$C$132,2,FALSE),0)</f>
        <v>41.86</v>
      </c>
      <c r="G27" s="3" t="s">
        <v>57</v>
      </c>
      <c r="H27" s="3">
        <f>IFERROR(VLOOKUP(G27,CurrentRank!$B$2:$C$132,2,FALSE),0)</f>
        <v>40.05</v>
      </c>
      <c r="I27" s="3"/>
      <c r="J27" s="3"/>
      <c r="K27" s="3"/>
      <c r="L27" s="3"/>
      <c r="M27" s="3"/>
      <c r="N27" s="3"/>
      <c r="O27" s="3" t="s">
        <v>138</v>
      </c>
      <c r="P27" s="3">
        <f>IFERROR(VLOOKUP(O27,CurrentRank!$B$2:$C$132,2,FALSE),0)</f>
        <v>40.47</v>
      </c>
      <c r="Q27" s="3" t="s">
        <v>53</v>
      </c>
      <c r="R27" s="3">
        <f>IFERROR(VLOOKUP(Q27,CurrentRank!$B$2:$C$132,2,FALSE),0)</f>
        <v>37.27</v>
      </c>
      <c r="S27" s="3"/>
      <c r="T27" s="3"/>
      <c r="U27" s="20"/>
      <c r="V27" s="20"/>
      <c r="W27" s="20"/>
      <c r="X27" s="20"/>
      <c r="Y27" s="20"/>
      <c r="Z27" s="20"/>
      <c r="AA27" s="20"/>
      <c r="AB27" s="20"/>
      <c r="AC27" s="20"/>
      <c r="AD27" s="20"/>
      <c r="AE27" s="20"/>
      <c r="AF27" s="20"/>
      <c r="AG27" s="3"/>
      <c r="AH27" s="20"/>
      <c r="AI27" s="20"/>
      <c r="AJ27" s="20"/>
      <c r="AK27" s="20"/>
      <c r="AL27" s="20"/>
      <c r="AM27" s="20"/>
      <c r="AN27" s="20"/>
      <c r="AO27" s="20"/>
      <c r="AP27" s="20"/>
      <c r="AQ27" s="20"/>
      <c r="AR27" s="20"/>
      <c r="AS27" s="20"/>
      <c r="AT27" s="20"/>
      <c r="AU27" s="20"/>
      <c r="AV27" s="20"/>
      <c r="AW27" s="20"/>
      <c r="AX27" s="20"/>
    </row>
    <row r="28">
      <c r="A28" s="3"/>
      <c r="B28" s="3"/>
      <c r="C28" s="3" t="s">
        <v>112</v>
      </c>
      <c r="D28" s="3">
        <f>IFERROR(VLOOKUP(C28,CurrentRank!$B$2:$C$132,2,FALSE),0)</f>
        <v>36.98</v>
      </c>
      <c r="E28" s="3" t="s">
        <v>69</v>
      </c>
      <c r="F28" s="3">
        <f>IFERROR(VLOOKUP(E28,CurrentRank!$B$2:$C$132,2,FALSE),0)</f>
        <v>72.9</v>
      </c>
      <c r="G28" s="3" t="s">
        <v>152</v>
      </c>
      <c r="H28" s="3">
        <f>IFERROR(VLOOKUP(G28,CurrentRank!$B$2:$C$132,2,FALSE),0)</f>
        <v>32.23</v>
      </c>
      <c r="I28" s="3"/>
      <c r="J28" s="3"/>
      <c r="K28" s="3"/>
      <c r="L28" s="3"/>
      <c r="M28" s="3"/>
      <c r="N28" s="3"/>
      <c r="O28" s="3" t="s">
        <v>158</v>
      </c>
      <c r="P28" s="3">
        <f>IFERROR(VLOOKUP(O28,CurrentRank!$B$2:$C$132,2,FALSE),0)</f>
        <v>34.21</v>
      </c>
      <c r="Q28" s="3" t="s">
        <v>129</v>
      </c>
      <c r="R28" s="3">
        <f>IFERROR(VLOOKUP(Q28,CurrentRank!$B$2:$C$132,2,FALSE),0)</f>
        <v>39.96</v>
      </c>
      <c r="S28" s="3"/>
      <c r="T28" s="3"/>
      <c r="U28" s="20"/>
      <c r="V28" s="20"/>
      <c r="W28" s="20"/>
      <c r="X28" s="20"/>
      <c r="Y28" s="20"/>
      <c r="Z28" s="20"/>
      <c r="AA28" s="20"/>
      <c r="AB28" s="20"/>
      <c r="AC28" s="20"/>
      <c r="AD28" s="20"/>
      <c r="AE28" s="20"/>
      <c r="AF28" s="20"/>
      <c r="AG28" s="3"/>
      <c r="AH28" s="20"/>
      <c r="AI28" s="20"/>
      <c r="AJ28" s="20"/>
      <c r="AK28" s="20"/>
      <c r="AL28" s="20"/>
      <c r="AM28" s="20"/>
      <c r="AN28" s="20"/>
      <c r="AO28" s="20"/>
      <c r="AP28" s="20"/>
      <c r="AQ28" s="20"/>
      <c r="AR28" s="20"/>
      <c r="AS28" s="20"/>
      <c r="AT28" s="20"/>
      <c r="AU28" s="20"/>
      <c r="AV28" s="20"/>
      <c r="AW28" s="20"/>
      <c r="AX28" s="20"/>
    </row>
    <row r="29">
      <c r="A29" s="3"/>
      <c r="B29" s="3"/>
      <c r="C29" s="3" t="s">
        <v>82</v>
      </c>
      <c r="D29" s="3">
        <f>IFERROR(VLOOKUP(C29,CurrentRank!$B$2:$C$132,2,FALSE),0)</f>
        <v>36.12</v>
      </c>
      <c r="E29" s="51" t="s">
        <v>196</v>
      </c>
      <c r="F29" s="52">
        <f>IFERROR(VLOOKUP(E29,CurrentRank!$B$2:$C$132,2,FALSE),0)</f>
        <v>33.03</v>
      </c>
      <c r="G29" s="3" t="s">
        <v>166</v>
      </c>
      <c r="H29" s="3">
        <f>IFERROR(VLOOKUP(G29,CurrentRank!$B$2:$C$132,2,FALSE),0)</f>
        <v>31.48</v>
      </c>
      <c r="I29" s="3"/>
      <c r="J29" s="3"/>
      <c r="K29" s="3"/>
      <c r="L29" s="3"/>
      <c r="M29" s="3"/>
      <c r="N29" s="3"/>
      <c r="O29" s="3" t="s">
        <v>173</v>
      </c>
      <c r="P29" s="3">
        <f>IFERROR(VLOOKUP(O29,CurrentRank!$B$2:$C$132,2,FALSE),0)</f>
        <v>34.13</v>
      </c>
      <c r="Q29" s="3" t="s">
        <v>81</v>
      </c>
      <c r="R29" s="3">
        <f>IFERROR(VLOOKUP(Q29,CurrentRank!$B$2:$C$132,2,FALSE),0)</f>
        <v>33.91</v>
      </c>
      <c r="S29" s="3"/>
      <c r="T29" s="3"/>
      <c r="U29" s="20"/>
      <c r="V29" s="20"/>
      <c r="W29" s="20"/>
      <c r="X29" s="20"/>
      <c r="Y29" s="20"/>
      <c r="Z29" s="20"/>
      <c r="AA29" s="20"/>
      <c r="AB29" s="20"/>
      <c r="AC29" s="20"/>
      <c r="AD29" s="20"/>
      <c r="AE29" s="20"/>
      <c r="AF29" s="20"/>
      <c r="AG29" s="3"/>
      <c r="AH29" s="20"/>
      <c r="AI29" s="20"/>
      <c r="AJ29" s="20"/>
      <c r="AK29" s="20"/>
      <c r="AL29" s="20"/>
      <c r="AM29" s="20"/>
      <c r="AN29" s="20"/>
      <c r="AO29" s="20"/>
      <c r="AP29" s="20"/>
      <c r="AQ29" s="20"/>
      <c r="AR29" s="20"/>
      <c r="AS29" s="20"/>
      <c r="AT29" s="20"/>
      <c r="AU29" s="20"/>
      <c r="AV29" s="20"/>
      <c r="AW29" s="20"/>
      <c r="AX29" s="20"/>
    </row>
    <row r="30">
      <c r="A30" s="3"/>
      <c r="B30" s="3"/>
      <c r="C30" s="3" t="s">
        <v>93</v>
      </c>
      <c r="D30" s="3">
        <f>IFERROR(VLOOKUP(C30,CurrentRank!$B$2:$C$132,2,FALSE),0)</f>
        <v>36.48</v>
      </c>
      <c r="E30" s="53" t="s">
        <v>123</v>
      </c>
      <c r="F30" s="52">
        <f>IFERROR(VLOOKUP(E30,CurrentRank!$B$2:$C$132,2,FALSE),0)</f>
        <v>13.91</v>
      </c>
      <c r="G30" s="3" t="s">
        <v>74</v>
      </c>
      <c r="H30" s="3">
        <f>IFERROR(VLOOKUP(G30,CurrentRank!$B$2:$C$132,2,FALSE),0)</f>
        <v>41.11</v>
      </c>
      <c r="I30" s="3"/>
      <c r="J30" s="3"/>
      <c r="K30" s="3"/>
      <c r="L30" s="3"/>
      <c r="M30" s="3"/>
      <c r="N30" s="3"/>
      <c r="O30" s="3" t="s">
        <v>107</v>
      </c>
      <c r="P30" s="3">
        <f>IFERROR(VLOOKUP(O30,CurrentRank!$B$2:$C$132,2,FALSE),0)</f>
        <v>35.54</v>
      </c>
      <c r="Q30" s="3" t="s">
        <v>79</v>
      </c>
      <c r="R30" s="3">
        <f>IFERROR(VLOOKUP(Q30,CurrentRank!$B$2:$C$132,2,FALSE),0)</f>
        <v>85.31</v>
      </c>
      <c r="S30" s="20"/>
      <c r="T30" s="3"/>
      <c r="U30" s="20"/>
      <c r="V30" s="20"/>
      <c r="W30" s="20"/>
      <c r="X30" s="20"/>
      <c r="Y30" s="20"/>
      <c r="Z30" s="20"/>
      <c r="AA30" s="20"/>
      <c r="AB30" s="20"/>
      <c r="AC30" s="20"/>
      <c r="AD30" s="20"/>
      <c r="AE30" s="20"/>
      <c r="AF30" s="20"/>
      <c r="AG30" s="3"/>
      <c r="AH30" s="20"/>
      <c r="AI30" s="20"/>
      <c r="AJ30" s="20"/>
      <c r="AK30" s="20"/>
      <c r="AL30" s="20"/>
      <c r="AM30" s="20"/>
      <c r="AN30" s="20"/>
      <c r="AO30" s="20"/>
      <c r="AP30" s="20"/>
      <c r="AQ30" s="20"/>
      <c r="AR30" s="20"/>
      <c r="AS30" s="20"/>
      <c r="AT30" s="20"/>
      <c r="AU30" s="20"/>
      <c r="AV30" s="20"/>
      <c r="AW30" s="20"/>
      <c r="AX30" s="20"/>
    </row>
    <row r="31">
      <c r="C31" s="3" t="s">
        <v>178</v>
      </c>
      <c r="D31" s="3">
        <f>IFERROR(VLOOKUP(C31,CurrentRank!$B$2:$C$132,2,FALSE),0)</f>
        <v>30.84</v>
      </c>
      <c r="E31" s="3" t="s">
        <v>73</v>
      </c>
      <c r="F31" s="3">
        <f>IFERROR(VLOOKUP(E31,CurrentRank!$B$2:$C$132,2,FALSE),0)</f>
        <v>69.33</v>
      </c>
      <c r="O31" s="3" t="s">
        <v>156</v>
      </c>
      <c r="P31" s="3">
        <f>IFERROR(VLOOKUP(O31,CurrentRank!$B$2:$C$132,2,FALSE),0)</f>
        <v>32.81</v>
      </c>
      <c r="Q31" s="3" t="s">
        <v>103</v>
      </c>
      <c r="R31" s="3">
        <f>IFERROR(VLOOKUP(Q31,CurrentRank!$B$2:$C$132,2,FALSE),0)</f>
        <v>34.42</v>
      </c>
    </row>
    <row r="32">
      <c r="A32" s="20"/>
      <c r="B32" s="20"/>
      <c r="C32" s="3" t="s">
        <v>28</v>
      </c>
      <c r="D32" s="3">
        <f>IFERROR(VLOOKUP(C32,CurrentRank!$B$2:$C$132,2,FALSE),0)</f>
        <v>78.79</v>
      </c>
      <c r="E32" s="3" t="s">
        <v>133</v>
      </c>
      <c r="F32" s="3">
        <f>IFERROR(VLOOKUP(E32,CurrentRank!$B$2:$C$132,2,FALSE),0)</f>
        <v>34.63</v>
      </c>
      <c r="G32" s="3"/>
      <c r="H32" s="3"/>
      <c r="J32" s="3"/>
      <c r="K32" s="20"/>
      <c r="L32" s="3"/>
      <c r="M32" s="20"/>
      <c r="N32" s="20"/>
      <c r="O32" s="3" t="s">
        <v>185</v>
      </c>
      <c r="P32" s="3">
        <f>IFERROR(VLOOKUP(O32,CurrentRank!$B$2:$C$132,2,FALSE),0)</f>
        <v>33.22</v>
      </c>
      <c r="Q32" s="3" t="s">
        <v>132</v>
      </c>
      <c r="R32" s="3">
        <f>IFERROR(VLOOKUP(Q32,CurrentRank!$B$2:$C$132,2,FALSE),0)</f>
        <v>37.38</v>
      </c>
      <c r="S32" s="20"/>
      <c r="T32" s="3"/>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c r="A33" s="3" t="s">
        <v>44</v>
      </c>
      <c r="B33" s="19">
        <f>AVERAGE(B17:B32)</f>
        <v>38.864</v>
      </c>
      <c r="C33" s="3" t="s">
        <v>120</v>
      </c>
      <c r="D33" s="19">
        <f>AVERAGE(D17:D32)</f>
        <v>43.02375</v>
      </c>
      <c r="E33" s="3" t="s">
        <v>239</v>
      </c>
      <c r="F33" s="19">
        <f>AVERAGE(F17:F32)</f>
        <v>46.37375</v>
      </c>
      <c r="G33" s="3" t="s">
        <v>240</v>
      </c>
      <c r="H33" s="19">
        <f>AVERAGE(H17:H32)</f>
        <v>45.93142857</v>
      </c>
      <c r="I33" s="3" t="s">
        <v>84</v>
      </c>
      <c r="J33" s="19" t="str">
        <f>AVERAGE(J17:J32)</f>
        <v>#DIV/0!</v>
      </c>
      <c r="K33" s="3" t="s">
        <v>49</v>
      </c>
      <c r="L33" s="19" t="str">
        <f>AVERAGE(L17:L32)</f>
        <v>#DIV/0!</v>
      </c>
      <c r="M33" s="3" t="s">
        <v>121</v>
      </c>
      <c r="N33" s="19" t="str">
        <f>AVERAGE(N17:N32)</f>
        <v>#DIV/0!</v>
      </c>
      <c r="O33" s="3" t="s">
        <v>241</v>
      </c>
      <c r="P33" s="19">
        <f>AVERAGE(P17:P31)</f>
        <v>38.81533333</v>
      </c>
      <c r="Q33" s="3" t="s">
        <v>198</v>
      </c>
      <c r="R33" s="19">
        <f>AVERAGE(R17:R32)</f>
        <v>46.91</v>
      </c>
      <c r="S33" s="3" t="s">
        <v>242</v>
      </c>
      <c r="T33" s="19" t="str">
        <f>AVERAGE(T17:T32)</f>
        <v>#DIV/0!</v>
      </c>
      <c r="U33" s="3" t="s">
        <v>243</v>
      </c>
      <c r="V33" s="19" t="str">
        <f>AVERAGE(V17:V32)</f>
        <v>#DIV/0!</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row>
    <row r="1018">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row>
    <row r="1019">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row>
    <row r="10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row>
    <row r="1027">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row>
    <row r="1028">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row>
    <row r="1030">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row>
    <row r="103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row>
    <row r="103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row>
    <row r="1034">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row>
    <row r="1035">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c r="AS1035" s="20"/>
      <c r="AT1035" s="20"/>
      <c r="AU1035" s="20"/>
      <c r="AV1035" s="20"/>
      <c r="AW1035" s="20"/>
      <c r="AX1035" s="20"/>
    </row>
    <row r="1036">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c r="AS1036" s="20"/>
      <c r="AT1036" s="20"/>
      <c r="AU1036" s="20"/>
      <c r="AV1036" s="20"/>
      <c r="AW1036" s="20"/>
      <c r="AX1036" s="20"/>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row>
    <row r="1038">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row>
    <row r="1039">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c r="AO1039" s="20"/>
      <c r="AP1039" s="20"/>
      <c r="AQ1039" s="20"/>
      <c r="AR1039" s="20"/>
      <c r="AS1039" s="20"/>
      <c r="AT1039" s="20"/>
      <c r="AU1039" s="20"/>
      <c r="AV1039" s="20"/>
      <c r="AW1039" s="20"/>
      <c r="AX1039" s="20"/>
    </row>
    <row r="1040">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c r="AS1040" s="20"/>
      <c r="AT1040" s="20"/>
      <c r="AU1040" s="20"/>
      <c r="AV1040" s="20"/>
      <c r="AW1040" s="20"/>
      <c r="AX1040" s="20"/>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0"/>
      <c r="AQ1041" s="20"/>
      <c r="AR1041" s="20"/>
      <c r="AS1041" s="20"/>
      <c r="AT1041" s="20"/>
      <c r="AU1041" s="20"/>
      <c r="AV1041" s="20"/>
      <c r="AW1041" s="20"/>
      <c r="AX1041" s="20"/>
    </row>
    <row r="1042">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c r="AS1042" s="20"/>
      <c r="AT1042" s="20"/>
      <c r="AU1042" s="20"/>
      <c r="AV1042" s="20"/>
      <c r="AW1042" s="20"/>
      <c r="AX1042" s="20"/>
    </row>
    <row r="1043">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0"/>
      <c r="AQ1043" s="20"/>
      <c r="AR1043" s="20"/>
      <c r="AS1043" s="20"/>
      <c r="AT1043" s="20"/>
      <c r="AU1043" s="20"/>
      <c r="AV1043" s="20"/>
      <c r="AW1043" s="20"/>
      <c r="AX1043" s="20"/>
    </row>
    <row r="1044">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c r="AS1044" s="20"/>
      <c r="AT1044" s="20"/>
      <c r="AU1044" s="20"/>
      <c r="AV1044" s="20"/>
      <c r="AW1044" s="20"/>
      <c r="AX1044" s="20"/>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c r="AO1045" s="20"/>
      <c r="AP1045" s="20"/>
      <c r="AQ1045" s="20"/>
      <c r="AR1045" s="20"/>
      <c r="AS1045" s="20"/>
      <c r="AT1045" s="20"/>
      <c r="AU1045" s="20"/>
      <c r="AV1045" s="20"/>
      <c r="AW1045" s="20"/>
      <c r="AX1045" s="20"/>
    </row>
    <row r="1046">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c r="AO1046" s="20"/>
      <c r="AP1046" s="20"/>
      <c r="AQ1046" s="20"/>
      <c r="AR1046" s="20"/>
      <c r="AS1046" s="20"/>
      <c r="AT1046" s="20"/>
      <c r="AU1046" s="20"/>
      <c r="AV1046" s="20"/>
      <c r="AW1046" s="20"/>
      <c r="AX1046" s="20"/>
    </row>
    <row r="1047">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0"/>
      <c r="AQ1047" s="20"/>
      <c r="AR1047" s="20"/>
      <c r="AS1047" s="20"/>
      <c r="AT1047" s="20"/>
      <c r="AU1047" s="20"/>
      <c r="AV1047" s="20"/>
      <c r="AW1047" s="20"/>
      <c r="AX1047" s="20"/>
    </row>
    <row r="1048">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c r="AS1048" s="20"/>
      <c r="AT1048" s="20"/>
      <c r="AU1048" s="20"/>
      <c r="AV1048" s="20"/>
      <c r="AW1048" s="20"/>
      <c r="AX1048" s="20"/>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0"/>
      <c r="AQ1049" s="20"/>
      <c r="AR1049" s="20"/>
      <c r="AS1049" s="20"/>
      <c r="AT1049" s="20"/>
      <c r="AU1049" s="20"/>
      <c r="AV1049" s="20"/>
      <c r="AW1049" s="20"/>
      <c r="AX1049" s="20"/>
    </row>
    <row r="1050">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c r="AO1050" s="20"/>
      <c r="AP1050" s="20"/>
      <c r="AQ1050" s="20"/>
      <c r="AR1050" s="20"/>
      <c r="AS1050" s="20"/>
      <c r="AT1050" s="20"/>
      <c r="AU1050" s="20"/>
      <c r="AV1050" s="20"/>
      <c r="AW1050" s="20"/>
      <c r="AX1050" s="20"/>
    </row>
    <row r="1051">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row>
    <row r="1052">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c r="AS1052" s="20"/>
      <c r="AT1052" s="20"/>
      <c r="AU1052" s="20"/>
      <c r="AV1052" s="20"/>
      <c r="AW1052" s="20"/>
      <c r="AX1052" s="20"/>
    </row>
    <row r="105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c r="AS1053" s="20"/>
      <c r="AT1053" s="20"/>
      <c r="AU1053" s="20"/>
      <c r="AV1053" s="20"/>
      <c r="AW1053" s="20"/>
      <c r="AX1053" s="20"/>
    </row>
    <row r="1054">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c r="AS1054" s="20"/>
      <c r="AT1054" s="20"/>
      <c r="AU1054" s="20"/>
      <c r="AV1054" s="20"/>
      <c r="AW1054" s="20"/>
      <c r="AX1054" s="20"/>
    </row>
    <row r="1055">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0"/>
      <c r="AQ1055" s="20"/>
      <c r="AR1055" s="20"/>
      <c r="AS1055" s="20"/>
      <c r="AT1055" s="20"/>
      <c r="AU1055" s="20"/>
      <c r="AV1055" s="20"/>
      <c r="AW1055" s="20"/>
      <c r="AX1055" s="20"/>
    </row>
    <row r="1056">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c r="AS1056" s="20"/>
      <c r="AT1056" s="20"/>
      <c r="AU1056" s="20"/>
      <c r="AV1056" s="20"/>
      <c r="AW1056" s="20"/>
      <c r="AX1056" s="20"/>
    </row>
    <row r="1057">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c r="AO1057" s="20"/>
      <c r="AP1057" s="20"/>
      <c r="AQ1057" s="20"/>
      <c r="AR1057" s="20"/>
      <c r="AS1057" s="20"/>
      <c r="AT1057" s="20"/>
      <c r="AU1057" s="20"/>
      <c r="AV1057" s="20"/>
      <c r="AW1057" s="20"/>
      <c r="AX1057" s="20"/>
    </row>
    <row r="1058">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c r="AS1058" s="20"/>
      <c r="AT1058" s="20"/>
      <c r="AU1058" s="20"/>
      <c r="AV1058" s="20"/>
      <c r="AW1058" s="20"/>
      <c r="AX1058" s="20"/>
    </row>
    <row r="1059">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c r="AS1059" s="20"/>
      <c r="AT1059" s="20"/>
      <c r="AU1059" s="20"/>
      <c r="AV1059" s="20"/>
      <c r="AW1059" s="20"/>
      <c r="AX1059" s="20"/>
    </row>
    <row r="1060">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c r="AO1060" s="20"/>
      <c r="AP1060" s="20"/>
      <c r="AQ1060" s="20"/>
      <c r="AR1060" s="20"/>
      <c r="AS1060" s="20"/>
      <c r="AT1060" s="20"/>
      <c r="AU1060" s="20"/>
      <c r="AV1060" s="20"/>
      <c r="AW1060" s="20"/>
      <c r="AX1060" s="20"/>
    </row>
    <row r="106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0"/>
      <c r="AQ1061" s="20"/>
      <c r="AR1061" s="20"/>
      <c r="AS1061" s="20"/>
      <c r="AT1061" s="20"/>
      <c r="AU1061" s="20"/>
      <c r="AV1061" s="20"/>
      <c r="AW1061" s="20"/>
      <c r="AX1061" s="20"/>
    </row>
    <row r="1062">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0"/>
      <c r="AQ1062" s="20"/>
      <c r="AR1062" s="20"/>
      <c r="AS1062" s="20"/>
      <c r="AT1062" s="20"/>
      <c r="AU1062" s="20"/>
      <c r="AV1062" s="20"/>
      <c r="AW1062" s="20"/>
      <c r="AX1062" s="20"/>
    </row>
    <row r="1063">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c r="AS1063" s="20"/>
      <c r="AT1063" s="20"/>
      <c r="AU1063" s="20"/>
      <c r="AV1063" s="20"/>
      <c r="AW1063" s="20"/>
      <c r="AX1063" s="20"/>
    </row>
    <row r="1064">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c r="AS1064" s="20"/>
      <c r="AT1064" s="20"/>
      <c r="AU1064" s="20"/>
      <c r="AV1064" s="20"/>
      <c r="AW1064" s="20"/>
      <c r="AX1064" s="20"/>
    </row>
    <row r="1065">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c r="AO1065" s="20"/>
      <c r="AP1065" s="20"/>
      <c r="AQ1065" s="20"/>
      <c r="AR1065" s="20"/>
      <c r="AS1065" s="20"/>
      <c r="AT1065" s="20"/>
      <c r="AU1065" s="20"/>
      <c r="AV1065" s="20"/>
      <c r="AW1065" s="20"/>
      <c r="AX1065" s="20"/>
    </row>
    <row r="1066">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row>
    <row r="1067">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0"/>
      <c r="AQ1067" s="20"/>
      <c r="AR1067" s="20"/>
      <c r="AS1067" s="20"/>
      <c r="AT1067" s="20"/>
      <c r="AU1067" s="20"/>
      <c r="AV1067" s="20"/>
      <c r="AW1067" s="20"/>
      <c r="AX1067" s="20"/>
    </row>
    <row r="1068">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c r="AS1068" s="20"/>
      <c r="AT1068" s="20"/>
      <c r="AU1068" s="20"/>
      <c r="AV1068" s="20"/>
      <c r="AW1068" s="20"/>
      <c r="AX1068" s="20"/>
    </row>
    <row r="1069">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0"/>
      <c r="AQ1069" s="20"/>
      <c r="AR1069" s="20"/>
      <c r="AS1069" s="20"/>
      <c r="AT1069" s="20"/>
      <c r="AU1069" s="20"/>
      <c r="AV1069" s="20"/>
      <c r="AW1069" s="20"/>
      <c r="AX1069" s="20"/>
    </row>
    <row r="1070">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0"/>
      <c r="AQ1070" s="20"/>
      <c r="AR1070" s="20"/>
      <c r="AS1070" s="20"/>
      <c r="AT1070" s="20"/>
      <c r="AU1070" s="20"/>
      <c r="AV1070" s="20"/>
      <c r="AW1070" s="20"/>
      <c r="AX1070" s="20"/>
    </row>
    <row r="1071">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c r="AQ1071" s="20"/>
      <c r="AR1071" s="20"/>
      <c r="AS1071" s="20"/>
      <c r="AT1071" s="20"/>
      <c r="AU1071" s="20"/>
      <c r="AV1071" s="20"/>
      <c r="AW1071" s="20"/>
      <c r="AX1071" s="20"/>
    </row>
    <row r="1072">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c r="AQ1072" s="20"/>
      <c r="AR1072" s="20"/>
      <c r="AS1072" s="20"/>
      <c r="AT1072" s="20"/>
      <c r="AU1072" s="20"/>
      <c r="AV1072" s="20"/>
      <c r="AW1072" s="20"/>
      <c r="AX1072" s="20"/>
    </row>
    <row r="107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c r="AQ1073" s="20"/>
      <c r="AR1073" s="20"/>
      <c r="AS1073" s="20"/>
      <c r="AT1073" s="20"/>
      <c r="AU1073" s="20"/>
      <c r="AV1073" s="20"/>
      <c r="AW1073" s="20"/>
      <c r="AX1073" s="20"/>
    </row>
    <row r="1074">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c r="AQ1074" s="20"/>
      <c r="AR1074" s="20"/>
      <c r="AS1074" s="20"/>
      <c r="AT1074" s="20"/>
      <c r="AU1074" s="20"/>
      <c r="AV1074" s="20"/>
      <c r="AW1074" s="20"/>
      <c r="AX1074" s="20"/>
    </row>
    <row r="1075">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c r="AS1075" s="20"/>
      <c r="AT1075" s="20"/>
      <c r="AU1075" s="20"/>
      <c r="AV1075" s="20"/>
      <c r="AW1075" s="20"/>
      <c r="AX1075" s="20"/>
    </row>
    <row r="1076">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c r="AS1076" s="20"/>
      <c r="AT1076" s="20"/>
      <c r="AU1076" s="20"/>
      <c r="AV1076" s="20"/>
      <c r="AW1076" s="20"/>
      <c r="AX1076" s="20"/>
    </row>
    <row r="1077">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0"/>
      <c r="AQ1077" s="20"/>
      <c r="AR1077" s="20"/>
      <c r="AS1077" s="20"/>
      <c r="AT1077" s="20"/>
      <c r="AU1077" s="20"/>
      <c r="AV1077" s="20"/>
      <c r="AW1077" s="20"/>
      <c r="AX1077" s="20"/>
    </row>
    <row r="1078">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c r="AS1078" s="20"/>
      <c r="AT1078" s="20"/>
      <c r="AU1078" s="20"/>
      <c r="AV1078" s="20"/>
      <c r="AW1078" s="20"/>
      <c r="AX1078" s="20"/>
    </row>
    <row r="1079">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c r="AS1079" s="20"/>
      <c r="AT1079" s="20"/>
      <c r="AU1079" s="20"/>
      <c r="AV1079" s="20"/>
      <c r="AW1079" s="20"/>
      <c r="AX1079" s="20"/>
    </row>
    <row r="1080">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c r="AS1080" s="20"/>
      <c r="AT1080" s="20"/>
      <c r="AU1080" s="20"/>
      <c r="AV1080" s="20"/>
      <c r="AW1080" s="20"/>
      <c r="AX1080" s="20"/>
    </row>
    <row r="108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c r="AS1081" s="20"/>
      <c r="AT1081" s="20"/>
      <c r="AU1081" s="20"/>
      <c r="AV1081" s="20"/>
      <c r="AW1081" s="20"/>
      <c r="AX1081" s="20"/>
    </row>
    <row r="1082">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0"/>
      <c r="AQ1082" s="20"/>
      <c r="AR1082" s="20"/>
      <c r="AS1082" s="20"/>
      <c r="AT1082" s="20"/>
      <c r="AU1082" s="20"/>
      <c r="AV1082" s="20"/>
      <c r="AW1082" s="20"/>
      <c r="AX1082" s="20"/>
    </row>
    <row r="1083">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c r="AS1083" s="20"/>
      <c r="AT1083" s="20"/>
      <c r="AU1083" s="20"/>
      <c r="AV1083" s="20"/>
      <c r="AW1083" s="20"/>
      <c r="AX1083" s="20"/>
    </row>
    <row r="1084">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0"/>
      <c r="AQ1084" s="20"/>
      <c r="AR1084" s="20"/>
      <c r="AS1084" s="20"/>
      <c r="AT1084" s="20"/>
      <c r="AU1084" s="20"/>
      <c r="AV1084" s="20"/>
      <c r="AW1084" s="20"/>
      <c r="AX1084" s="20"/>
    </row>
    <row r="1085">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c r="AS1085" s="20"/>
      <c r="AT1085" s="20"/>
      <c r="AU1085" s="20"/>
      <c r="AV1085" s="20"/>
      <c r="AW1085" s="20"/>
      <c r="AX1085" s="20"/>
    </row>
    <row r="1086">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c r="AS1086" s="20"/>
      <c r="AT1086" s="20"/>
      <c r="AU1086" s="20"/>
      <c r="AV1086" s="20"/>
      <c r="AW1086" s="20"/>
      <c r="AX1086" s="20"/>
    </row>
    <row r="1087">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c r="AQ1087" s="20"/>
      <c r="AR1087" s="20"/>
      <c r="AS1087" s="20"/>
      <c r="AT1087" s="20"/>
      <c r="AU1087" s="20"/>
      <c r="AV1087" s="20"/>
      <c r="AW1087" s="20"/>
      <c r="AX1087" s="20"/>
    </row>
    <row r="1088">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c r="AQ1088" s="20"/>
      <c r="AR1088" s="20"/>
      <c r="AS1088" s="20"/>
      <c r="AT1088" s="20"/>
      <c r="AU1088" s="20"/>
      <c r="AV1088" s="20"/>
      <c r="AW1088" s="20"/>
      <c r="AX1088" s="20"/>
    </row>
    <row r="1089">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c r="AQ1089" s="20"/>
      <c r="AR1089" s="20"/>
      <c r="AS1089" s="20"/>
      <c r="AT1089" s="20"/>
      <c r="AU1089" s="20"/>
      <c r="AV1089" s="20"/>
      <c r="AW1089" s="20"/>
      <c r="AX1089" s="20"/>
    </row>
    <row r="1090">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c r="AS1090" s="20"/>
      <c r="AT1090" s="20"/>
      <c r="AU1090" s="20"/>
      <c r="AV1090" s="20"/>
      <c r="AW1090" s="20"/>
      <c r="AX1090" s="20"/>
    </row>
    <row r="1091">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c r="AS1091" s="20"/>
      <c r="AT1091" s="20"/>
      <c r="AU1091" s="20"/>
      <c r="AV1091" s="20"/>
      <c r="AW1091" s="20"/>
      <c r="AX1091" s="20"/>
    </row>
    <row r="1092">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c r="AQ1092" s="20"/>
      <c r="AR1092" s="20"/>
      <c r="AS1092" s="20"/>
      <c r="AT1092" s="20"/>
      <c r="AU1092" s="20"/>
      <c r="AV1092" s="20"/>
      <c r="AW1092" s="20"/>
      <c r="AX1092" s="20"/>
    </row>
    <row r="109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c r="AQ1093" s="20"/>
      <c r="AR1093" s="20"/>
      <c r="AS1093" s="20"/>
      <c r="AT1093" s="20"/>
      <c r="AU1093" s="20"/>
      <c r="AV1093" s="20"/>
      <c r="AW1093" s="20"/>
      <c r="AX1093" s="20"/>
    </row>
    <row r="1094">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c r="AQ1094" s="20"/>
      <c r="AR1094" s="20"/>
      <c r="AS1094" s="20"/>
      <c r="AT1094" s="20"/>
      <c r="AU1094" s="20"/>
      <c r="AV1094" s="20"/>
      <c r="AW1094" s="20"/>
      <c r="AX1094" s="20"/>
    </row>
    <row r="1095">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c r="AQ1095" s="20"/>
      <c r="AR1095" s="20"/>
      <c r="AS1095" s="20"/>
      <c r="AT1095" s="20"/>
      <c r="AU1095" s="20"/>
      <c r="AV1095" s="20"/>
      <c r="AW1095" s="20"/>
      <c r="AX1095" s="20"/>
    </row>
    <row r="1096">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c r="AS1096" s="20"/>
      <c r="AT1096" s="20"/>
      <c r="AU1096" s="20"/>
      <c r="AV1096" s="20"/>
      <c r="AW1096" s="20"/>
      <c r="AX1096" s="20"/>
    </row>
    <row r="1097">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c r="AQ1097" s="20"/>
      <c r="AR1097" s="20"/>
      <c r="AS1097" s="20"/>
      <c r="AT1097" s="20"/>
      <c r="AU1097" s="20"/>
      <c r="AV1097" s="20"/>
      <c r="AW1097" s="20"/>
      <c r="AX1097" s="20"/>
    </row>
    <row r="1098">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c r="AJ1098" s="20"/>
      <c r="AK1098" s="20"/>
      <c r="AL1098" s="20"/>
      <c r="AM1098" s="20"/>
      <c r="AN1098" s="20"/>
      <c r="AO1098" s="20"/>
      <c r="AP1098" s="20"/>
      <c r="AQ1098" s="20"/>
      <c r="AR1098" s="20"/>
      <c r="AS1098" s="20"/>
      <c r="AT1098" s="20"/>
      <c r="AU1098" s="20"/>
      <c r="AV1098" s="20"/>
      <c r="AW1098" s="20"/>
      <c r="AX1098" s="20"/>
    </row>
    <row r="1099">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c r="AS1099" s="20"/>
      <c r="AT1099" s="20"/>
      <c r="AU1099" s="20"/>
      <c r="AV1099" s="20"/>
      <c r="AW1099" s="20"/>
      <c r="AX1099" s="20"/>
    </row>
    <row r="1100">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c r="AQ1100" s="20"/>
      <c r="AR1100" s="20"/>
      <c r="AS1100" s="20"/>
      <c r="AT1100" s="20"/>
      <c r="AU1100" s="20"/>
      <c r="AV1100" s="20"/>
      <c r="AW1100" s="20"/>
      <c r="AX1100" s="20"/>
    </row>
    <row r="110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c r="AS1101" s="20"/>
      <c r="AT1101" s="20"/>
      <c r="AU1101" s="20"/>
      <c r="AV1101" s="20"/>
      <c r="AW1101" s="20"/>
      <c r="AX1101" s="20"/>
    </row>
    <row r="1102">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0"/>
      <c r="AQ1102" s="20"/>
      <c r="AR1102" s="20"/>
      <c r="AS1102" s="20"/>
      <c r="AT1102" s="20"/>
      <c r="AU1102" s="20"/>
      <c r="AV1102" s="20"/>
      <c r="AW1102" s="20"/>
      <c r="AX1102" s="20"/>
    </row>
    <row r="1103">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c r="AS1103" s="20"/>
      <c r="AT1103" s="20"/>
      <c r="AU1103" s="20"/>
      <c r="AV1103" s="20"/>
      <c r="AW1103" s="20"/>
      <c r="AX1103" s="20"/>
    </row>
    <row r="1104">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c r="AS1104" s="20"/>
      <c r="AT1104" s="20"/>
      <c r="AU1104" s="20"/>
      <c r="AV1104" s="20"/>
      <c r="AW1104" s="20"/>
      <c r="AX1104" s="20"/>
    </row>
    <row r="1105">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c r="AS1105" s="20"/>
      <c r="AT1105" s="20"/>
      <c r="AU1105" s="20"/>
      <c r="AV1105" s="20"/>
      <c r="AW1105" s="20"/>
      <c r="AX1105" s="20"/>
    </row>
    <row r="1106">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c r="AJ1106" s="20"/>
      <c r="AK1106" s="20"/>
      <c r="AL1106" s="20"/>
      <c r="AM1106" s="20"/>
      <c r="AN1106" s="20"/>
      <c r="AO1106" s="20"/>
      <c r="AP1106" s="20"/>
      <c r="AQ1106" s="20"/>
      <c r="AR1106" s="20"/>
      <c r="AS1106" s="20"/>
      <c r="AT1106" s="20"/>
      <c r="AU1106" s="20"/>
      <c r="AV1106" s="20"/>
      <c r="AW1106" s="20"/>
      <c r="AX1106" s="20"/>
    </row>
    <row r="1107">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c r="AS1107" s="20"/>
      <c r="AT1107" s="20"/>
      <c r="AU1107" s="20"/>
      <c r="AV1107" s="20"/>
      <c r="AW1107" s="20"/>
      <c r="AX1107" s="20"/>
    </row>
    <row r="1108">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c r="AQ1108" s="20"/>
      <c r="AR1108" s="20"/>
      <c r="AS1108" s="20"/>
      <c r="AT1108" s="20"/>
      <c r="AU1108" s="20"/>
      <c r="AV1108" s="20"/>
      <c r="AW1108" s="20"/>
      <c r="AX1108" s="20"/>
    </row>
    <row r="1109">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c r="AS1109" s="20"/>
      <c r="AT1109" s="20"/>
      <c r="AU1109" s="20"/>
      <c r="AV1109" s="20"/>
      <c r="AW1109" s="20"/>
      <c r="AX1109" s="20"/>
    </row>
    <row r="1110">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c r="AQ1110" s="20"/>
      <c r="AR1110" s="20"/>
      <c r="AS1110" s="20"/>
      <c r="AT1110" s="20"/>
      <c r="AU1110" s="20"/>
      <c r="AV1110" s="20"/>
      <c r="AW1110" s="20"/>
      <c r="AX1110" s="20"/>
    </row>
    <row r="1111">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c r="AQ1111" s="20"/>
      <c r="AR1111" s="20"/>
      <c r="AS1111" s="20"/>
      <c r="AT1111" s="20"/>
      <c r="AU1111" s="20"/>
      <c r="AV1111" s="20"/>
      <c r="AW1111" s="20"/>
      <c r="AX1111" s="20"/>
    </row>
    <row r="1112">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c r="AQ1112" s="20"/>
      <c r="AR1112" s="20"/>
      <c r="AS1112" s="20"/>
      <c r="AT1112" s="20"/>
      <c r="AU1112" s="20"/>
      <c r="AV1112" s="20"/>
      <c r="AW1112" s="20"/>
      <c r="AX1112" s="20"/>
    </row>
    <row r="111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c r="AS1113" s="20"/>
      <c r="AT1113" s="20"/>
      <c r="AU1113" s="20"/>
      <c r="AV1113" s="20"/>
      <c r="AW1113" s="20"/>
      <c r="AX1113" s="20"/>
    </row>
    <row r="1114">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c r="AS1114" s="20"/>
      <c r="AT1114" s="20"/>
      <c r="AU1114" s="20"/>
      <c r="AV1114" s="20"/>
      <c r="AW1114" s="20"/>
      <c r="AX1114" s="20"/>
    </row>
    <row r="1115">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c r="AS1115" s="20"/>
      <c r="AT1115" s="20"/>
      <c r="AU1115" s="20"/>
      <c r="AV1115" s="20"/>
      <c r="AW1115" s="20"/>
      <c r="AX1115" s="20"/>
    </row>
    <row r="1116">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c r="AQ1116" s="20"/>
      <c r="AR1116" s="20"/>
      <c r="AS1116" s="20"/>
      <c r="AT1116" s="20"/>
      <c r="AU1116" s="20"/>
      <c r="AV1116" s="20"/>
      <c r="AW1116" s="20"/>
      <c r="AX1116" s="20"/>
    </row>
    <row r="1117">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c r="AS1117" s="20"/>
      <c r="AT1117" s="20"/>
      <c r="AU1117" s="20"/>
      <c r="AV1117" s="20"/>
      <c r="AW1117" s="20"/>
      <c r="AX1117" s="20"/>
    </row>
    <row r="1118">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c r="AS1118" s="20"/>
      <c r="AT1118" s="20"/>
      <c r="AU1118" s="20"/>
      <c r="AV1118" s="20"/>
      <c r="AW1118" s="20"/>
      <c r="AX1118" s="20"/>
    </row>
    <row r="1119">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0"/>
      <c r="AQ1119" s="20"/>
      <c r="AR1119" s="20"/>
      <c r="AS1119" s="20"/>
      <c r="AT1119" s="20"/>
      <c r="AU1119" s="20"/>
      <c r="AV1119" s="20"/>
      <c r="AW1119" s="20"/>
      <c r="AX1119" s="20"/>
    </row>
    <row r="1120">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0"/>
      <c r="AQ1120" s="20"/>
      <c r="AR1120" s="20"/>
      <c r="AS1120" s="20"/>
      <c r="AT1120" s="20"/>
      <c r="AU1120" s="20"/>
      <c r="AV1120" s="20"/>
      <c r="AW1120" s="20"/>
      <c r="AX1120" s="20"/>
    </row>
    <row r="112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c r="AS1121" s="20"/>
      <c r="AT1121" s="20"/>
      <c r="AU1121" s="20"/>
      <c r="AV1121" s="20"/>
      <c r="AW1121" s="20"/>
      <c r="AX1121" s="20"/>
    </row>
    <row r="1122">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c r="AS1122" s="20"/>
      <c r="AT1122" s="20"/>
      <c r="AU1122" s="20"/>
      <c r="AV1122" s="20"/>
      <c r="AW1122" s="20"/>
      <c r="AX1122" s="20"/>
    </row>
    <row r="1123">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row>
    <row r="1124">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c r="AS1124" s="20"/>
      <c r="AT1124" s="20"/>
      <c r="AU1124" s="20"/>
      <c r="AV1124" s="20"/>
      <c r="AW1124" s="20"/>
      <c r="AX1124" s="20"/>
    </row>
    <row r="1125">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c r="AS1125" s="20"/>
      <c r="AT1125" s="20"/>
      <c r="AU1125" s="20"/>
      <c r="AV1125" s="20"/>
      <c r="AW1125" s="20"/>
      <c r="AX1125" s="20"/>
    </row>
    <row r="1126">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c r="AQ1126" s="20"/>
      <c r="AR1126" s="20"/>
      <c r="AS1126" s="20"/>
      <c r="AT1126" s="20"/>
      <c r="AU1126" s="20"/>
      <c r="AV1126" s="20"/>
      <c r="AW1126" s="20"/>
      <c r="AX1126" s="20"/>
    </row>
    <row r="1127">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c r="AS1127" s="20"/>
      <c r="AT1127" s="20"/>
      <c r="AU1127" s="20"/>
      <c r="AV1127" s="20"/>
      <c r="AW1127" s="20"/>
      <c r="AX1127" s="20"/>
    </row>
    <row r="1128">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c r="AQ1128" s="20"/>
      <c r="AR1128" s="20"/>
      <c r="AS1128" s="20"/>
      <c r="AT1128" s="20"/>
      <c r="AU1128" s="20"/>
      <c r="AV1128" s="20"/>
      <c r="AW1128" s="20"/>
      <c r="AX1128" s="20"/>
    </row>
    <row r="1129">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c r="AQ1129" s="20"/>
      <c r="AR1129" s="20"/>
      <c r="AS1129" s="20"/>
      <c r="AT1129" s="20"/>
      <c r="AU1129" s="20"/>
      <c r="AV1129" s="20"/>
      <c r="AW1129" s="20"/>
      <c r="AX1129" s="20"/>
    </row>
    <row r="1130">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c r="AS1130" s="20"/>
      <c r="AT1130" s="20"/>
      <c r="AU1130" s="20"/>
      <c r="AV1130" s="20"/>
      <c r="AW1130" s="20"/>
      <c r="AX1130" s="20"/>
    </row>
    <row r="1131">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c r="AQ1131" s="20"/>
      <c r="AR1131" s="20"/>
      <c r="AS1131" s="20"/>
      <c r="AT1131" s="20"/>
      <c r="AU1131" s="20"/>
      <c r="AV1131" s="20"/>
      <c r="AW1131" s="20"/>
      <c r="AX1131" s="20"/>
    </row>
    <row r="1132">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c r="AQ1132" s="20"/>
      <c r="AR1132" s="20"/>
      <c r="AS1132" s="20"/>
      <c r="AT1132" s="20"/>
      <c r="AU1132" s="20"/>
      <c r="AV1132" s="20"/>
      <c r="AW1132" s="20"/>
      <c r="AX1132" s="20"/>
    </row>
    <row r="113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c r="AQ1133" s="20"/>
      <c r="AR1133" s="20"/>
      <c r="AS1133" s="20"/>
      <c r="AT1133" s="20"/>
      <c r="AU1133" s="20"/>
      <c r="AV1133" s="20"/>
      <c r="AW1133" s="20"/>
      <c r="AX1133" s="20"/>
    </row>
    <row r="1134">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0"/>
      <c r="AQ1134" s="20"/>
      <c r="AR1134" s="20"/>
      <c r="AS1134" s="20"/>
      <c r="AT1134" s="20"/>
      <c r="AU1134" s="20"/>
      <c r="AV1134" s="20"/>
      <c r="AW1134" s="20"/>
      <c r="AX1134" s="20"/>
    </row>
    <row r="1135">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row>
    <row r="1136">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c r="AS1136" s="20"/>
      <c r="AT1136" s="20"/>
      <c r="AU1136" s="20"/>
      <c r="AV1136" s="20"/>
      <c r="AW1136" s="20"/>
      <c r="AX1136" s="20"/>
    </row>
    <row r="1137">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c r="AE1137" s="20"/>
      <c r="AF1137" s="20"/>
      <c r="AG1137" s="20"/>
      <c r="AH1137" s="20"/>
      <c r="AI1137" s="20"/>
      <c r="AJ1137" s="20"/>
      <c r="AK1137" s="20"/>
      <c r="AL1137" s="20"/>
      <c r="AM1137" s="20"/>
      <c r="AN1137" s="20"/>
      <c r="AO1137" s="20"/>
      <c r="AP1137" s="20"/>
      <c r="AQ1137" s="20"/>
      <c r="AR1137" s="20"/>
      <c r="AS1137" s="20"/>
      <c r="AT1137" s="20"/>
      <c r="AU1137" s="20"/>
      <c r="AV1137" s="20"/>
      <c r="AW1137" s="20"/>
      <c r="AX1137" s="20"/>
    </row>
    <row r="1138">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c r="AQ1138" s="20"/>
      <c r="AR1138" s="20"/>
      <c r="AS1138" s="20"/>
      <c r="AT1138" s="20"/>
      <c r="AU1138" s="20"/>
      <c r="AV1138" s="20"/>
      <c r="AW1138" s="20"/>
      <c r="AX1138" s="20"/>
    </row>
    <row r="1139">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c r="AS1139" s="20"/>
      <c r="AT1139" s="20"/>
      <c r="AU1139" s="20"/>
      <c r="AV1139" s="20"/>
      <c r="AW1139" s="20"/>
      <c r="AX1139" s="20"/>
    </row>
    <row r="1140">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c r="AQ1140" s="20"/>
      <c r="AR1140" s="20"/>
      <c r="AS1140" s="20"/>
      <c r="AT1140" s="20"/>
      <c r="AU1140" s="20"/>
      <c r="AV1140" s="20"/>
      <c r="AW1140" s="20"/>
      <c r="AX1140" s="20"/>
    </row>
    <row r="114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c r="AE1141" s="20"/>
      <c r="AF1141" s="20"/>
      <c r="AG1141" s="20"/>
      <c r="AH1141" s="20"/>
      <c r="AI1141" s="20"/>
      <c r="AJ1141" s="20"/>
      <c r="AK1141" s="20"/>
      <c r="AL1141" s="20"/>
      <c r="AM1141" s="20"/>
      <c r="AN1141" s="20"/>
      <c r="AO1141" s="20"/>
      <c r="AP1141" s="20"/>
      <c r="AQ1141" s="20"/>
      <c r="AR1141" s="20"/>
      <c r="AS1141" s="20"/>
      <c r="AT1141" s="20"/>
      <c r="AU1141" s="20"/>
      <c r="AV1141" s="20"/>
      <c r="AW1141" s="20"/>
      <c r="AX1141" s="20"/>
    </row>
    <row r="1142">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c r="AS1142" s="20"/>
      <c r="AT1142" s="20"/>
      <c r="AU1142" s="20"/>
      <c r="AV1142" s="20"/>
      <c r="AW1142" s="20"/>
      <c r="AX1142" s="20"/>
    </row>
    <row r="1143">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c r="AS1143" s="20"/>
      <c r="AT1143" s="20"/>
      <c r="AU1143" s="20"/>
      <c r="AV1143" s="20"/>
      <c r="AW1143" s="20"/>
      <c r="AX1143" s="20"/>
    </row>
    <row r="1144">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c r="AQ1144" s="20"/>
      <c r="AR1144" s="20"/>
      <c r="AS1144" s="20"/>
      <c r="AT1144" s="20"/>
      <c r="AU1144" s="20"/>
      <c r="AV1144" s="20"/>
      <c r="AW1144" s="20"/>
      <c r="AX1144" s="20"/>
    </row>
    <row r="1145">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c r="AS1145" s="20"/>
      <c r="AT1145" s="20"/>
      <c r="AU1145" s="20"/>
      <c r="AV1145" s="20"/>
      <c r="AW1145" s="20"/>
      <c r="AX1145" s="20"/>
    </row>
    <row r="1146">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c r="AS1146" s="20"/>
      <c r="AT1146" s="20"/>
      <c r="AU1146" s="20"/>
      <c r="AV1146" s="20"/>
      <c r="AW1146" s="20"/>
      <c r="AX1146" s="20"/>
    </row>
    <row r="1147">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c r="AS1147" s="20"/>
      <c r="AT1147" s="20"/>
      <c r="AU1147" s="20"/>
      <c r="AV1147" s="20"/>
      <c r="AW1147" s="20"/>
      <c r="AX1147" s="20"/>
    </row>
    <row r="1148">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c r="AS1148" s="20"/>
      <c r="AT1148" s="20"/>
      <c r="AU1148" s="20"/>
      <c r="AV1148" s="20"/>
      <c r="AW1148" s="20"/>
      <c r="AX1148" s="20"/>
    </row>
    <row r="1149">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c r="AQ1149" s="20"/>
      <c r="AR1149" s="20"/>
      <c r="AS1149" s="20"/>
      <c r="AT1149" s="20"/>
      <c r="AU1149" s="20"/>
      <c r="AV1149" s="20"/>
      <c r="AW1149" s="20"/>
      <c r="AX1149" s="20"/>
    </row>
    <row r="1150">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c r="AQ1150" s="20"/>
      <c r="AR1150" s="20"/>
      <c r="AS1150" s="20"/>
      <c r="AT1150" s="20"/>
      <c r="AU1150" s="20"/>
      <c r="AV1150" s="20"/>
      <c r="AW1150" s="20"/>
      <c r="AX1150" s="20"/>
    </row>
    <row r="1151">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c r="AQ1151" s="20"/>
      <c r="AR1151" s="20"/>
      <c r="AS1151" s="20"/>
      <c r="AT1151" s="20"/>
      <c r="AU1151" s="20"/>
      <c r="AV1151" s="20"/>
      <c r="AW1151" s="20"/>
      <c r="AX1151" s="20"/>
    </row>
    <row r="1152">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row>
    <row r="115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c r="AQ1153" s="20"/>
      <c r="AR1153" s="20"/>
      <c r="AS1153" s="20"/>
      <c r="AT1153" s="20"/>
      <c r="AU1153" s="20"/>
      <c r="AV1153" s="20"/>
      <c r="AW1153" s="20"/>
      <c r="AX1153" s="20"/>
    </row>
    <row r="1154">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c r="AS1154" s="20"/>
      <c r="AT1154" s="20"/>
      <c r="AU1154" s="20"/>
      <c r="AV1154" s="20"/>
      <c r="AW1154" s="20"/>
      <c r="AX1154" s="20"/>
    </row>
    <row r="1155">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c r="AE1155" s="20"/>
      <c r="AF1155" s="20"/>
      <c r="AG1155" s="20"/>
      <c r="AH1155" s="20"/>
      <c r="AI1155" s="20"/>
      <c r="AJ1155" s="20"/>
      <c r="AK1155" s="20"/>
      <c r="AL1155" s="20"/>
      <c r="AM1155" s="20"/>
      <c r="AN1155" s="20"/>
      <c r="AO1155" s="20"/>
      <c r="AP1155" s="20"/>
      <c r="AQ1155" s="20"/>
      <c r="AR1155" s="20"/>
      <c r="AS1155" s="20"/>
      <c r="AT1155" s="20"/>
      <c r="AU1155" s="20"/>
      <c r="AV1155" s="20"/>
      <c r="AW1155" s="20"/>
      <c r="AX1155" s="20"/>
    </row>
    <row r="1156">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c r="AQ1156" s="20"/>
      <c r="AR1156" s="20"/>
      <c r="AS1156" s="20"/>
      <c r="AT1156" s="20"/>
      <c r="AU1156" s="20"/>
      <c r="AV1156" s="20"/>
      <c r="AW1156" s="20"/>
      <c r="AX1156" s="20"/>
    </row>
    <row r="1157">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c r="AS1157" s="20"/>
      <c r="AT1157" s="20"/>
      <c r="AU1157" s="20"/>
      <c r="AV1157" s="20"/>
      <c r="AW1157" s="20"/>
      <c r="AX1157" s="20"/>
    </row>
    <row r="1158">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c r="AQ1158" s="20"/>
      <c r="AR1158" s="20"/>
      <c r="AS1158" s="20"/>
      <c r="AT1158" s="20"/>
      <c r="AU1158" s="20"/>
      <c r="AV1158" s="20"/>
      <c r="AW1158" s="20"/>
      <c r="AX1158" s="20"/>
    </row>
    <row r="1159">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row>
    <row r="1160">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c r="AQ1160" s="20"/>
      <c r="AR1160" s="20"/>
      <c r="AS1160" s="20"/>
      <c r="AT1160" s="20"/>
      <c r="AU1160" s="20"/>
      <c r="AV1160" s="20"/>
      <c r="AW1160" s="20"/>
      <c r="AX1160" s="20"/>
    </row>
    <row r="116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c r="AQ1161" s="20"/>
      <c r="AR1161" s="20"/>
      <c r="AS1161" s="20"/>
      <c r="AT1161" s="20"/>
      <c r="AU1161" s="20"/>
      <c r="AV1161" s="20"/>
      <c r="AW1161" s="20"/>
      <c r="AX1161" s="20"/>
    </row>
    <row r="1162">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c r="AS1162" s="20"/>
      <c r="AT1162" s="20"/>
      <c r="AU1162" s="20"/>
      <c r="AV1162" s="20"/>
      <c r="AW1162" s="20"/>
      <c r="AX1162" s="20"/>
    </row>
    <row r="1163">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c r="AQ1163" s="20"/>
      <c r="AR1163" s="20"/>
      <c r="AS1163" s="20"/>
      <c r="AT1163" s="20"/>
      <c r="AU1163" s="20"/>
      <c r="AV1163" s="20"/>
      <c r="AW1163" s="20"/>
      <c r="AX1163" s="20"/>
    </row>
    <row r="1164">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c r="AQ1164" s="20"/>
      <c r="AR1164" s="20"/>
      <c r="AS1164" s="20"/>
      <c r="AT1164" s="20"/>
      <c r="AU1164" s="20"/>
      <c r="AV1164" s="20"/>
      <c r="AW1164" s="20"/>
      <c r="AX1164" s="20"/>
    </row>
    <row r="1165">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c r="AS1165" s="20"/>
      <c r="AT1165" s="20"/>
      <c r="AU1165" s="20"/>
      <c r="AV1165" s="20"/>
      <c r="AW1165" s="20"/>
      <c r="AX1165" s="20"/>
    </row>
    <row r="1166">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c r="AS1166" s="20"/>
      <c r="AT1166" s="20"/>
      <c r="AU1166" s="20"/>
      <c r="AV1166" s="20"/>
      <c r="AW1166" s="20"/>
      <c r="AX1166" s="20"/>
    </row>
    <row r="1167">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c r="AS1167" s="20"/>
      <c r="AT1167" s="20"/>
      <c r="AU1167" s="20"/>
      <c r="AV1167" s="20"/>
      <c r="AW1167" s="20"/>
      <c r="AX1167" s="20"/>
    </row>
    <row r="1168">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c r="AS1168" s="20"/>
      <c r="AT1168" s="20"/>
      <c r="AU1168" s="20"/>
      <c r="AV1168" s="20"/>
      <c r="AW1168" s="20"/>
      <c r="AX1168" s="20"/>
    </row>
    <row r="1169">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c r="AQ1169" s="20"/>
      <c r="AR1169" s="20"/>
      <c r="AS1169" s="20"/>
      <c r="AT1169" s="20"/>
      <c r="AU1169" s="20"/>
      <c r="AV1169" s="20"/>
      <c r="AW1169" s="20"/>
      <c r="AX1169" s="20"/>
    </row>
    <row r="1170">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c r="AQ1170" s="20"/>
      <c r="AR1170" s="20"/>
      <c r="AS1170" s="20"/>
      <c r="AT1170" s="20"/>
      <c r="AU1170" s="20"/>
      <c r="AV1170" s="20"/>
      <c r="AW1170" s="20"/>
      <c r="AX1170" s="20"/>
    </row>
    <row r="1171">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c r="AS1171" s="20"/>
      <c r="AT1171" s="20"/>
      <c r="AU1171" s="20"/>
      <c r="AV1171" s="20"/>
      <c r="AW1171" s="20"/>
      <c r="AX1171" s="20"/>
    </row>
    <row r="1172">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c r="AQ1172" s="20"/>
      <c r="AR1172" s="20"/>
      <c r="AS1172" s="20"/>
      <c r="AT1172" s="20"/>
      <c r="AU1172" s="20"/>
      <c r="AV1172" s="20"/>
      <c r="AW1172" s="20"/>
      <c r="AX1172" s="20"/>
    </row>
    <row r="117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c r="AS1173" s="20"/>
      <c r="AT1173" s="20"/>
      <c r="AU1173" s="20"/>
      <c r="AV1173" s="20"/>
      <c r="AW1173" s="20"/>
      <c r="AX1173" s="20"/>
    </row>
    <row r="1174">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c r="AS1174" s="20"/>
      <c r="AT1174" s="20"/>
      <c r="AU1174" s="20"/>
      <c r="AV1174" s="20"/>
      <c r="AW1174" s="20"/>
      <c r="AX1174" s="20"/>
    </row>
    <row r="1175">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c r="AQ1175" s="20"/>
      <c r="AR1175" s="20"/>
      <c r="AS1175" s="20"/>
      <c r="AT1175" s="20"/>
      <c r="AU1175" s="20"/>
      <c r="AV1175" s="20"/>
      <c r="AW1175" s="20"/>
      <c r="AX1175" s="20"/>
    </row>
    <row r="1176">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c r="AS1176" s="20"/>
      <c r="AT1176" s="20"/>
      <c r="AU1176" s="20"/>
      <c r="AV1176" s="20"/>
      <c r="AW1176" s="20"/>
      <c r="AX1176" s="20"/>
    </row>
    <row r="1177">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c r="AS1177" s="20"/>
      <c r="AT1177" s="20"/>
      <c r="AU1177" s="20"/>
      <c r="AV1177" s="20"/>
      <c r="AW1177" s="20"/>
      <c r="AX1177" s="20"/>
    </row>
    <row r="1178">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c r="AE1178" s="20"/>
      <c r="AF1178" s="20"/>
      <c r="AG1178" s="20"/>
      <c r="AH1178" s="20"/>
      <c r="AI1178" s="20"/>
      <c r="AJ1178" s="20"/>
      <c r="AK1178" s="20"/>
      <c r="AL1178" s="20"/>
      <c r="AM1178" s="20"/>
      <c r="AN1178" s="20"/>
      <c r="AO1178" s="20"/>
      <c r="AP1178" s="20"/>
      <c r="AQ1178" s="20"/>
      <c r="AR1178" s="20"/>
      <c r="AS1178" s="20"/>
      <c r="AT1178" s="20"/>
      <c r="AU1178" s="20"/>
      <c r="AV1178" s="20"/>
      <c r="AW1178" s="20"/>
      <c r="AX1178" s="20"/>
    </row>
    <row r="1179">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c r="AS1179" s="20"/>
      <c r="AT1179" s="20"/>
      <c r="AU1179" s="20"/>
      <c r="AV1179" s="20"/>
      <c r="AW1179" s="20"/>
      <c r="AX1179" s="20"/>
    </row>
    <row r="1180">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c r="AS1180" s="20"/>
      <c r="AT1180" s="20"/>
      <c r="AU1180" s="20"/>
      <c r="AV1180" s="20"/>
      <c r="AW1180" s="20"/>
      <c r="AX1180" s="20"/>
    </row>
    <row r="118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c r="AQ1181" s="20"/>
      <c r="AR1181" s="20"/>
      <c r="AS1181" s="20"/>
      <c r="AT1181" s="20"/>
      <c r="AU1181" s="20"/>
      <c r="AV1181" s="20"/>
      <c r="AW1181" s="20"/>
      <c r="AX1181" s="20"/>
    </row>
    <row r="1182">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c r="AS1182" s="20"/>
      <c r="AT1182" s="20"/>
      <c r="AU1182" s="20"/>
      <c r="AV1182" s="20"/>
      <c r="AW1182" s="20"/>
      <c r="AX1182" s="20"/>
    </row>
    <row r="1183">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c r="AQ1183" s="20"/>
      <c r="AR1183" s="20"/>
      <c r="AS1183" s="20"/>
      <c r="AT1183" s="20"/>
      <c r="AU1183" s="20"/>
      <c r="AV1183" s="20"/>
      <c r="AW1183" s="20"/>
      <c r="AX1183" s="20"/>
    </row>
    <row r="1184">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c r="AS1184" s="20"/>
      <c r="AT1184" s="20"/>
      <c r="AU1184" s="20"/>
      <c r="AV1184" s="20"/>
      <c r="AW1184" s="20"/>
      <c r="AX1184" s="20"/>
    </row>
    <row r="1185">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c r="AQ1185" s="20"/>
      <c r="AR1185" s="20"/>
      <c r="AS1185" s="20"/>
      <c r="AT1185" s="20"/>
      <c r="AU1185" s="20"/>
      <c r="AV1185" s="20"/>
      <c r="AW1185" s="20"/>
      <c r="AX1185" s="20"/>
    </row>
    <row r="1186">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c r="AS1186" s="20"/>
      <c r="AT1186" s="20"/>
      <c r="AU1186" s="20"/>
      <c r="AV1186" s="20"/>
      <c r="AW1186" s="20"/>
      <c r="AX1186" s="20"/>
    </row>
    <row r="1187">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c r="AQ1187" s="20"/>
      <c r="AR1187" s="20"/>
      <c r="AS1187" s="20"/>
      <c r="AT1187" s="20"/>
      <c r="AU1187" s="20"/>
      <c r="AV1187" s="20"/>
      <c r="AW1187" s="20"/>
      <c r="AX1187" s="20"/>
    </row>
    <row r="1188">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c r="AS1188" s="20"/>
      <c r="AT1188" s="20"/>
      <c r="AU1188" s="20"/>
      <c r="AV1188" s="20"/>
      <c r="AW1188" s="20"/>
      <c r="AX1188" s="20"/>
    </row>
    <row r="1189">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c r="AS1189" s="20"/>
      <c r="AT1189" s="20"/>
      <c r="AU1189" s="20"/>
      <c r="AV1189" s="20"/>
      <c r="AW1189" s="20"/>
      <c r="AX1189" s="20"/>
    </row>
    <row r="1190">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c r="AS1190" s="20"/>
      <c r="AT1190" s="20"/>
      <c r="AU1190" s="20"/>
      <c r="AV1190" s="20"/>
      <c r="AW1190" s="20"/>
      <c r="AX1190" s="20"/>
    </row>
    <row r="1191">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c r="AQ1191" s="20"/>
      <c r="AR1191" s="20"/>
      <c r="AS1191" s="20"/>
      <c r="AT1191" s="20"/>
      <c r="AU1191" s="20"/>
      <c r="AV1191" s="20"/>
      <c r="AW1191" s="20"/>
      <c r="AX1191" s="20"/>
    </row>
    <row r="1192">
      <c r="A1192" s="20"/>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c r="AQ1192" s="20"/>
      <c r="AR1192" s="20"/>
      <c r="AS1192" s="20"/>
      <c r="AT1192" s="20"/>
      <c r="AU1192" s="20"/>
      <c r="AV1192" s="20"/>
      <c r="AW1192" s="20"/>
      <c r="AX1192" s="20"/>
    </row>
    <row r="119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0"/>
      <c r="AQ1193" s="20"/>
      <c r="AR1193" s="20"/>
      <c r="AS1193" s="20"/>
      <c r="AT1193" s="20"/>
      <c r="AU1193" s="20"/>
      <c r="AV1193" s="20"/>
      <c r="AW1193" s="20"/>
      <c r="AX1193" s="20"/>
    </row>
    <row r="1194">
      <c r="A1194" s="20"/>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c r="AQ1194" s="20"/>
      <c r="AR1194" s="20"/>
      <c r="AS1194" s="20"/>
      <c r="AT1194" s="20"/>
      <c r="AU1194" s="20"/>
      <c r="AV1194" s="20"/>
      <c r="AW1194" s="20"/>
      <c r="AX1194" s="20"/>
    </row>
    <row r="1195">
      <c r="A1195" s="20"/>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c r="AQ1195" s="20"/>
      <c r="AR1195" s="20"/>
      <c r="AS1195" s="20"/>
      <c r="AT1195" s="20"/>
      <c r="AU1195" s="20"/>
      <c r="AV1195" s="20"/>
      <c r="AW1195" s="20"/>
      <c r="AX1195" s="20"/>
    </row>
    <row r="1196">
      <c r="A1196" s="20"/>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0"/>
      <c r="AQ1196" s="20"/>
      <c r="AR1196" s="20"/>
      <c r="AS1196" s="20"/>
      <c r="AT1196" s="20"/>
      <c r="AU1196" s="20"/>
      <c r="AV1196" s="20"/>
      <c r="AW1196" s="20"/>
      <c r="AX1196" s="20"/>
    </row>
    <row r="1197">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c r="AQ1197" s="20"/>
      <c r="AR1197" s="20"/>
      <c r="AS1197" s="20"/>
      <c r="AT1197" s="20"/>
      <c r="AU1197" s="20"/>
      <c r="AV1197" s="20"/>
      <c r="AW1197" s="20"/>
      <c r="AX1197" s="20"/>
    </row>
    <row r="1198">
      <c r="A1198" s="20"/>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c r="AQ1198" s="20"/>
      <c r="AR1198" s="20"/>
      <c r="AS1198" s="20"/>
      <c r="AT1198" s="20"/>
      <c r="AU1198" s="20"/>
      <c r="AV1198" s="20"/>
      <c r="AW1198" s="20"/>
      <c r="AX1198" s="20"/>
    </row>
    <row r="1199">
      <c r="A1199" s="20"/>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0"/>
      <c r="AQ1199" s="20"/>
      <c r="AR1199" s="20"/>
      <c r="AS1199" s="20"/>
      <c r="AT1199" s="20"/>
      <c r="AU1199" s="20"/>
      <c r="AV1199" s="20"/>
      <c r="AW1199" s="20"/>
      <c r="AX1199" s="20"/>
    </row>
    <row r="1200">
      <c r="A1200" s="20"/>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c r="AQ1200" s="20"/>
      <c r="AR1200" s="20"/>
      <c r="AS1200" s="20"/>
      <c r="AT1200" s="20"/>
      <c r="AU1200" s="20"/>
      <c r="AV1200" s="20"/>
      <c r="AW1200" s="20"/>
      <c r="AX1200" s="20"/>
    </row>
    <row r="1201">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c r="AQ1201" s="20"/>
      <c r="AR1201" s="20"/>
      <c r="AS1201" s="20"/>
      <c r="AT1201" s="20"/>
      <c r="AU1201" s="20"/>
      <c r="AV1201" s="20"/>
      <c r="AW1201" s="20"/>
      <c r="AX1201" s="20"/>
    </row>
    <row r="1202">
      <c r="A1202" s="20"/>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0"/>
      <c r="AQ1202" s="20"/>
      <c r="AR1202" s="20"/>
      <c r="AS1202" s="20"/>
      <c r="AT1202" s="20"/>
      <c r="AU1202" s="20"/>
      <c r="AV1202" s="20"/>
      <c r="AW1202" s="20"/>
      <c r="AX1202" s="20"/>
    </row>
    <row r="1203">
      <c r="A1203" s="20"/>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c r="AE1203" s="20"/>
      <c r="AF1203" s="20"/>
      <c r="AG1203" s="20"/>
      <c r="AH1203" s="20"/>
      <c r="AI1203" s="20"/>
      <c r="AJ1203" s="20"/>
      <c r="AK1203" s="20"/>
      <c r="AL1203" s="20"/>
      <c r="AM1203" s="20"/>
      <c r="AN1203" s="20"/>
      <c r="AO1203" s="20"/>
      <c r="AP1203" s="20"/>
      <c r="AQ1203" s="20"/>
      <c r="AR1203" s="20"/>
      <c r="AS1203" s="20"/>
      <c r="AT1203" s="20"/>
      <c r="AU1203" s="20"/>
      <c r="AV1203" s="20"/>
      <c r="AW1203" s="20"/>
      <c r="AX1203" s="20"/>
    </row>
    <row r="1204">
      <c r="A1204" s="20"/>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c r="AQ1204" s="20"/>
      <c r="AR1204" s="20"/>
      <c r="AS1204" s="20"/>
      <c r="AT1204" s="20"/>
      <c r="AU1204" s="20"/>
      <c r="AV1204" s="20"/>
      <c r="AW1204" s="20"/>
      <c r="AX1204" s="20"/>
    </row>
    <row r="1205">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c r="AQ1205" s="20"/>
      <c r="AR1205" s="20"/>
      <c r="AS1205" s="20"/>
      <c r="AT1205" s="20"/>
      <c r="AU1205" s="20"/>
      <c r="AV1205" s="20"/>
      <c r="AW1205" s="20"/>
      <c r="AX1205" s="20"/>
    </row>
    <row r="1206">
      <c r="A1206" s="20"/>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c r="AQ1206" s="20"/>
      <c r="AR1206" s="20"/>
      <c r="AS1206" s="20"/>
      <c r="AT1206" s="20"/>
      <c r="AU1206" s="20"/>
      <c r="AV1206" s="20"/>
      <c r="AW1206" s="20"/>
      <c r="AX1206" s="20"/>
    </row>
    <row r="1207">
      <c r="A1207" s="20"/>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0"/>
      <c r="AQ1207" s="20"/>
      <c r="AR1207" s="20"/>
      <c r="AS1207" s="20"/>
      <c r="AT1207" s="20"/>
      <c r="AU1207" s="20"/>
      <c r="AV1207" s="20"/>
      <c r="AW1207" s="20"/>
      <c r="AX1207" s="20"/>
    </row>
    <row r="1208">
      <c r="A1208" s="20"/>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c r="AQ1208" s="20"/>
      <c r="AR1208" s="20"/>
      <c r="AS1208" s="20"/>
      <c r="AT1208" s="20"/>
      <c r="AU1208" s="20"/>
      <c r="AV1208" s="20"/>
      <c r="AW1208" s="20"/>
      <c r="AX1208" s="20"/>
    </row>
    <row r="1209">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c r="AQ1209" s="20"/>
      <c r="AR1209" s="20"/>
      <c r="AS1209" s="20"/>
      <c r="AT1209" s="20"/>
      <c r="AU1209" s="20"/>
      <c r="AV1209" s="20"/>
      <c r="AW1209" s="20"/>
      <c r="AX1209" s="20"/>
    </row>
    <row r="1210">
      <c r="A1210" s="20"/>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c r="AQ1210" s="20"/>
      <c r="AR1210" s="20"/>
      <c r="AS1210" s="20"/>
      <c r="AT1210" s="20"/>
      <c r="AU1210" s="20"/>
      <c r="AV1210" s="20"/>
      <c r="AW1210" s="20"/>
      <c r="AX1210" s="20"/>
    </row>
    <row r="1211">
      <c r="A1211" s="20"/>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c r="AQ1211" s="20"/>
      <c r="AR1211" s="20"/>
      <c r="AS1211" s="20"/>
      <c r="AT1211" s="20"/>
      <c r="AU1211" s="20"/>
      <c r="AV1211" s="20"/>
      <c r="AW1211" s="20"/>
      <c r="AX1211" s="20"/>
    </row>
    <row r="1212">
      <c r="A1212" s="20"/>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c r="AE1212" s="20"/>
      <c r="AF1212" s="20"/>
      <c r="AG1212" s="20"/>
      <c r="AH1212" s="20"/>
      <c r="AI1212" s="20"/>
      <c r="AJ1212" s="20"/>
      <c r="AK1212" s="20"/>
      <c r="AL1212" s="20"/>
      <c r="AM1212" s="20"/>
      <c r="AN1212" s="20"/>
      <c r="AO1212" s="20"/>
      <c r="AP1212" s="20"/>
      <c r="AQ1212" s="20"/>
      <c r="AR1212" s="20"/>
      <c r="AS1212" s="20"/>
      <c r="AT1212" s="20"/>
      <c r="AU1212" s="20"/>
      <c r="AV1212" s="20"/>
      <c r="AW1212" s="20"/>
      <c r="AX1212" s="20"/>
    </row>
    <row r="121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c r="AQ1213" s="20"/>
      <c r="AR1213" s="20"/>
      <c r="AS1213" s="20"/>
      <c r="AT1213" s="20"/>
      <c r="AU1213" s="20"/>
      <c r="AV1213" s="20"/>
      <c r="AW1213" s="20"/>
      <c r="AX1213" s="20"/>
    </row>
    <row r="1214">
      <c r="A1214" s="20"/>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c r="AQ1214" s="20"/>
      <c r="AR1214" s="20"/>
      <c r="AS1214" s="20"/>
      <c r="AT1214" s="20"/>
      <c r="AU1214" s="20"/>
      <c r="AV1214" s="20"/>
      <c r="AW1214" s="20"/>
      <c r="AX1214" s="20"/>
    </row>
    <row r="1215">
      <c r="A1215" s="20"/>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c r="AQ1215" s="20"/>
      <c r="AR1215" s="20"/>
      <c r="AS1215" s="20"/>
      <c r="AT1215" s="20"/>
      <c r="AU1215" s="20"/>
      <c r="AV1215" s="20"/>
      <c r="AW1215" s="20"/>
      <c r="AX1215" s="20"/>
    </row>
    <row r="1216">
      <c r="A1216" s="20"/>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c r="AQ1216" s="20"/>
      <c r="AR1216" s="20"/>
      <c r="AS1216" s="20"/>
      <c r="AT1216" s="20"/>
      <c r="AU1216" s="20"/>
      <c r="AV1216" s="20"/>
      <c r="AW1216" s="20"/>
      <c r="AX1216" s="20"/>
    </row>
    <row r="1217">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c r="AQ1217" s="20"/>
      <c r="AR1217" s="20"/>
      <c r="AS1217" s="20"/>
      <c r="AT1217" s="20"/>
      <c r="AU1217" s="20"/>
      <c r="AV1217" s="20"/>
      <c r="AW1217" s="20"/>
      <c r="AX1217" s="20"/>
    </row>
    <row r="1218">
      <c r="A1218" s="20"/>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c r="AQ1218" s="20"/>
      <c r="AR1218" s="20"/>
      <c r="AS1218" s="20"/>
      <c r="AT1218" s="20"/>
      <c r="AU1218" s="20"/>
      <c r="AV1218" s="20"/>
      <c r="AW1218" s="20"/>
      <c r="AX1218" s="20"/>
    </row>
    <row r="1219">
      <c r="A1219" s="20"/>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row>
    <row r="1220">
      <c r="A1220" s="20"/>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c r="AQ1220" s="20"/>
      <c r="AR1220" s="20"/>
      <c r="AS1220" s="20"/>
      <c r="AT1220" s="20"/>
      <c r="AU1220" s="20"/>
      <c r="AV1220" s="20"/>
      <c r="AW1220" s="20"/>
      <c r="AX1220" s="20"/>
    </row>
    <row r="1221">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c r="AQ1221" s="20"/>
      <c r="AR1221" s="20"/>
      <c r="AS1221" s="20"/>
      <c r="AT1221" s="20"/>
      <c r="AU1221" s="20"/>
      <c r="AV1221" s="20"/>
      <c r="AW1221" s="20"/>
      <c r="AX1221" s="20"/>
    </row>
    <row r="1222">
      <c r="A1222" s="20"/>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c r="AQ1222" s="20"/>
      <c r="AR1222" s="20"/>
      <c r="AS1222" s="20"/>
      <c r="AT1222" s="20"/>
      <c r="AU1222" s="20"/>
      <c r="AV1222" s="20"/>
      <c r="AW1222" s="20"/>
      <c r="AX1222" s="20"/>
    </row>
    <row r="1223">
      <c r="A1223" s="20"/>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c r="AQ1223" s="20"/>
      <c r="AR1223" s="20"/>
      <c r="AS1223" s="20"/>
      <c r="AT1223" s="20"/>
      <c r="AU1223" s="20"/>
      <c r="AV1223" s="20"/>
      <c r="AW1223" s="20"/>
      <c r="AX1223" s="20"/>
    </row>
    <row r="1224">
      <c r="A1224" s="20"/>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c r="AQ1224" s="20"/>
      <c r="AR1224" s="20"/>
      <c r="AS1224" s="20"/>
      <c r="AT1224" s="20"/>
      <c r="AU1224" s="20"/>
      <c r="AV1224" s="20"/>
      <c r="AW1224" s="20"/>
      <c r="AX1224" s="20"/>
    </row>
    <row r="1225">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c r="AQ1225" s="20"/>
      <c r="AR1225" s="20"/>
      <c r="AS1225" s="20"/>
      <c r="AT1225" s="20"/>
      <c r="AU1225" s="20"/>
      <c r="AV1225" s="20"/>
      <c r="AW1225" s="20"/>
      <c r="AX1225" s="20"/>
    </row>
    <row r="1226">
      <c r="A1226" s="20"/>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c r="AQ1226" s="20"/>
      <c r="AR1226" s="20"/>
      <c r="AS1226" s="20"/>
      <c r="AT1226" s="20"/>
      <c r="AU1226" s="20"/>
      <c r="AV1226" s="20"/>
      <c r="AW1226" s="20"/>
      <c r="AX1226" s="20"/>
    </row>
    <row r="1227">
      <c r="A1227" s="20"/>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0"/>
      <c r="AQ1227" s="20"/>
      <c r="AR1227" s="20"/>
      <c r="AS1227" s="20"/>
      <c r="AT1227" s="20"/>
      <c r="AU1227" s="20"/>
      <c r="AV1227" s="20"/>
      <c r="AW1227" s="20"/>
      <c r="AX1227" s="20"/>
    </row>
    <row r="1228">
      <c r="A1228" s="20"/>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c r="AQ1228" s="20"/>
      <c r="AR1228" s="20"/>
      <c r="AS1228" s="20"/>
      <c r="AT1228" s="20"/>
      <c r="AU1228" s="20"/>
      <c r="AV1228" s="20"/>
      <c r="AW1228" s="20"/>
      <c r="AX1228" s="20"/>
    </row>
    <row r="1229">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c r="AQ1229" s="20"/>
      <c r="AR1229" s="20"/>
      <c r="AS1229" s="20"/>
      <c r="AT1229" s="20"/>
      <c r="AU1229" s="20"/>
      <c r="AV1229" s="20"/>
      <c r="AW1229" s="20"/>
      <c r="AX1229" s="20"/>
    </row>
    <row r="1230">
      <c r="A1230" s="20"/>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c r="AQ1230" s="20"/>
      <c r="AR1230" s="20"/>
      <c r="AS1230" s="20"/>
      <c r="AT1230" s="20"/>
      <c r="AU1230" s="20"/>
      <c r="AV1230" s="20"/>
      <c r="AW1230" s="20"/>
      <c r="AX1230" s="20"/>
    </row>
    <row r="1231">
      <c r="A1231" s="20"/>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c r="AQ1231" s="20"/>
      <c r="AR1231" s="20"/>
      <c r="AS1231" s="20"/>
      <c r="AT1231" s="20"/>
      <c r="AU1231" s="20"/>
      <c r="AV1231" s="20"/>
      <c r="AW1231" s="20"/>
      <c r="AX1231" s="20"/>
    </row>
    <row r="1232">
      <c r="A1232" s="20"/>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c r="AQ1232" s="20"/>
      <c r="AR1232" s="20"/>
      <c r="AS1232" s="20"/>
      <c r="AT1232" s="20"/>
      <c r="AU1232" s="20"/>
      <c r="AV1232" s="20"/>
      <c r="AW1232" s="20"/>
      <c r="AX1232" s="20"/>
    </row>
    <row r="123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c r="AQ1233" s="20"/>
      <c r="AR1233" s="20"/>
      <c r="AS1233" s="20"/>
      <c r="AT1233" s="20"/>
      <c r="AU1233" s="20"/>
      <c r="AV1233" s="20"/>
      <c r="AW1233" s="20"/>
      <c r="AX1233" s="20"/>
    </row>
    <row r="1234">
      <c r="A1234" s="20"/>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c r="AQ1234" s="20"/>
      <c r="AR1234" s="20"/>
      <c r="AS1234" s="20"/>
      <c r="AT1234" s="20"/>
      <c r="AU1234" s="20"/>
      <c r="AV1234" s="20"/>
      <c r="AW1234" s="20"/>
      <c r="AX1234" s="20"/>
    </row>
    <row r="1235">
      <c r="A1235" s="20"/>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c r="AQ1235" s="20"/>
      <c r="AR1235" s="20"/>
      <c r="AS1235" s="20"/>
      <c r="AT1235" s="20"/>
      <c r="AU1235" s="20"/>
      <c r="AV1235" s="20"/>
      <c r="AW1235" s="20"/>
      <c r="AX1235" s="20"/>
    </row>
    <row r="1236">
      <c r="A1236" s="20"/>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c r="AQ1236" s="20"/>
      <c r="AR1236" s="20"/>
      <c r="AS1236" s="20"/>
      <c r="AT1236" s="20"/>
      <c r="AU1236" s="20"/>
      <c r="AV1236" s="20"/>
      <c r="AW1236" s="20"/>
      <c r="AX1236" s="20"/>
    </row>
    <row r="1237">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c r="AQ1237" s="20"/>
      <c r="AR1237" s="20"/>
      <c r="AS1237" s="20"/>
      <c r="AT1237" s="20"/>
      <c r="AU1237" s="20"/>
      <c r="AV1237" s="20"/>
      <c r="AW1237" s="20"/>
      <c r="AX1237" s="20"/>
    </row>
    <row r="1238">
      <c r="A1238" s="20"/>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c r="AQ1238" s="20"/>
      <c r="AR1238" s="20"/>
      <c r="AS1238" s="20"/>
      <c r="AT1238" s="20"/>
      <c r="AU1238" s="20"/>
      <c r="AV1238" s="20"/>
      <c r="AW1238" s="20"/>
      <c r="AX1238" s="20"/>
    </row>
    <row r="1239">
      <c r="A1239" s="20"/>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c r="AQ1239" s="20"/>
      <c r="AR1239" s="20"/>
      <c r="AS1239" s="20"/>
      <c r="AT1239" s="20"/>
      <c r="AU1239" s="20"/>
      <c r="AV1239" s="20"/>
      <c r="AW1239" s="20"/>
      <c r="AX1239" s="20"/>
    </row>
    <row r="1240">
      <c r="A1240" s="20"/>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c r="AQ1240" s="20"/>
      <c r="AR1240" s="20"/>
      <c r="AS1240" s="20"/>
      <c r="AT1240" s="20"/>
      <c r="AU1240" s="20"/>
      <c r="AV1240" s="20"/>
      <c r="AW1240" s="20"/>
      <c r="AX1240" s="20"/>
    </row>
    <row r="1241">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c r="AQ1241" s="20"/>
      <c r="AR1241" s="20"/>
      <c r="AS1241" s="20"/>
      <c r="AT1241" s="20"/>
      <c r="AU1241" s="20"/>
      <c r="AV1241" s="20"/>
      <c r="AW1241" s="20"/>
      <c r="AX1241" s="20"/>
    </row>
    <row r="1242">
      <c r="A1242" s="20"/>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c r="AQ1242" s="20"/>
      <c r="AR1242" s="20"/>
      <c r="AS1242" s="20"/>
      <c r="AT1242" s="20"/>
      <c r="AU1242" s="20"/>
      <c r="AV1242" s="20"/>
      <c r="AW1242" s="20"/>
      <c r="AX1242" s="20"/>
    </row>
    <row r="1243">
      <c r="A1243" s="20"/>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c r="AQ1243" s="20"/>
      <c r="AR1243" s="20"/>
      <c r="AS1243" s="20"/>
      <c r="AT1243" s="20"/>
      <c r="AU1243" s="20"/>
      <c r="AV1243" s="20"/>
      <c r="AW1243" s="20"/>
      <c r="AX1243" s="20"/>
    </row>
    <row r="1244">
      <c r="A1244" s="20"/>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c r="AQ1244" s="20"/>
      <c r="AR1244" s="20"/>
      <c r="AS1244" s="20"/>
      <c r="AT1244" s="20"/>
      <c r="AU1244" s="20"/>
      <c r="AV1244" s="20"/>
      <c r="AW1244" s="20"/>
      <c r="AX1244" s="20"/>
    </row>
    <row r="1245">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c r="AQ1245" s="20"/>
      <c r="AR1245" s="20"/>
      <c r="AS1245" s="20"/>
      <c r="AT1245" s="20"/>
      <c r="AU1245" s="20"/>
      <c r="AV1245" s="20"/>
      <c r="AW1245" s="20"/>
      <c r="AX1245" s="20"/>
    </row>
    <row r="1246">
      <c r="A1246" s="20"/>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c r="AQ1246" s="20"/>
      <c r="AR1246" s="20"/>
      <c r="AS1246" s="20"/>
      <c r="AT1246" s="20"/>
      <c r="AU1246" s="20"/>
      <c r="AV1246" s="20"/>
      <c r="AW1246" s="20"/>
      <c r="AX1246" s="20"/>
    </row>
    <row r="1247">
      <c r="A1247" s="20"/>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c r="AQ1247" s="20"/>
      <c r="AR1247" s="20"/>
      <c r="AS1247" s="20"/>
      <c r="AT1247" s="20"/>
      <c r="AU1247" s="20"/>
      <c r="AV1247" s="20"/>
      <c r="AW1247" s="20"/>
      <c r="AX1247" s="20"/>
    </row>
    <row r="1248">
      <c r="A1248" s="20"/>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c r="AQ1248" s="20"/>
      <c r="AR1248" s="20"/>
      <c r="AS1248" s="20"/>
      <c r="AT1248" s="20"/>
      <c r="AU1248" s="20"/>
      <c r="AV1248" s="20"/>
      <c r="AW1248" s="20"/>
      <c r="AX1248" s="20"/>
    </row>
    <row r="1249">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c r="AQ1249" s="20"/>
      <c r="AR1249" s="20"/>
      <c r="AS1249" s="20"/>
      <c r="AT1249" s="20"/>
      <c r="AU1249" s="20"/>
      <c r="AV1249" s="20"/>
      <c r="AW1249" s="20"/>
      <c r="AX1249" s="20"/>
    </row>
    <row r="1250">
      <c r="A1250" s="20"/>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c r="AQ1250" s="20"/>
      <c r="AR1250" s="20"/>
      <c r="AS1250" s="20"/>
      <c r="AT1250" s="20"/>
      <c r="AU1250" s="20"/>
      <c r="AV1250" s="20"/>
      <c r="AW1250" s="20"/>
      <c r="AX1250" s="20"/>
    </row>
    <row r="1251">
      <c r="A1251" s="20"/>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c r="AQ1251" s="20"/>
      <c r="AR1251" s="20"/>
      <c r="AS1251" s="20"/>
      <c r="AT1251" s="20"/>
      <c r="AU1251" s="20"/>
      <c r="AV1251" s="20"/>
      <c r="AW1251" s="20"/>
      <c r="AX1251" s="20"/>
    </row>
    <row r="1252">
      <c r="A1252" s="20"/>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c r="AS1252" s="20"/>
      <c r="AT1252" s="20"/>
      <c r="AU1252" s="20"/>
      <c r="AV1252" s="20"/>
      <c r="AW1252" s="20"/>
      <c r="AX1252" s="20"/>
    </row>
    <row r="125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c r="AQ1253" s="20"/>
      <c r="AR1253" s="20"/>
      <c r="AS1253" s="20"/>
      <c r="AT1253" s="20"/>
      <c r="AU1253" s="20"/>
      <c r="AV1253" s="20"/>
      <c r="AW1253" s="20"/>
      <c r="AX1253" s="20"/>
    </row>
    <row r="1254">
      <c r="A1254" s="20"/>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0"/>
      <c r="AQ1254" s="20"/>
      <c r="AR1254" s="20"/>
      <c r="AS1254" s="20"/>
      <c r="AT1254" s="20"/>
      <c r="AU1254" s="20"/>
      <c r="AV1254" s="20"/>
      <c r="AW1254" s="20"/>
      <c r="AX1254" s="20"/>
    </row>
    <row r="1255">
      <c r="A1255" s="20"/>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c r="AQ1255" s="20"/>
      <c r="AR1255" s="20"/>
      <c r="AS1255" s="20"/>
      <c r="AT1255" s="20"/>
      <c r="AU1255" s="20"/>
      <c r="AV1255" s="20"/>
      <c r="AW1255" s="20"/>
      <c r="AX1255" s="20"/>
    </row>
    <row r="1256">
      <c r="A1256" s="20"/>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c r="AQ1256" s="20"/>
      <c r="AR1256" s="20"/>
      <c r="AS1256" s="20"/>
      <c r="AT1256" s="20"/>
      <c r="AU1256" s="20"/>
      <c r="AV1256" s="20"/>
      <c r="AW1256" s="20"/>
      <c r="AX1256" s="20"/>
    </row>
    <row r="1257">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0"/>
      <c r="AQ1257" s="20"/>
      <c r="AR1257" s="20"/>
      <c r="AS1257" s="20"/>
      <c r="AT1257" s="20"/>
      <c r="AU1257" s="20"/>
      <c r="AV1257" s="20"/>
      <c r="AW1257" s="20"/>
      <c r="AX1257" s="20"/>
    </row>
    <row r="1258">
      <c r="A1258" s="20"/>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c r="AE1258" s="20"/>
      <c r="AF1258" s="20"/>
      <c r="AG1258" s="20"/>
      <c r="AH1258" s="20"/>
      <c r="AI1258" s="20"/>
      <c r="AJ1258" s="20"/>
      <c r="AK1258" s="20"/>
      <c r="AL1258" s="20"/>
      <c r="AM1258" s="20"/>
      <c r="AN1258" s="20"/>
      <c r="AO1258" s="20"/>
      <c r="AP1258" s="20"/>
      <c r="AQ1258" s="20"/>
      <c r="AR1258" s="20"/>
      <c r="AS1258" s="20"/>
      <c r="AT1258" s="20"/>
      <c r="AU1258" s="20"/>
      <c r="AV1258" s="20"/>
      <c r="AW1258" s="20"/>
      <c r="AX1258" s="20"/>
    </row>
    <row r="1259">
      <c r="A1259" s="20"/>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0"/>
      <c r="AQ1259" s="20"/>
      <c r="AR1259" s="20"/>
      <c r="AS1259" s="20"/>
      <c r="AT1259" s="20"/>
      <c r="AU1259" s="20"/>
      <c r="AV1259" s="20"/>
      <c r="AW1259" s="20"/>
      <c r="AX1259" s="20"/>
    </row>
    <row r="1260">
      <c r="A1260" s="20"/>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c r="AE1260" s="20"/>
      <c r="AF1260" s="20"/>
      <c r="AG1260" s="20"/>
      <c r="AH1260" s="20"/>
      <c r="AI1260" s="20"/>
      <c r="AJ1260" s="20"/>
      <c r="AK1260" s="20"/>
      <c r="AL1260" s="20"/>
      <c r="AM1260" s="20"/>
      <c r="AN1260" s="20"/>
      <c r="AO1260" s="20"/>
      <c r="AP1260" s="20"/>
      <c r="AQ1260" s="20"/>
      <c r="AR1260" s="20"/>
      <c r="AS1260" s="20"/>
      <c r="AT1260" s="20"/>
      <c r="AU1260" s="20"/>
      <c r="AV1260" s="20"/>
      <c r="AW1260" s="20"/>
      <c r="AX1260" s="20"/>
    </row>
    <row r="1261">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c r="AQ1261" s="20"/>
      <c r="AR1261" s="20"/>
      <c r="AS1261" s="20"/>
      <c r="AT1261" s="20"/>
      <c r="AU1261" s="20"/>
      <c r="AV1261" s="20"/>
      <c r="AW1261" s="20"/>
      <c r="AX1261" s="20"/>
    </row>
    <row r="1262">
      <c r="A1262" s="20"/>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0"/>
      <c r="AQ1262" s="20"/>
      <c r="AR1262" s="20"/>
      <c r="AS1262" s="20"/>
      <c r="AT1262" s="20"/>
      <c r="AU1262" s="20"/>
      <c r="AV1262" s="20"/>
      <c r="AW1262" s="20"/>
      <c r="AX1262" s="20"/>
    </row>
    <row r="1263">
      <c r="A1263" s="20"/>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c r="AE1263" s="20"/>
      <c r="AF1263" s="20"/>
      <c r="AG1263" s="20"/>
      <c r="AH1263" s="20"/>
      <c r="AI1263" s="20"/>
      <c r="AJ1263" s="20"/>
      <c r="AK1263" s="20"/>
      <c r="AL1263" s="20"/>
      <c r="AM1263" s="20"/>
      <c r="AN1263" s="20"/>
      <c r="AO1263" s="20"/>
      <c r="AP1263" s="20"/>
      <c r="AQ1263" s="20"/>
      <c r="AR1263" s="20"/>
      <c r="AS1263" s="20"/>
      <c r="AT1263" s="20"/>
      <c r="AU1263" s="20"/>
      <c r="AV1263" s="20"/>
      <c r="AW1263" s="20"/>
      <c r="AX1263" s="20"/>
    </row>
    <row r="1264">
      <c r="A1264" s="20"/>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c r="AE1264" s="20"/>
      <c r="AF1264" s="20"/>
      <c r="AG1264" s="20"/>
      <c r="AH1264" s="20"/>
      <c r="AI1264" s="20"/>
      <c r="AJ1264" s="20"/>
      <c r="AK1264" s="20"/>
      <c r="AL1264" s="20"/>
      <c r="AM1264" s="20"/>
      <c r="AN1264" s="20"/>
      <c r="AO1264" s="20"/>
      <c r="AP1264" s="20"/>
      <c r="AQ1264" s="20"/>
      <c r="AR1264" s="20"/>
      <c r="AS1264" s="20"/>
      <c r="AT1264" s="20"/>
      <c r="AU1264" s="20"/>
      <c r="AV1264" s="20"/>
      <c r="AW1264" s="20"/>
      <c r="AX1264" s="20"/>
    </row>
    <row r="1265">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c r="AQ1265" s="20"/>
      <c r="AR1265" s="20"/>
      <c r="AS1265" s="20"/>
      <c r="AT1265" s="20"/>
      <c r="AU1265" s="20"/>
      <c r="AV1265" s="20"/>
      <c r="AW1265" s="20"/>
      <c r="AX1265" s="20"/>
    </row>
    <row r="1266">
      <c r="A1266" s="20"/>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0"/>
      <c r="AQ1266" s="20"/>
      <c r="AR1266" s="20"/>
      <c r="AS1266" s="20"/>
      <c r="AT1266" s="20"/>
      <c r="AU1266" s="20"/>
      <c r="AV1266" s="20"/>
      <c r="AW1266" s="20"/>
      <c r="AX1266" s="20"/>
    </row>
    <row r="1267">
      <c r="A1267" s="20"/>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c r="AE1267" s="20"/>
      <c r="AF1267" s="20"/>
      <c r="AG1267" s="20"/>
      <c r="AH1267" s="20"/>
      <c r="AI1267" s="20"/>
      <c r="AJ1267" s="20"/>
      <c r="AK1267" s="20"/>
      <c r="AL1267" s="20"/>
      <c r="AM1267" s="20"/>
      <c r="AN1267" s="20"/>
      <c r="AO1267" s="20"/>
      <c r="AP1267" s="20"/>
      <c r="AQ1267" s="20"/>
      <c r="AR1267" s="20"/>
      <c r="AS1267" s="20"/>
      <c r="AT1267" s="20"/>
      <c r="AU1267" s="20"/>
      <c r="AV1267" s="20"/>
      <c r="AW1267" s="20"/>
      <c r="AX1267" s="20"/>
    </row>
    <row r="1268">
      <c r="A1268" s="20"/>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0"/>
      <c r="AQ1268" s="20"/>
      <c r="AR1268" s="20"/>
      <c r="AS1268" s="20"/>
      <c r="AT1268" s="20"/>
      <c r="AU1268" s="20"/>
      <c r="AV1268" s="20"/>
      <c r="AW1268" s="20"/>
      <c r="AX1268" s="20"/>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c r="AE1269" s="20"/>
      <c r="AF1269" s="20"/>
      <c r="AG1269" s="20"/>
      <c r="AH1269" s="20"/>
      <c r="AI1269" s="20"/>
      <c r="AJ1269" s="20"/>
      <c r="AK1269" s="20"/>
      <c r="AL1269" s="20"/>
      <c r="AM1269" s="20"/>
      <c r="AN1269" s="20"/>
      <c r="AO1269" s="20"/>
      <c r="AP1269" s="20"/>
      <c r="AQ1269" s="20"/>
      <c r="AR1269" s="20"/>
      <c r="AS1269" s="20"/>
      <c r="AT1269" s="20"/>
      <c r="AU1269" s="20"/>
      <c r="AV1269" s="20"/>
      <c r="AW1269" s="20"/>
      <c r="AX1269" s="20"/>
    </row>
    <row r="1270">
      <c r="A1270" s="20"/>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0"/>
      <c r="AQ1270" s="20"/>
      <c r="AR1270" s="20"/>
      <c r="AS1270" s="20"/>
      <c r="AT1270" s="20"/>
      <c r="AU1270" s="20"/>
      <c r="AV1270" s="20"/>
      <c r="AW1270" s="20"/>
      <c r="AX1270" s="20"/>
    </row>
    <row r="1271">
      <c r="A1271" s="20"/>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c r="AE1271" s="20"/>
      <c r="AF1271" s="20"/>
      <c r="AG1271" s="20"/>
      <c r="AH1271" s="20"/>
      <c r="AI1271" s="20"/>
      <c r="AJ1271" s="20"/>
      <c r="AK1271" s="20"/>
      <c r="AL1271" s="20"/>
      <c r="AM1271" s="20"/>
      <c r="AN1271" s="20"/>
      <c r="AO1271" s="20"/>
      <c r="AP1271" s="20"/>
      <c r="AQ1271" s="20"/>
      <c r="AR1271" s="20"/>
      <c r="AS1271" s="20"/>
      <c r="AT1271" s="20"/>
      <c r="AU1271" s="20"/>
      <c r="AV1271" s="20"/>
      <c r="AW1271" s="20"/>
      <c r="AX1271" s="20"/>
    </row>
    <row r="1272">
      <c r="A1272" s="20"/>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c r="AQ1272" s="20"/>
      <c r="AR1272" s="20"/>
      <c r="AS1272" s="20"/>
      <c r="AT1272" s="20"/>
      <c r="AU1272" s="20"/>
      <c r="AV1272" s="20"/>
      <c r="AW1272" s="20"/>
      <c r="AX1272" s="20"/>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0"/>
      <c r="AQ1273" s="20"/>
      <c r="AR1273" s="20"/>
      <c r="AS1273" s="20"/>
      <c r="AT1273" s="20"/>
      <c r="AU1273" s="20"/>
      <c r="AV1273" s="20"/>
      <c r="AW1273" s="20"/>
      <c r="AX1273" s="20"/>
    </row>
    <row r="1274">
      <c r="A1274" s="20"/>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0"/>
      <c r="AQ1274" s="20"/>
      <c r="AR1274" s="20"/>
      <c r="AS1274" s="20"/>
      <c r="AT1274" s="20"/>
      <c r="AU1274" s="20"/>
      <c r="AV1274" s="20"/>
      <c r="AW1274" s="20"/>
      <c r="AX1274" s="20"/>
    </row>
    <row r="1275">
      <c r="A1275" s="20"/>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c r="AQ1275" s="20"/>
      <c r="AR1275" s="20"/>
      <c r="AS1275" s="20"/>
      <c r="AT1275" s="20"/>
      <c r="AU1275" s="20"/>
      <c r="AV1275" s="20"/>
      <c r="AW1275" s="20"/>
      <c r="AX1275" s="20"/>
    </row>
    <row r="1276">
      <c r="A1276" s="20"/>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0"/>
      <c r="AQ1276" s="20"/>
      <c r="AR1276" s="20"/>
      <c r="AS1276" s="20"/>
      <c r="AT1276" s="20"/>
      <c r="AU1276" s="20"/>
      <c r="AV1276" s="20"/>
      <c r="AW1276" s="20"/>
      <c r="AX1276" s="20"/>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c r="AQ1277" s="20"/>
      <c r="AR1277" s="20"/>
      <c r="AS1277" s="20"/>
      <c r="AT1277" s="20"/>
      <c r="AU1277" s="20"/>
      <c r="AV1277" s="20"/>
      <c r="AW1277" s="20"/>
      <c r="AX1277" s="20"/>
    </row>
    <row r="1278">
      <c r="A1278" s="20"/>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c r="AQ1278" s="20"/>
      <c r="AR1278" s="20"/>
      <c r="AS1278" s="20"/>
      <c r="AT1278" s="20"/>
      <c r="AU1278" s="20"/>
      <c r="AV1278" s="20"/>
      <c r="AW1278" s="20"/>
      <c r="AX1278" s="20"/>
    </row>
    <row r="1279">
      <c r="A1279" s="20"/>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c r="AQ1279" s="20"/>
      <c r="AR1279" s="20"/>
      <c r="AS1279" s="20"/>
      <c r="AT1279" s="20"/>
      <c r="AU1279" s="20"/>
      <c r="AV1279" s="20"/>
      <c r="AW1279" s="20"/>
      <c r="AX1279" s="20"/>
    </row>
    <row r="1280">
      <c r="A1280" s="20"/>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0"/>
      <c r="AQ1280" s="20"/>
      <c r="AR1280" s="20"/>
      <c r="AS1280" s="20"/>
      <c r="AT1280" s="20"/>
      <c r="AU1280" s="20"/>
      <c r="AV1280" s="20"/>
      <c r="AW1280" s="20"/>
      <c r="AX1280" s="20"/>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c r="AQ1281" s="20"/>
      <c r="AR1281" s="20"/>
      <c r="AS1281" s="20"/>
      <c r="AT1281" s="20"/>
      <c r="AU1281" s="20"/>
      <c r="AV1281" s="20"/>
      <c r="AW1281" s="20"/>
      <c r="AX1281" s="20"/>
    </row>
    <row r="1282">
      <c r="A1282" s="20"/>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c r="AQ1282" s="20"/>
      <c r="AR1282" s="20"/>
      <c r="AS1282" s="20"/>
      <c r="AT1282" s="20"/>
      <c r="AU1282" s="20"/>
      <c r="AV1282" s="20"/>
      <c r="AW1282" s="20"/>
      <c r="AX1282" s="20"/>
    </row>
    <row r="1283">
      <c r="A1283" s="20"/>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0"/>
      <c r="AQ1283" s="20"/>
      <c r="AR1283" s="20"/>
      <c r="AS1283" s="20"/>
      <c r="AT1283" s="20"/>
      <c r="AU1283" s="20"/>
      <c r="AV1283" s="20"/>
      <c r="AW1283" s="20"/>
      <c r="AX1283" s="20"/>
    </row>
    <row r="1284">
      <c r="A1284" s="20"/>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c r="AQ1284" s="20"/>
      <c r="AR1284" s="20"/>
      <c r="AS1284" s="20"/>
      <c r="AT1284" s="20"/>
      <c r="AU1284" s="20"/>
      <c r="AV1284" s="20"/>
      <c r="AW1284" s="20"/>
      <c r="AX1284" s="20"/>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c r="AQ1285" s="20"/>
      <c r="AR1285" s="20"/>
      <c r="AS1285" s="20"/>
      <c r="AT1285" s="20"/>
      <c r="AU1285" s="20"/>
      <c r="AV1285" s="20"/>
      <c r="AW1285" s="20"/>
      <c r="AX1285" s="20"/>
    </row>
    <row r="1286">
      <c r="A1286" s="20"/>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0"/>
      <c r="AQ1286" s="20"/>
      <c r="AR1286" s="20"/>
      <c r="AS1286" s="20"/>
      <c r="AT1286" s="20"/>
      <c r="AU1286" s="20"/>
      <c r="AV1286" s="20"/>
      <c r="AW1286" s="20"/>
      <c r="AX1286" s="20"/>
    </row>
    <row r="1287">
      <c r="A1287" s="20"/>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c r="AQ1287" s="20"/>
      <c r="AR1287" s="20"/>
      <c r="AS1287" s="20"/>
      <c r="AT1287" s="20"/>
      <c r="AU1287" s="20"/>
      <c r="AV1287" s="20"/>
      <c r="AW1287" s="20"/>
      <c r="AX1287" s="20"/>
    </row>
    <row r="1288">
      <c r="A1288" s="20"/>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c r="AQ1288" s="20"/>
      <c r="AR1288" s="20"/>
      <c r="AS1288" s="20"/>
      <c r="AT1288" s="20"/>
      <c r="AU1288" s="20"/>
      <c r="AV1288" s="20"/>
      <c r="AW1288" s="20"/>
      <c r="AX1288" s="20"/>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c r="AQ1289" s="20"/>
      <c r="AR1289" s="20"/>
      <c r="AS1289" s="20"/>
      <c r="AT1289" s="20"/>
      <c r="AU1289" s="20"/>
      <c r="AV1289" s="20"/>
      <c r="AW1289" s="20"/>
      <c r="AX1289" s="20"/>
    </row>
    <row r="1290">
      <c r="A1290" s="20"/>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c r="AE1290" s="20"/>
      <c r="AF1290" s="20"/>
      <c r="AG1290" s="20"/>
      <c r="AH1290" s="20"/>
      <c r="AI1290" s="20"/>
      <c r="AJ1290" s="20"/>
      <c r="AK1290" s="20"/>
      <c r="AL1290" s="20"/>
      <c r="AM1290" s="20"/>
      <c r="AN1290" s="20"/>
      <c r="AO1290" s="20"/>
      <c r="AP1290" s="20"/>
      <c r="AQ1290" s="20"/>
      <c r="AR1290" s="20"/>
      <c r="AS1290" s="20"/>
      <c r="AT1290" s="20"/>
      <c r="AU1290" s="20"/>
      <c r="AV1290" s="20"/>
      <c r="AW1290" s="20"/>
      <c r="AX1290" s="20"/>
    </row>
    <row r="1291">
      <c r="A1291" s="20"/>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c r="AQ1291" s="20"/>
      <c r="AR1291" s="20"/>
      <c r="AS1291" s="20"/>
      <c r="AT1291" s="20"/>
      <c r="AU1291" s="20"/>
      <c r="AV1291" s="20"/>
      <c r="AW1291" s="20"/>
      <c r="AX1291" s="20"/>
    </row>
    <row r="1292">
      <c r="A1292" s="20"/>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c r="AQ1292" s="20"/>
      <c r="AR1292" s="20"/>
      <c r="AS1292" s="20"/>
      <c r="AT1292" s="20"/>
      <c r="AU1292" s="20"/>
      <c r="AV1292" s="20"/>
      <c r="AW1292" s="20"/>
      <c r="AX1292" s="20"/>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c r="AQ1293" s="20"/>
      <c r="AR1293" s="20"/>
      <c r="AS1293" s="20"/>
      <c r="AT1293" s="20"/>
      <c r="AU1293" s="20"/>
      <c r="AV1293" s="20"/>
      <c r="AW1293" s="20"/>
      <c r="AX1293" s="20"/>
    </row>
    <row r="1294">
      <c r="A1294" s="20"/>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0"/>
      <c r="AQ1294" s="20"/>
      <c r="AR1294" s="20"/>
      <c r="AS1294" s="20"/>
      <c r="AT1294" s="20"/>
      <c r="AU1294" s="20"/>
      <c r="AV1294" s="20"/>
      <c r="AW1294" s="20"/>
      <c r="AX1294" s="20"/>
    </row>
    <row r="1295">
      <c r="A1295" s="20"/>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c r="AQ1295" s="20"/>
      <c r="AR1295" s="20"/>
      <c r="AS1295" s="20"/>
      <c r="AT1295" s="20"/>
      <c r="AU1295" s="20"/>
      <c r="AV1295" s="20"/>
      <c r="AW1295" s="20"/>
      <c r="AX1295" s="20"/>
    </row>
    <row r="1296">
      <c r="A1296" s="20"/>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c r="AQ1296" s="20"/>
      <c r="AR1296" s="20"/>
      <c r="AS1296" s="20"/>
      <c r="AT1296" s="20"/>
      <c r="AU1296" s="20"/>
      <c r="AV1296" s="20"/>
      <c r="AW1296" s="20"/>
      <c r="AX1296" s="20"/>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c r="AE1297" s="20"/>
      <c r="AF1297" s="20"/>
      <c r="AG1297" s="20"/>
      <c r="AH1297" s="20"/>
      <c r="AI1297" s="20"/>
      <c r="AJ1297" s="20"/>
      <c r="AK1297" s="20"/>
      <c r="AL1297" s="20"/>
      <c r="AM1297" s="20"/>
      <c r="AN1297" s="20"/>
      <c r="AO1297" s="20"/>
      <c r="AP1297" s="20"/>
      <c r="AQ1297" s="20"/>
      <c r="AR1297" s="20"/>
      <c r="AS1297" s="20"/>
      <c r="AT1297" s="20"/>
      <c r="AU1297" s="20"/>
      <c r="AV1297" s="20"/>
      <c r="AW1297" s="20"/>
      <c r="AX1297" s="20"/>
    </row>
    <row r="1298">
      <c r="A1298" s="20"/>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0"/>
      <c r="AQ1298" s="20"/>
      <c r="AR1298" s="20"/>
      <c r="AS1298" s="20"/>
      <c r="AT1298" s="20"/>
      <c r="AU1298" s="20"/>
      <c r="AV1298" s="20"/>
      <c r="AW1298" s="20"/>
      <c r="AX1298" s="20"/>
    </row>
    <row r="1299">
      <c r="A1299" s="20"/>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0"/>
      <c r="AQ1299" s="20"/>
      <c r="AR1299" s="20"/>
      <c r="AS1299" s="20"/>
      <c r="AT1299" s="20"/>
      <c r="AU1299" s="20"/>
      <c r="AV1299" s="20"/>
      <c r="AW1299" s="20"/>
      <c r="AX1299" s="20"/>
    </row>
    <row r="1300">
      <c r="A1300" s="20"/>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c r="AE1300" s="20"/>
      <c r="AF1300" s="20"/>
      <c r="AG1300" s="20"/>
      <c r="AH1300" s="20"/>
      <c r="AI1300" s="20"/>
      <c r="AJ1300" s="20"/>
      <c r="AK1300" s="20"/>
      <c r="AL1300" s="20"/>
      <c r="AM1300" s="20"/>
      <c r="AN1300" s="20"/>
      <c r="AO1300" s="20"/>
      <c r="AP1300" s="20"/>
      <c r="AQ1300" s="20"/>
      <c r="AR1300" s="20"/>
      <c r="AS1300" s="20"/>
      <c r="AT1300" s="20"/>
      <c r="AU1300" s="20"/>
      <c r="AV1300" s="20"/>
      <c r="AW1300" s="20"/>
      <c r="AX1300" s="20"/>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0"/>
      <c r="AQ1301" s="20"/>
      <c r="AR1301" s="20"/>
      <c r="AS1301" s="20"/>
      <c r="AT1301" s="20"/>
      <c r="AU1301" s="20"/>
      <c r="AV1301" s="20"/>
      <c r="AW1301" s="20"/>
      <c r="AX1301" s="20"/>
    </row>
    <row r="1302">
      <c r="A1302" s="20"/>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0"/>
      <c r="AQ1302" s="20"/>
      <c r="AR1302" s="20"/>
      <c r="AS1302" s="20"/>
      <c r="AT1302" s="20"/>
      <c r="AU1302" s="20"/>
      <c r="AV1302" s="20"/>
      <c r="AW1302" s="20"/>
      <c r="AX1302" s="20"/>
    </row>
    <row r="1303">
      <c r="A1303" s="20"/>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0"/>
      <c r="AQ1303" s="20"/>
      <c r="AR1303" s="20"/>
      <c r="AS1303" s="20"/>
      <c r="AT1303" s="20"/>
      <c r="AU1303" s="20"/>
      <c r="AV1303" s="20"/>
      <c r="AW1303" s="20"/>
      <c r="AX1303" s="20"/>
    </row>
    <row r="1304">
      <c r="A1304" s="20"/>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0"/>
      <c r="AQ1305" s="20"/>
      <c r="AR1305" s="20"/>
      <c r="AS1305" s="20"/>
      <c r="AT1305" s="20"/>
      <c r="AU1305" s="20"/>
      <c r="AV1305" s="20"/>
      <c r="AW1305" s="20"/>
      <c r="AX1305" s="20"/>
    </row>
    <row r="1306">
      <c r="A1306" s="20"/>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0"/>
      <c r="AQ1306" s="20"/>
      <c r="AR1306" s="20"/>
      <c r="AS1306" s="20"/>
      <c r="AT1306" s="20"/>
      <c r="AU1306" s="20"/>
      <c r="AV1306" s="20"/>
      <c r="AW1306" s="20"/>
      <c r="AX1306" s="20"/>
    </row>
    <row r="1307">
      <c r="A1307" s="20"/>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0"/>
      <c r="AQ1307" s="20"/>
      <c r="AR1307" s="20"/>
      <c r="AS1307" s="20"/>
      <c r="AT1307" s="20"/>
      <c r="AU1307" s="20"/>
      <c r="AV1307" s="20"/>
      <c r="AW1307" s="20"/>
      <c r="AX1307" s="20"/>
    </row>
    <row r="1308">
      <c r="A1308" s="20"/>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0"/>
      <c r="AQ1308" s="20"/>
      <c r="AR1308" s="20"/>
      <c r="AS1308" s="20"/>
      <c r="AT1308" s="20"/>
      <c r="AU1308" s="20"/>
      <c r="AV1308" s="20"/>
      <c r="AW1308" s="20"/>
      <c r="AX1308" s="20"/>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0"/>
      <c r="AQ1309" s="20"/>
      <c r="AR1309" s="20"/>
      <c r="AS1309" s="20"/>
      <c r="AT1309" s="20"/>
      <c r="AU1309" s="20"/>
      <c r="AV1309" s="20"/>
      <c r="AW1309" s="20"/>
      <c r="AX1309" s="20"/>
    </row>
    <row r="1310">
      <c r="A1310" s="20"/>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0"/>
      <c r="AQ1310" s="20"/>
      <c r="AR1310" s="20"/>
      <c r="AS1310" s="20"/>
      <c r="AT1310" s="20"/>
      <c r="AU1310" s="20"/>
      <c r="AV1310" s="20"/>
      <c r="AW1310" s="20"/>
      <c r="AX1310" s="20"/>
    </row>
    <row r="1311">
      <c r="A1311" s="20"/>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c r="AQ1311" s="20"/>
      <c r="AR1311" s="20"/>
      <c r="AS1311" s="20"/>
      <c r="AT1311" s="20"/>
      <c r="AU1311" s="20"/>
      <c r="AV1311" s="20"/>
      <c r="AW1311" s="20"/>
      <c r="AX1311" s="20"/>
    </row>
    <row r="1312">
      <c r="A1312" s="20"/>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0"/>
      <c r="AQ1312" s="20"/>
      <c r="AR1312" s="20"/>
      <c r="AS1312" s="20"/>
      <c r="AT1312" s="20"/>
      <c r="AU1312" s="20"/>
      <c r="AV1312" s="20"/>
      <c r="AW1312" s="20"/>
      <c r="AX1312" s="20"/>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c r="AE1313" s="20"/>
      <c r="AF1313" s="20"/>
      <c r="AG1313" s="20"/>
      <c r="AH1313" s="20"/>
      <c r="AI1313" s="20"/>
      <c r="AJ1313" s="20"/>
      <c r="AK1313" s="20"/>
      <c r="AL1313" s="20"/>
      <c r="AM1313" s="20"/>
      <c r="AN1313" s="20"/>
      <c r="AO1313" s="20"/>
      <c r="AP1313" s="20"/>
      <c r="AQ1313" s="20"/>
      <c r="AR1313" s="20"/>
      <c r="AS1313" s="20"/>
      <c r="AT1313" s="20"/>
      <c r="AU1313" s="20"/>
      <c r="AV1313" s="20"/>
      <c r="AW1313" s="20"/>
      <c r="AX1313" s="20"/>
    </row>
    <row r="1314">
      <c r="A1314" s="20"/>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c r="AQ1314" s="20"/>
      <c r="AR1314" s="20"/>
      <c r="AS1314" s="20"/>
      <c r="AT1314" s="20"/>
      <c r="AU1314" s="20"/>
      <c r="AV1314" s="20"/>
      <c r="AW1314" s="20"/>
      <c r="AX1314" s="20"/>
    </row>
    <row r="1315">
      <c r="A1315" s="20"/>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c r="AQ1315" s="20"/>
      <c r="AR1315" s="20"/>
      <c r="AS1315" s="20"/>
      <c r="AT1315" s="20"/>
      <c r="AU1315" s="20"/>
      <c r="AV1315" s="20"/>
      <c r="AW1315" s="20"/>
      <c r="AX1315" s="20"/>
    </row>
    <row r="1316">
      <c r="A1316" s="20"/>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c r="AE1316" s="20"/>
      <c r="AF1316" s="20"/>
      <c r="AG1316" s="20"/>
      <c r="AH1316" s="20"/>
      <c r="AI1316" s="20"/>
      <c r="AJ1316" s="20"/>
      <c r="AK1316" s="20"/>
      <c r="AL1316" s="20"/>
      <c r="AM1316" s="20"/>
      <c r="AN1316" s="20"/>
      <c r="AO1316" s="20"/>
      <c r="AP1316" s="20"/>
      <c r="AQ1316" s="20"/>
      <c r="AR1316" s="20"/>
      <c r="AS1316" s="20"/>
      <c r="AT1316" s="20"/>
      <c r="AU1316" s="20"/>
      <c r="AV1316" s="20"/>
      <c r="AW1316" s="20"/>
      <c r="AX1316" s="20"/>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c r="AQ1317" s="20"/>
      <c r="AR1317" s="20"/>
      <c r="AS1317" s="20"/>
      <c r="AT1317" s="20"/>
      <c r="AU1317" s="20"/>
      <c r="AV1317" s="20"/>
      <c r="AW1317" s="20"/>
      <c r="AX1317" s="20"/>
    </row>
    <row r="1318">
      <c r="A1318" s="20"/>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c r="AQ1318" s="20"/>
      <c r="AR1318" s="20"/>
      <c r="AS1318" s="20"/>
      <c r="AT1318" s="20"/>
      <c r="AU1318" s="20"/>
      <c r="AV1318" s="20"/>
      <c r="AW1318" s="20"/>
      <c r="AX1318" s="20"/>
    </row>
    <row r="1319">
      <c r="A1319" s="20"/>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c r="AE1319" s="20"/>
      <c r="AF1319" s="20"/>
      <c r="AG1319" s="20"/>
      <c r="AH1319" s="20"/>
      <c r="AI1319" s="20"/>
      <c r="AJ1319" s="20"/>
      <c r="AK1319" s="20"/>
      <c r="AL1319" s="20"/>
      <c r="AM1319" s="20"/>
      <c r="AN1319" s="20"/>
      <c r="AO1319" s="20"/>
      <c r="AP1319" s="20"/>
      <c r="AQ1319" s="20"/>
      <c r="AR1319" s="20"/>
      <c r="AS1319" s="20"/>
      <c r="AT1319" s="20"/>
      <c r="AU1319" s="20"/>
      <c r="AV1319" s="20"/>
      <c r="AW1319" s="20"/>
      <c r="AX1319" s="20"/>
    </row>
    <row r="1320">
      <c r="A1320" s="20"/>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c r="AQ1320" s="20"/>
      <c r="AR1320" s="20"/>
      <c r="AS1320" s="20"/>
      <c r="AT1320" s="20"/>
      <c r="AU1320" s="20"/>
      <c r="AV1320" s="20"/>
      <c r="AW1320" s="20"/>
      <c r="AX1320" s="20"/>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c r="AQ1321" s="20"/>
      <c r="AR1321" s="20"/>
      <c r="AS1321" s="20"/>
      <c r="AT1321" s="20"/>
      <c r="AU1321" s="20"/>
      <c r="AV1321" s="20"/>
      <c r="AW1321" s="20"/>
      <c r="AX1321" s="20"/>
    </row>
    <row r="1322">
      <c r="A1322" s="20"/>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c r="AE1322" s="20"/>
      <c r="AF1322" s="20"/>
      <c r="AG1322" s="20"/>
      <c r="AH1322" s="20"/>
      <c r="AI1322" s="20"/>
      <c r="AJ1322" s="20"/>
      <c r="AK1322" s="20"/>
      <c r="AL1322" s="20"/>
      <c r="AM1322" s="20"/>
      <c r="AN1322" s="20"/>
      <c r="AO1322" s="20"/>
      <c r="AP1322" s="20"/>
      <c r="AQ1322" s="20"/>
      <c r="AR1322" s="20"/>
      <c r="AS1322" s="20"/>
      <c r="AT1322" s="20"/>
      <c r="AU1322" s="20"/>
      <c r="AV1322" s="20"/>
      <c r="AW1322" s="20"/>
      <c r="AX1322" s="20"/>
    </row>
    <row r="1323">
      <c r="A1323" s="20"/>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c r="AQ1323" s="20"/>
      <c r="AR1323" s="20"/>
      <c r="AS1323" s="20"/>
      <c r="AT1323" s="20"/>
      <c r="AU1323" s="20"/>
      <c r="AV1323" s="20"/>
      <c r="AW1323" s="20"/>
      <c r="AX1323" s="20"/>
    </row>
    <row r="1324">
      <c r="A1324" s="20"/>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c r="AQ1324" s="20"/>
      <c r="AR1324" s="20"/>
      <c r="AS1324" s="20"/>
      <c r="AT1324" s="20"/>
      <c r="AU1324" s="20"/>
      <c r="AV1324" s="20"/>
      <c r="AW1324" s="20"/>
      <c r="AX1324" s="20"/>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c r="AQ1325" s="20"/>
      <c r="AR1325" s="20"/>
      <c r="AS1325" s="20"/>
      <c r="AT1325" s="20"/>
      <c r="AU1325" s="20"/>
      <c r="AV1325" s="20"/>
      <c r="AW1325" s="20"/>
      <c r="AX1325" s="20"/>
    </row>
    <row r="1326">
      <c r="A1326" s="20"/>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0"/>
      <c r="AQ1326" s="20"/>
      <c r="AR1326" s="20"/>
      <c r="AS1326" s="20"/>
      <c r="AT1326" s="20"/>
      <c r="AU1326" s="20"/>
      <c r="AV1326" s="20"/>
      <c r="AW1326" s="20"/>
      <c r="AX1326" s="20"/>
    </row>
    <row r="1327">
      <c r="A1327" s="20"/>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c r="AQ1327" s="20"/>
      <c r="AR1327" s="20"/>
      <c r="AS1327" s="20"/>
      <c r="AT1327" s="20"/>
      <c r="AU1327" s="20"/>
      <c r="AV1327" s="20"/>
      <c r="AW1327" s="20"/>
      <c r="AX1327" s="20"/>
    </row>
    <row r="1328">
      <c r="A1328" s="20"/>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c r="AQ1328" s="20"/>
      <c r="AR1328" s="20"/>
      <c r="AS1328" s="20"/>
      <c r="AT1328" s="20"/>
      <c r="AU1328" s="20"/>
      <c r="AV1328" s="20"/>
      <c r="AW1328" s="20"/>
      <c r="AX1328" s="20"/>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c r="AE1329" s="20"/>
      <c r="AF1329" s="20"/>
      <c r="AG1329" s="20"/>
      <c r="AH1329" s="20"/>
      <c r="AI1329" s="20"/>
      <c r="AJ1329" s="20"/>
      <c r="AK1329" s="20"/>
      <c r="AL1329" s="20"/>
      <c r="AM1329" s="20"/>
      <c r="AN1329" s="20"/>
      <c r="AO1329" s="20"/>
      <c r="AP1329" s="20"/>
      <c r="AQ1329" s="20"/>
      <c r="AR1329" s="20"/>
      <c r="AS1329" s="20"/>
      <c r="AT1329" s="20"/>
      <c r="AU1329" s="20"/>
      <c r="AV1329" s="20"/>
      <c r="AW1329" s="20"/>
      <c r="AX1329" s="20"/>
    </row>
    <row r="1330">
      <c r="A1330" s="20"/>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c r="AQ1330" s="20"/>
      <c r="AR1330" s="20"/>
      <c r="AS1330" s="20"/>
      <c r="AT1330" s="20"/>
      <c r="AU1330" s="20"/>
      <c r="AV1330" s="20"/>
      <c r="AW1330" s="20"/>
      <c r="AX1330" s="20"/>
    </row>
    <row r="1331">
      <c r="A1331" s="20"/>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c r="AQ1331" s="20"/>
      <c r="AR1331" s="20"/>
      <c r="AS1331" s="20"/>
      <c r="AT1331" s="20"/>
      <c r="AU1331" s="20"/>
      <c r="AV1331" s="20"/>
      <c r="AW1331" s="20"/>
      <c r="AX1331" s="20"/>
    </row>
    <row r="1332">
      <c r="A1332" s="20"/>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c r="AQ1332" s="20"/>
      <c r="AR1332" s="20"/>
      <c r="AS1332" s="20"/>
      <c r="AT1332" s="20"/>
      <c r="AU1332" s="20"/>
      <c r="AV1332" s="20"/>
      <c r="AW1332" s="20"/>
      <c r="AX1332" s="20"/>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c r="AQ1333" s="20"/>
      <c r="AR1333" s="20"/>
      <c r="AS1333" s="20"/>
      <c r="AT1333" s="20"/>
      <c r="AU1333" s="20"/>
      <c r="AV1333" s="20"/>
      <c r="AW1333" s="20"/>
      <c r="AX1333" s="20"/>
    </row>
    <row r="1334">
      <c r="A1334" s="20"/>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c r="AQ1334" s="20"/>
      <c r="AR1334" s="20"/>
      <c r="AS1334" s="20"/>
      <c r="AT1334" s="20"/>
      <c r="AU1334" s="20"/>
      <c r="AV1334" s="20"/>
      <c r="AW1334" s="20"/>
      <c r="AX1334" s="20"/>
    </row>
    <row r="1335">
      <c r="A1335" s="20"/>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c r="AQ1335" s="20"/>
      <c r="AR1335" s="20"/>
      <c r="AS1335" s="20"/>
      <c r="AT1335" s="20"/>
      <c r="AU1335" s="20"/>
      <c r="AV1335" s="20"/>
      <c r="AW1335" s="20"/>
      <c r="AX1335" s="20"/>
    </row>
    <row r="1336">
      <c r="A1336" s="20"/>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c r="AQ1336" s="20"/>
      <c r="AR1336" s="20"/>
      <c r="AS1336" s="20"/>
      <c r="AT1336" s="20"/>
      <c r="AU1336" s="20"/>
      <c r="AV1336" s="20"/>
      <c r="AW1336" s="20"/>
      <c r="AX1336" s="20"/>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c r="AQ1337" s="20"/>
      <c r="AR1337" s="20"/>
      <c r="AS1337" s="20"/>
      <c r="AT1337" s="20"/>
      <c r="AU1337" s="20"/>
      <c r="AV1337" s="20"/>
      <c r="AW1337" s="20"/>
      <c r="AX1337" s="20"/>
    </row>
    <row r="1338">
      <c r="A1338" s="20"/>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c r="AQ1338" s="20"/>
      <c r="AR1338" s="20"/>
      <c r="AS1338" s="20"/>
      <c r="AT1338" s="20"/>
      <c r="AU1338" s="20"/>
      <c r="AV1338" s="20"/>
      <c r="AW1338" s="20"/>
      <c r="AX1338" s="20"/>
    </row>
    <row r="1339">
      <c r="A1339" s="20"/>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c r="AQ1339" s="20"/>
      <c r="AR1339" s="20"/>
      <c r="AS1339" s="20"/>
      <c r="AT1339" s="20"/>
      <c r="AU1339" s="20"/>
      <c r="AV1339" s="20"/>
      <c r="AW1339" s="20"/>
      <c r="AX1339" s="20"/>
    </row>
    <row r="1340">
      <c r="A1340" s="20"/>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c r="AQ1340" s="20"/>
      <c r="AR1340" s="20"/>
      <c r="AS1340" s="20"/>
      <c r="AT1340" s="20"/>
      <c r="AU1340" s="20"/>
      <c r="AV1340" s="20"/>
      <c r="AW1340" s="20"/>
      <c r="AX1340" s="20"/>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c r="AQ1341" s="20"/>
      <c r="AR1341" s="20"/>
      <c r="AS1341" s="20"/>
      <c r="AT1341" s="20"/>
      <c r="AU1341" s="20"/>
      <c r="AV1341" s="20"/>
      <c r="AW1341" s="20"/>
      <c r="AX1341" s="20"/>
    </row>
    <row r="1342">
      <c r="A1342" s="20"/>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0"/>
      <c r="AQ1342" s="20"/>
      <c r="AR1342" s="20"/>
      <c r="AS1342" s="20"/>
      <c r="AT1342" s="20"/>
      <c r="AU1342" s="20"/>
      <c r="AV1342" s="20"/>
      <c r="AW1342" s="20"/>
      <c r="AX1342" s="20"/>
    </row>
    <row r="1343">
      <c r="A1343" s="20"/>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c r="AQ1343" s="20"/>
      <c r="AR1343" s="20"/>
      <c r="AS1343" s="20"/>
      <c r="AT1343" s="20"/>
      <c r="AU1343" s="20"/>
      <c r="AV1343" s="20"/>
      <c r="AW1343" s="20"/>
      <c r="AX1343" s="20"/>
    </row>
    <row r="1344">
      <c r="A1344" s="20"/>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c r="AQ1344" s="20"/>
      <c r="AR1344" s="20"/>
      <c r="AS1344" s="20"/>
      <c r="AT1344" s="20"/>
      <c r="AU1344" s="20"/>
      <c r="AV1344" s="20"/>
      <c r="AW1344" s="20"/>
      <c r="AX1344" s="20"/>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c r="AQ1345" s="20"/>
      <c r="AR1345" s="20"/>
      <c r="AS1345" s="20"/>
      <c r="AT1345" s="20"/>
      <c r="AU1345" s="20"/>
      <c r="AV1345" s="20"/>
      <c r="AW1345" s="20"/>
      <c r="AX1345" s="20"/>
    </row>
    <row r="1346">
      <c r="A1346" s="20"/>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c r="AQ1346" s="20"/>
      <c r="AR1346" s="20"/>
      <c r="AS1346" s="20"/>
      <c r="AT1346" s="20"/>
      <c r="AU1346" s="20"/>
      <c r="AV1346" s="20"/>
      <c r="AW1346" s="20"/>
      <c r="AX1346" s="20"/>
    </row>
    <row r="1347">
      <c r="A1347" s="20"/>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c r="AQ1347" s="20"/>
      <c r="AR1347" s="20"/>
      <c r="AS1347" s="20"/>
      <c r="AT1347" s="20"/>
      <c r="AU1347" s="20"/>
      <c r="AV1347" s="20"/>
      <c r="AW1347" s="20"/>
      <c r="AX1347" s="20"/>
    </row>
    <row r="1348">
      <c r="A1348" s="20"/>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0"/>
      <c r="AQ1348" s="20"/>
      <c r="AR1348" s="20"/>
      <c r="AS1348" s="20"/>
      <c r="AT1348" s="20"/>
      <c r="AU1348" s="20"/>
      <c r="AV1348" s="20"/>
      <c r="AW1348" s="20"/>
      <c r="AX1348" s="20"/>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c r="AQ1349" s="20"/>
      <c r="AR1349" s="20"/>
      <c r="AS1349" s="20"/>
      <c r="AT1349" s="20"/>
      <c r="AU1349" s="20"/>
      <c r="AV1349" s="20"/>
      <c r="AW1349" s="20"/>
      <c r="AX1349" s="20"/>
    </row>
    <row r="1350">
      <c r="A1350" s="20"/>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c r="AQ1350" s="20"/>
      <c r="AR1350" s="20"/>
      <c r="AS1350" s="20"/>
      <c r="AT1350" s="20"/>
      <c r="AU1350" s="20"/>
      <c r="AV1350" s="20"/>
      <c r="AW1350" s="20"/>
      <c r="AX1350" s="20"/>
    </row>
    <row r="1351">
      <c r="A1351" s="20"/>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c r="AE1351" s="20"/>
      <c r="AF1351" s="20"/>
      <c r="AG1351" s="20"/>
      <c r="AH1351" s="20"/>
      <c r="AI1351" s="20"/>
      <c r="AJ1351" s="20"/>
      <c r="AK1351" s="20"/>
      <c r="AL1351" s="20"/>
      <c r="AM1351" s="20"/>
      <c r="AN1351" s="20"/>
      <c r="AO1351" s="20"/>
      <c r="AP1351" s="20"/>
      <c r="AQ1351" s="20"/>
      <c r="AR1351" s="20"/>
      <c r="AS1351" s="20"/>
      <c r="AT1351" s="20"/>
      <c r="AU1351" s="20"/>
      <c r="AV1351" s="20"/>
      <c r="AW1351" s="20"/>
      <c r="AX1351" s="20"/>
    </row>
    <row r="1352">
      <c r="A1352" s="20"/>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c r="AQ1352" s="20"/>
      <c r="AR1352" s="20"/>
      <c r="AS1352" s="20"/>
      <c r="AT1352" s="20"/>
      <c r="AU1352" s="20"/>
      <c r="AV1352" s="20"/>
      <c r="AW1352" s="20"/>
      <c r="AX1352" s="20"/>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0"/>
      <c r="AQ1353" s="20"/>
      <c r="AR1353" s="20"/>
      <c r="AS1353" s="20"/>
      <c r="AT1353" s="20"/>
      <c r="AU1353" s="20"/>
      <c r="AV1353" s="20"/>
      <c r="AW1353" s="20"/>
      <c r="AX1353" s="20"/>
    </row>
    <row r="1354">
      <c r="A1354" s="20"/>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c r="AQ1354" s="20"/>
      <c r="AR1354" s="20"/>
      <c r="AS1354" s="20"/>
      <c r="AT1354" s="20"/>
      <c r="AU1354" s="20"/>
      <c r="AV1354" s="20"/>
      <c r="AW1354" s="20"/>
      <c r="AX1354" s="20"/>
    </row>
    <row r="1355">
      <c r="A1355" s="20"/>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0"/>
      <c r="AQ1355" s="20"/>
      <c r="AR1355" s="20"/>
      <c r="AS1355" s="20"/>
      <c r="AT1355" s="20"/>
      <c r="AU1355" s="20"/>
      <c r="AV1355" s="20"/>
      <c r="AW1355" s="20"/>
      <c r="AX1355" s="20"/>
    </row>
    <row r="1356">
      <c r="A1356" s="20"/>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0"/>
      <c r="AQ1356" s="20"/>
      <c r="AR1356" s="20"/>
      <c r="AS1356" s="20"/>
      <c r="AT1356" s="20"/>
      <c r="AU1356" s="20"/>
      <c r="AV1356" s="20"/>
      <c r="AW1356" s="20"/>
      <c r="AX1356" s="20"/>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0"/>
      <c r="AQ1357" s="20"/>
      <c r="AR1357" s="20"/>
      <c r="AS1357" s="20"/>
      <c r="AT1357" s="20"/>
      <c r="AU1357" s="20"/>
      <c r="AV1357" s="20"/>
      <c r="AW1357" s="20"/>
      <c r="AX1357" s="20"/>
    </row>
    <row r="1358">
      <c r="A1358" s="20"/>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c r="AQ1358" s="20"/>
      <c r="AR1358" s="20"/>
      <c r="AS1358" s="20"/>
      <c r="AT1358" s="20"/>
      <c r="AU1358" s="20"/>
      <c r="AV1358" s="20"/>
      <c r="AW1358" s="20"/>
      <c r="AX1358" s="20"/>
    </row>
    <row r="1359">
      <c r="A1359" s="20"/>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0"/>
      <c r="AQ1359" s="20"/>
      <c r="AR1359" s="20"/>
      <c r="AS1359" s="20"/>
      <c r="AT1359" s="20"/>
      <c r="AU1359" s="20"/>
      <c r="AV1359" s="20"/>
      <c r="AW1359" s="20"/>
      <c r="AX1359" s="20"/>
    </row>
    <row r="1360">
      <c r="A1360" s="20"/>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c r="AQ1360" s="20"/>
      <c r="AR1360" s="20"/>
      <c r="AS1360" s="20"/>
      <c r="AT1360" s="20"/>
      <c r="AU1360" s="20"/>
      <c r="AV1360" s="20"/>
      <c r="AW1360" s="20"/>
      <c r="AX1360" s="20"/>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c r="AE1361" s="20"/>
      <c r="AF1361" s="20"/>
      <c r="AG1361" s="20"/>
      <c r="AH1361" s="20"/>
      <c r="AI1361" s="20"/>
      <c r="AJ1361" s="20"/>
      <c r="AK1361" s="20"/>
      <c r="AL1361" s="20"/>
      <c r="AM1361" s="20"/>
      <c r="AN1361" s="20"/>
      <c r="AO1361" s="20"/>
      <c r="AP1361" s="20"/>
      <c r="AQ1361" s="20"/>
      <c r="AR1361" s="20"/>
      <c r="AS1361" s="20"/>
      <c r="AT1361" s="20"/>
      <c r="AU1361" s="20"/>
      <c r="AV1361" s="20"/>
      <c r="AW1361" s="20"/>
      <c r="AX1361" s="20"/>
    </row>
    <row r="1362">
      <c r="A1362" s="20"/>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0"/>
      <c r="AQ1362" s="20"/>
      <c r="AR1362" s="20"/>
      <c r="AS1362" s="20"/>
      <c r="AT1362" s="20"/>
      <c r="AU1362" s="20"/>
      <c r="AV1362" s="20"/>
      <c r="AW1362" s="20"/>
      <c r="AX1362" s="20"/>
    </row>
    <row r="1363">
      <c r="A1363" s="20"/>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0"/>
      <c r="AQ1363" s="20"/>
      <c r="AR1363" s="20"/>
      <c r="AS1363" s="20"/>
      <c r="AT1363" s="20"/>
      <c r="AU1363" s="20"/>
      <c r="AV1363" s="20"/>
      <c r="AW1363" s="20"/>
      <c r="AX1363" s="20"/>
    </row>
    <row r="1364">
      <c r="A1364" s="20"/>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c r="AE1364" s="20"/>
      <c r="AF1364" s="20"/>
      <c r="AG1364" s="20"/>
      <c r="AH1364" s="20"/>
      <c r="AI1364" s="20"/>
      <c r="AJ1364" s="20"/>
      <c r="AK1364" s="20"/>
      <c r="AL1364" s="20"/>
      <c r="AM1364" s="20"/>
      <c r="AN1364" s="20"/>
      <c r="AO1364" s="20"/>
      <c r="AP1364" s="20"/>
      <c r="AQ1364" s="20"/>
      <c r="AR1364" s="20"/>
      <c r="AS1364" s="20"/>
      <c r="AT1364" s="20"/>
      <c r="AU1364" s="20"/>
      <c r="AV1364" s="20"/>
      <c r="AW1364" s="20"/>
      <c r="AX1364" s="20"/>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c r="AE1365" s="20"/>
      <c r="AF1365" s="20"/>
      <c r="AG1365" s="20"/>
      <c r="AH1365" s="20"/>
      <c r="AI1365" s="20"/>
      <c r="AJ1365" s="20"/>
      <c r="AK1365" s="20"/>
      <c r="AL1365" s="20"/>
      <c r="AM1365" s="20"/>
      <c r="AN1365" s="20"/>
      <c r="AO1365" s="20"/>
      <c r="AP1365" s="20"/>
      <c r="AQ1365" s="20"/>
      <c r="AR1365" s="20"/>
      <c r="AS1365" s="20"/>
      <c r="AT1365" s="20"/>
      <c r="AU1365" s="20"/>
      <c r="AV1365" s="20"/>
      <c r="AW1365" s="20"/>
      <c r="AX1365" s="20"/>
    </row>
    <row r="1366">
      <c r="A1366" s="20"/>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0"/>
      <c r="AQ1366" s="20"/>
      <c r="AR1366" s="20"/>
      <c r="AS1366" s="20"/>
      <c r="AT1366" s="20"/>
      <c r="AU1366" s="20"/>
      <c r="AV1366" s="20"/>
      <c r="AW1366" s="20"/>
      <c r="AX1366" s="20"/>
    </row>
    <row r="1367">
      <c r="A1367" s="20"/>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c r="AE1367" s="20"/>
      <c r="AF1367" s="20"/>
      <c r="AG1367" s="20"/>
      <c r="AH1367" s="20"/>
      <c r="AI1367" s="20"/>
      <c r="AJ1367" s="20"/>
      <c r="AK1367" s="20"/>
      <c r="AL1367" s="20"/>
      <c r="AM1367" s="20"/>
      <c r="AN1367" s="20"/>
      <c r="AO1367" s="20"/>
      <c r="AP1367" s="20"/>
      <c r="AQ1367" s="20"/>
      <c r="AR1367" s="20"/>
      <c r="AS1367" s="20"/>
      <c r="AT1367" s="20"/>
      <c r="AU1367" s="20"/>
      <c r="AV1367" s="20"/>
      <c r="AW1367" s="20"/>
      <c r="AX1367" s="20"/>
    </row>
    <row r="1368">
      <c r="A1368" s="20"/>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c r="AE1368" s="20"/>
      <c r="AF1368" s="20"/>
      <c r="AG1368" s="20"/>
      <c r="AH1368" s="20"/>
      <c r="AI1368" s="20"/>
      <c r="AJ1368" s="20"/>
      <c r="AK1368" s="20"/>
      <c r="AL1368" s="20"/>
      <c r="AM1368" s="20"/>
      <c r="AN1368" s="20"/>
      <c r="AO1368" s="20"/>
      <c r="AP1368" s="20"/>
      <c r="AQ1368" s="20"/>
      <c r="AR1368" s="20"/>
      <c r="AS1368" s="20"/>
      <c r="AT1368" s="20"/>
      <c r="AU1368" s="20"/>
      <c r="AV1368" s="20"/>
      <c r="AW1368" s="20"/>
      <c r="AX1368" s="20"/>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c r="AE1369" s="20"/>
      <c r="AF1369" s="20"/>
      <c r="AG1369" s="20"/>
      <c r="AH1369" s="20"/>
      <c r="AI1369" s="20"/>
      <c r="AJ1369" s="20"/>
      <c r="AK1369" s="20"/>
      <c r="AL1369" s="20"/>
      <c r="AM1369" s="20"/>
      <c r="AN1369" s="20"/>
      <c r="AO1369" s="20"/>
      <c r="AP1369" s="20"/>
      <c r="AQ1369" s="20"/>
      <c r="AR1369" s="20"/>
      <c r="AS1369" s="20"/>
      <c r="AT1369" s="20"/>
      <c r="AU1369" s="20"/>
      <c r="AV1369" s="20"/>
      <c r="AW1369" s="20"/>
      <c r="AX1369" s="20"/>
    </row>
    <row r="1370">
      <c r="A1370" s="20"/>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c r="AE1370" s="20"/>
      <c r="AF1370" s="20"/>
      <c r="AG1370" s="20"/>
      <c r="AH1370" s="20"/>
      <c r="AI1370" s="20"/>
      <c r="AJ1370" s="20"/>
      <c r="AK1370" s="20"/>
      <c r="AL1370" s="20"/>
      <c r="AM1370" s="20"/>
      <c r="AN1370" s="20"/>
      <c r="AO1370" s="20"/>
      <c r="AP1370" s="20"/>
      <c r="AQ1370" s="20"/>
      <c r="AR1370" s="20"/>
      <c r="AS1370" s="20"/>
      <c r="AT1370" s="20"/>
      <c r="AU1370" s="20"/>
      <c r="AV1370" s="20"/>
      <c r="AW1370" s="20"/>
      <c r="AX1370" s="20"/>
    </row>
    <row r="1371">
      <c r="A1371" s="20"/>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c r="AE1371" s="20"/>
      <c r="AF1371" s="20"/>
      <c r="AG1371" s="20"/>
      <c r="AH1371" s="20"/>
      <c r="AI1371" s="20"/>
      <c r="AJ1371" s="20"/>
      <c r="AK1371" s="20"/>
      <c r="AL1371" s="20"/>
      <c r="AM1371" s="20"/>
      <c r="AN1371" s="20"/>
      <c r="AO1371" s="20"/>
      <c r="AP1371" s="20"/>
      <c r="AQ1371" s="20"/>
      <c r="AR1371" s="20"/>
      <c r="AS1371" s="20"/>
      <c r="AT1371" s="20"/>
      <c r="AU1371" s="20"/>
      <c r="AV1371" s="20"/>
      <c r="AW1371" s="20"/>
      <c r="AX1371" s="20"/>
    </row>
    <row r="1372">
      <c r="A1372" s="20"/>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c r="AE1372" s="20"/>
      <c r="AF1372" s="20"/>
      <c r="AG1372" s="20"/>
      <c r="AH1372" s="20"/>
      <c r="AI1372" s="20"/>
      <c r="AJ1372" s="20"/>
      <c r="AK1372" s="20"/>
      <c r="AL1372" s="20"/>
      <c r="AM1372" s="20"/>
      <c r="AN1372" s="20"/>
      <c r="AO1372" s="20"/>
      <c r="AP1372" s="20"/>
      <c r="AQ1372" s="20"/>
      <c r="AR1372" s="20"/>
      <c r="AS1372" s="20"/>
      <c r="AT1372" s="20"/>
      <c r="AU1372" s="20"/>
      <c r="AV1372" s="20"/>
      <c r="AW1372" s="20"/>
      <c r="AX1372" s="20"/>
    </row>
    <row r="137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c r="AE1373" s="20"/>
      <c r="AF1373" s="20"/>
      <c r="AG1373" s="20"/>
      <c r="AH1373" s="20"/>
      <c r="AI1373" s="20"/>
      <c r="AJ1373" s="20"/>
      <c r="AK1373" s="20"/>
      <c r="AL1373" s="20"/>
      <c r="AM1373" s="20"/>
      <c r="AN1373" s="20"/>
      <c r="AO1373" s="20"/>
      <c r="AP1373" s="20"/>
      <c r="AQ1373" s="20"/>
      <c r="AR1373" s="20"/>
      <c r="AS1373" s="20"/>
      <c r="AT1373" s="20"/>
      <c r="AU1373" s="20"/>
      <c r="AV1373" s="20"/>
      <c r="AW1373" s="20"/>
      <c r="AX1373" s="20"/>
    </row>
    <row r="1374">
      <c r="A1374" s="20"/>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c r="AE1374" s="20"/>
      <c r="AF1374" s="20"/>
      <c r="AG1374" s="20"/>
      <c r="AH1374" s="20"/>
      <c r="AI1374" s="20"/>
      <c r="AJ1374" s="20"/>
      <c r="AK1374" s="20"/>
      <c r="AL1374" s="20"/>
      <c r="AM1374" s="20"/>
      <c r="AN1374" s="20"/>
      <c r="AO1374" s="20"/>
      <c r="AP1374" s="20"/>
      <c r="AQ1374" s="20"/>
      <c r="AR1374" s="20"/>
      <c r="AS1374" s="20"/>
      <c r="AT1374" s="20"/>
      <c r="AU1374" s="20"/>
      <c r="AV1374" s="20"/>
      <c r="AW1374" s="20"/>
      <c r="AX1374" s="20"/>
    </row>
    <row r="1375">
      <c r="A1375" s="20"/>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c r="AE1375" s="20"/>
      <c r="AF1375" s="20"/>
      <c r="AG1375" s="20"/>
      <c r="AH1375" s="20"/>
      <c r="AI1375" s="20"/>
      <c r="AJ1375" s="20"/>
      <c r="AK1375" s="20"/>
      <c r="AL1375" s="20"/>
      <c r="AM1375" s="20"/>
      <c r="AN1375" s="20"/>
      <c r="AO1375" s="20"/>
      <c r="AP1375" s="20"/>
      <c r="AQ1375" s="20"/>
      <c r="AR1375" s="20"/>
      <c r="AS1375" s="20"/>
      <c r="AT1375" s="20"/>
      <c r="AU1375" s="20"/>
      <c r="AV1375" s="20"/>
      <c r="AW1375" s="20"/>
      <c r="AX1375" s="20"/>
    </row>
    <row r="1376">
      <c r="A1376" s="20"/>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c r="AE1376" s="20"/>
      <c r="AF1376" s="20"/>
      <c r="AG1376" s="20"/>
      <c r="AH1376" s="20"/>
      <c r="AI1376" s="20"/>
      <c r="AJ1376" s="20"/>
      <c r="AK1376" s="20"/>
      <c r="AL1376" s="20"/>
      <c r="AM1376" s="20"/>
      <c r="AN1376" s="20"/>
      <c r="AO1376" s="20"/>
      <c r="AP1376" s="20"/>
      <c r="AQ1376" s="20"/>
      <c r="AR1376" s="20"/>
      <c r="AS1376" s="20"/>
      <c r="AT1376" s="20"/>
      <c r="AU1376" s="20"/>
      <c r="AV1376" s="20"/>
      <c r="AW1376" s="20"/>
      <c r="AX1376" s="20"/>
    </row>
    <row r="1377">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c r="AE1377" s="20"/>
      <c r="AF1377" s="20"/>
      <c r="AG1377" s="20"/>
      <c r="AH1377" s="20"/>
      <c r="AI1377" s="20"/>
      <c r="AJ1377" s="20"/>
      <c r="AK1377" s="20"/>
      <c r="AL1377" s="20"/>
      <c r="AM1377" s="20"/>
      <c r="AN1377" s="20"/>
      <c r="AO1377" s="20"/>
      <c r="AP1377" s="20"/>
      <c r="AQ1377" s="20"/>
      <c r="AR1377" s="20"/>
      <c r="AS1377" s="20"/>
      <c r="AT1377" s="20"/>
      <c r="AU1377" s="20"/>
      <c r="AV1377" s="20"/>
      <c r="AW1377" s="20"/>
      <c r="AX1377" s="20"/>
    </row>
    <row r="1378">
      <c r="A1378" s="20"/>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c r="AE1378" s="20"/>
      <c r="AF1378" s="20"/>
      <c r="AG1378" s="20"/>
      <c r="AH1378" s="20"/>
      <c r="AI1378" s="20"/>
      <c r="AJ1378" s="20"/>
      <c r="AK1378" s="20"/>
      <c r="AL1378" s="20"/>
      <c r="AM1378" s="20"/>
      <c r="AN1378" s="20"/>
      <c r="AO1378" s="20"/>
      <c r="AP1378" s="20"/>
      <c r="AQ1378" s="20"/>
      <c r="AR1378" s="20"/>
      <c r="AS1378" s="20"/>
      <c r="AT1378" s="20"/>
      <c r="AU1378" s="20"/>
      <c r="AV1378" s="20"/>
      <c r="AW1378" s="20"/>
      <c r="AX1378" s="20"/>
    </row>
    <row r="1379">
      <c r="A1379" s="20"/>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c r="AE1379" s="20"/>
      <c r="AF1379" s="20"/>
      <c r="AG1379" s="20"/>
      <c r="AH1379" s="20"/>
      <c r="AI1379" s="20"/>
      <c r="AJ1379" s="20"/>
      <c r="AK1379" s="20"/>
      <c r="AL1379" s="20"/>
      <c r="AM1379" s="20"/>
      <c r="AN1379" s="20"/>
      <c r="AO1379" s="20"/>
      <c r="AP1379" s="20"/>
      <c r="AQ1379" s="20"/>
      <c r="AR1379" s="20"/>
      <c r="AS1379" s="20"/>
      <c r="AT1379" s="20"/>
      <c r="AU1379" s="20"/>
      <c r="AV1379" s="20"/>
      <c r="AW1379" s="20"/>
      <c r="AX1379" s="20"/>
    </row>
    <row r="1380">
      <c r="A1380" s="20"/>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c r="AE1380" s="20"/>
      <c r="AF1380" s="20"/>
      <c r="AG1380" s="20"/>
      <c r="AH1380" s="20"/>
      <c r="AI1380" s="20"/>
      <c r="AJ1380" s="20"/>
      <c r="AK1380" s="20"/>
      <c r="AL1380" s="20"/>
      <c r="AM1380" s="20"/>
      <c r="AN1380" s="20"/>
      <c r="AO1380" s="20"/>
      <c r="AP1380" s="20"/>
      <c r="AQ1380" s="20"/>
      <c r="AR1380" s="20"/>
      <c r="AS1380" s="20"/>
      <c r="AT1380" s="20"/>
      <c r="AU1380" s="20"/>
      <c r="AV1380" s="20"/>
      <c r="AW1380" s="20"/>
      <c r="AX1380" s="20"/>
    </row>
    <row r="1381">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c r="AE1381" s="20"/>
      <c r="AF1381" s="20"/>
      <c r="AG1381" s="20"/>
      <c r="AH1381" s="20"/>
      <c r="AI1381" s="20"/>
      <c r="AJ1381" s="20"/>
      <c r="AK1381" s="20"/>
      <c r="AL1381" s="20"/>
      <c r="AM1381" s="20"/>
      <c r="AN1381" s="20"/>
      <c r="AO1381" s="20"/>
      <c r="AP1381" s="20"/>
      <c r="AQ1381" s="20"/>
      <c r="AR1381" s="20"/>
      <c r="AS1381" s="20"/>
      <c r="AT1381" s="20"/>
      <c r="AU1381" s="20"/>
      <c r="AV1381" s="20"/>
      <c r="AW1381" s="20"/>
      <c r="AX1381" s="20"/>
    </row>
    <row r="1382">
      <c r="A1382" s="20"/>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c r="AE1382" s="20"/>
      <c r="AF1382" s="20"/>
      <c r="AG1382" s="20"/>
      <c r="AH1382" s="20"/>
      <c r="AI1382" s="20"/>
      <c r="AJ1382" s="20"/>
      <c r="AK1382" s="20"/>
      <c r="AL1382" s="20"/>
      <c r="AM1382" s="20"/>
      <c r="AN1382" s="20"/>
      <c r="AO1382" s="20"/>
      <c r="AP1382" s="20"/>
      <c r="AQ1382" s="20"/>
      <c r="AR1382" s="20"/>
      <c r="AS1382" s="20"/>
      <c r="AT1382" s="20"/>
      <c r="AU1382" s="20"/>
      <c r="AV1382" s="20"/>
      <c r="AW1382" s="20"/>
      <c r="AX1382" s="20"/>
    </row>
    <row r="1383">
      <c r="A1383" s="20"/>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c r="AE1383" s="20"/>
      <c r="AF1383" s="20"/>
      <c r="AG1383" s="20"/>
      <c r="AH1383" s="20"/>
      <c r="AI1383" s="20"/>
      <c r="AJ1383" s="20"/>
      <c r="AK1383" s="20"/>
      <c r="AL1383" s="20"/>
      <c r="AM1383" s="20"/>
      <c r="AN1383" s="20"/>
      <c r="AO1383" s="20"/>
      <c r="AP1383" s="20"/>
      <c r="AQ1383" s="20"/>
      <c r="AR1383" s="20"/>
      <c r="AS1383" s="20"/>
      <c r="AT1383" s="20"/>
      <c r="AU1383" s="20"/>
      <c r="AV1383" s="20"/>
      <c r="AW1383" s="20"/>
      <c r="AX1383" s="20"/>
    </row>
    <row r="1384">
      <c r="A1384" s="20"/>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c r="AE1384" s="20"/>
      <c r="AF1384" s="20"/>
      <c r="AG1384" s="20"/>
      <c r="AH1384" s="20"/>
      <c r="AI1384" s="20"/>
      <c r="AJ1384" s="20"/>
      <c r="AK1384" s="20"/>
      <c r="AL1384" s="20"/>
      <c r="AM1384" s="20"/>
      <c r="AN1384" s="20"/>
      <c r="AO1384" s="20"/>
      <c r="AP1384" s="20"/>
      <c r="AQ1384" s="20"/>
      <c r="AR1384" s="20"/>
      <c r="AS1384" s="20"/>
      <c r="AT1384" s="20"/>
      <c r="AU1384" s="20"/>
      <c r="AV1384" s="20"/>
      <c r="AW1384" s="20"/>
      <c r="AX1384" s="20"/>
    </row>
    <row r="1385">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c r="AE1385" s="20"/>
      <c r="AF1385" s="20"/>
      <c r="AG1385" s="20"/>
      <c r="AH1385" s="20"/>
      <c r="AI1385" s="20"/>
      <c r="AJ1385" s="20"/>
      <c r="AK1385" s="20"/>
      <c r="AL1385" s="20"/>
      <c r="AM1385" s="20"/>
      <c r="AN1385" s="20"/>
      <c r="AO1385" s="20"/>
      <c r="AP1385" s="20"/>
      <c r="AQ1385" s="20"/>
      <c r="AR1385" s="20"/>
      <c r="AS1385" s="20"/>
      <c r="AT1385" s="20"/>
      <c r="AU1385" s="20"/>
      <c r="AV1385" s="20"/>
      <c r="AW1385" s="20"/>
      <c r="AX1385" s="20"/>
    </row>
    <row r="1386">
      <c r="A1386" s="20"/>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c r="AE1386" s="20"/>
      <c r="AF1386" s="20"/>
      <c r="AG1386" s="20"/>
      <c r="AH1386" s="20"/>
      <c r="AI1386" s="20"/>
      <c r="AJ1386" s="20"/>
      <c r="AK1386" s="20"/>
      <c r="AL1386" s="20"/>
      <c r="AM1386" s="20"/>
      <c r="AN1386" s="20"/>
      <c r="AO1386" s="20"/>
      <c r="AP1386" s="20"/>
      <c r="AQ1386" s="20"/>
      <c r="AR1386" s="20"/>
      <c r="AS1386" s="20"/>
      <c r="AT1386" s="20"/>
      <c r="AU1386" s="20"/>
      <c r="AV1386" s="20"/>
      <c r="AW1386" s="20"/>
      <c r="AX1386" s="20"/>
    </row>
    <row r="1387">
      <c r="A1387" s="20"/>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c r="AE1387" s="20"/>
      <c r="AF1387" s="20"/>
      <c r="AG1387" s="20"/>
      <c r="AH1387" s="20"/>
      <c r="AI1387" s="20"/>
      <c r="AJ1387" s="20"/>
      <c r="AK1387" s="20"/>
      <c r="AL1387" s="20"/>
      <c r="AM1387" s="20"/>
      <c r="AN1387" s="20"/>
      <c r="AO1387" s="20"/>
      <c r="AP1387" s="20"/>
      <c r="AQ1387" s="20"/>
      <c r="AR1387" s="20"/>
      <c r="AS1387" s="20"/>
      <c r="AT1387" s="20"/>
      <c r="AU1387" s="20"/>
      <c r="AV1387" s="20"/>
      <c r="AW1387" s="20"/>
      <c r="AX1387" s="20"/>
    </row>
    <row r="1388">
      <c r="A1388" s="20"/>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c r="AE1388" s="20"/>
      <c r="AF1388" s="20"/>
      <c r="AG1388" s="20"/>
      <c r="AH1388" s="20"/>
      <c r="AI1388" s="20"/>
      <c r="AJ1388" s="20"/>
      <c r="AK1388" s="20"/>
      <c r="AL1388" s="20"/>
      <c r="AM1388" s="20"/>
      <c r="AN1388" s="20"/>
      <c r="AO1388" s="20"/>
      <c r="AP1388" s="20"/>
      <c r="AQ1388" s="20"/>
      <c r="AR1388" s="20"/>
      <c r="AS1388" s="20"/>
      <c r="AT1388" s="20"/>
      <c r="AU1388" s="20"/>
      <c r="AV1388" s="20"/>
      <c r="AW1388" s="20"/>
      <c r="AX1388" s="20"/>
    </row>
    <row r="1389">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row>
    <row r="1390">
      <c r="A1390" s="20"/>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c r="AE1390" s="20"/>
      <c r="AF1390" s="20"/>
      <c r="AG1390" s="20"/>
      <c r="AH1390" s="20"/>
      <c r="AI1390" s="20"/>
      <c r="AJ1390" s="20"/>
      <c r="AK1390" s="20"/>
      <c r="AL1390" s="20"/>
      <c r="AM1390" s="20"/>
      <c r="AN1390" s="20"/>
      <c r="AO1390" s="20"/>
      <c r="AP1390" s="20"/>
      <c r="AQ1390" s="20"/>
      <c r="AR1390" s="20"/>
      <c r="AS1390" s="20"/>
      <c r="AT1390" s="20"/>
      <c r="AU1390" s="20"/>
      <c r="AV1390" s="20"/>
      <c r="AW1390" s="20"/>
      <c r="AX1390" s="20"/>
    </row>
    <row r="1391">
      <c r="A1391" s="20"/>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c r="AE1391" s="20"/>
      <c r="AF1391" s="20"/>
      <c r="AG1391" s="20"/>
      <c r="AH1391" s="20"/>
      <c r="AI1391" s="20"/>
      <c r="AJ1391" s="20"/>
      <c r="AK1391" s="20"/>
      <c r="AL1391" s="20"/>
      <c r="AM1391" s="20"/>
      <c r="AN1391" s="20"/>
      <c r="AO1391" s="20"/>
      <c r="AP1391" s="20"/>
      <c r="AQ1391" s="20"/>
      <c r="AR1391" s="20"/>
      <c r="AS1391" s="20"/>
      <c r="AT1391" s="20"/>
      <c r="AU1391" s="20"/>
      <c r="AV1391" s="20"/>
      <c r="AW1391" s="20"/>
      <c r="AX1391" s="20"/>
    </row>
    <row r="1392">
      <c r="A1392" s="20"/>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c r="AE1392" s="20"/>
      <c r="AF1392" s="20"/>
      <c r="AG1392" s="20"/>
      <c r="AH1392" s="20"/>
      <c r="AI1392" s="20"/>
      <c r="AJ1392" s="20"/>
      <c r="AK1392" s="20"/>
      <c r="AL1392" s="20"/>
      <c r="AM1392" s="20"/>
      <c r="AN1392" s="20"/>
      <c r="AO1392" s="20"/>
      <c r="AP1392" s="20"/>
      <c r="AQ1392" s="20"/>
      <c r="AR1392" s="20"/>
      <c r="AS1392" s="20"/>
      <c r="AT1392" s="20"/>
      <c r="AU1392" s="20"/>
      <c r="AV1392" s="20"/>
      <c r="AW1392" s="20"/>
      <c r="AX1392" s="20"/>
    </row>
    <row r="139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c r="AE1393" s="20"/>
      <c r="AF1393" s="20"/>
      <c r="AG1393" s="20"/>
      <c r="AH1393" s="20"/>
      <c r="AI1393" s="20"/>
      <c r="AJ1393" s="20"/>
      <c r="AK1393" s="20"/>
      <c r="AL1393" s="20"/>
      <c r="AM1393" s="20"/>
      <c r="AN1393" s="20"/>
      <c r="AO1393" s="20"/>
      <c r="AP1393" s="20"/>
      <c r="AQ1393" s="20"/>
      <c r="AR1393" s="20"/>
      <c r="AS1393" s="20"/>
      <c r="AT1393" s="20"/>
      <c r="AU1393" s="20"/>
      <c r="AV1393" s="20"/>
      <c r="AW1393" s="20"/>
      <c r="AX1393" s="20"/>
    </row>
    <row r="1394">
      <c r="A1394" s="20"/>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c r="AE1394" s="20"/>
      <c r="AF1394" s="20"/>
      <c r="AG1394" s="20"/>
      <c r="AH1394" s="20"/>
      <c r="AI1394" s="20"/>
      <c r="AJ1394" s="20"/>
      <c r="AK1394" s="20"/>
      <c r="AL1394" s="20"/>
      <c r="AM1394" s="20"/>
      <c r="AN1394" s="20"/>
      <c r="AO1394" s="20"/>
      <c r="AP1394" s="20"/>
      <c r="AQ1394" s="20"/>
      <c r="AR1394" s="20"/>
      <c r="AS1394" s="20"/>
      <c r="AT1394" s="20"/>
      <c r="AU1394" s="20"/>
      <c r="AV1394" s="20"/>
      <c r="AW1394" s="20"/>
      <c r="AX1394" s="20"/>
    </row>
    <row r="1395">
      <c r="A1395" s="20"/>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c r="AE1395" s="20"/>
      <c r="AF1395" s="20"/>
      <c r="AG1395" s="20"/>
      <c r="AH1395" s="20"/>
      <c r="AI1395" s="20"/>
      <c r="AJ1395" s="20"/>
      <c r="AK1395" s="20"/>
      <c r="AL1395" s="20"/>
      <c r="AM1395" s="20"/>
      <c r="AN1395" s="20"/>
      <c r="AO1395" s="20"/>
      <c r="AP1395" s="20"/>
      <c r="AQ1395" s="20"/>
      <c r="AR1395" s="20"/>
      <c r="AS1395" s="20"/>
      <c r="AT1395" s="20"/>
      <c r="AU1395" s="20"/>
      <c r="AV1395" s="20"/>
      <c r="AW1395" s="20"/>
      <c r="AX1395" s="20"/>
    </row>
    <row r="1396">
      <c r="A1396" s="20"/>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c r="AE1396" s="20"/>
      <c r="AF1396" s="20"/>
      <c r="AG1396" s="20"/>
      <c r="AH1396" s="20"/>
      <c r="AI1396" s="20"/>
      <c r="AJ1396" s="20"/>
      <c r="AK1396" s="20"/>
      <c r="AL1396" s="20"/>
      <c r="AM1396" s="20"/>
      <c r="AN1396" s="20"/>
      <c r="AO1396" s="20"/>
      <c r="AP1396" s="20"/>
      <c r="AQ1396" s="20"/>
      <c r="AR1396" s="20"/>
      <c r="AS1396" s="20"/>
      <c r="AT1396" s="20"/>
      <c r="AU1396" s="20"/>
      <c r="AV1396" s="20"/>
      <c r="AW1396" s="20"/>
      <c r="AX1396" s="20"/>
    </row>
    <row r="1397">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c r="AE1397" s="20"/>
      <c r="AF1397" s="20"/>
      <c r="AG1397" s="20"/>
      <c r="AH1397" s="20"/>
      <c r="AI1397" s="20"/>
      <c r="AJ1397" s="20"/>
      <c r="AK1397" s="20"/>
      <c r="AL1397" s="20"/>
      <c r="AM1397" s="20"/>
      <c r="AN1397" s="20"/>
      <c r="AO1397" s="20"/>
      <c r="AP1397" s="20"/>
      <c r="AQ1397" s="20"/>
      <c r="AR1397" s="20"/>
      <c r="AS1397" s="20"/>
      <c r="AT1397" s="20"/>
      <c r="AU1397" s="20"/>
      <c r="AV1397" s="20"/>
      <c r="AW1397" s="20"/>
      <c r="AX1397" s="20"/>
    </row>
    <row r="1398">
      <c r="A1398" s="20"/>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c r="AE1398" s="20"/>
      <c r="AF1398" s="20"/>
      <c r="AG1398" s="20"/>
      <c r="AH1398" s="20"/>
      <c r="AI1398" s="20"/>
      <c r="AJ1398" s="20"/>
      <c r="AK1398" s="20"/>
      <c r="AL1398" s="20"/>
      <c r="AM1398" s="20"/>
      <c r="AN1398" s="20"/>
      <c r="AO1398" s="20"/>
      <c r="AP1398" s="20"/>
      <c r="AQ1398" s="20"/>
      <c r="AR1398" s="20"/>
      <c r="AS1398" s="20"/>
      <c r="AT1398" s="20"/>
      <c r="AU1398" s="20"/>
      <c r="AV1398" s="20"/>
      <c r="AW1398" s="20"/>
      <c r="AX1398" s="20"/>
    </row>
    <row r="1399">
      <c r="A1399" s="20"/>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c r="AE1399" s="20"/>
      <c r="AF1399" s="20"/>
      <c r="AG1399" s="20"/>
      <c r="AH1399" s="20"/>
      <c r="AI1399" s="20"/>
      <c r="AJ1399" s="20"/>
      <c r="AK1399" s="20"/>
      <c r="AL1399" s="20"/>
      <c r="AM1399" s="20"/>
      <c r="AN1399" s="20"/>
      <c r="AO1399" s="20"/>
      <c r="AP1399" s="20"/>
      <c r="AQ1399" s="20"/>
      <c r="AR1399" s="20"/>
      <c r="AS1399" s="20"/>
      <c r="AT1399" s="20"/>
      <c r="AU1399" s="20"/>
      <c r="AV1399" s="20"/>
      <c r="AW1399" s="20"/>
      <c r="AX1399" s="20"/>
    </row>
  </sheetData>
  <conditionalFormatting sqref="V23:X23">
    <cfRule type="cellIs" dxfId="131" priority="1" operator="equal">
      <formula>"UNLV"</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0" priority="2" operator="equal">
      <formula>"Wyoming"</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 priority="3" operator="equal">
      <formula>"Wisconsin"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 priority="4" operator="equal">
      <formula>"Western Michigan"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 priority="5" operator="equal">
      <formula>"Western Kentucky"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 priority="6" operator="equal">
      <formula>"West Virginia"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 priority="7" operator="equal">
      <formula>"Washington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 priority="8" operator="equal">
      <formula>"Washington"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 priority="9" operator="equal">
      <formula>"Wake Forest"</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 priority="10" operator="equal">
      <formula>"Virginia Tech"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 priority="11" operator="equal">
      <formula>"Virginia"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 priority="12" operator="equal">
      <formula>"Vanderbilt"</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 priority="13" operator="equal">
      <formula>"UTEP"</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 priority="14" operator="equal">
      <formula>"Utah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3" priority="15" operator="equal">
      <formula>"Utah"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4" priority="16" operator="equal">
      <formula>"UNLV"</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5" priority="17" operator="equal">
      <formula>"UL-Monroe"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6" priority="18" operator="equal">
      <formula>"UL-Lafayette"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7" priority="19" operator="equal">
      <formula>"UCLA"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8" priority="20" operator="equal">
      <formula>"UAB"</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9" priority="21" operator="equal">
      <formula>"Tulsa"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0" priority="22" operator="equal">
      <formula>"Tulane"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1" priority="23" operator="equal">
      <formula>"Troy"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2" priority="24" operator="equal">
      <formula>"Toledo"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3" priority="25" operator="equal">
      <formula>"Texas-San Antonio"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4" priority="26" operator="equal">
      <formula>"Texas Tech"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5" priority="27" operator="equal">
      <formula>"Texas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6" priority="28" operator="equal">
      <formula>"Texas A&amp;M"</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7" priority="29" operator="equal">
      <formula>"Texas"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8" priority="30" operator="equal">
      <formula>"Tennessee"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29" priority="31" operator="equal">
      <formula>"Temple"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0" priority="32" operator="equal">
      <formula>"TCU"</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1" priority="33" operator="equal">
      <formula>"Syracuse"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2" priority="34" operator="equal">
      <formula>"Stanford"</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3" priority="35" operator="equal">
      <formula>"Southern Mississippi"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4" priority="36" operator="equal">
      <formula>"Southern Methodist"</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5" priority="37" operator="equal">
      <formula>"Southern Cal"</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6" priority="38" operator="equal">
      <formula>"South Florida"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7" priority="39" operator="equal">
      <formula>"South Carolina"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8" priority="40" operator="equal">
      <formula>"South Alabama"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39" priority="41" operator="equal">
      <formula>"San Jose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0" priority="42" operator="equal">
      <formula>"San Diego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1" priority="43" operator="equal">
      <formula>"Rutgers"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2" priority="44" operator="equal">
      <formula>"Rice"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3" priority="45" operator="equal">
      <formula>"Purdue"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4" priority="46" operator="equal">
      <formula>"Pittsburgh"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5" priority="47" operator="equal">
      <formula>"Penn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6" priority="48" operator="equal">
      <formula>"Oregon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7" priority="49" operator="equal">
      <formula>"Oregon"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8" priority="50" operator="equal">
      <formula>"Old Dominion"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49" priority="51" operator="equal">
      <formula>"Oklahoma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0" priority="52" operator="equal">
      <formula>"Oklahoma"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1" priority="53" operator="equal">
      <formula>"Ohio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2" priority="54" operator="equal">
      <formula>"Ohio"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3" priority="55" operator="equal">
      <formula>"Notre Dame"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4" priority="56" operator="equal">
      <formula>"Northwestern"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5" priority="57" operator="equal">
      <formula>"Northern Illinois"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6" priority="58" operator="equal">
      <formula>"North Texas"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7" priority="59" operator="equal">
      <formula>"North Carolina"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8" priority="60" operator="equal">
      <formula>"New Mexico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59" priority="61" operator="equal">
      <formula>"New Mexico"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0" priority="62" operator="equal">
      <formula>"Nevada"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1" priority="63" operator="equal">
      <formula>"Nebraska"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2" priority="64" operator="equal">
      <formula>"North Carolina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3" priority="65" operator="equal">
      <formula>"Navy"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4" priority="66" operator="equal">
      <formula>"Missouri"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5" priority="67" operator="equal">
      <formula>"Mississippi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6" priority="68" operator="equal">
      <formula>"Mississippi"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7" priority="69" operator="equal">
      <formula>"Minnesota"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8" priority="70" operator="equal">
      <formula>"Middle Tennessee"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69" priority="71" operator="equal">
      <formula>"Michigan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0" priority="72" operator="equal">
      <formula>"Michigan"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1" priority="73" operator="equal">
      <formula>"Miami (OH)"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2" priority="74" operator="equal">
      <formula>"Miami"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3" priority="75" operator="equal">
      <formula>"Memphis"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4" priority="76" operator="equal">
      <formula>"Massachusetts"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5" priority="77" operator="equal">
      <formula>"Maryland"</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6" priority="78" operator="equal">
      <formula>"Marshall"</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7" priority="79" operator="equal">
      <formula>"LSU"</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8" priority="80" operator="equal">
      <formula>"Louisville"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79" priority="81" operator="equal">
      <formula>"Louisiana Tech"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0" priority="82" operator="equal">
      <formula>"Liberty"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1" priority="83" operator="equal">
      <formula>"Kentucky"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2" priority="84" operator="equal">
      <formula>"Kent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3" priority="85" operator="equal">
      <formula>"Kansas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4" priority="86" operator="equal">
      <formula>"Kansas"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5" priority="87" operator="equal">
      <formula>"Iowa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6" priority="88" operator="equal">
      <formula>"Iowa"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7" priority="89" operator="equal">
      <formula>"Indiana"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8" priority="90" operator="equal">
      <formula>"Illinois"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89" priority="91" operator="equal">
      <formula>"Idaho"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0" priority="92" operator="equal">
      <formula>"Houston"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1" priority="93" operator="equal">
      <formula>"Hawaii"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2" priority="94" operator="equal">
      <formula>"Georgia Tech"</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3" priority="95" operator="equal">
      <formula>"Georgia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4" priority="96" operator="equal">
      <formula>"Georgia Southern"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5" priority="97" operator="equal">
      <formula>"Georgia"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6" priority="98" operator="equal">
      <formula>"Fresno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7" priority="99" operator="equal">
      <formula>"Florida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8" priority="100" operator="equal">
      <formula>"Florida International"</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99" priority="101" operator="equal">
      <formula>"Florida Atlantic"</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0" priority="102" operator="equal">
      <formula>"Florida"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1" priority="103" operator="equal">
      <formula>"Eastern Michigan"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2" priority="104" operator="equal">
      <formula>"East Carolina"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3" priority="105" operator="equal">
      <formula>"Duke"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4" priority="106" operator="equal">
      <formula>"Connecticut"</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5" priority="107" operator="equal">
      <formula>"Colorado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6" priority="108" operator="equal">
      <formula>"Colorado"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7" priority="109" operator="equal">
      <formula>"Coastal Carolina"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8" priority="110" operator="equal">
      <formula>"Clemson"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09" priority="111" operator="equal">
      <formula>"Cincinnati"</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0" priority="112" operator="equal">
      <formula>"Charlotte"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1" priority="113" operator="equal">
      <formula>"Central Michigan"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2" priority="114" operator="equal">
      <formula>"Central Florida"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3" priority="115" operator="equal">
      <formula>"California"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4" priority="116" operator="equal">
      <formula>"BYU"</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5" priority="117" operator="equal">
      <formula>"Buffalo"</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6" priority="118" operator="equal">
      <formula>"Bowling Green"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7" priority="119" operator="equal">
      <formula>"Boston College"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8" priority="120" operator="equal">
      <formula>"Boise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19" priority="121" operator="equal">
      <formula>"Baylor"</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0" priority="122" operator="equal">
      <formula>"Ball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1" priority="123" operator="equal">
      <formula>"Auburn"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2" priority="124" operator="equal">
      <formula>"Army"</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3" priority="125" operator="equal">
      <formula>"Arkansas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4" priority="126" operator="equal">
      <formula>"Arkansas"</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5" priority="127" operator="equal">
      <formula>"Arizona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6" priority="128" operator="equal">
      <formula>"Arizona"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7" priority="129" operator="equal">
      <formula>"Appalachian State"</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8" priority="130" operator="equal">
      <formula>"Alabama"</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29" priority="131" operator="equal">
      <formula>"Akron"</formula>
    </cfRule>
  </conditionalFormatting>
  <conditionalFormatting sqref="A1:D1 E1:F1399 G1:J1 K1:L30 M1:R1 S1:T3 U1:V2 W1:AX30 I3:J30 M3:N4 U4:V5 A5:B5 S5:T30 M6:N7 A7:B7 U7:U24 V7:V23 M10:N10 A12:B30 M12:N30 O14:P1399 C16:D1399 G16:H30 Q16:R1399 V25:V30 U27:U30 A32:B1399 G32:H1399 J32:J1399 L32:N1399 S32:AX1399 I33:I1399 K33 K41:K1399">
    <cfRule type="cellIs" dxfId="130" priority="132" operator="equal">
      <formula>"Air Force"</formula>
    </cfRule>
  </conditionalFormatting>
  <conditionalFormatting sqref="O44:P1399 AG44:AG1399">
    <cfRule type="cellIs" dxfId="167" priority="133" operator="equal">
      <formula>"Yes"</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4.43" defaultRowHeight="15.0"/>
  <cols>
    <col customWidth="1" min="1" max="1" width="20.86"/>
    <col customWidth="1" min="4" max="4" width="20.86"/>
  </cols>
  <sheetData>
    <row r="1">
      <c r="A1" s="20" t="str">
        <f>IFERROR(__xludf.DUMMYFUNCTION("QUERY(CurrentRank!A2:D132,""SELECT B, C, D WHERE A = 'AAC' ORDER BY C DESC"",1)"),"Name")</f>
        <v>Name</v>
      </c>
      <c r="B1" s="20" t="str">
        <f>IFERROR(__xludf.DUMMYFUNCTION("""COMPUTED_VALUE"""),"Points")</f>
        <v>Points</v>
      </c>
      <c r="C1" s="20" t="str">
        <f>IFERROR(__xludf.DUMMYFUNCTION("""COMPUTED_VALUE"""),"Rk")</f>
        <v>Rk</v>
      </c>
      <c r="D1" s="20"/>
      <c r="E1" s="3" t="s">
        <v>246</v>
      </c>
      <c r="F1" s="3" t="s">
        <v>213</v>
      </c>
      <c r="G1" s="3" t="s">
        <v>247</v>
      </c>
      <c r="H1" s="20"/>
      <c r="I1" s="20"/>
      <c r="J1" s="20"/>
      <c r="K1" s="20"/>
      <c r="L1" s="20"/>
      <c r="M1" s="20"/>
      <c r="N1" s="20"/>
      <c r="O1" s="20"/>
      <c r="P1" s="20"/>
      <c r="Q1" s="20"/>
      <c r="R1" s="20"/>
      <c r="S1" s="20"/>
      <c r="T1" s="20"/>
      <c r="U1" s="20"/>
      <c r="V1" s="20"/>
      <c r="W1" s="20"/>
      <c r="X1" s="20"/>
      <c r="Y1" s="20"/>
      <c r="Z1" s="20"/>
    </row>
    <row r="2">
      <c r="A2" s="20" t="str">
        <f>IFERROR(__xludf.DUMMYFUNCTION("""COMPUTED_VALUE"""),"Cincinnati")</f>
        <v>Cincinnati</v>
      </c>
      <c r="B2" s="20">
        <f>IFERROR(__xludf.DUMMYFUNCTION("""COMPUTED_VALUE"""),72.9)</f>
        <v>72.9</v>
      </c>
      <c r="C2" s="20">
        <f>IFERROR(__xludf.DUMMYFUNCTION("""COMPUTED_VALUE"""),9.0)</f>
        <v>9</v>
      </c>
      <c r="D2" s="20"/>
      <c r="E2" s="3" t="s">
        <v>44</v>
      </c>
      <c r="F2" s="20">
        <f t="shared" ref="F2:G2" si="1">AVERAGE(B2:B13)</f>
        <v>35.51416667</v>
      </c>
      <c r="G2" s="20">
        <f t="shared" si="1"/>
        <v>76.5</v>
      </c>
      <c r="H2" s="20"/>
      <c r="I2" s="20"/>
      <c r="J2" s="20"/>
      <c r="K2" s="20"/>
      <c r="L2" s="20"/>
      <c r="M2" s="20"/>
      <c r="N2" s="20"/>
      <c r="O2" s="20"/>
      <c r="P2" s="20"/>
      <c r="Q2" s="20"/>
      <c r="R2" s="20"/>
      <c r="S2" s="20"/>
      <c r="T2" s="20"/>
      <c r="U2" s="20"/>
      <c r="V2" s="20"/>
      <c r="W2" s="20"/>
      <c r="X2" s="20"/>
      <c r="Y2" s="20"/>
      <c r="Z2" s="20"/>
    </row>
    <row r="3">
      <c r="A3" s="20" t="str">
        <f>IFERROR(__xludf.DUMMYFUNCTION("""COMPUTED_VALUE"""),"Central Florida")</f>
        <v>Central Florida</v>
      </c>
      <c r="B3" s="20">
        <f>IFERROR(__xludf.DUMMYFUNCTION("""COMPUTED_VALUE"""),41.86)</f>
        <v>41.86</v>
      </c>
      <c r="C3" s="20">
        <f>IFERROR(__xludf.DUMMYFUNCTION("""COMPUTED_VALUE"""),30.0)</f>
        <v>30</v>
      </c>
      <c r="D3" s="20"/>
      <c r="E3" s="3" t="s">
        <v>120</v>
      </c>
      <c r="F3" s="20">
        <f t="shared" ref="F3:G3" si="2">AVERAGE(B16:B30)</f>
        <v>43.836</v>
      </c>
      <c r="G3" s="20">
        <f t="shared" si="2"/>
        <v>56.2</v>
      </c>
      <c r="H3" s="20"/>
      <c r="I3" s="20"/>
      <c r="J3" s="20"/>
      <c r="K3" s="20"/>
      <c r="L3" s="20"/>
      <c r="M3" s="20"/>
      <c r="N3" s="20"/>
      <c r="O3" s="20"/>
      <c r="P3" s="20"/>
      <c r="Q3" s="20"/>
      <c r="R3" s="20"/>
      <c r="S3" s="20"/>
      <c r="T3" s="20"/>
      <c r="U3" s="20"/>
      <c r="V3" s="20"/>
      <c r="W3" s="20"/>
      <c r="X3" s="20"/>
      <c r="Y3" s="20"/>
      <c r="Z3" s="20"/>
    </row>
    <row r="4">
      <c r="A4" s="20" t="str">
        <f>IFERROR(__xludf.DUMMYFUNCTION("""COMPUTED_VALUE"""),"Tulsa")</f>
        <v>Tulsa</v>
      </c>
      <c r="B4" s="20">
        <f>IFERROR(__xludf.DUMMYFUNCTION("""COMPUTED_VALUE"""),37.38)</f>
        <v>37.38</v>
      </c>
      <c r="C4" s="20">
        <f>IFERROR(__xludf.DUMMYFUNCTION("""COMPUTED_VALUE"""),43.0)</f>
        <v>43</v>
      </c>
      <c r="D4" s="20"/>
      <c r="E4" s="3" t="s">
        <v>163</v>
      </c>
      <c r="F4" s="20">
        <f t="shared" ref="F4:G4" si="3">AVERAGE(B33:B46)</f>
        <v>45.93142857</v>
      </c>
      <c r="G4" s="20">
        <f t="shared" si="3"/>
        <v>57</v>
      </c>
      <c r="H4" s="20"/>
      <c r="I4" s="20"/>
      <c r="J4" s="20"/>
      <c r="K4" s="20"/>
      <c r="L4" s="20"/>
      <c r="M4" s="20"/>
      <c r="N4" s="20"/>
      <c r="O4" s="20"/>
      <c r="P4" s="20"/>
      <c r="Q4" s="20"/>
      <c r="R4" s="20"/>
      <c r="S4" s="20"/>
      <c r="T4" s="20"/>
      <c r="U4" s="20"/>
      <c r="V4" s="20"/>
      <c r="W4" s="20"/>
      <c r="X4" s="20"/>
      <c r="Y4" s="20"/>
      <c r="Z4" s="20"/>
    </row>
    <row r="5">
      <c r="A5" s="20" t="str">
        <f>IFERROR(__xludf.DUMMYFUNCTION("""COMPUTED_VALUE"""),"Memphis")</f>
        <v>Memphis</v>
      </c>
      <c r="B5" s="20">
        <f>IFERROR(__xludf.DUMMYFUNCTION("""COMPUTED_VALUE"""),35.34)</f>
        <v>35.34</v>
      </c>
      <c r="C5" s="20">
        <f>IFERROR(__xludf.DUMMYFUNCTION("""COMPUTED_VALUE"""),61.0)</f>
        <v>61</v>
      </c>
      <c r="D5" s="20"/>
      <c r="E5" s="3" t="s">
        <v>197</v>
      </c>
      <c r="F5" s="20">
        <f t="shared" ref="F5:G5" si="4">AVERAGE(E16:E25)</f>
        <v>47.632</v>
      </c>
      <c r="G5" s="20">
        <f t="shared" si="4"/>
        <v>50.9</v>
      </c>
      <c r="H5" s="20"/>
      <c r="I5" s="20"/>
      <c r="J5" s="20"/>
      <c r="K5" s="20"/>
      <c r="L5" s="20"/>
      <c r="M5" s="20"/>
      <c r="N5" s="20"/>
      <c r="O5" s="20"/>
      <c r="P5" s="20"/>
      <c r="Q5" s="20"/>
      <c r="R5" s="20"/>
      <c r="S5" s="20"/>
      <c r="T5" s="20"/>
      <c r="U5" s="20"/>
      <c r="V5" s="20"/>
      <c r="W5" s="20"/>
      <c r="X5" s="20"/>
      <c r="Y5" s="20"/>
      <c r="Z5" s="20"/>
    </row>
    <row r="6">
      <c r="A6" s="20" t="str">
        <f>IFERROR(__xludf.DUMMYFUNCTION("""COMPUTED_VALUE"""),"Tulane")</f>
        <v>Tulane</v>
      </c>
      <c r="B6" s="20">
        <f>IFERROR(__xludf.DUMMYFUNCTION("""COMPUTED_VALUE"""),34.42)</f>
        <v>34.42</v>
      </c>
      <c r="C6" s="20">
        <f>IFERROR(__xludf.DUMMYFUNCTION("""COMPUTED_VALUE"""),70.0)</f>
        <v>70</v>
      </c>
      <c r="D6" s="20"/>
      <c r="E6" s="3" t="s">
        <v>84</v>
      </c>
      <c r="F6" s="20">
        <f t="shared" ref="F6:G6" si="5">AVERAGE(E33:E46)</f>
        <v>28.65571429</v>
      </c>
      <c r="G6" s="20">
        <f t="shared" si="5"/>
        <v>103.8571429</v>
      </c>
      <c r="H6" s="20"/>
      <c r="I6" s="20"/>
      <c r="J6" s="20"/>
      <c r="K6" s="20"/>
      <c r="L6" s="20"/>
      <c r="M6" s="20"/>
      <c r="N6" s="20"/>
      <c r="O6" s="20"/>
      <c r="P6" s="20"/>
      <c r="Q6" s="20"/>
      <c r="R6" s="20"/>
      <c r="S6" s="20"/>
      <c r="T6" s="20"/>
      <c r="U6" s="20"/>
      <c r="V6" s="20"/>
      <c r="W6" s="20"/>
      <c r="X6" s="20"/>
      <c r="Y6" s="20"/>
      <c r="Z6" s="20"/>
    </row>
    <row r="7">
      <c r="A7" s="20" t="str">
        <f>IFERROR(__xludf.DUMMYFUNCTION("""COMPUTED_VALUE"""),"Southern Methodist")</f>
        <v>Southern Methodist</v>
      </c>
      <c r="B7" s="20">
        <f>IFERROR(__xludf.DUMMYFUNCTION("""COMPUTED_VALUE"""),33.56)</f>
        <v>33.56</v>
      </c>
      <c r="C7" s="20">
        <f>IFERROR(__xludf.DUMMYFUNCTION("""COMPUTED_VALUE"""),78.0)</f>
        <v>78</v>
      </c>
      <c r="D7" s="20"/>
      <c r="E7" s="3" t="s">
        <v>215</v>
      </c>
      <c r="F7" s="20">
        <f t="shared" ref="F7:G7" si="6">AVERAGE(H16:H21)</f>
        <v>45.654</v>
      </c>
      <c r="G7" s="20">
        <f t="shared" si="6"/>
        <v>67</v>
      </c>
      <c r="H7" s="20"/>
      <c r="I7" s="20"/>
      <c r="J7" s="20"/>
      <c r="K7" s="20"/>
      <c r="L7" s="20"/>
      <c r="M7" s="20"/>
      <c r="N7" s="20"/>
      <c r="O7" s="20"/>
      <c r="P7" s="20"/>
      <c r="Q7" s="20"/>
      <c r="R7" s="20"/>
      <c r="S7" s="20"/>
      <c r="T7" s="20"/>
      <c r="U7" s="20"/>
      <c r="V7" s="20"/>
      <c r="W7" s="20"/>
      <c r="X7" s="20"/>
      <c r="Y7" s="20"/>
      <c r="Z7" s="20"/>
    </row>
    <row r="8">
      <c r="A8" s="20" t="str">
        <f>IFERROR(__xludf.DUMMYFUNCTION("""COMPUTED_VALUE"""),"Houston")</f>
        <v>Houston</v>
      </c>
      <c r="B8" s="20">
        <f>IFERROR(__xludf.DUMMYFUNCTION("""COMPUTED_VALUE"""),33.03)</f>
        <v>33.03</v>
      </c>
      <c r="C8" s="20">
        <f>IFERROR(__xludf.DUMMYFUNCTION("""COMPUTED_VALUE"""),86.0)</f>
        <v>86</v>
      </c>
      <c r="D8" s="20"/>
      <c r="E8" s="3" t="s">
        <v>49</v>
      </c>
      <c r="F8" s="20">
        <f t="shared" ref="F8:G8" si="7">AVERAGE(H33:H44)</f>
        <v>37.385</v>
      </c>
      <c r="G8" s="20">
        <f t="shared" si="7"/>
        <v>68.5</v>
      </c>
      <c r="H8" s="20"/>
      <c r="I8" s="20"/>
      <c r="J8" s="20"/>
      <c r="K8" s="20"/>
      <c r="L8" s="20"/>
      <c r="M8" s="20"/>
      <c r="N8" s="20"/>
      <c r="O8" s="20"/>
      <c r="P8" s="20"/>
      <c r="Q8" s="20"/>
      <c r="R8" s="20"/>
      <c r="S8" s="20"/>
      <c r="T8" s="20"/>
      <c r="U8" s="20"/>
      <c r="V8" s="20"/>
      <c r="W8" s="20"/>
      <c r="X8" s="20"/>
      <c r="Y8" s="20"/>
      <c r="Z8" s="20"/>
    </row>
    <row r="9">
      <c r="A9" s="20" t="str">
        <f>IFERROR(__xludf.DUMMYFUNCTION("""COMPUTED_VALUE"""),"East Carolina")</f>
        <v>East Carolina</v>
      </c>
      <c r="B9" s="20">
        <f>IFERROR(__xludf.DUMMYFUNCTION("""COMPUTED_VALUE"""),32.94)</f>
        <v>32.94</v>
      </c>
      <c r="C9" s="20">
        <f>IFERROR(__xludf.DUMMYFUNCTION("""COMPUTED_VALUE"""),87.0)</f>
        <v>87</v>
      </c>
      <c r="D9" s="20"/>
      <c r="E9" s="3" t="s">
        <v>121</v>
      </c>
      <c r="F9" s="20">
        <f t="shared" ref="F9:G9" si="8">AVERAGE(K16:K27)</f>
        <v>35.6325</v>
      </c>
      <c r="G9" s="20">
        <f t="shared" si="8"/>
        <v>68.16666667</v>
      </c>
      <c r="H9" s="20"/>
      <c r="I9" s="20"/>
      <c r="J9" s="20"/>
      <c r="K9" s="20"/>
      <c r="L9" s="20"/>
      <c r="M9" s="20"/>
      <c r="N9" s="20"/>
      <c r="O9" s="20"/>
      <c r="P9" s="20"/>
      <c r="Q9" s="20"/>
      <c r="R9" s="20"/>
      <c r="S9" s="20"/>
      <c r="T9" s="20"/>
      <c r="U9" s="20"/>
      <c r="V9" s="20"/>
      <c r="W9" s="20"/>
      <c r="X9" s="20"/>
      <c r="Y9" s="20"/>
      <c r="Z9" s="20"/>
    </row>
    <row r="10">
      <c r="A10" s="20" t="str">
        <f>IFERROR(__xludf.DUMMYFUNCTION("""COMPUTED_VALUE"""),"Temple")</f>
        <v>Temple</v>
      </c>
      <c r="B10" s="20">
        <f>IFERROR(__xludf.DUMMYFUNCTION("""COMPUTED_VALUE"""),30.84)</f>
        <v>30.84</v>
      </c>
      <c r="C10" s="20">
        <f>IFERROR(__xludf.DUMMYFUNCTION("""COMPUTED_VALUE"""),104.0)</f>
        <v>104</v>
      </c>
      <c r="D10" s="20"/>
      <c r="E10" s="3" t="s">
        <v>165</v>
      </c>
      <c r="F10" s="20">
        <f t="shared" ref="F10:G10" si="9">AVERAGE(K33:K44)</f>
        <v>39.97916667</v>
      </c>
      <c r="G10" s="20">
        <f t="shared" si="9"/>
        <v>48</v>
      </c>
      <c r="H10" s="20"/>
      <c r="I10" s="20"/>
      <c r="J10" s="20"/>
      <c r="K10" s="20"/>
      <c r="L10" s="20"/>
      <c r="M10" s="20"/>
      <c r="N10" s="20"/>
      <c r="O10" s="20"/>
      <c r="P10" s="20"/>
      <c r="Q10" s="20"/>
      <c r="R10" s="20"/>
      <c r="S10" s="20"/>
      <c r="T10" s="20"/>
      <c r="U10" s="20"/>
      <c r="V10" s="20"/>
      <c r="W10" s="20"/>
      <c r="X10" s="20"/>
      <c r="Y10" s="20"/>
      <c r="Z10" s="20"/>
    </row>
    <row r="11">
      <c r="A11" s="20" t="str">
        <f>IFERROR(__xludf.DUMMYFUNCTION("""COMPUTED_VALUE"""),"Connecticut")</f>
        <v>Connecticut</v>
      </c>
      <c r="B11" s="20">
        <f>IFERROR(__xludf.DUMMYFUNCTION("""COMPUTED_VALUE"""),30.77)</f>
        <v>30.77</v>
      </c>
      <c r="C11" s="20">
        <f>IFERROR(__xludf.DUMMYFUNCTION("""COMPUTED_VALUE"""),105.0)</f>
        <v>105</v>
      </c>
      <c r="D11" s="20"/>
      <c r="E11" s="3" t="s">
        <v>198</v>
      </c>
      <c r="F11" s="20">
        <f t="shared" ref="F11:G11" si="10">AVERAGE(N16:N29)</f>
        <v>48.48285714</v>
      </c>
      <c r="G11" s="20">
        <f t="shared" si="10"/>
        <v>48.5</v>
      </c>
      <c r="H11" s="20"/>
      <c r="I11" s="20"/>
      <c r="J11" s="20"/>
      <c r="K11" s="20"/>
      <c r="L11" s="20"/>
      <c r="M11" s="20"/>
      <c r="N11" s="20"/>
      <c r="O11" s="20"/>
      <c r="P11" s="20"/>
      <c r="Q11" s="20"/>
      <c r="R11" s="20"/>
      <c r="S11" s="20"/>
      <c r="T11" s="20"/>
      <c r="U11" s="20"/>
      <c r="V11" s="20"/>
      <c r="W11" s="20"/>
      <c r="X11" s="20"/>
      <c r="Y11" s="20"/>
      <c r="Z11" s="20"/>
    </row>
    <row r="12">
      <c r="A12" s="20" t="str">
        <f>IFERROR(__xludf.DUMMYFUNCTION("""COMPUTED_VALUE"""),"Navy")</f>
        <v>Navy</v>
      </c>
      <c r="B12" s="20">
        <f>IFERROR(__xludf.DUMMYFUNCTION("""COMPUTED_VALUE"""),29.22)</f>
        <v>29.22</v>
      </c>
      <c r="C12" s="20">
        <f>IFERROR(__xludf.DUMMYFUNCTION("""COMPUTED_VALUE"""),116.0)</f>
        <v>116</v>
      </c>
      <c r="D12" s="20"/>
      <c r="E12" s="3" t="s">
        <v>201</v>
      </c>
      <c r="F12" s="20">
        <f t="shared" ref="F12:G12" si="11">AVERAGE(N33:N42)</f>
        <v>39.688</v>
      </c>
      <c r="G12" s="20">
        <f t="shared" si="11"/>
        <v>75.7</v>
      </c>
      <c r="H12" s="20"/>
      <c r="I12" s="20"/>
      <c r="J12" s="20"/>
      <c r="K12" s="20"/>
      <c r="L12" s="20"/>
      <c r="M12" s="20"/>
      <c r="N12" s="20"/>
      <c r="O12" s="20"/>
      <c r="P12" s="20"/>
      <c r="Q12" s="20"/>
      <c r="R12" s="20"/>
      <c r="S12" s="20"/>
      <c r="T12" s="20"/>
      <c r="U12" s="20"/>
      <c r="V12" s="20"/>
      <c r="W12" s="20"/>
      <c r="X12" s="20"/>
      <c r="Y12" s="20"/>
      <c r="Z12" s="20"/>
    </row>
    <row r="13">
      <c r="A13" s="20" t="str">
        <f>IFERROR(__xludf.DUMMYFUNCTION("""COMPUTED_VALUE"""),"South Florida")</f>
        <v>South Florida</v>
      </c>
      <c r="B13" s="20">
        <f>IFERROR(__xludf.DUMMYFUNCTION("""COMPUTED_VALUE"""),13.91)</f>
        <v>13.91</v>
      </c>
      <c r="C13" s="20">
        <f>IFERROR(__xludf.DUMMYFUNCTION("""COMPUTED_VALUE"""),129.0)</f>
        <v>129</v>
      </c>
      <c r="D13" s="20"/>
      <c r="E13" s="3" t="s">
        <v>248</v>
      </c>
      <c r="F13" s="20">
        <f t="shared" ref="F13:G13" si="12">AVERAGE(F2:F12)</f>
        <v>40.76280303</v>
      </c>
      <c r="G13" s="20">
        <f t="shared" si="12"/>
        <v>65.48398268</v>
      </c>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54" t="str">
        <f>IFERROR(__xludf.DUMMYFUNCTION("QUERY(CurrentRank!A2:D132,""SELECT B, C, D WHERE A = 'ACC' ORDER BY C DESC"",1)"),"Name")</f>
        <v>Name</v>
      </c>
      <c r="B15" s="20" t="str">
        <f>IFERROR(__xludf.DUMMYFUNCTION("""COMPUTED_VALUE"""),"Points")</f>
        <v>Points</v>
      </c>
      <c r="C15" s="20" t="str">
        <f>IFERROR(__xludf.DUMMYFUNCTION("""COMPUTED_VALUE"""),"Rk")</f>
        <v>Rk</v>
      </c>
      <c r="D15" s="54" t="str">
        <f>IFERROR(__xludf.DUMMYFUNCTION("QUERY(CurrentRank!A$2:D$132,""SELECT B, C, D WHERE A = 'BIG12' ORDER BY C DESC"",1)"),"Name")</f>
        <v>Name</v>
      </c>
      <c r="E15" s="20" t="str">
        <f>IFERROR(__xludf.DUMMYFUNCTION("""COMPUTED_VALUE"""),"Points")</f>
        <v>Points</v>
      </c>
      <c r="F15" s="20" t="str">
        <f>IFERROR(__xludf.DUMMYFUNCTION("""COMPUTED_VALUE"""),"Rk")</f>
        <v>Rk</v>
      </c>
      <c r="G15" s="54" t="str">
        <f>IFERROR(__xludf.DUMMYFUNCTION("QUERY(CurrentRank!A$2:D$132,""SELECT B, C, D WHERE A = 'IND' ORDER BY C DESC"",1)"),"Name")</f>
        <v>Name</v>
      </c>
      <c r="H15" s="20" t="str">
        <f>IFERROR(__xludf.DUMMYFUNCTION("""COMPUTED_VALUE"""),"Points")</f>
        <v>Points</v>
      </c>
      <c r="I15" s="20" t="str">
        <f>IFERROR(__xludf.DUMMYFUNCTION("""COMPUTED_VALUE"""),"Rk")</f>
        <v>Rk</v>
      </c>
      <c r="J15" s="54" t="str">
        <f>IFERROR(__xludf.DUMMYFUNCTION("QUERY(CurrentRank!A$2:D$132,""SELECT B, C, D WHERE A = 'MWC' ORDER BY C DESC"",1)"),"Name")</f>
        <v>Name</v>
      </c>
      <c r="K15" s="20" t="str">
        <f>IFERROR(__xludf.DUMMYFUNCTION("""COMPUTED_VALUE"""),"Points")</f>
        <v>Points</v>
      </c>
      <c r="L15" s="20" t="str">
        <f>IFERROR(__xludf.DUMMYFUNCTION("""COMPUTED_VALUE"""),"Rk")</f>
        <v>Rk</v>
      </c>
      <c r="M15" s="20" t="str">
        <f>IFERROR(__xludf.DUMMYFUNCTION("QUERY(CurrentRank!A$2:D$132,""SELECT B, C, D WHERE A = 'SEC' ORDER BY C DESC"",1)"),"Name")</f>
        <v>Name</v>
      </c>
      <c r="N15" s="20" t="str">
        <f>IFERROR(__xludf.DUMMYFUNCTION("""COMPUTED_VALUE"""),"Points")</f>
        <v>Points</v>
      </c>
      <c r="O15" s="20" t="str">
        <f>IFERROR(__xludf.DUMMYFUNCTION("""COMPUTED_VALUE"""),"Rk")</f>
        <v>Rk</v>
      </c>
      <c r="P15" s="20"/>
      <c r="Q15" s="20"/>
      <c r="R15" s="20"/>
      <c r="S15" s="20"/>
      <c r="T15" s="20"/>
      <c r="U15" s="20"/>
      <c r="V15" s="20"/>
      <c r="W15" s="20"/>
      <c r="X15" s="20"/>
      <c r="Y15" s="20"/>
      <c r="Z15" s="20"/>
    </row>
    <row r="16">
      <c r="A16" s="20" t="str">
        <f>IFERROR(__xludf.DUMMYFUNCTION("""COMPUTED_VALUE"""),"Clemson")</f>
        <v>Clemson</v>
      </c>
      <c r="B16" s="20">
        <f>IFERROR(__xludf.DUMMYFUNCTION("""COMPUTED_VALUE"""),84.24)</f>
        <v>84.24</v>
      </c>
      <c r="C16" s="20">
        <f>IFERROR(__xludf.DUMMYFUNCTION("""COMPUTED_VALUE"""),4.0)</f>
        <v>4</v>
      </c>
      <c r="D16" s="20" t="str">
        <f>IFERROR(__xludf.DUMMYFUNCTION("""COMPUTED_VALUE"""),"Oklahoma")</f>
        <v>Oklahoma</v>
      </c>
      <c r="E16" s="20">
        <f>IFERROR(__xludf.DUMMYFUNCTION("""COMPUTED_VALUE"""),81.57)</f>
        <v>81.57</v>
      </c>
      <c r="F16" s="20">
        <f>IFERROR(__xludf.DUMMYFUNCTION("""COMPUTED_VALUE"""),5.0)</f>
        <v>5</v>
      </c>
      <c r="G16" s="20" t="str">
        <f>IFERROR(__xludf.DUMMYFUNCTION("""COMPUTED_VALUE"""),"BYU")</f>
        <v>BYU</v>
      </c>
      <c r="H16" s="20">
        <f>IFERROR(__xludf.DUMMYFUNCTION("""COMPUTED_VALUE"""),69.33)</f>
        <v>69.33</v>
      </c>
      <c r="I16" s="20">
        <f>IFERROR(__xludf.DUMMYFUNCTION("""COMPUTED_VALUE"""),15.0)</f>
        <v>15</v>
      </c>
      <c r="J16" s="20" t="str">
        <f>IFERROR(__xludf.DUMMYFUNCTION("""COMPUTED_VALUE"""),"San Jose State")</f>
        <v>San Jose State</v>
      </c>
      <c r="K16" s="20">
        <f>IFERROR(__xludf.DUMMYFUNCTION("""COMPUTED_VALUE"""),51.02)</f>
        <v>51.02</v>
      </c>
      <c r="L16" s="20">
        <f>IFERROR(__xludf.DUMMYFUNCTION("""COMPUTED_VALUE"""),25.0)</f>
        <v>25</v>
      </c>
      <c r="M16" s="20" t="str">
        <f>IFERROR(__xludf.DUMMYFUNCTION("""COMPUTED_VALUE"""),"Alabama")</f>
        <v>Alabama</v>
      </c>
      <c r="N16" s="20">
        <f>IFERROR(__xludf.DUMMYFUNCTION("""COMPUTED_VALUE"""),96.59)</f>
        <v>96.59</v>
      </c>
      <c r="O16" s="20">
        <f>IFERROR(__xludf.DUMMYFUNCTION("""COMPUTED_VALUE"""),1.0)</f>
        <v>1</v>
      </c>
      <c r="P16" s="20"/>
      <c r="Q16" s="20"/>
      <c r="R16" s="20"/>
      <c r="S16" s="20"/>
      <c r="T16" s="20"/>
      <c r="U16" s="20"/>
      <c r="V16" s="20"/>
      <c r="W16" s="20"/>
      <c r="X16" s="20"/>
      <c r="Y16" s="20"/>
      <c r="Z16" s="20"/>
    </row>
    <row r="17">
      <c r="A17" s="20" t="str">
        <f>IFERROR(__xludf.DUMMYFUNCTION("""COMPUTED_VALUE"""),"Notre Dame")</f>
        <v>Notre Dame</v>
      </c>
      <c r="B17" s="20">
        <f>IFERROR(__xludf.DUMMYFUNCTION("""COMPUTED_VALUE"""),78.79)</f>
        <v>78.79</v>
      </c>
      <c r="C17" s="20">
        <f>IFERROR(__xludf.DUMMYFUNCTION("""COMPUTED_VALUE"""),7.0)</f>
        <v>7</v>
      </c>
      <c r="D17" s="20" t="str">
        <f>IFERROR(__xludf.DUMMYFUNCTION("""COMPUTED_VALUE"""),"Iowa State")</f>
        <v>Iowa State</v>
      </c>
      <c r="E17" s="20">
        <f>IFERROR(__xludf.DUMMYFUNCTION("""COMPUTED_VALUE"""),73.64)</f>
        <v>73.64</v>
      </c>
      <c r="F17" s="20">
        <f>IFERROR(__xludf.DUMMYFUNCTION("""COMPUTED_VALUE"""),8.0)</f>
        <v>8</v>
      </c>
      <c r="G17" s="20" t="str">
        <f>IFERROR(__xludf.DUMMYFUNCTION("""COMPUTED_VALUE"""),"Liberty")</f>
        <v>Liberty</v>
      </c>
      <c r="H17" s="20">
        <f>IFERROR(__xludf.DUMMYFUNCTION("""COMPUTED_VALUE"""),65.58)</f>
        <v>65.58</v>
      </c>
      <c r="I17" s="20">
        <f>IFERROR(__xludf.DUMMYFUNCTION("""COMPUTED_VALUE"""),17.0)</f>
        <v>17</v>
      </c>
      <c r="J17" s="20" t="str">
        <f>IFERROR(__xludf.DUMMYFUNCTION("""COMPUTED_VALUE"""),"Boise State")</f>
        <v>Boise State</v>
      </c>
      <c r="K17" s="20">
        <f>IFERROR(__xludf.DUMMYFUNCTION("""COMPUTED_VALUE"""),38.02)</f>
        <v>38.02</v>
      </c>
      <c r="L17" s="20">
        <f>IFERROR(__xludf.DUMMYFUNCTION("""COMPUTED_VALUE"""),38.0)</f>
        <v>38</v>
      </c>
      <c r="M17" s="20" t="str">
        <f>IFERROR(__xludf.DUMMYFUNCTION("""COMPUTED_VALUE"""),"Texas A&amp;M")</f>
        <v>Texas A&amp;M</v>
      </c>
      <c r="N17" s="20">
        <f>IFERROR(__xludf.DUMMYFUNCTION("""COMPUTED_VALUE"""),85.31)</f>
        <v>85.31</v>
      </c>
      <c r="O17" s="20">
        <f>IFERROR(__xludf.DUMMYFUNCTION("""COMPUTED_VALUE"""),3.0)</f>
        <v>3</v>
      </c>
      <c r="P17" s="20"/>
      <c r="Q17" s="20"/>
      <c r="R17" s="20"/>
      <c r="S17" s="20"/>
      <c r="T17" s="20"/>
      <c r="U17" s="20"/>
      <c r="V17" s="20"/>
      <c r="W17" s="20"/>
      <c r="X17" s="20"/>
      <c r="Y17" s="20"/>
      <c r="Z17" s="20"/>
    </row>
    <row r="18">
      <c r="A18" s="20" t="str">
        <f>IFERROR(__xludf.DUMMYFUNCTION("""COMPUTED_VALUE"""),"North Carolina")</f>
        <v>North Carolina</v>
      </c>
      <c r="B18" s="20">
        <f>IFERROR(__xludf.DUMMYFUNCTION("""COMPUTED_VALUE"""),63.1)</f>
        <v>63.1</v>
      </c>
      <c r="C18" s="20">
        <f>IFERROR(__xludf.DUMMYFUNCTION("""COMPUTED_VALUE"""),18.0)</f>
        <v>18</v>
      </c>
      <c r="D18" s="20" t="str">
        <f>IFERROR(__xludf.DUMMYFUNCTION("""COMPUTED_VALUE"""),"Texas")</f>
        <v>Texas</v>
      </c>
      <c r="E18" s="20">
        <f>IFERROR(__xludf.DUMMYFUNCTION("""COMPUTED_VALUE"""),62.29)</f>
        <v>62.29</v>
      </c>
      <c r="F18" s="20">
        <f>IFERROR(__xludf.DUMMYFUNCTION("""COMPUTED_VALUE"""),20.0)</f>
        <v>20</v>
      </c>
      <c r="G18" s="20" t="str">
        <f>IFERROR(__xludf.DUMMYFUNCTION("""COMPUTED_VALUE"""),"Army")</f>
        <v>Army</v>
      </c>
      <c r="H18" s="20">
        <f>IFERROR(__xludf.DUMMYFUNCTION("""COMPUTED_VALUE"""),33.11)</f>
        <v>33.11</v>
      </c>
      <c r="I18" s="20">
        <f>IFERROR(__xludf.DUMMYFUNCTION("""COMPUTED_VALUE"""),85.0)</f>
        <v>85</v>
      </c>
      <c r="J18" s="20" t="str">
        <f>IFERROR(__xludf.DUMMYFUNCTION("""COMPUTED_VALUE"""),"Nevada")</f>
        <v>Nevada</v>
      </c>
      <c r="K18" s="20">
        <f>IFERROR(__xludf.DUMMYFUNCTION("""COMPUTED_VALUE"""),37.5)</f>
        <v>37.5</v>
      </c>
      <c r="L18" s="20">
        <f>IFERROR(__xludf.DUMMYFUNCTION("""COMPUTED_VALUE"""),41.0)</f>
        <v>41</v>
      </c>
      <c r="M18" s="20" t="str">
        <f>IFERROR(__xludf.DUMMYFUNCTION("""COMPUTED_VALUE"""),"Georgia")</f>
        <v>Georgia</v>
      </c>
      <c r="N18" s="20">
        <f>IFERROR(__xludf.DUMMYFUNCTION("""COMPUTED_VALUE"""),79.21)</f>
        <v>79.21</v>
      </c>
      <c r="O18" s="20">
        <f>IFERROR(__xludf.DUMMYFUNCTION("""COMPUTED_VALUE"""),6.0)</f>
        <v>6</v>
      </c>
      <c r="P18" s="20"/>
      <c r="Q18" s="20"/>
      <c r="R18" s="20"/>
      <c r="S18" s="20"/>
      <c r="T18" s="20"/>
      <c r="U18" s="20"/>
      <c r="V18" s="20"/>
      <c r="W18" s="20"/>
      <c r="X18" s="20"/>
      <c r="Y18" s="20"/>
      <c r="Z18" s="20"/>
    </row>
    <row r="19">
      <c r="A19" s="20" t="str">
        <f>IFERROR(__xludf.DUMMYFUNCTION("""COMPUTED_VALUE"""),"Miami")</f>
        <v>Miami</v>
      </c>
      <c r="B19" s="20">
        <f>IFERROR(__xludf.DUMMYFUNCTION("""COMPUTED_VALUE"""),57.15)</f>
        <v>57.15</v>
      </c>
      <c r="C19" s="20">
        <f>IFERROR(__xludf.DUMMYFUNCTION("""COMPUTED_VALUE"""),23.0)</f>
        <v>23</v>
      </c>
      <c r="D19" s="20" t="str">
        <f>IFERROR(__xludf.DUMMYFUNCTION("""COMPUTED_VALUE"""),"Oklahoma State")</f>
        <v>Oklahoma State</v>
      </c>
      <c r="E19" s="20">
        <f>IFERROR(__xludf.DUMMYFUNCTION("""COMPUTED_VALUE"""),59.34)</f>
        <v>59.34</v>
      </c>
      <c r="F19" s="20">
        <f>IFERROR(__xludf.DUMMYFUNCTION("""COMPUTED_VALUE"""),22.0)</f>
        <v>22</v>
      </c>
      <c r="G19" s="20" t="str">
        <f>IFERROR(__xludf.DUMMYFUNCTION("""COMPUTED_VALUE"""),"New Mexico State")</f>
        <v>New Mexico State</v>
      </c>
      <c r="H19" s="20">
        <f>IFERROR(__xludf.DUMMYFUNCTION("""COMPUTED_VALUE"""),30.77)</f>
        <v>30.77</v>
      </c>
      <c r="I19" s="20">
        <f>IFERROR(__xludf.DUMMYFUNCTION("""COMPUTED_VALUE"""),105.0)</f>
        <v>105</v>
      </c>
      <c r="J19" s="20" t="str">
        <f>IFERROR(__xludf.DUMMYFUNCTION("""COMPUTED_VALUE"""),"Air Force")</f>
        <v>Air Force</v>
      </c>
      <c r="K19" s="20">
        <f>IFERROR(__xludf.DUMMYFUNCTION("""COMPUTED_VALUE"""),35.54)</f>
        <v>35.54</v>
      </c>
      <c r="L19" s="20">
        <f>IFERROR(__xludf.DUMMYFUNCTION("""COMPUTED_VALUE"""),57.0)</f>
        <v>57</v>
      </c>
      <c r="M19" s="20" t="str">
        <f>IFERROR(__xludf.DUMMYFUNCTION("""COMPUTED_VALUE"""),"Florida")</f>
        <v>Florida</v>
      </c>
      <c r="N19" s="20">
        <f>IFERROR(__xludf.DUMMYFUNCTION("""COMPUTED_VALUE"""),68.03)</f>
        <v>68.03</v>
      </c>
      <c r="O19" s="20">
        <f>IFERROR(__xludf.DUMMYFUNCTION("""COMPUTED_VALUE"""),16.0)</f>
        <v>16</v>
      </c>
      <c r="P19" s="20"/>
      <c r="Q19" s="20"/>
      <c r="R19" s="20"/>
      <c r="S19" s="20"/>
      <c r="T19" s="20"/>
      <c r="U19" s="20"/>
      <c r="V19" s="20"/>
      <c r="W19" s="20"/>
      <c r="X19" s="20"/>
      <c r="Y19" s="20"/>
      <c r="Z19" s="20"/>
    </row>
    <row r="20">
      <c r="A20" s="20" t="str">
        <f>IFERROR(__xludf.DUMMYFUNCTION("""COMPUTED_VALUE"""),"North Carolina State")</f>
        <v>North Carolina State</v>
      </c>
      <c r="B20" s="20">
        <f>IFERROR(__xludf.DUMMYFUNCTION("""COMPUTED_VALUE"""),37.82)</f>
        <v>37.82</v>
      </c>
      <c r="C20" s="20">
        <f>IFERROR(__xludf.DUMMYFUNCTION("""COMPUTED_VALUE"""),40.0)</f>
        <v>40</v>
      </c>
      <c r="D20" s="20" t="str">
        <f>IFERROR(__xludf.DUMMYFUNCTION("""COMPUTED_VALUE"""),"TCU")</f>
        <v>TCU</v>
      </c>
      <c r="E20" s="20">
        <f>IFERROR(__xludf.DUMMYFUNCTION("""COMPUTED_VALUE"""),41.9)</f>
        <v>41.9</v>
      </c>
      <c r="F20" s="20">
        <f>IFERROR(__xludf.DUMMYFUNCTION("""COMPUTED_VALUE"""),29.0)</f>
        <v>29</v>
      </c>
      <c r="G20" s="20" t="str">
        <f>IFERROR(__xludf.DUMMYFUNCTION("""COMPUTED_VALUE"""),"Massachusetts")</f>
        <v>Massachusetts</v>
      </c>
      <c r="H20" s="20">
        <f>IFERROR(__xludf.DUMMYFUNCTION("""COMPUTED_VALUE"""),29.48)</f>
        <v>29.48</v>
      </c>
      <c r="I20" s="20">
        <f>IFERROR(__xludf.DUMMYFUNCTION("""COMPUTED_VALUE"""),113.0)</f>
        <v>113</v>
      </c>
      <c r="J20" s="20" t="str">
        <f>IFERROR(__xludf.DUMMYFUNCTION("""COMPUTED_VALUE"""),"Fresno State")</f>
        <v>Fresno State</v>
      </c>
      <c r="K20" s="20">
        <f>IFERROR(__xludf.DUMMYFUNCTION("""COMPUTED_VALUE"""),35.51)</f>
        <v>35.51</v>
      </c>
      <c r="L20" s="20">
        <f>IFERROR(__xludf.DUMMYFUNCTION("""COMPUTED_VALUE"""),58.0)</f>
        <v>58</v>
      </c>
      <c r="M20" s="20" t="str">
        <f>IFERROR(__xludf.DUMMYFUNCTION("""COMPUTED_VALUE"""),"Mississippi")</f>
        <v>Mississippi</v>
      </c>
      <c r="N20" s="20">
        <f>IFERROR(__xludf.DUMMYFUNCTION("""COMPUTED_VALUE"""),39.96)</f>
        <v>39.96</v>
      </c>
      <c r="O20" s="20">
        <f>IFERROR(__xludf.DUMMYFUNCTION("""COMPUTED_VALUE"""),35.0)</f>
        <v>35</v>
      </c>
      <c r="P20" s="20"/>
      <c r="Q20" s="20"/>
      <c r="R20" s="20"/>
      <c r="S20" s="20"/>
      <c r="T20" s="20"/>
      <c r="U20" s="20"/>
      <c r="V20" s="20"/>
      <c r="W20" s="20"/>
      <c r="X20" s="20"/>
      <c r="Y20" s="20"/>
      <c r="Z20" s="20"/>
    </row>
    <row r="21">
      <c r="A21" s="20" t="str">
        <f>IFERROR(__xludf.DUMMYFUNCTION("""COMPUTED_VALUE"""),"Virginia")</f>
        <v>Virginia</v>
      </c>
      <c r="B21" s="20">
        <f>IFERROR(__xludf.DUMMYFUNCTION("""COMPUTED_VALUE"""),36.98)</f>
        <v>36.98</v>
      </c>
      <c r="C21" s="20">
        <f>IFERROR(__xludf.DUMMYFUNCTION("""COMPUTED_VALUE"""),46.0)</f>
        <v>46</v>
      </c>
      <c r="D21" s="20" t="str">
        <f>IFERROR(__xludf.DUMMYFUNCTION("""COMPUTED_VALUE"""),"West Virginia")</f>
        <v>West Virginia</v>
      </c>
      <c r="E21" s="20">
        <f>IFERROR(__xludf.DUMMYFUNCTION("""COMPUTED_VALUE"""),38.08)</f>
        <v>38.08</v>
      </c>
      <c r="F21" s="20">
        <f>IFERROR(__xludf.DUMMYFUNCTION("""COMPUTED_VALUE"""),37.0)</f>
        <v>37</v>
      </c>
      <c r="G21" s="20"/>
      <c r="H21" s="20"/>
      <c r="I21" s="20"/>
      <c r="J21" s="20" t="str">
        <f>IFERROR(__xludf.DUMMYFUNCTION("""COMPUTED_VALUE"""),"Colorado State")</f>
        <v>Colorado State</v>
      </c>
      <c r="K21" s="20">
        <f>IFERROR(__xludf.DUMMYFUNCTION("""COMPUTED_VALUE"""),34.63)</f>
        <v>34.63</v>
      </c>
      <c r="L21" s="20">
        <f>IFERROR(__xludf.DUMMYFUNCTION("""COMPUTED_VALUE"""),69.0)</f>
        <v>69</v>
      </c>
      <c r="M21" s="20" t="str">
        <f>IFERROR(__xludf.DUMMYFUNCTION("""COMPUTED_VALUE"""),"Auburn")</f>
        <v>Auburn</v>
      </c>
      <c r="N21" s="20">
        <f>IFERROR(__xludf.DUMMYFUNCTION("""COMPUTED_VALUE"""),39.11)</f>
        <v>39.11</v>
      </c>
      <c r="O21" s="20">
        <f>IFERROR(__xludf.DUMMYFUNCTION("""COMPUTED_VALUE"""),36.0)</f>
        <v>36</v>
      </c>
      <c r="P21" s="20"/>
      <c r="Q21" s="20"/>
      <c r="R21" s="20"/>
      <c r="S21" s="20"/>
      <c r="T21" s="20"/>
      <c r="U21" s="20"/>
      <c r="V21" s="20"/>
      <c r="W21" s="20"/>
      <c r="X21" s="20"/>
      <c r="Y21" s="20"/>
      <c r="Z21" s="20"/>
    </row>
    <row r="22">
      <c r="A22" s="20" t="str">
        <f>IFERROR(__xludf.DUMMYFUNCTION("""COMPUTED_VALUE"""),"Louisville")</f>
        <v>Louisville</v>
      </c>
      <c r="B22" s="20">
        <f>IFERROR(__xludf.DUMMYFUNCTION("""COMPUTED_VALUE"""),36.87)</f>
        <v>36.87</v>
      </c>
      <c r="C22" s="20">
        <f>IFERROR(__xludf.DUMMYFUNCTION("""COMPUTED_VALUE"""),48.0)</f>
        <v>48</v>
      </c>
      <c r="D22" s="20" t="str">
        <f>IFERROR(__xludf.DUMMYFUNCTION("""COMPUTED_VALUE"""),"Texas Tech")</f>
        <v>Texas Tech</v>
      </c>
      <c r="E22" s="20">
        <f>IFERROR(__xludf.DUMMYFUNCTION("""COMPUTED_VALUE"""),35.27)</f>
        <v>35.27</v>
      </c>
      <c r="F22" s="20">
        <f>IFERROR(__xludf.DUMMYFUNCTION("""COMPUTED_VALUE"""),64.0)</f>
        <v>64</v>
      </c>
      <c r="G22" s="20"/>
      <c r="H22" s="20"/>
      <c r="I22" s="20"/>
      <c r="J22" s="20" t="str">
        <f>IFERROR(__xludf.DUMMYFUNCTION("""COMPUTED_VALUE"""),"San Diego State")</f>
        <v>San Diego State</v>
      </c>
      <c r="K22" s="20">
        <f>IFERROR(__xludf.DUMMYFUNCTION("""COMPUTED_VALUE"""),34.13)</f>
        <v>34.13</v>
      </c>
      <c r="L22" s="20">
        <f>IFERROR(__xludf.DUMMYFUNCTION("""COMPUTED_VALUE"""),73.0)</f>
        <v>73</v>
      </c>
      <c r="M22" s="20" t="str">
        <f>IFERROR(__xludf.DUMMYFUNCTION("""COMPUTED_VALUE"""),"LSU")</f>
        <v>LSU</v>
      </c>
      <c r="N22" s="20">
        <f>IFERROR(__xludf.DUMMYFUNCTION("""COMPUTED_VALUE"""),37.27)</f>
        <v>37.27</v>
      </c>
      <c r="O22" s="20">
        <f>IFERROR(__xludf.DUMMYFUNCTION("""COMPUTED_VALUE"""),45.0)</f>
        <v>45</v>
      </c>
      <c r="P22" s="20"/>
      <c r="Q22" s="20"/>
      <c r="R22" s="20"/>
      <c r="S22" s="20"/>
      <c r="T22" s="20"/>
      <c r="U22" s="20"/>
      <c r="V22" s="20"/>
      <c r="W22" s="20"/>
      <c r="X22" s="20"/>
      <c r="Y22" s="20"/>
      <c r="Z22" s="20"/>
    </row>
    <row r="23">
      <c r="A23" s="20" t="str">
        <f>IFERROR(__xludf.DUMMYFUNCTION("""COMPUTED_VALUE"""),"Boston College")</f>
        <v>Boston College</v>
      </c>
      <c r="B23" s="20">
        <f>IFERROR(__xludf.DUMMYFUNCTION("""COMPUTED_VALUE"""),36.62)</f>
        <v>36.62</v>
      </c>
      <c r="C23" s="20">
        <f>IFERROR(__xludf.DUMMYFUNCTION("""COMPUTED_VALUE"""),50.0)</f>
        <v>50</v>
      </c>
      <c r="D23" s="20" t="str">
        <f>IFERROR(__xludf.DUMMYFUNCTION("""COMPUTED_VALUE"""),"Kansas State")</f>
        <v>Kansas State</v>
      </c>
      <c r="E23" s="20">
        <f>IFERROR(__xludf.DUMMYFUNCTION("""COMPUTED_VALUE"""),31.6)</f>
        <v>31.6</v>
      </c>
      <c r="F23" s="20">
        <f>IFERROR(__xludf.DUMMYFUNCTION("""COMPUTED_VALUE"""),96.0)</f>
        <v>96</v>
      </c>
      <c r="G23" s="20"/>
      <c r="H23" s="20"/>
      <c r="I23" s="20"/>
      <c r="J23" s="20" t="str">
        <f>IFERROR(__xludf.DUMMYFUNCTION("""COMPUTED_VALUE"""),"Hawaii")</f>
        <v>Hawaii</v>
      </c>
      <c r="K23" s="20">
        <f>IFERROR(__xludf.DUMMYFUNCTION("""COMPUTED_VALUE"""),33.49)</f>
        <v>33.49</v>
      </c>
      <c r="L23" s="20">
        <f>IFERROR(__xludf.DUMMYFUNCTION("""COMPUTED_VALUE"""),79.0)</f>
        <v>79</v>
      </c>
      <c r="M23" s="20" t="str">
        <f>IFERROR(__xludf.DUMMYFUNCTION("""COMPUTED_VALUE"""),"Kentucky")</f>
        <v>Kentucky</v>
      </c>
      <c r="N23" s="20">
        <f>IFERROR(__xludf.DUMMYFUNCTION("""COMPUTED_VALUE"""),36.94)</f>
        <v>36.94</v>
      </c>
      <c r="O23" s="20">
        <f>IFERROR(__xludf.DUMMYFUNCTION("""COMPUTED_VALUE"""),47.0)</f>
        <v>47</v>
      </c>
      <c r="P23" s="20"/>
      <c r="Q23" s="20"/>
      <c r="R23" s="20"/>
      <c r="S23" s="20"/>
      <c r="T23" s="20"/>
      <c r="U23" s="20"/>
      <c r="V23" s="20"/>
      <c r="W23" s="20"/>
      <c r="X23" s="20"/>
      <c r="Y23" s="20"/>
      <c r="Z23" s="20"/>
    </row>
    <row r="24">
      <c r="A24" s="20" t="str">
        <f>IFERROR(__xludf.DUMMYFUNCTION("""COMPUTED_VALUE"""),"Wake Forest")</f>
        <v>Wake Forest</v>
      </c>
      <c r="B24" s="20">
        <f>IFERROR(__xludf.DUMMYFUNCTION("""COMPUTED_VALUE"""),36.48)</f>
        <v>36.48</v>
      </c>
      <c r="C24" s="20">
        <f>IFERROR(__xludf.DUMMYFUNCTION("""COMPUTED_VALUE"""),52.0)</f>
        <v>52</v>
      </c>
      <c r="D24" s="20" t="str">
        <f>IFERROR(__xludf.DUMMYFUNCTION("""COMPUTED_VALUE"""),"Baylor")</f>
        <v>Baylor</v>
      </c>
      <c r="E24" s="20">
        <f>IFERROR(__xludf.DUMMYFUNCTION("""COMPUTED_VALUE"""),31.08)</f>
        <v>31.08</v>
      </c>
      <c r="F24" s="20">
        <f>IFERROR(__xludf.DUMMYFUNCTION("""COMPUTED_VALUE"""),101.0)</f>
        <v>101</v>
      </c>
      <c r="G24" s="20"/>
      <c r="H24" s="20"/>
      <c r="I24" s="20"/>
      <c r="J24" s="20" t="str">
        <f>IFERROR(__xludf.DUMMYFUNCTION("""COMPUTED_VALUE"""),"New Mexico")</f>
        <v>New Mexico</v>
      </c>
      <c r="K24" s="20">
        <f>IFERROR(__xludf.DUMMYFUNCTION("""COMPUTED_VALUE"""),33.22)</f>
        <v>33.22</v>
      </c>
      <c r="L24" s="20">
        <f>IFERROR(__xludf.DUMMYFUNCTION("""COMPUTED_VALUE"""),84.0)</f>
        <v>84</v>
      </c>
      <c r="M24" s="20" t="str">
        <f>IFERROR(__xludf.DUMMYFUNCTION("""COMPUTED_VALUE"""),"Missouri")</f>
        <v>Missouri</v>
      </c>
      <c r="N24" s="20">
        <f>IFERROR(__xludf.DUMMYFUNCTION("""COMPUTED_VALUE"""),36.59)</f>
        <v>36.59</v>
      </c>
      <c r="O24" s="20">
        <f>IFERROR(__xludf.DUMMYFUNCTION("""COMPUTED_VALUE"""),51.0)</f>
        <v>51</v>
      </c>
      <c r="P24" s="20"/>
      <c r="Q24" s="20"/>
      <c r="R24" s="20"/>
      <c r="S24" s="20"/>
      <c r="T24" s="20"/>
      <c r="U24" s="20"/>
      <c r="V24" s="20"/>
      <c r="W24" s="20"/>
      <c r="X24" s="20"/>
      <c r="Y24" s="20"/>
      <c r="Z24" s="20"/>
    </row>
    <row r="25">
      <c r="A25" s="20" t="str">
        <f>IFERROR(__xludf.DUMMYFUNCTION("""COMPUTED_VALUE"""),"Virginia Tech")</f>
        <v>Virginia Tech</v>
      </c>
      <c r="B25" s="20">
        <f>IFERROR(__xludf.DUMMYFUNCTION("""COMPUTED_VALUE"""),36.12)</f>
        <v>36.12</v>
      </c>
      <c r="C25" s="20">
        <f>IFERROR(__xludf.DUMMYFUNCTION("""COMPUTED_VALUE"""),54.0)</f>
        <v>54</v>
      </c>
      <c r="D25" s="20" t="str">
        <f>IFERROR(__xludf.DUMMYFUNCTION("""COMPUTED_VALUE"""),"Kansas")</f>
        <v>Kansas</v>
      </c>
      <c r="E25" s="20">
        <f>IFERROR(__xludf.DUMMYFUNCTION("""COMPUTED_VALUE"""),21.55)</f>
        <v>21.55</v>
      </c>
      <c r="F25" s="20">
        <f>IFERROR(__xludf.DUMMYFUNCTION("""COMPUTED_VALUE"""),127.0)</f>
        <v>127</v>
      </c>
      <c r="G25" s="20"/>
      <c r="H25" s="20"/>
      <c r="I25" s="20"/>
      <c r="J25" s="20" t="str">
        <f>IFERROR(__xludf.DUMMYFUNCTION("""COMPUTED_VALUE"""),"Utah State")</f>
        <v>Utah State</v>
      </c>
      <c r="K25" s="20">
        <f>IFERROR(__xludf.DUMMYFUNCTION("""COMPUTED_VALUE"""),32.81)</f>
        <v>32.81</v>
      </c>
      <c r="L25" s="20">
        <f>IFERROR(__xludf.DUMMYFUNCTION("""COMPUTED_VALUE"""),88.0)</f>
        <v>88</v>
      </c>
      <c r="M25" s="20" t="str">
        <f>IFERROR(__xludf.DUMMYFUNCTION("""COMPUTED_VALUE"""),"Arkansas")</f>
        <v>Arkansas</v>
      </c>
      <c r="N25" s="20">
        <f>IFERROR(__xludf.DUMMYFUNCTION("""COMPUTED_VALUE"""),35.17)</f>
        <v>35.17</v>
      </c>
      <c r="O25" s="20">
        <f>IFERROR(__xludf.DUMMYFUNCTION("""COMPUTED_VALUE"""),65.0)</f>
        <v>65</v>
      </c>
      <c r="P25" s="20"/>
      <c r="Q25" s="20"/>
      <c r="R25" s="20"/>
      <c r="S25" s="20"/>
      <c r="T25" s="20"/>
      <c r="U25" s="20"/>
      <c r="V25" s="20"/>
      <c r="W25" s="20"/>
      <c r="X25" s="20"/>
      <c r="Y25" s="20"/>
      <c r="Z25" s="20"/>
    </row>
    <row r="26">
      <c r="A26" s="20" t="str">
        <f>IFERROR(__xludf.DUMMYFUNCTION("""COMPUTED_VALUE"""),"Pittsburgh")</f>
        <v>Pittsburgh</v>
      </c>
      <c r="B26" s="20">
        <f>IFERROR(__xludf.DUMMYFUNCTION("""COMPUTED_VALUE"""),35.74)</f>
        <v>35.74</v>
      </c>
      <c r="C26" s="20">
        <f>IFERROR(__xludf.DUMMYFUNCTION("""COMPUTED_VALUE"""),56.0)</f>
        <v>56</v>
      </c>
      <c r="D26" s="20"/>
      <c r="E26" s="20"/>
      <c r="F26" s="20"/>
      <c r="G26" s="20"/>
      <c r="H26" s="20"/>
      <c r="I26" s="20"/>
      <c r="J26" s="20" t="str">
        <f>IFERROR(__xludf.DUMMYFUNCTION("""COMPUTED_VALUE"""),"Wyoming")</f>
        <v>Wyoming</v>
      </c>
      <c r="K26" s="20">
        <f>IFERROR(__xludf.DUMMYFUNCTION("""COMPUTED_VALUE"""),31.85)</f>
        <v>31.85</v>
      </c>
      <c r="L26" s="20">
        <f>IFERROR(__xludf.DUMMYFUNCTION("""COMPUTED_VALUE"""),95.0)</f>
        <v>95</v>
      </c>
      <c r="M26" s="20" t="str">
        <f>IFERROR(__xludf.DUMMYFUNCTION("""COMPUTED_VALUE"""),"Tennessee")</f>
        <v>Tennessee</v>
      </c>
      <c r="N26" s="20">
        <f>IFERROR(__xludf.DUMMYFUNCTION("""COMPUTED_VALUE"""),34.09)</f>
        <v>34.09</v>
      </c>
      <c r="O26" s="20">
        <f>IFERROR(__xludf.DUMMYFUNCTION("""COMPUTED_VALUE"""),74.0)</f>
        <v>74</v>
      </c>
      <c r="P26" s="20"/>
      <c r="Q26" s="20"/>
      <c r="R26" s="20"/>
      <c r="S26" s="20"/>
      <c r="T26" s="20"/>
      <c r="U26" s="20"/>
      <c r="V26" s="20"/>
      <c r="W26" s="20"/>
      <c r="X26" s="20"/>
      <c r="Y26" s="20"/>
      <c r="Z26" s="20"/>
    </row>
    <row r="27">
      <c r="A27" s="20" t="str">
        <f>IFERROR(__xludf.DUMMYFUNCTION("""COMPUTED_VALUE"""),"Florida State")</f>
        <v>Florida State</v>
      </c>
      <c r="B27" s="20">
        <f>IFERROR(__xludf.DUMMYFUNCTION("""COMPUTED_VALUE"""),32.08)</f>
        <v>32.08</v>
      </c>
      <c r="C27" s="20">
        <f>IFERROR(__xludf.DUMMYFUNCTION("""COMPUTED_VALUE"""),93.0)</f>
        <v>93</v>
      </c>
      <c r="D27" s="20"/>
      <c r="E27" s="20"/>
      <c r="F27" s="20"/>
      <c r="G27" s="20"/>
      <c r="H27" s="20"/>
      <c r="I27" s="20"/>
      <c r="J27" s="20" t="str">
        <f>IFERROR(__xludf.DUMMYFUNCTION("""COMPUTED_VALUE"""),"UNLV")</f>
        <v>UNLV</v>
      </c>
      <c r="K27" s="20">
        <f>IFERROR(__xludf.DUMMYFUNCTION("""COMPUTED_VALUE"""),29.87)</f>
        <v>29.87</v>
      </c>
      <c r="L27" s="20">
        <f>IFERROR(__xludf.DUMMYFUNCTION("""COMPUTED_VALUE"""),111.0)</f>
        <v>111</v>
      </c>
      <c r="M27" s="20" t="str">
        <f>IFERROR(__xludf.DUMMYFUNCTION("""COMPUTED_VALUE"""),"Mississippi State")</f>
        <v>Mississippi State</v>
      </c>
      <c r="N27" s="20">
        <f>IFERROR(__xludf.DUMMYFUNCTION("""COMPUTED_VALUE"""),33.91)</f>
        <v>33.91</v>
      </c>
      <c r="O27" s="20">
        <f>IFERROR(__xludf.DUMMYFUNCTION("""COMPUTED_VALUE"""),75.0)</f>
        <v>75</v>
      </c>
      <c r="P27" s="20"/>
      <c r="Q27" s="20"/>
      <c r="R27" s="20"/>
      <c r="S27" s="20"/>
      <c r="T27" s="20"/>
      <c r="U27" s="20"/>
      <c r="V27" s="20"/>
      <c r="W27" s="20"/>
      <c r="X27" s="20"/>
      <c r="Y27" s="20"/>
      <c r="Z27" s="20"/>
    </row>
    <row r="28">
      <c r="A28" s="20" t="str">
        <f>IFERROR(__xludf.DUMMYFUNCTION("""COMPUTED_VALUE"""),"Georgia Tech")</f>
        <v>Georgia Tech</v>
      </c>
      <c r="B28" s="20">
        <f>IFERROR(__xludf.DUMMYFUNCTION("""COMPUTED_VALUE"""),30.15)</f>
        <v>30.15</v>
      </c>
      <c r="C28" s="20">
        <f>IFERROR(__xludf.DUMMYFUNCTION("""COMPUTED_VALUE"""),109.0)</f>
        <v>109</v>
      </c>
      <c r="D28" s="20"/>
      <c r="E28" s="20"/>
      <c r="F28" s="20"/>
      <c r="G28" s="20"/>
      <c r="H28" s="20"/>
      <c r="I28" s="20"/>
      <c r="J28" s="20"/>
      <c r="K28" s="20"/>
      <c r="L28" s="20"/>
      <c r="M28" s="20" t="str">
        <f>IFERROR(__xludf.DUMMYFUNCTION("""COMPUTED_VALUE"""),"South Carolina")</f>
        <v>South Carolina</v>
      </c>
      <c r="N28" s="20">
        <f>IFERROR(__xludf.DUMMYFUNCTION("""COMPUTED_VALUE"""),31.11)</f>
        <v>31.11</v>
      </c>
      <c r="O28" s="20">
        <f>IFERROR(__xludf.DUMMYFUNCTION("""COMPUTED_VALUE"""),100.0)</f>
        <v>100</v>
      </c>
      <c r="P28" s="20"/>
      <c r="Q28" s="20"/>
      <c r="R28" s="20"/>
      <c r="S28" s="20"/>
      <c r="T28" s="20"/>
      <c r="U28" s="20"/>
      <c r="V28" s="20"/>
      <c r="W28" s="20"/>
      <c r="X28" s="20"/>
      <c r="Y28" s="20"/>
      <c r="Z28" s="20"/>
    </row>
    <row r="29">
      <c r="A29" s="20" t="str">
        <f>IFERROR(__xludf.DUMMYFUNCTION("""COMPUTED_VALUE"""),"Duke")</f>
        <v>Duke</v>
      </c>
      <c r="B29" s="20">
        <f>IFERROR(__xludf.DUMMYFUNCTION("""COMPUTED_VALUE"""),28.66)</f>
        <v>28.66</v>
      </c>
      <c r="C29" s="20">
        <f>IFERROR(__xludf.DUMMYFUNCTION("""COMPUTED_VALUE"""),120.0)</f>
        <v>120</v>
      </c>
      <c r="D29" s="20"/>
      <c r="E29" s="20"/>
      <c r="F29" s="20"/>
      <c r="G29" s="20"/>
      <c r="H29" s="20"/>
      <c r="I29" s="20"/>
      <c r="J29" s="20"/>
      <c r="K29" s="20"/>
      <c r="L29" s="20"/>
      <c r="M29" s="20" t="str">
        <f>IFERROR(__xludf.DUMMYFUNCTION("""COMPUTED_VALUE"""),"Vanderbilt")</f>
        <v>Vanderbilt</v>
      </c>
      <c r="N29" s="20">
        <f>IFERROR(__xludf.DUMMYFUNCTION("""COMPUTED_VALUE"""),25.47)</f>
        <v>25.47</v>
      </c>
      <c r="O29" s="20">
        <f>IFERROR(__xludf.DUMMYFUNCTION("""COMPUTED_VALUE"""),125.0)</f>
        <v>125</v>
      </c>
      <c r="P29" s="20"/>
      <c r="Q29" s="20"/>
      <c r="R29" s="20"/>
      <c r="S29" s="20"/>
      <c r="T29" s="20"/>
      <c r="U29" s="20"/>
      <c r="V29" s="20"/>
      <c r="W29" s="20"/>
      <c r="X29" s="20"/>
      <c r="Y29" s="20"/>
      <c r="Z29" s="20"/>
    </row>
    <row r="30">
      <c r="A30" s="20" t="str">
        <f>IFERROR(__xludf.DUMMYFUNCTION("""COMPUTED_VALUE"""),"Syracuse")</f>
        <v>Syracuse</v>
      </c>
      <c r="B30" s="20">
        <f>IFERROR(__xludf.DUMMYFUNCTION("""COMPUTED_VALUE"""),26.74)</f>
        <v>26.74</v>
      </c>
      <c r="C30" s="20">
        <f>IFERROR(__xludf.DUMMYFUNCTION("""COMPUTED_VALUE"""),123.0)</f>
        <v>123</v>
      </c>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55" t="str">
        <f>IFERROR(__xludf.DUMMYFUNCTION("QUERY(CurrentRank!A2:D132,""SELECT B, C, D WHERE A = 'B1G' ORDER BY C DESC"",1)"),"Name")</f>
        <v>Name</v>
      </c>
      <c r="B32" s="20" t="str">
        <f>IFERROR(__xludf.DUMMYFUNCTION("""COMPUTED_VALUE"""),"Points")</f>
        <v>Points</v>
      </c>
      <c r="C32" s="20" t="str">
        <f>IFERROR(__xludf.DUMMYFUNCTION("""COMPUTED_VALUE"""),"Rk")</f>
        <v>Rk</v>
      </c>
      <c r="D32" s="54" t="str">
        <f>IFERROR(__xludf.DUMMYFUNCTION("QUERY(CurrentRank!A$2:D$132,""SELECT B, C, D WHERE A = 'CUSA' ORDER BY C DESC"",1)"),"Name")</f>
        <v>Name</v>
      </c>
      <c r="E32" s="20" t="str">
        <f>IFERROR(__xludf.DUMMYFUNCTION("""COMPUTED_VALUE"""),"Points")</f>
        <v>Points</v>
      </c>
      <c r="F32" s="20" t="str">
        <f>IFERROR(__xludf.DUMMYFUNCTION("""COMPUTED_VALUE"""),"Rk")</f>
        <v>Rk</v>
      </c>
      <c r="G32" s="54" t="str">
        <f>IFERROR(__xludf.DUMMYFUNCTION("QUERY(CurrentRank!A$2:D$132,""SELECT B, C, D WHERE A = 'MAC' ORDER BY C DESC"",1)"),"Name")</f>
        <v>Name</v>
      </c>
      <c r="H32" s="20" t="str">
        <f>IFERROR(__xludf.DUMMYFUNCTION("""COMPUTED_VALUE"""),"Points")</f>
        <v>Points</v>
      </c>
      <c r="I32" s="20" t="str">
        <f>IFERROR(__xludf.DUMMYFUNCTION("""COMPUTED_VALUE"""),"Rk")</f>
        <v>Rk</v>
      </c>
      <c r="J32" s="54" t="str">
        <f>IFERROR(__xludf.DUMMYFUNCTION("QUERY(CurrentRank!A$2:D$132,""SELECT B, C, D WHERE A = 'PAC12' ORDER BY C DESC"",1)"),"Name")</f>
        <v>Name</v>
      </c>
      <c r="K32" s="20" t="str">
        <f>IFERROR(__xludf.DUMMYFUNCTION("""COMPUTED_VALUE"""),"Points")</f>
        <v>Points</v>
      </c>
      <c r="L32" s="20" t="str">
        <f>IFERROR(__xludf.DUMMYFUNCTION("""COMPUTED_VALUE"""),"Rk")</f>
        <v>Rk</v>
      </c>
      <c r="M32" s="20" t="str">
        <f>IFERROR(__xludf.DUMMYFUNCTION("QUERY(CurrentRank!A$2:D$132,""SELECT B, C, D WHERE A = 'SUN' ORDER BY C DESC"",1)"),"Name")</f>
        <v>Name</v>
      </c>
      <c r="N32" s="20" t="str">
        <f>IFERROR(__xludf.DUMMYFUNCTION("""COMPUTED_VALUE"""),"Points")</f>
        <v>Points</v>
      </c>
      <c r="O32" s="20" t="str">
        <f>IFERROR(__xludf.DUMMYFUNCTION("""COMPUTED_VALUE"""),"Rk")</f>
        <v>Rk</v>
      </c>
      <c r="P32" s="20"/>
      <c r="Q32" s="20"/>
      <c r="R32" s="20"/>
      <c r="S32" s="20"/>
      <c r="T32" s="20"/>
      <c r="U32" s="20"/>
      <c r="V32" s="20"/>
      <c r="W32" s="20"/>
      <c r="X32" s="20"/>
      <c r="Y32" s="20"/>
      <c r="Z32" s="20"/>
    </row>
    <row r="33">
      <c r="A33" s="20" t="str">
        <f>IFERROR(__xludf.DUMMYFUNCTION("""COMPUTED_VALUE"""),"Ohio State")</f>
        <v>Ohio State</v>
      </c>
      <c r="B33" s="20">
        <f>IFERROR(__xludf.DUMMYFUNCTION("""COMPUTED_VALUE"""),87.05)</f>
        <v>87.05</v>
      </c>
      <c r="C33" s="20">
        <f>IFERROR(__xludf.DUMMYFUNCTION("""COMPUTED_VALUE"""),2.0)</f>
        <v>2</v>
      </c>
      <c r="D33" s="20" t="str">
        <f>IFERROR(__xludf.DUMMYFUNCTION("""COMPUTED_VALUE"""),"Rice")</f>
        <v>Rice</v>
      </c>
      <c r="E33" s="20">
        <f>IFERROR(__xludf.DUMMYFUNCTION("""COMPUTED_VALUE"""),33.49)</f>
        <v>33.49</v>
      </c>
      <c r="F33" s="20">
        <f>IFERROR(__xludf.DUMMYFUNCTION("""COMPUTED_VALUE"""),79.0)</f>
        <v>79</v>
      </c>
      <c r="G33" s="20" t="str">
        <f>IFERROR(__xludf.DUMMYFUNCTION("""COMPUTED_VALUE"""),"Ball State")</f>
        <v>Ball State</v>
      </c>
      <c r="H33" s="20">
        <f>IFERROR(__xludf.DUMMYFUNCTION("""COMPUTED_VALUE"""),60.69)</f>
        <v>60.69</v>
      </c>
      <c r="I33" s="20">
        <f>IFERROR(__xludf.DUMMYFUNCTION("""COMPUTED_VALUE"""),21.0)</f>
        <v>21</v>
      </c>
      <c r="J33" s="20" t="str">
        <f>IFERROR(__xludf.DUMMYFUNCTION("""COMPUTED_VALUE"""),"Southern Cal")</f>
        <v>Southern Cal</v>
      </c>
      <c r="K33" s="20">
        <f>IFERROR(__xludf.DUMMYFUNCTION("""COMPUTED_VALUE"""),62.48)</f>
        <v>62.48</v>
      </c>
      <c r="L33" s="20">
        <f>IFERROR(__xludf.DUMMYFUNCTION("""COMPUTED_VALUE"""),19.0)</f>
        <v>19</v>
      </c>
      <c r="M33" s="20" t="str">
        <f>IFERROR(__xludf.DUMMYFUNCTION("""COMPUTED_VALUE"""),"UL-Lafayette")</f>
        <v>UL-Lafayette</v>
      </c>
      <c r="N33" s="20">
        <f>IFERROR(__xludf.DUMMYFUNCTION("""COMPUTED_VALUE"""),72.87)</f>
        <v>72.87</v>
      </c>
      <c r="O33" s="20">
        <f>IFERROR(__xludf.DUMMYFUNCTION("""COMPUTED_VALUE"""),10.0)</f>
        <v>10</v>
      </c>
      <c r="P33" s="20"/>
      <c r="Q33" s="20"/>
      <c r="R33" s="20"/>
      <c r="S33" s="20"/>
      <c r="T33" s="20"/>
      <c r="U33" s="20"/>
      <c r="V33" s="20"/>
      <c r="W33" s="20"/>
      <c r="X33" s="20"/>
      <c r="Y33" s="20"/>
      <c r="Z33" s="20"/>
    </row>
    <row r="34">
      <c r="A34" s="20" t="str">
        <f>IFERROR(__xludf.DUMMYFUNCTION("""COMPUTED_VALUE"""),"Northwestern")</f>
        <v>Northwestern</v>
      </c>
      <c r="B34" s="20">
        <f>IFERROR(__xludf.DUMMYFUNCTION("""COMPUTED_VALUE"""),72.23)</f>
        <v>72.23</v>
      </c>
      <c r="C34" s="20">
        <f>IFERROR(__xludf.DUMMYFUNCTION("""COMPUTED_VALUE"""),11.0)</f>
        <v>11</v>
      </c>
      <c r="D34" s="20" t="str">
        <f>IFERROR(__xludf.DUMMYFUNCTION("""COMPUTED_VALUE"""),"Marshall")</f>
        <v>Marshall</v>
      </c>
      <c r="E34" s="20">
        <f>IFERROR(__xludf.DUMMYFUNCTION("""COMPUTED_VALUE"""),33.45)</f>
        <v>33.45</v>
      </c>
      <c r="F34" s="20">
        <f>IFERROR(__xludf.DUMMYFUNCTION("""COMPUTED_VALUE"""),81.0)</f>
        <v>81</v>
      </c>
      <c r="G34" s="20" t="str">
        <f>IFERROR(__xludf.DUMMYFUNCTION("""COMPUTED_VALUE"""),"Buffalo")</f>
        <v>Buffalo</v>
      </c>
      <c r="H34" s="20">
        <f>IFERROR(__xludf.DUMMYFUNCTION("""COMPUTED_VALUE"""),51.75)</f>
        <v>51.75</v>
      </c>
      <c r="I34" s="20">
        <f>IFERROR(__xludf.DUMMYFUNCTION("""COMPUTED_VALUE"""),24.0)</f>
        <v>24</v>
      </c>
      <c r="J34" s="20" t="str">
        <f>IFERROR(__xludf.DUMMYFUNCTION("""COMPUTED_VALUE"""),"Arizona State")</f>
        <v>Arizona State</v>
      </c>
      <c r="K34" s="20">
        <f>IFERROR(__xludf.DUMMYFUNCTION("""COMPUTED_VALUE"""),44.06)</f>
        <v>44.06</v>
      </c>
      <c r="L34" s="20">
        <f>IFERROR(__xludf.DUMMYFUNCTION("""COMPUTED_VALUE"""),26.0)</f>
        <v>26</v>
      </c>
      <c r="M34" s="20" t="str">
        <f>IFERROR(__xludf.DUMMYFUNCTION("""COMPUTED_VALUE"""),"Coastal Carolina")</f>
        <v>Coastal Carolina</v>
      </c>
      <c r="N34" s="20">
        <f>IFERROR(__xludf.DUMMYFUNCTION("""COMPUTED_VALUE"""),69.98)</f>
        <v>69.98</v>
      </c>
      <c r="O34" s="20">
        <f>IFERROR(__xludf.DUMMYFUNCTION("""COMPUTED_VALUE"""),13.0)</f>
        <v>13</v>
      </c>
      <c r="P34" s="20"/>
      <c r="Q34" s="20"/>
      <c r="R34" s="20"/>
      <c r="S34" s="20"/>
      <c r="T34" s="20"/>
      <c r="U34" s="20"/>
      <c r="V34" s="20"/>
      <c r="W34" s="20"/>
      <c r="X34" s="20"/>
      <c r="Y34" s="20"/>
      <c r="Z34" s="20"/>
    </row>
    <row r="35">
      <c r="A35" s="20" t="str">
        <f>IFERROR(__xludf.DUMMYFUNCTION("""COMPUTED_VALUE"""),"Iowa")</f>
        <v>Iowa</v>
      </c>
      <c r="B35" s="20">
        <f>IFERROR(__xludf.DUMMYFUNCTION("""COMPUTED_VALUE"""),71.81)</f>
        <v>71.81</v>
      </c>
      <c r="C35" s="20">
        <f>IFERROR(__xludf.DUMMYFUNCTION("""COMPUTED_VALUE"""),12.0)</f>
        <v>12</v>
      </c>
      <c r="D35" s="20" t="str">
        <f>IFERROR(__xludf.DUMMYFUNCTION("""COMPUTED_VALUE"""),"Florida Atlantic")</f>
        <v>Florida Atlantic</v>
      </c>
      <c r="E35" s="20">
        <f>IFERROR(__xludf.DUMMYFUNCTION("""COMPUTED_VALUE"""),33.33)</f>
        <v>33.33</v>
      </c>
      <c r="F35" s="20">
        <f>IFERROR(__xludf.DUMMYFUNCTION("""COMPUTED_VALUE"""),83.0)</f>
        <v>83</v>
      </c>
      <c r="G35" s="20" t="str">
        <f>IFERROR(__xludf.DUMMYFUNCTION("""COMPUTED_VALUE"""),"Miami (OH)")</f>
        <v>Miami (OH)</v>
      </c>
      <c r="H35" s="20">
        <f>IFERROR(__xludf.DUMMYFUNCTION("""COMPUTED_VALUE"""),37.85)</f>
        <v>37.85</v>
      </c>
      <c r="I35" s="20">
        <f>IFERROR(__xludf.DUMMYFUNCTION("""COMPUTED_VALUE"""),39.0)</f>
        <v>39</v>
      </c>
      <c r="J35" s="20" t="str">
        <f>IFERROR(__xludf.DUMMYFUNCTION("""COMPUTED_VALUE"""),"Utah")</f>
        <v>Utah</v>
      </c>
      <c r="K35" s="20">
        <f>IFERROR(__xludf.DUMMYFUNCTION("""COMPUTED_VALUE"""),43.66)</f>
        <v>43.66</v>
      </c>
      <c r="L35" s="20">
        <f>IFERROR(__xludf.DUMMYFUNCTION("""COMPUTED_VALUE"""),27.0)</f>
        <v>27</v>
      </c>
      <c r="M35" s="20" t="str">
        <f>IFERROR(__xludf.DUMMYFUNCTION("""COMPUTED_VALUE"""),"Appalachian State")</f>
        <v>Appalachian State</v>
      </c>
      <c r="N35" s="20">
        <f>IFERROR(__xludf.DUMMYFUNCTION("""COMPUTED_VALUE"""),37.44)</f>
        <v>37.44</v>
      </c>
      <c r="O35" s="20">
        <f>IFERROR(__xludf.DUMMYFUNCTION("""COMPUTED_VALUE"""),42.0)</f>
        <v>42</v>
      </c>
      <c r="P35" s="20"/>
      <c r="Q35" s="20"/>
      <c r="R35" s="20"/>
      <c r="S35" s="20"/>
      <c r="T35" s="20"/>
      <c r="U35" s="20"/>
      <c r="V35" s="20"/>
      <c r="W35" s="20"/>
      <c r="X35" s="20"/>
      <c r="Y35" s="20"/>
      <c r="Z35" s="20"/>
    </row>
    <row r="36">
      <c r="A36" s="20" t="str">
        <f>IFERROR(__xludf.DUMMYFUNCTION("""COMPUTED_VALUE"""),"Indiana")</f>
        <v>Indiana</v>
      </c>
      <c r="B36" s="20">
        <f>IFERROR(__xludf.DUMMYFUNCTION("""COMPUTED_VALUE"""),69.98)</f>
        <v>69.98</v>
      </c>
      <c r="C36" s="20">
        <f>IFERROR(__xludf.DUMMYFUNCTION("""COMPUTED_VALUE"""),13.0)</f>
        <v>13</v>
      </c>
      <c r="D36" s="20" t="str">
        <f>IFERROR(__xludf.DUMMYFUNCTION("""COMPUTED_VALUE"""),"Middle Tennessee")</f>
        <v>Middle Tennessee</v>
      </c>
      <c r="E36" s="20">
        <f>IFERROR(__xludf.DUMMYFUNCTION("""COMPUTED_VALUE"""),32.76)</f>
        <v>32.76</v>
      </c>
      <c r="F36" s="20">
        <f>IFERROR(__xludf.DUMMYFUNCTION("""COMPUTED_VALUE"""),89.0)</f>
        <v>89</v>
      </c>
      <c r="G36" s="20" t="str">
        <f>IFERROR(__xludf.DUMMYFUNCTION("""COMPUTED_VALUE"""),"Toledo")</f>
        <v>Toledo</v>
      </c>
      <c r="H36" s="20">
        <f>IFERROR(__xludf.DUMMYFUNCTION("""COMPUTED_VALUE"""),36.79)</f>
        <v>36.79</v>
      </c>
      <c r="I36" s="20">
        <f>IFERROR(__xludf.DUMMYFUNCTION("""COMPUTED_VALUE"""),49.0)</f>
        <v>49</v>
      </c>
      <c r="J36" s="20" t="str">
        <f>IFERROR(__xludf.DUMMYFUNCTION("""COMPUTED_VALUE"""),"Stanford")</f>
        <v>Stanford</v>
      </c>
      <c r="K36" s="20">
        <f>IFERROR(__xludf.DUMMYFUNCTION("""COMPUTED_VALUE"""),42.24)</f>
        <v>42.24</v>
      </c>
      <c r="L36" s="20">
        <f>IFERROR(__xludf.DUMMYFUNCTION("""COMPUTED_VALUE"""),28.0)</f>
        <v>28</v>
      </c>
      <c r="M36" s="20" t="str">
        <f>IFERROR(__xludf.DUMMYFUNCTION("""COMPUTED_VALUE"""),"Georgia State")</f>
        <v>Georgia State</v>
      </c>
      <c r="N36" s="20">
        <f>IFERROR(__xludf.DUMMYFUNCTION("""COMPUTED_VALUE"""),35.33)</f>
        <v>35.33</v>
      </c>
      <c r="O36" s="20">
        <f>IFERROR(__xludf.DUMMYFUNCTION("""COMPUTED_VALUE"""),62.0)</f>
        <v>62</v>
      </c>
      <c r="P36" s="20"/>
      <c r="Q36" s="20"/>
      <c r="R36" s="20"/>
      <c r="S36" s="20"/>
      <c r="T36" s="20"/>
      <c r="U36" s="20"/>
      <c r="V36" s="20"/>
      <c r="W36" s="20"/>
      <c r="X36" s="20"/>
      <c r="Y36" s="20"/>
      <c r="Z36" s="20"/>
    </row>
    <row r="37">
      <c r="A37" s="20" t="str">
        <f>IFERROR(__xludf.DUMMYFUNCTION("""COMPUTED_VALUE"""),"Wisconsin")</f>
        <v>Wisconsin</v>
      </c>
      <c r="B37" s="20">
        <f>IFERROR(__xludf.DUMMYFUNCTION("""COMPUTED_VALUE"""),41.11)</f>
        <v>41.11</v>
      </c>
      <c r="C37" s="20">
        <f>IFERROR(__xludf.DUMMYFUNCTION("""COMPUTED_VALUE"""),32.0)</f>
        <v>32</v>
      </c>
      <c r="D37" s="20" t="str">
        <f>IFERROR(__xludf.DUMMYFUNCTION("""COMPUTED_VALUE"""),"Texas-San Antonio")</f>
        <v>Texas-San Antonio</v>
      </c>
      <c r="E37" s="20">
        <f>IFERROR(__xludf.DUMMYFUNCTION("""COMPUTED_VALUE"""),32.43)</f>
        <v>32.43</v>
      </c>
      <c r="F37" s="20">
        <f>IFERROR(__xludf.DUMMYFUNCTION("""COMPUTED_VALUE"""),90.0)</f>
        <v>90</v>
      </c>
      <c r="G37" s="20" t="str">
        <f>IFERROR(__xludf.DUMMYFUNCTION("""COMPUTED_VALUE"""),"Ohio")</f>
        <v>Ohio</v>
      </c>
      <c r="H37" s="20">
        <f>IFERROR(__xludf.DUMMYFUNCTION("""COMPUTED_VALUE"""),35.28)</f>
        <v>35.28</v>
      </c>
      <c r="I37" s="20">
        <f>IFERROR(__xludf.DUMMYFUNCTION("""COMPUTED_VALUE"""),63.0)</f>
        <v>63</v>
      </c>
      <c r="J37" s="20" t="str">
        <f>IFERROR(__xludf.DUMMYFUNCTION("""COMPUTED_VALUE"""),"UCLA")</f>
        <v>UCLA</v>
      </c>
      <c r="K37" s="20">
        <f>IFERROR(__xludf.DUMMYFUNCTION("""COMPUTED_VALUE"""),41.14)</f>
        <v>41.14</v>
      </c>
      <c r="L37" s="20">
        <f>IFERROR(__xludf.DUMMYFUNCTION("""COMPUTED_VALUE"""),31.0)</f>
        <v>31</v>
      </c>
      <c r="M37" s="20" t="str">
        <f>IFERROR(__xludf.DUMMYFUNCTION("""COMPUTED_VALUE"""),"Georgia Southern")</f>
        <v>Georgia Southern</v>
      </c>
      <c r="N37" s="20">
        <f>IFERROR(__xludf.DUMMYFUNCTION("""COMPUTED_VALUE"""),33.34)</f>
        <v>33.34</v>
      </c>
      <c r="O37" s="20">
        <f>IFERROR(__xludf.DUMMYFUNCTION("""COMPUTED_VALUE"""),82.0)</f>
        <v>82</v>
      </c>
      <c r="P37" s="20"/>
      <c r="Q37" s="20"/>
      <c r="R37" s="20"/>
      <c r="S37" s="20"/>
      <c r="T37" s="20"/>
      <c r="U37" s="20"/>
      <c r="V37" s="20"/>
      <c r="W37" s="20"/>
      <c r="X37" s="20"/>
      <c r="Y37" s="20"/>
      <c r="Z37" s="20"/>
    </row>
    <row r="38">
      <c r="A38" s="20" t="str">
        <f>IFERROR(__xludf.DUMMYFUNCTION("""COMPUTED_VALUE"""),"Penn State")</f>
        <v>Penn State</v>
      </c>
      <c r="B38" s="20">
        <f>IFERROR(__xludf.DUMMYFUNCTION("""COMPUTED_VALUE"""),40.05)</f>
        <v>40.05</v>
      </c>
      <c r="C38" s="20">
        <f>IFERROR(__xludf.DUMMYFUNCTION("""COMPUTED_VALUE"""),34.0)</f>
        <v>34</v>
      </c>
      <c r="D38" s="20" t="str">
        <f>IFERROR(__xludf.DUMMYFUNCTION("""COMPUTED_VALUE"""),"UAB")</f>
        <v>UAB</v>
      </c>
      <c r="E38" s="20">
        <f>IFERROR(__xludf.DUMMYFUNCTION("""COMPUTED_VALUE"""),31.96)</f>
        <v>31.96</v>
      </c>
      <c r="F38" s="20">
        <f>IFERROR(__xludf.DUMMYFUNCTION("""COMPUTED_VALUE"""),94.0)</f>
        <v>94</v>
      </c>
      <c r="G38" s="20" t="str">
        <f>IFERROR(__xludf.DUMMYFUNCTION("""COMPUTED_VALUE"""),"Western Michigan")</f>
        <v>Western Michigan</v>
      </c>
      <c r="H38" s="20">
        <f>IFERROR(__xludf.DUMMYFUNCTION("""COMPUTED_VALUE"""),34.83)</f>
        <v>34.83</v>
      </c>
      <c r="I38" s="20">
        <f>IFERROR(__xludf.DUMMYFUNCTION("""COMPUTED_VALUE"""),67.0)</f>
        <v>67</v>
      </c>
      <c r="J38" s="20" t="str">
        <f>IFERROR(__xludf.DUMMYFUNCTION("""COMPUTED_VALUE"""),"Washington")</f>
        <v>Washington</v>
      </c>
      <c r="K38" s="20">
        <f>IFERROR(__xludf.DUMMYFUNCTION("""COMPUTED_VALUE"""),40.47)</f>
        <v>40.47</v>
      </c>
      <c r="L38" s="20">
        <f>IFERROR(__xludf.DUMMYFUNCTION("""COMPUTED_VALUE"""),33.0)</f>
        <v>33</v>
      </c>
      <c r="M38" s="20" t="str">
        <f>IFERROR(__xludf.DUMMYFUNCTION("""COMPUTED_VALUE"""),"Arkansas State")</f>
        <v>Arkansas State</v>
      </c>
      <c r="N38" s="20">
        <f>IFERROR(__xludf.DUMMYFUNCTION("""COMPUTED_VALUE"""),32.29)</f>
        <v>32.29</v>
      </c>
      <c r="O38" s="20">
        <f>IFERROR(__xludf.DUMMYFUNCTION("""COMPUTED_VALUE"""),91.0)</f>
        <v>91</v>
      </c>
      <c r="P38" s="20"/>
      <c r="Q38" s="20"/>
      <c r="R38" s="20"/>
      <c r="S38" s="20"/>
      <c r="T38" s="20"/>
      <c r="U38" s="20"/>
      <c r="V38" s="20"/>
      <c r="W38" s="20"/>
      <c r="X38" s="20"/>
      <c r="Y38" s="20"/>
      <c r="Z38" s="20"/>
    </row>
    <row r="39">
      <c r="A39" s="20" t="str">
        <f>IFERROR(__xludf.DUMMYFUNCTION("""COMPUTED_VALUE"""),"Nebraska")</f>
        <v>Nebraska</v>
      </c>
      <c r="B39" s="20">
        <f>IFERROR(__xludf.DUMMYFUNCTION("""COMPUTED_VALUE"""),35.51)</f>
        <v>35.51</v>
      </c>
      <c r="C39" s="20">
        <f>IFERROR(__xludf.DUMMYFUNCTION("""COMPUTED_VALUE"""),58.0)</f>
        <v>58</v>
      </c>
      <c r="D39" s="20" t="str">
        <f>IFERROR(__xludf.DUMMYFUNCTION("""COMPUTED_VALUE"""),"Florida International")</f>
        <v>Florida International</v>
      </c>
      <c r="E39" s="20">
        <f>IFERROR(__xludf.DUMMYFUNCTION("""COMPUTED_VALUE"""),30.89)</f>
        <v>30.89</v>
      </c>
      <c r="F39" s="20">
        <f>IFERROR(__xludf.DUMMYFUNCTION("""COMPUTED_VALUE"""),103.0)</f>
        <v>103</v>
      </c>
      <c r="G39" s="20" t="str">
        <f>IFERROR(__xludf.DUMMYFUNCTION("""COMPUTED_VALUE"""),"Kent State")</f>
        <v>Kent State</v>
      </c>
      <c r="H39" s="20">
        <f>IFERROR(__xludf.DUMMYFUNCTION("""COMPUTED_VALUE"""),34.71)</f>
        <v>34.71</v>
      </c>
      <c r="I39" s="20">
        <f>IFERROR(__xludf.DUMMYFUNCTION("""COMPUTED_VALUE"""),68.0)</f>
        <v>68</v>
      </c>
      <c r="J39" s="20" t="str">
        <f>IFERROR(__xludf.DUMMYFUNCTION("""COMPUTED_VALUE"""),"Oregon")</f>
        <v>Oregon</v>
      </c>
      <c r="K39" s="20">
        <f>IFERROR(__xludf.DUMMYFUNCTION("""COMPUTED_VALUE"""),37.34)</f>
        <v>37.34</v>
      </c>
      <c r="L39" s="20">
        <f>IFERROR(__xludf.DUMMYFUNCTION("""COMPUTED_VALUE"""),44.0)</f>
        <v>44</v>
      </c>
      <c r="M39" s="20" t="str">
        <f>IFERROR(__xludf.DUMMYFUNCTION("""COMPUTED_VALUE"""),"South Alabama")</f>
        <v>South Alabama</v>
      </c>
      <c r="N39" s="20">
        <f>IFERROR(__xludf.DUMMYFUNCTION("""COMPUTED_VALUE"""),31.07)</f>
        <v>31.07</v>
      </c>
      <c r="O39" s="20">
        <f>IFERROR(__xludf.DUMMYFUNCTION("""COMPUTED_VALUE"""),102.0)</f>
        <v>102</v>
      </c>
      <c r="P39" s="20"/>
      <c r="Q39" s="20"/>
      <c r="R39" s="20"/>
      <c r="S39" s="20"/>
      <c r="T39" s="20"/>
      <c r="U39" s="20"/>
      <c r="V39" s="20"/>
      <c r="W39" s="20"/>
      <c r="X39" s="20"/>
      <c r="Y39" s="20"/>
      <c r="Z39" s="20"/>
    </row>
    <row r="40">
      <c r="A40" s="20" t="str">
        <f>IFERROR(__xludf.DUMMYFUNCTION("""COMPUTED_VALUE"""),"Minnesota")</f>
        <v>Minnesota</v>
      </c>
      <c r="B40" s="20">
        <f>IFERROR(__xludf.DUMMYFUNCTION("""COMPUTED_VALUE"""),35.39)</f>
        <v>35.39</v>
      </c>
      <c r="C40" s="20">
        <f>IFERROR(__xludf.DUMMYFUNCTION("""COMPUTED_VALUE"""),60.0)</f>
        <v>60</v>
      </c>
      <c r="D40" s="20" t="str">
        <f>IFERROR(__xludf.DUMMYFUNCTION("""COMPUTED_VALUE"""),"Old Dominion")</f>
        <v>Old Dominion</v>
      </c>
      <c r="E40" s="20">
        <f>IFERROR(__xludf.DUMMYFUNCTION("""COMPUTED_VALUE"""),30.77)</f>
        <v>30.77</v>
      </c>
      <c r="F40" s="20">
        <f>IFERROR(__xludf.DUMMYFUNCTION("""COMPUTED_VALUE"""),105.0)</f>
        <v>105</v>
      </c>
      <c r="G40" s="20" t="str">
        <f>IFERROR(__xludf.DUMMYFUNCTION("""COMPUTED_VALUE"""),"Eastern Michigan")</f>
        <v>Eastern Michigan</v>
      </c>
      <c r="H40" s="20">
        <f>IFERROR(__xludf.DUMMYFUNCTION("""COMPUTED_VALUE"""),34.3)</f>
        <v>34.3</v>
      </c>
      <c r="I40" s="20">
        <f>IFERROR(__xludf.DUMMYFUNCTION("""COMPUTED_VALUE"""),71.0)</f>
        <v>71</v>
      </c>
      <c r="J40" s="20" t="str">
        <f>IFERROR(__xludf.DUMMYFUNCTION("""COMPUTED_VALUE"""),"California")</f>
        <v>California</v>
      </c>
      <c r="K40" s="20">
        <f>IFERROR(__xludf.DUMMYFUNCTION("""COMPUTED_VALUE"""),36.35)</f>
        <v>36.35</v>
      </c>
      <c r="L40" s="20">
        <f>IFERROR(__xludf.DUMMYFUNCTION("""COMPUTED_VALUE"""),53.0)</f>
        <v>53</v>
      </c>
      <c r="M40" s="20" t="str">
        <f>IFERROR(__xludf.DUMMYFUNCTION("""COMPUTED_VALUE"""),"Troy")</f>
        <v>Troy</v>
      </c>
      <c r="N40" s="20">
        <f>IFERROR(__xludf.DUMMYFUNCTION("""COMPUTED_VALUE"""),29.75)</f>
        <v>29.75</v>
      </c>
      <c r="O40" s="20">
        <f>IFERROR(__xludf.DUMMYFUNCTION("""COMPUTED_VALUE"""),112.0)</f>
        <v>112</v>
      </c>
      <c r="P40" s="20"/>
      <c r="Q40" s="20"/>
      <c r="R40" s="20"/>
      <c r="S40" s="20"/>
      <c r="T40" s="20"/>
      <c r="U40" s="20"/>
      <c r="V40" s="20"/>
      <c r="W40" s="20"/>
      <c r="X40" s="20"/>
      <c r="Y40" s="20"/>
      <c r="Z40" s="20"/>
    </row>
    <row r="41">
      <c r="A41" s="20" t="str">
        <f>IFERROR(__xludf.DUMMYFUNCTION("""COMPUTED_VALUE"""),"Maryland")</f>
        <v>Maryland</v>
      </c>
      <c r="B41" s="20">
        <f>IFERROR(__xludf.DUMMYFUNCTION("""COMPUTED_VALUE"""),33.72)</f>
        <v>33.72</v>
      </c>
      <c r="C41" s="20">
        <f>IFERROR(__xludf.DUMMYFUNCTION("""COMPUTED_VALUE"""),76.0)</f>
        <v>76</v>
      </c>
      <c r="D41" s="20" t="str">
        <f>IFERROR(__xludf.DUMMYFUNCTION("""COMPUTED_VALUE"""),"North Texas")</f>
        <v>North Texas</v>
      </c>
      <c r="E41" s="20">
        <f>IFERROR(__xludf.DUMMYFUNCTION("""COMPUTED_VALUE"""),29.9)</f>
        <v>29.9</v>
      </c>
      <c r="F41" s="20">
        <f>IFERROR(__xludf.DUMMYFUNCTION("""COMPUTED_VALUE"""),110.0)</f>
        <v>110</v>
      </c>
      <c r="G41" s="20" t="str">
        <f>IFERROR(__xludf.DUMMYFUNCTION("""COMPUTED_VALUE"""),"Central Michigan")</f>
        <v>Central Michigan</v>
      </c>
      <c r="H41" s="20">
        <f>IFERROR(__xludf.DUMMYFUNCTION("""COMPUTED_VALUE"""),33.69)</f>
        <v>33.69</v>
      </c>
      <c r="I41" s="20">
        <f>IFERROR(__xludf.DUMMYFUNCTION("""COMPUTED_VALUE"""),77.0)</f>
        <v>77</v>
      </c>
      <c r="J41" s="20" t="str">
        <f>IFERROR(__xludf.DUMMYFUNCTION("""COMPUTED_VALUE"""),"Colorado")</f>
        <v>Colorado</v>
      </c>
      <c r="K41" s="20">
        <f>IFERROR(__xludf.DUMMYFUNCTION("""COMPUTED_VALUE"""),35.77)</f>
        <v>35.77</v>
      </c>
      <c r="L41" s="20">
        <f>IFERROR(__xludf.DUMMYFUNCTION("""COMPUTED_VALUE"""),55.0)</f>
        <v>55</v>
      </c>
      <c r="M41" s="20" t="str">
        <f>IFERROR(__xludf.DUMMYFUNCTION("""COMPUTED_VALUE"""),"Texas State")</f>
        <v>Texas State</v>
      </c>
      <c r="N41" s="20">
        <f>IFERROR(__xludf.DUMMYFUNCTION("""COMPUTED_VALUE"""),28.86)</f>
        <v>28.86</v>
      </c>
      <c r="O41" s="20">
        <f>IFERROR(__xludf.DUMMYFUNCTION("""COMPUTED_VALUE"""),119.0)</f>
        <v>119</v>
      </c>
      <c r="P41" s="20"/>
      <c r="Q41" s="20"/>
      <c r="R41" s="20"/>
      <c r="S41" s="20"/>
      <c r="T41" s="20"/>
      <c r="U41" s="20"/>
      <c r="V41" s="20"/>
      <c r="W41" s="20"/>
      <c r="X41" s="20"/>
      <c r="Y41" s="20"/>
      <c r="Z41" s="20"/>
    </row>
    <row r="42">
      <c r="A42" s="20" t="str">
        <f>IFERROR(__xludf.DUMMYFUNCTION("""COMPUTED_VALUE"""),"Purdue")</f>
        <v>Purdue</v>
      </c>
      <c r="B42" s="20">
        <f>IFERROR(__xludf.DUMMYFUNCTION("""COMPUTED_VALUE"""),32.23)</f>
        <v>32.23</v>
      </c>
      <c r="C42" s="20">
        <f>IFERROR(__xludf.DUMMYFUNCTION("""COMPUTED_VALUE"""),92.0)</f>
        <v>92</v>
      </c>
      <c r="D42" s="20" t="str">
        <f>IFERROR(__xludf.DUMMYFUNCTION("""COMPUTED_VALUE"""),"Western Kentucky")</f>
        <v>Western Kentucky</v>
      </c>
      <c r="E42" s="20">
        <f>IFERROR(__xludf.DUMMYFUNCTION("""COMPUTED_VALUE"""),29.31)</f>
        <v>29.31</v>
      </c>
      <c r="F42" s="20">
        <f>IFERROR(__xludf.DUMMYFUNCTION("""COMPUTED_VALUE"""),115.0)</f>
        <v>115</v>
      </c>
      <c r="G42" s="20" t="str">
        <f>IFERROR(__xludf.DUMMYFUNCTION("""COMPUTED_VALUE"""),"Northern Illinois")</f>
        <v>Northern Illinois</v>
      </c>
      <c r="H42" s="20">
        <f>IFERROR(__xludf.DUMMYFUNCTION("""COMPUTED_VALUE"""),30.67)</f>
        <v>30.67</v>
      </c>
      <c r="I42" s="20">
        <f>IFERROR(__xludf.DUMMYFUNCTION("""COMPUTED_VALUE"""),108.0)</f>
        <v>108</v>
      </c>
      <c r="J42" s="20" t="str">
        <f>IFERROR(__xludf.DUMMYFUNCTION("""COMPUTED_VALUE"""),"Oregon State")</f>
        <v>Oregon State</v>
      </c>
      <c r="K42" s="20">
        <f>IFERROR(__xludf.DUMMYFUNCTION("""COMPUTED_VALUE"""),34.87)</f>
        <v>34.87</v>
      </c>
      <c r="L42" s="20">
        <f>IFERROR(__xludf.DUMMYFUNCTION("""COMPUTED_VALUE"""),66.0)</f>
        <v>66</v>
      </c>
      <c r="M42" s="20" t="str">
        <f>IFERROR(__xludf.DUMMYFUNCTION("""COMPUTED_VALUE"""),"UL-Monroe")</f>
        <v>UL-Monroe</v>
      </c>
      <c r="N42" s="20">
        <f>IFERROR(__xludf.DUMMYFUNCTION("""COMPUTED_VALUE"""),25.95)</f>
        <v>25.95</v>
      </c>
      <c r="O42" s="20">
        <f>IFERROR(__xludf.DUMMYFUNCTION("""COMPUTED_VALUE"""),124.0)</f>
        <v>124</v>
      </c>
      <c r="P42" s="20"/>
      <c r="Q42" s="20"/>
      <c r="R42" s="20"/>
      <c r="S42" s="20"/>
      <c r="T42" s="20"/>
      <c r="U42" s="20"/>
      <c r="V42" s="20"/>
      <c r="W42" s="20"/>
      <c r="X42" s="20"/>
      <c r="Y42" s="20"/>
      <c r="Z42" s="20"/>
    </row>
    <row r="43">
      <c r="A43" s="20" t="str">
        <f>IFERROR(__xludf.DUMMYFUNCTION("""COMPUTED_VALUE"""),"Michigan")</f>
        <v>Michigan</v>
      </c>
      <c r="B43" s="20">
        <f>IFERROR(__xludf.DUMMYFUNCTION("""COMPUTED_VALUE"""),31.54)</f>
        <v>31.54</v>
      </c>
      <c r="C43" s="20">
        <f>IFERROR(__xludf.DUMMYFUNCTION("""COMPUTED_VALUE"""),97.0)</f>
        <v>97</v>
      </c>
      <c r="D43" s="20" t="str">
        <f>IFERROR(__xludf.DUMMYFUNCTION("""COMPUTED_VALUE"""),"Southern Mississippi")</f>
        <v>Southern Mississippi</v>
      </c>
      <c r="E43" s="20">
        <f>IFERROR(__xludf.DUMMYFUNCTION("""COMPUTED_VALUE"""),28.08)</f>
        <v>28.08</v>
      </c>
      <c r="F43" s="20">
        <f>IFERROR(__xludf.DUMMYFUNCTION("""COMPUTED_VALUE"""),121.0)</f>
        <v>121</v>
      </c>
      <c r="G43" s="20" t="str">
        <f>IFERROR(__xludf.DUMMYFUNCTION("""COMPUTED_VALUE"""),"Bowling Green")</f>
        <v>Bowling Green</v>
      </c>
      <c r="H43" s="20">
        <f>IFERROR(__xludf.DUMMYFUNCTION("""COMPUTED_VALUE"""),29.15)</f>
        <v>29.15</v>
      </c>
      <c r="I43" s="20">
        <f>IFERROR(__xludf.DUMMYFUNCTION("""COMPUTED_VALUE"""),117.0)</f>
        <v>117</v>
      </c>
      <c r="J43" s="20" t="str">
        <f>IFERROR(__xludf.DUMMYFUNCTION("""COMPUTED_VALUE"""),"Washington State")</f>
        <v>Washington State</v>
      </c>
      <c r="K43" s="20">
        <f>IFERROR(__xludf.DUMMYFUNCTION("""COMPUTED_VALUE"""),34.21)</f>
        <v>34.21</v>
      </c>
      <c r="L43" s="20">
        <f>IFERROR(__xludf.DUMMYFUNCTION("""COMPUTED_VALUE"""),72.0)</f>
        <v>72</v>
      </c>
      <c r="M43" s="20"/>
      <c r="N43" s="20"/>
      <c r="O43" s="20"/>
      <c r="P43" s="20"/>
      <c r="Q43" s="20"/>
      <c r="R43" s="20"/>
      <c r="S43" s="20"/>
      <c r="T43" s="20"/>
      <c r="U43" s="20"/>
      <c r="V43" s="20"/>
      <c r="W43" s="20"/>
      <c r="X43" s="20"/>
      <c r="Y43" s="20"/>
      <c r="Z43" s="20"/>
    </row>
    <row r="44">
      <c r="A44" s="20" t="str">
        <f>IFERROR(__xludf.DUMMYFUNCTION("""COMPUTED_VALUE"""),"Illinois")</f>
        <v>Illinois</v>
      </c>
      <c r="B44" s="20">
        <f>IFERROR(__xludf.DUMMYFUNCTION("""COMPUTED_VALUE"""),31.52)</f>
        <v>31.52</v>
      </c>
      <c r="C44" s="20">
        <f>IFERROR(__xludf.DUMMYFUNCTION("""COMPUTED_VALUE"""),98.0)</f>
        <v>98</v>
      </c>
      <c r="D44" s="20" t="str">
        <f>IFERROR(__xludf.DUMMYFUNCTION("""COMPUTED_VALUE"""),"Charlotte")</f>
        <v>Charlotte</v>
      </c>
      <c r="E44" s="20">
        <f>IFERROR(__xludf.DUMMYFUNCTION("""COMPUTED_VALUE"""),22.5)</f>
        <v>22.5</v>
      </c>
      <c r="F44" s="20">
        <f>IFERROR(__xludf.DUMMYFUNCTION("""COMPUTED_VALUE"""),126.0)</f>
        <v>126</v>
      </c>
      <c r="G44" s="20" t="str">
        <f>IFERROR(__xludf.DUMMYFUNCTION("""COMPUTED_VALUE"""),"Akron")</f>
        <v>Akron</v>
      </c>
      <c r="H44" s="20">
        <f>IFERROR(__xludf.DUMMYFUNCTION("""COMPUTED_VALUE"""),28.91)</f>
        <v>28.91</v>
      </c>
      <c r="I44" s="20">
        <f>IFERROR(__xludf.DUMMYFUNCTION("""COMPUTED_VALUE"""),118.0)</f>
        <v>118</v>
      </c>
      <c r="J44" s="20" t="str">
        <f>IFERROR(__xludf.DUMMYFUNCTION("""COMPUTED_VALUE"""),"Arizona")</f>
        <v>Arizona</v>
      </c>
      <c r="K44" s="20">
        <f>IFERROR(__xludf.DUMMYFUNCTION("""COMPUTED_VALUE"""),27.16)</f>
        <v>27.16</v>
      </c>
      <c r="L44" s="20">
        <f>IFERROR(__xludf.DUMMYFUNCTION("""COMPUTED_VALUE"""),122.0)</f>
        <v>122</v>
      </c>
      <c r="M44" s="20"/>
      <c r="N44" s="20"/>
      <c r="O44" s="20"/>
      <c r="P44" s="20"/>
      <c r="Q44" s="20"/>
      <c r="R44" s="20"/>
      <c r="S44" s="20"/>
      <c r="T44" s="20"/>
      <c r="U44" s="20"/>
      <c r="V44" s="20"/>
      <c r="W44" s="20"/>
      <c r="X44" s="20"/>
      <c r="Y44" s="20"/>
      <c r="Z44" s="20"/>
    </row>
    <row r="45">
      <c r="A45" s="20" t="str">
        <f>IFERROR(__xludf.DUMMYFUNCTION("""COMPUTED_VALUE"""),"Rutgers")</f>
        <v>Rutgers</v>
      </c>
      <c r="B45" s="20">
        <f>IFERROR(__xludf.DUMMYFUNCTION("""COMPUTED_VALUE"""),31.48)</f>
        <v>31.48</v>
      </c>
      <c r="C45" s="20">
        <f>IFERROR(__xludf.DUMMYFUNCTION("""COMPUTED_VALUE"""),99.0)</f>
        <v>99</v>
      </c>
      <c r="D45" s="20" t="str">
        <f>IFERROR(__xludf.DUMMYFUNCTION("""COMPUTED_VALUE"""),"Louisiana Tech")</f>
        <v>Louisiana Tech</v>
      </c>
      <c r="E45" s="20">
        <f>IFERROR(__xludf.DUMMYFUNCTION("""COMPUTED_VALUE"""),20.47)</f>
        <v>20.47</v>
      </c>
      <c r="F45" s="20">
        <f>IFERROR(__xludf.DUMMYFUNCTION("""COMPUTED_VALUE"""),128.0)</f>
        <v>128</v>
      </c>
      <c r="G45" s="20"/>
      <c r="H45" s="20"/>
      <c r="I45" s="20"/>
      <c r="J45" s="20"/>
      <c r="K45" s="20"/>
      <c r="L45" s="20"/>
      <c r="M45" s="20"/>
      <c r="N45" s="20"/>
      <c r="O45" s="20"/>
      <c r="P45" s="20"/>
      <c r="Q45" s="20"/>
      <c r="R45" s="20"/>
      <c r="S45" s="20"/>
      <c r="T45" s="20"/>
      <c r="U45" s="20"/>
      <c r="V45" s="20"/>
      <c r="W45" s="20"/>
      <c r="X45" s="20"/>
      <c r="Y45" s="20"/>
      <c r="Z45" s="20"/>
    </row>
    <row r="46">
      <c r="A46" s="20" t="str">
        <f>IFERROR(__xludf.DUMMYFUNCTION("""COMPUTED_VALUE"""),"Michigan State")</f>
        <v>Michigan State</v>
      </c>
      <c r="B46" s="20">
        <f>IFERROR(__xludf.DUMMYFUNCTION("""COMPUTED_VALUE"""),29.42)</f>
        <v>29.42</v>
      </c>
      <c r="C46" s="20">
        <f>IFERROR(__xludf.DUMMYFUNCTION("""COMPUTED_VALUE"""),114.0)</f>
        <v>114</v>
      </c>
      <c r="D46" s="20" t="str">
        <f>IFERROR(__xludf.DUMMYFUNCTION("""COMPUTED_VALUE"""),"UTEP")</f>
        <v>UTEP</v>
      </c>
      <c r="E46" s="20">
        <f>IFERROR(__xludf.DUMMYFUNCTION("""COMPUTED_VALUE"""),11.84)</f>
        <v>11.84</v>
      </c>
      <c r="F46" s="20">
        <f>IFERROR(__xludf.DUMMYFUNCTION("""COMPUTED_VALUE"""),130.0)</f>
        <v>130</v>
      </c>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